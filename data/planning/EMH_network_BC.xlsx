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op\Downloads\"/>
    </mc:Choice>
  </mc:AlternateContent>
  <xr:revisionPtr revIDLastSave="0" documentId="13_ncr:1_{A1DD362F-730D-410F-B931-B4CDC9041C8B}" xr6:coauthVersionLast="47" xr6:coauthVersionMax="47" xr10:uidLastSave="{00000000-0000-0000-0000-000000000000}"/>
  <bookViews>
    <workbookView xWindow="-96" yWindow="-96" windowWidth="20928" windowHeight="12432" activeTab="2" xr2:uid="{2EB6A33D-59D9-42F3-B6C0-266EB8EFB110}"/>
  </bookViews>
  <sheets>
    <sheet name="nodes" sheetId="7" r:id="rId1"/>
    <sheet name="exist" sheetId="2" r:id="rId2"/>
    <sheet name="cand" sheetId="1" r:id="rId3"/>
    <sheet name="lines" sheetId="3" r:id="rId4"/>
    <sheet name="gen_cost" sheetId="8" r:id="rId5"/>
    <sheet name="economic" sheetId="5" r:id="rId6"/>
    <sheet name="demand" sheetId="4" r:id="rId7"/>
    <sheet name="demand_forecasted" sheetId="9" r:id="rId8"/>
    <sheet name="factors" sheetId="6" r:id="rId9"/>
  </sheets>
  <definedNames>
    <definedName name="_xlnm._FilterDatabase" localSheetId="2" hidden="1">cand!$A$1:$Y$1</definedName>
    <definedName name="_xlnm._FilterDatabase" localSheetId="6" hidden="1">demand!$A$1:$KI$1</definedName>
    <definedName name="_xlnm._FilterDatabase" localSheetId="7" hidden="1">demand_forecasted!$A$1:$G$1</definedName>
    <definedName name="_xlnm._FilterDatabase" localSheetId="1" hidden="1">exist!$A$1:$S$267</definedName>
    <definedName name="_xlnm._FilterDatabase" localSheetId="3" hidden="1">lines!$A$1:$O$253</definedName>
    <definedName name="_xlnm._FilterDatabase" localSheetId="0" hidden="1">nodes!$A$1:$K$167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" i="2"/>
  <c r="M3" i="1"/>
  <c r="N3" i="1" s="1"/>
  <c r="O3" i="1" s="1"/>
  <c r="P3" i="1" s="1"/>
  <c r="Q3" i="1" s="1"/>
  <c r="M99" i="1"/>
  <c r="N99" i="1" s="1"/>
  <c r="O99" i="1" s="1"/>
  <c r="P99" i="1" s="1"/>
  <c r="Q99" i="1" s="1"/>
  <c r="M100" i="1"/>
  <c r="N100" i="1" s="1"/>
  <c r="O100" i="1" s="1"/>
  <c r="P100" i="1" s="1"/>
  <c r="Q100" i="1" s="1"/>
  <c r="M101" i="1"/>
  <c r="N101" i="1" s="1"/>
  <c r="O101" i="1" s="1"/>
  <c r="P101" i="1" s="1"/>
  <c r="Q101" i="1" s="1"/>
  <c r="M107" i="1"/>
  <c r="N107" i="1" s="1"/>
  <c r="O107" i="1" s="1"/>
  <c r="P107" i="1" s="1"/>
  <c r="Q107" i="1" s="1"/>
  <c r="M134" i="1"/>
  <c r="N134" i="1" s="1"/>
  <c r="O134" i="1" s="1"/>
  <c r="P134" i="1" s="1"/>
  <c r="Q134" i="1" s="1"/>
  <c r="M52" i="1"/>
  <c r="N52" i="1" s="1"/>
  <c r="O52" i="1" s="1"/>
  <c r="P52" i="1" s="1"/>
  <c r="Q52" i="1" s="1"/>
  <c r="M41" i="1"/>
  <c r="N41" i="1" s="1"/>
  <c r="O41" i="1" s="1"/>
  <c r="P41" i="1" s="1"/>
  <c r="Q41" i="1" s="1"/>
  <c r="L63" i="1"/>
  <c r="M63" i="1" s="1"/>
  <c r="N63" i="1" s="1"/>
  <c r="O63" i="1" s="1"/>
  <c r="P63" i="1" s="1"/>
  <c r="Q63" i="1" s="1"/>
  <c r="L64" i="1"/>
  <c r="M64" i="1" s="1"/>
  <c r="N64" i="1" s="1"/>
  <c r="O64" i="1" s="1"/>
  <c r="P64" i="1" s="1"/>
  <c r="Q64" i="1" s="1"/>
  <c r="L65" i="1"/>
  <c r="M65" i="1" s="1"/>
  <c r="N65" i="1" s="1"/>
  <c r="O65" i="1" s="1"/>
  <c r="P65" i="1" s="1"/>
  <c r="Q65" i="1" s="1"/>
  <c r="L42" i="1"/>
  <c r="M42" i="1" s="1"/>
  <c r="N42" i="1" s="1"/>
  <c r="O42" i="1" s="1"/>
  <c r="P42" i="1" s="1"/>
  <c r="Q42" i="1" s="1"/>
  <c r="L43" i="1"/>
  <c r="M43" i="1" s="1"/>
  <c r="N43" i="1" s="1"/>
  <c r="O43" i="1" s="1"/>
  <c r="P43" i="1" s="1"/>
  <c r="Q43" i="1" s="1"/>
  <c r="L44" i="1"/>
  <c r="M44" i="1" s="1"/>
  <c r="N44" i="1" s="1"/>
  <c r="O44" i="1" s="1"/>
  <c r="P44" i="1" s="1"/>
  <c r="Q44" i="1" s="1"/>
  <c r="L78" i="1"/>
  <c r="M78" i="1" s="1"/>
  <c r="N78" i="1" s="1"/>
  <c r="O78" i="1" s="1"/>
  <c r="P78" i="1" s="1"/>
  <c r="Q78" i="1" s="1"/>
  <c r="L79" i="1"/>
  <c r="M79" i="1" s="1"/>
  <c r="N79" i="1" s="1"/>
  <c r="O79" i="1" s="1"/>
  <c r="P79" i="1" s="1"/>
  <c r="Q79" i="1" s="1"/>
  <c r="L80" i="1"/>
  <c r="M80" i="1" s="1"/>
  <c r="N80" i="1" s="1"/>
  <c r="O80" i="1" s="1"/>
  <c r="P80" i="1" s="1"/>
  <c r="Q80" i="1" s="1"/>
  <c r="L81" i="1"/>
  <c r="M81" i="1" s="1"/>
  <c r="N81" i="1" s="1"/>
  <c r="O81" i="1" s="1"/>
  <c r="P81" i="1" s="1"/>
  <c r="Q81" i="1" s="1"/>
  <c r="L82" i="1"/>
  <c r="M82" i="1" s="1"/>
  <c r="N82" i="1" s="1"/>
  <c r="O82" i="1" s="1"/>
  <c r="P82" i="1" s="1"/>
  <c r="Q82" i="1" s="1"/>
  <c r="L83" i="1"/>
  <c r="M83" i="1" s="1"/>
  <c r="N83" i="1" s="1"/>
  <c r="O83" i="1" s="1"/>
  <c r="P83" i="1" s="1"/>
  <c r="Q83" i="1" s="1"/>
  <c r="L84" i="1"/>
  <c r="M84" i="1" s="1"/>
  <c r="N84" i="1" s="1"/>
  <c r="O84" i="1" s="1"/>
  <c r="P84" i="1" s="1"/>
  <c r="Q84" i="1" s="1"/>
  <c r="L85" i="1"/>
  <c r="M85" i="1" s="1"/>
  <c r="N85" i="1" s="1"/>
  <c r="O85" i="1" s="1"/>
  <c r="P85" i="1" s="1"/>
  <c r="Q85" i="1" s="1"/>
  <c r="L86" i="1"/>
  <c r="M86" i="1" s="1"/>
  <c r="N86" i="1" s="1"/>
  <c r="O86" i="1" s="1"/>
  <c r="P86" i="1" s="1"/>
  <c r="Q86" i="1" s="1"/>
  <c r="L87" i="1"/>
  <c r="M87" i="1" s="1"/>
  <c r="N87" i="1" s="1"/>
  <c r="O87" i="1" s="1"/>
  <c r="P87" i="1" s="1"/>
  <c r="Q87" i="1" s="1"/>
  <c r="L2" i="1"/>
  <c r="M2" i="1" s="1"/>
  <c r="N2" i="1" s="1"/>
  <c r="O2" i="1" s="1"/>
  <c r="P2" i="1" s="1"/>
  <c r="Q2" i="1" s="1"/>
  <c r="L3" i="1"/>
  <c r="L88" i="1"/>
  <c r="M88" i="1" s="1"/>
  <c r="N88" i="1" s="1"/>
  <c r="O88" i="1" s="1"/>
  <c r="P88" i="1" s="1"/>
  <c r="Q88" i="1" s="1"/>
  <c r="L89" i="1"/>
  <c r="M89" i="1" s="1"/>
  <c r="N89" i="1" s="1"/>
  <c r="O89" i="1" s="1"/>
  <c r="P89" i="1" s="1"/>
  <c r="Q89" i="1" s="1"/>
  <c r="L90" i="1"/>
  <c r="M90" i="1" s="1"/>
  <c r="N90" i="1" s="1"/>
  <c r="O90" i="1" s="1"/>
  <c r="P90" i="1" s="1"/>
  <c r="Q90" i="1" s="1"/>
  <c r="L91" i="1"/>
  <c r="M91" i="1" s="1"/>
  <c r="N91" i="1" s="1"/>
  <c r="O91" i="1" s="1"/>
  <c r="P91" i="1" s="1"/>
  <c r="Q91" i="1" s="1"/>
  <c r="L92" i="1"/>
  <c r="M92" i="1" s="1"/>
  <c r="N92" i="1" s="1"/>
  <c r="O92" i="1" s="1"/>
  <c r="P92" i="1" s="1"/>
  <c r="Q92" i="1" s="1"/>
  <c r="L93" i="1"/>
  <c r="M93" i="1" s="1"/>
  <c r="N93" i="1" s="1"/>
  <c r="O93" i="1" s="1"/>
  <c r="P93" i="1" s="1"/>
  <c r="Q93" i="1" s="1"/>
  <c r="L94" i="1"/>
  <c r="M94" i="1" s="1"/>
  <c r="N94" i="1" s="1"/>
  <c r="O94" i="1" s="1"/>
  <c r="P94" i="1" s="1"/>
  <c r="Q94" i="1" s="1"/>
  <c r="L95" i="1"/>
  <c r="M95" i="1" s="1"/>
  <c r="N95" i="1" s="1"/>
  <c r="O95" i="1" s="1"/>
  <c r="P95" i="1" s="1"/>
  <c r="Q95" i="1" s="1"/>
  <c r="L96" i="1"/>
  <c r="M96" i="1" s="1"/>
  <c r="N96" i="1" s="1"/>
  <c r="O96" i="1" s="1"/>
  <c r="P96" i="1" s="1"/>
  <c r="Q96" i="1" s="1"/>
  <c r="L97" i="1"/>
  <c r="M97" i="1" s="1"/>
  <c r="N97" i="1" s="1"/>
  <c r="O97" i="1" s="1"/>
  <c r="P97" i="1" s="1"/>
  <c r="Q97" i="1" s="1"/>
  <c r="L98" i="1"/>
  <c r="M98" i="1" s="1"/>
  <c r="N98" i="1" s="1"/>
  <c r="O98" i="1" s="1"/>
  <c r="P98" i="1" s="1"/>
  <c r="Q98" i="1" s="1"/>
  <c r="L99" i="1"/>
  <c r="L34" i="1"/>
  <c r="M34" i="1" s="1"/>
  <c r="N34" i="1" s="1"/>
  <c r="O34" i="1" s="1"/>
  <c r="P34" i="1" s="1"/>
  <c r="Q34" i="1" s="1"/>
  <c r="L45" i="1"/>
  <c r="M45" i="1" s="1"/>
  <c r="N45" i="1" s="1"/>
  <c r="O45" i="1" s="1"/>
  <c r="P45" i="1" s="1"/>
  <c r="Q45" i="1" s="1"/>
  <c r="L4" i="1"/>
  <c r="M4" i="1" s="1"/>
  <c r="N4" i="1" s="1"/>
  <c r="O4" i="1" s="1"/>
  <c r="P4" i="1" s="1"/>
  <c r="Q4" i="1" s="1"/>
  <c r="L46" i="1"/>
  <c r="M46" i="1" s="1"/>
  <c r="N46" i="1" s="1"/>
  <c r="O46" i="1" s="1"/>
  <c r="P46" i="1" s="1"/>
  <c r="Q46" i="1" s="1"/>
  <c r="L100" i="1"/>
  <c r="L101" i="1"/>
  <c r="L35" i="1"/>
  <c r="M35" i="1" s="1"/>
  <c r="N35" i="1" s="1"/>
  <c r="O35" i="1" s="1"/>
  <c r="P35" i="1" s="1"/>
  <c r="Q35" i="1" s="1"/>
  <c r="L5" i="1"/>
  <c r="M5" i="1" s="1"/>
  <c r="N5" i="1" s="1"/>
  <c r="O5" i="1" s="1"/>
  <c r="P5" i="1" s="1"/>
  <c r="Q5" i="1" s="1"/>
  <c r="L102" i="1"/>
  <c r="M102" i="1" s="1"/>
  <c r="N102" i="1" s="1"/>
  <c r="O102" i="1" s="1"/>
  <c r="P102" i="1" s="1"/>
  <c r="Q102" i="1" s="1"/>
  <c r="L6" i="1"/>
  <c r="M6" i="1" s="1"/>
  <c r="N6" i="1" s="1"/>
  <c r="O6" i="1" s="1"/>
  <c r="P6" i="1" s="1"/>
  <c r="Q6" i="1" s="1"/>
  <c r="L7" i="1"/>
  <c r="M7" i="1" s="1"/>
  <c r="N7" i="1" s="1"/>
  <c r="O7" i="1" s="1"/>
  <c r="P7" i="1" s="1"/>
  <c r="Q7" i="1" s="1"/>
  <c r="L8" i="1"/>
  <c r="M8" i="1" s="1"/>
  <c r="N8" i="1" s="1"/>
  <c r="O8" i="1" s="1"/>
  <c r="P8" i="1" s="1"/>
  <c r="Q8" i="1" s="1"/>
  <c r="L9" i="1"/>
  <c r="M9" i="1" s="1"/>
  <c r="N9" i="1" s="1"/>
  <c r="O9" i="1" s="1"/>
  <c r="P9" i="1" s="1"/>
  <c r="Q9" i="1" s="1"/>
  <c r="L103" i="1"/>
  <c r="M103" i="1" s="1"/>
  <c r="N103" i="1" s="1"/>
  <c r="O103" i="1" s="1"/>
  <c r="P103" i="1" s="1"/>
  <c r="Q103" i="1" s="1"/>
  <c r="L104" i="1"/>
  <c r="M104" i="1" s="1"/>
  <c r="N104" i="1" s="1"/>
  <c r="O104" i="1" s="1"/>
  <c r="P104" i="1" s="1"/>
  <c r="Q104" i="1" s="1"/>
  <c r="L105" i="1"/>
  <c r="M105" i="1" s="1"/>
  <c r="N105" i="1" s="1"/>
  <c r="O105" i="1" s="1"/>
  <c r="P105" i="1" s="1"/>
  <c r="Q105" i="1" s="1"/>
  <c r="L106" i="1"/>
  <c r="M106" i="1" s="1"/>
  <c r="N106" i="1" s="1"/>
  <c r="O106" i="1" s="1"/>
  <c r="P106" i="1" s="1"/>
  <c r="Q106" i="1" s="1"/>
  <c r="L107" i="1"/>
  <c r="L108" i="1"/>
  <c r="M108" i="1" s="1"/>
  <c r="N108" i="1" s="1"/>
  <c r="O108" i="1" s="1"/>
  <c r="P108" i="1" s="1"/>
  <c r="Q108" i="1" s="1"/>
  <c r="L109" i="1"/>
  <c r="M109" i="1" s="1"/>
  <c r="N109" i="1" s="1"/>
  <c r="O109" i="1" s="1"/>
  <c r="P109" i="1" s="1"/>
  <c r="Q109" i="1" s="1"/>
  <c r="L110" i="1"/>
  <c r="M110" i="1" s="1"/>
  <c r="N110" i="1" s="1"/>
  <c r="O110" i="1" s="1"/>
  <c r="P110" i="1" s="1"/>
  <c r="Q110" i="1" s="1"/>
  <c r="L111" i="1"/>
  <c r="M111" i="1" s="1"/>
  <c r="N111" i="1" s="1"/>
  <c r="O111" i="1" s="1"/>
  <c r="P111" i="1" s="1"/>
  <c r="Q111" i="1" s="1"/>
  <c r="L112" i="1"/>
  <c r="M112" i="1" s="1"/>
  <c r="N112" i="1" s="1"/>
  <c r="O112" i="1" s="1"/>
  <c r="P112" i="1" s="1"/>
  <c r="Q112" i="1" s="1"/>
  <c r="L113" i="1"/>
  <c r="M113" i="1" s="1"/>
  <c r="N113" i="1" s="1"/>
  <c r="O113" i="1" s="1"/>
  <c r="P113" i="1" s="1"/>
  <c r="Q113" i="1" s="1"/>
  <c r="L114" i="1"/>
  <c r="M114" i="1" s="1"/>
  <c r="N114" i="1" s="1"/>
  <c r="O114" i="1" s="1"/>
  <c r="P114" i="1" s="1"/>
  <c r="Q114" i="1" s="1"/>
  <c r="L115" i="1"/>
  <c r="M115" i="1" s="1"/>
  <c r="N115" i="1" s="1"/>
  <c r="O115" i="1" s="1"/>
  <c r="P115" i="1" s="1"/>
  <c r="Q115" i="1" s="1"/>
  <c r="L116" i="1"/>
  <c r="M116" i="1" s="1"/>
  <c r="N116" i="1" s="1"/>
  <c r="O116" i="1" s="1"/>
  <c r="P116" i="1" s="1"/>
  <c r="Q116" i="1" s="1"/>
  <c r="L117" i="1"/>
  <c r="M117" i="1" s="1"/>
  <c r="N117" i="1" s="1"/>
  <c r="O117" i="1" s="1"/>
  <c r="P117" i="1" s="1"/>
  <c r="Q117" i="1" s="1"/>
  <c r="L118" i="1"/>
  <c r="M118" i="1" s="1"/>
  <c r="N118" i="1" s="1"/>
  <c r="O118" i="1" s="1"/>
  <c r="P118" i="1" s="1"/>
  <c r="Q118" i="1" s="1"/>
  <c r="L119" i="1"/>
  <c r="M119" i="1" s="1"/>
  <c r="N119" i="1" s="1"/>
  <c r="O119" i="1" s="1"/>
  <c r="P119" i="1" s="1"/>
  <c r="Q119" i="1" s="1"/>
  <c r="L120" i="1"/>
  <c r="M120" i="1" s="1"/>
  <c r="N120" i="1" s="1"/>
  <c r="O120" i="1" s="1"/>
  <c r="P120" i="1" s="1"/>
  <c r="Q120" i="1" s="1"/>
  <c r="L121" i="1"/>
  <c r="M121" i="1" s="1"/>
  <c r="N121" i="1" s="1"/>
  <c r="O121" i="1" s="1"/>
  <c r="P121" i="1" s="1"/>
  <c r="Q121" i="1" s="1"/>
  <c r="L122" i="1"/>
  <c r="M122" i="1" s="1"/>
  <c r="N122" i="1" s="1"/>
  <c r="O122" i="1" s="1"/>
  <c r="P122" i="1" s="1"/>
  <c r="Q122" i="1" s="1"/>
  <c r="L123" i="1"/>
  <c r="M123" i="1" s="1"/>
  <c r="N123" i="1" s="1"/>
  <c r="O123" i="1" s="1"/>
  <c r="P123" i="1" s="1"/>
  <c r="Q123" i="1" s="1"/>
  <c r="L124" i="1"/>
  <c r="M124" i="1" s="1"/>
  <c r="N124" i="1" s="1"/>
  <c r="O124" i="1" s="1"/>
  <c r="P124" i="1" s="1"/>
  <c r="Q124" i="1" s="1"/>
  <c r="L125" i="1"/>
  <c r="M125" i="1" s="1"/>
  <c r="N125" i="1" s="1"/>
  <c r="O125" i="1" s="1"/>
  <c r="P125" i="1" s="1"/>
  <c r="Q125" i="1" s="1"/>
  <c r="L126" i="1"/>
  <c r="M126" i="1" s="1"/>
  <c r="N126" i="1" s="1"/>
  <c r="O126" i="1" s="1"/>
  <c r="P126" i="1" s="1"/>
  <c r="Q126" i="1" s="1"/>
  <c r="L66" i="1"/>
  <c r="M66" i="1" s="1"/>
  <c r="N66" i="1" s="1"/>
  <c r="O66" i="1" s="1"/>
  <c r="P66" i="1" s="1"/>
  <c r="Q66" i="1" s="1"/>
  <c r="L67" i="1"/>
  <c r="M67" i="1" s="1"/>
  <c r="N67" i="1" s="1"/>
  <c r="O67" i="1" s="1"/>
  <c r="P67" i="1" s="1"/>
  <c r="Q67" i="1" s="1"/>
  <c r="L68" i="1"/>
  <c r="M68" i="1" s="1"/>
  <c r="N68" i="1" s="1"/>
  <c r="O68" i="1" s="1"/>
  <c r="P68" i="1" s="1"/>
  <c r="Q68" i="1" s="1"/>
  <c r="L69" i="1"/>
  <c r="M69" i="1" s="1"/>
  <c r="N69" i="1" s="1"/>
  <c r="O69" i="1" s="1"/>
  <c r="P69" i="1" s="1"/>
  <c r="Q69" i="1" s="1"/>
  <c r="L47" i="1"/>
  <c r="M47" i="1" s="1"/>
  <c r="N47" i="1" s="1"/>
  <c r="O47" i="1" s="1"/>
  <c r="P47" i="1" s="1"/>
  <c r="Q47" i="1" s="1"/>
  <c r="L48" i="1"/>
  <c r="M48" i="1" s="1"/>
  <c r="N48" i="1" s="1"/>
  <c r="O48" i="1" s="1"/>
  <c r="P48" i="1" s="1"/>
  <c r="Q48" i="1" s="1"/>
  <c r="L49" i="1"/>
  <c r="M49" i="1" s="1"/>
  <c r="N49" i="1" s="1"/>
  <c r="O49" i="1" s="1"/>
  <c r="P49" i="1" s="1"/>
  <c r="Q49" i="1" s="1"/>
  <c r="L127" i="1"/>
  <c r="M127" i="1" s="1"/>
  <c r="N127" i="1" s="1"/>
  <c r="O127" i="1" s="1"/>
  <c r="P127" i="1" s="1"/>
  <c r="Q127" i="1" s="1"/>
  <c r="L128" i="1"/>
  <c r="M128" i="1" s="1"/>
  <c r="N128" i="1" s="1"/>
  <c r="O128" i="1" s="1"/>
  <c r="P128" i="1" s="1"/>
  <c r="Q128" i="1" s="1"/>
  <c r="L129" i="1"/>
  <c r="M129" i="1" s="1"/>
  <c r="N129" i="1" s="1"/>
  <c r="O129" i="1" s="1"/>
  <c r="P129" i="1" s="1"/>
  <c r="Q129" i="1" s="1"/>
  <c r="L130" i="1"/>
  <c r="M130" i="1" s="1"/>
  <c r="N130" i="1" s="1"/>
  <c r="O130" i="1" s="1"/>
  <c r="P130" i="1" s="1"/>
  <c r="Q130" i="1" s="1"/>
  <c r="L131" i="1"/>
  <c r="M131" i="1" s="1"/>
  <c r="N131" i="1" s="1"/>
  <c r="O131" i="1" s="1"/>
  <c r="P131" i="1" s="1"/>
  <c r="Q131" i="1" s="1"/>
  <c r="L132" i="1"/>
  <c r="M132" i="1" s="1"/>
  <c r="N132" i="1" s="1"/>
  <c r="O132" i="1" s="1"/>
  <c r="P132" i="1" s="1"/>
  <c r="Q132" i="1" s="1"/>
  <c r="L133" i="1"/>
  <c r="M133" i="1" s="1"/>
  <c r="N133" i="1" s="1"/>
  <c r="O133" i="1" s="1"/>
  <c r="P133" i="1" s="1"/>
  <c r="Q133" i="1" s="1"/>
  <c r="L134" i="1"/>
  <c r="L135" i="1"/>
  <c r="M135" i="1" s="1"/>
  <c r="N135" i="1" s="1"/>
  <c r="O135" i="1" s="1"/>
  <c r="P135" i="1" s="1"/>
  <c r="Q135" i="1" s="1"/>
  <c r="L136" i="1"/>
  <c r="M136" i="1" s="1"/>
  <c r="N136" i="1" s="1"/>
  <c r="O136" i="1" s="1"/>
  <c r="P136" i="1" s="1"/>
  <c r="Q136" i="1" s="1"/>
  <c r="L10" i="1"/>
  <c r="M10" i="1" s="1"/>
  <c r="N10" i="1" s="1"/>
  <c r="O10" i="1" s="1"/>
  <c r="P10" i="1" s="1"/>
  <c r="Q10" i="1" s="1"/>
  <c r="L11" i="1"/>
  <c r="M11" i="1" s="1"/>
  <c r="N11" i="1" s="1"/>
  <c r="O11" i="1" s="1"/>
  <c r="P11" i="1" s="1"/>
  <c r="Q11" i="1" s="1"/>
  <c r="L137" i="1"/>
  <c r="M137" i="1" s="1"/>
  <c r="N137" i="1" s="1"/>
  <c r="O137" i="1" s="1"/>
  <c r="P137" i="1" s="1"/>
  <c r="Q137" i="1" s="1"/>
  <c r="L138" i="1"/>
  <c r="M138" i="1" s="1"/>
  <c r="N138" i="1" s="1"/>
  <c r="O138" i="1" s="1"/>
  <c r="P138" i="1" s="1"/>
  <c r="Q138" i="1" s="1"/>
  <c r="L139" i="1"/>
  <c r="M139" i="1" s="1"/>
  <c r="N139" i="1" s="1"/>
  <c r="O139" i="1" s="1"/>
  <c r="P139" i="1" s="1"/>
  <c r="Q139" i="1" s="1"/>
  <c r="L140" i="1"/>
  <c r="M140" i="1" s="1"/>
  <c r="N140" i="1" s="1"/>
  <c r="O140" i="1" s="1"/>
  <c r="P140" i="1" s="1"/>
  <c r="Q140" i="1" s="1"/>
  <c r="L141" i="1"/>
  <c r="M141" i="1" s="1"/>
  <c r="N141" i="1" s="1"/>
  <c r="O141" i="1" s="1"/>
  <c r="P141" i="1" s="1"/>
  <c r="Q141" i="1" s="1"/>
  <c r="L142" i="1"/>
  <c r="M142" i="1" s="1"/>
  <c r="N142" i="1" s="1"/>
  <c r="O142" i="1" s="1"/>
  <c r="P142" i="1" s="1"/>
  <c r="Q142" i="1" s="1"/>
  <c r="L143" i="1"/>
  <c r="M143" i="1" s="1"/>
  <c r="N143" i="1" s="1"/>
  <c r="O143" i="1" s="1"/>
  <c r="P143" i="1" s="1"/>
  <c r="Q143" i="1" s="1"/>
  <c r="L144" i="1"/>
  <c r="M144" i="1" s="1"/>
  <c r="N144" i="1" s="1"/>
  <c r="O144" i="1" s="1"/>
  <c r="P144" i="1" s="1"/>
  <c r="Q144" i="1" s="1"/>
  <c r="L145" i="1"/>
  <c r="M145" i="1" s="1"/>
  <c r="N145" i="1" s="1"/>
  <c r="O145" i="1" s="1"/>
  <c r="P145" i="1" s="1"/>
  <c r="Q145" i="1" s="1"/>
  <c r="L146" i="1"/>
  <c r="M146" i="1" s="1"/>
  <c r="N146" i="1" s="1"/>
  <c r="O146" i="1" s="1"/>
  <c r="P146" i="1" s="1"/>
  <c r="Q146" i="1" s="1"/>
  <c r="L147" i="1"/>
  <c r="M147" i="1" s="1"/>
  <c r="N147" i="1" s="1"/>
  <c r="O147" i="1" s="1"/>
  <c r="P147" i="1" s="1"/>
  <c r="Q147" i="1" s="1"/>
  <c r="L148" i="1"/>
  <c r="M148" i="1" s="1"/>
  <c r="N148" i="1" s="1"/>
  <c r="O148" i="1" s="1"/>
  <c r="P148" i="1" s="1"/>
  <c r="Q148" i="1" s="1"/>
  <c r="L36" i="1"/>
  <c r="M36" i="1" s="1"/>
  <c r="N36" i="1" s="1"/>
  <c r="O36" i="1" s="1"/>
  <c r="P36" i="1" s="1"/>
  <c r="Q36" i="1" s="1"/>
  <c r="L50" i="1"/>
  <c r="M50" i="1" s="1"/>
  <c r="N50" i="1" s="1"/>
  <c r="O50" i="1" s="1"/>
  <c r="P50" i="1" s="1"/>
  <c r="Q50" i="1" s="1"/>
  <c r="L12" i="1"/>
  <c r="M12" i="1" s="1"/>
  <c r="N12" i="1" s="1"/>
  <c r="O12" i="1" s="1"/>
  <c r="P12" i="1" s="1"/>
  <c r="Q12" i="1" s="1"/>
  <c r="L51" i="1"/>
  <c r="M51" i="1" s="1"/>
  <c r="N51" i="1" s="1"/>
  <c r="O51" i="1" s="1"/>
  <c r="P51" i="1" s="1"/>
  <c r="Q51" i="1" s="1"/>
  <c r="L149" i="1"/>
  <c r="M149" i="1" s="1"/>
  <c r="N149" i="1" s="1"/>
  <c r="O149" i="1" s="1"/>
  <c r="P149" i="1" s="1"/>
  <c r="Q149" i="1" s="1"/>
  <c r="L150" i="1"/>
  <c r="M150" i="1" s="1"/>
  <c r="N150" i="1" s="1"/>
  <c r="O150" i="1" s="1"/>
  <c r="P150" i="1" s="1"/>
  <c r="Q150" i="1" s="1"/>
  <c r="L37" i="1"/>
  <c r="M37" i="1" s="1"/>
  <c r="N37" i="1" s="1"/>
  <c r="O37" i="1" s="1"/>
  <c r="P37" i="1" s="1"/>
  <c r="Q37" i="1" s="1"/>
  <c r="L13" i="1"/>
  <c r="M13" i="1" s="1"/>
  <c r="N13" i="1" s="1"/>
  <c r="O13" i="1" s="1"/>
  <c r="P13" i="1" s="1"/>
  <c r="Q13" i="1" s="1"/>
  <c r="L151" i="1"/>
  <c r="M151" i="1" s="1"/>
  <c r="N151" i="1" s="1"/>
  <c r="O151" i="1" s="1"/>
  <c r="P151" i="1" s="1"/>
  <c r="Q151" i="1" s="1"/>
  <c r="L14" i="1"/>
  <c r="M14" i="1" s="1"/>
  <c r="N14" i="1" s="1"/>
  <c r="O14" i="1" s="1"/>
  <c r="P14" i="1" s="1"/>
  <c r="Q14" i="1" s="1"/>
  <c r="L15" i="1"/>
  <c r="M15" i="1" s="1"/>
  <c r="N15" i="1" s="1"/>
  <c r="O15" i="1" s="1"/>
  <c r="P15" i="1" s="1"/>
  <c r="Q15" i="1" s="1"/>
  <c r="L16" i="1"/>
  <c r="M16" i="1" s="1"/>
  <c r="N16" i="1" s="1"/>
  <c r="O16" i="1" s="1"/>
  <c r="P16" i="1" s="1"/>
  <c r="Q16" i="1" s="1"/>
  <c r="L17" i="1"/>
  <c r="M17" i="1" s="1"/>
  <c r="N17" i="1" s="1"/>
  <c r="O17" i="1" s="1"/>
  <c r="P17" i="1" s="1"/>
  <c r="Q17" i="1" s="1"/>
  <c r="L152" i="1"/>
  <c r="M152" i="1" s="1"/>
  <c r="N152" i="1" s="1"/>
  <c r="O152" i="1" s="1"/>
  <c r="P152" i="1" s="1"/>
  <c r="Q152" i="1" s="1"/>
  <c r="L153" i="1"/>
  <c r="M153" i="1" s="1"/>
  <c r="N153" i="1" s="1"/>
  <c r="O153" i="1" s="1"/>
  <c r="P153" i="1" s="1"/>
  <c r="Q153" i="1" s="1"/>
  <c r="L154" i="1"/>
  <c r="M154" i="1" s="1"/>
  <c r="N154" i="1" s="1"/>
  <c r="O154" i="1" s="1"/>
  <c r="P154" i="1" s="1"/>
  <c r="Q154" i="1" s="1"/>
  <c r="L155" i="1"/>
  <c r="M155" i="1" s="1"/>
  <c r="N155" i="1" s="1"/>
  <c r="O155" i="1" s="1"/>
  <c r="P155" i="1" s="1"/>
  <c r="Q155" i="1" s="1"/>
  <c r="L156" i="1"/>
  <c r="M156" i="1" s="1"/>
  <c r="N156" i="1" s="1"/>
  <c r="O156" i="1" s="1"/>
  <c r="P156" i="1" s="1"/>
  <c r="Q156" i="1" s="1"/>
  <c r="L157" i="1"/>
  <c r="M157" i="1" s="1"/>
  <c r="N157" i="1" s="1"/>
  <c r="O157" i="1" s="1"/>
  <c r="P157" i="1" s="1"/>
  <c r="Q157" i="1" s="1"/>
  <c r="L158" i="1"/>
  <c r="M158" i="1" s="1"/>
  <c r="N158" i="1" s="1"/>
  <c r="O158" i="1" s="1"/>
  <c r="P158" i="1" s="1"/>
  <c r="Q158" i="1" s="1"/>
  <c r="L159" i="1"/>
  <c r="M159" i="1" s="1"/>
  <c r="N159" i="1" s="1"/>
  <c r="O159" i="1" s="1"/>
  <c r="P159" i="1" s="1"/>
  <c r="Q159" i="1" s="1"/>
  <c r="L160" i="1"/>
  <c r="M160" i="1" s="1"/>
  <c r="N160" i="1" s="1"/>
  <c r="O160" i="1" s="1"/>
  <c r="P160" i="1" s="1"/>
  <c r="Q160" i="1" s="1"/>
  <c r="L161" i="1"/>
  <c r="M161" i="1" s="1"/>
  <c r="N161" i="1" s="1"/>
  <c r="O161" i="1" s="1"/>
  <c r="P161" i="1" s="1"/>
  <c r="Q161" i="1" s="1"/>
  <c r="L162" i="1"/>
  <c r="M162" i="1" s="1"/>
  <c r="N162" i="1" s="1"/>
  <c r="O162" i="1" s="1"/>
  <c r="P162" i="1" s="1"/>
  <c r="Q162" i="1" s="1"/>
  <c r="L163" i="1"/>
  <c r="M163" i="1" s="1"/>
  <c r="N163" i="1" s="1"/>
  <c r="O163" i="1" s="1"/>
  <c r="P163" i="1" s="1"/>
  <c r="Q163" i="1" s="1"/>
  <c r="L164" i="1"/>
  <c r="M164" i="1" s="1"/>
  <c r="N164" i="1" s="1"/>
  <c r="O164" i="1" s="1"/>
  <c r="P164" i="1" s="1"/>
  <c r="Q164" i="1" s="1"/>
  <c r="L165" i="1"/>
  <c r="M165" i="1" s="1"/>
  <c r="N165" i="1" s="1"/>
  <c r="O165" i="1" s="1"/>
  <c r="P165" i="1" s="1"/>
  <c r="Q165" i="1" s="1"/>
  <c r="L166" i="1"/>
  <c r="M166" i="1" s="1"/>
  <c r="N166" i="1" s="1"/>
  <c r="O166" i="1" s="1"/>
  <c r="P166" i="1" s="1"/>
  <c r="Q166" i="1" s="1"/>
  <c r="L167" i="1"/>
  <c r="M167" i="1" s="1"/>
  <c r="N167" i="1" s="1"/>
  <c r="O167" i="1" s="1"/>
  <c r="P167" i="1" s="1"/>
  <c r="Q167" i="1" s="1"/>
  <c r="L70" i="1"/>
  <c r="M70" i="1" s="1"/>
  <c r="N70" i="1" s="1"/>
  <c r="O70" i="1" s="1"/>
  <c r="P70" i="1" s="1"/>
  <c r="Q70" i="1" s="1"/>
  <c r="L71" i="1"/>
  <c r="M71" i="1" s="1"/>
  <c r="N71" i="1" s="1"/>
  <c r="O71" i="1" s="1"/>
  <c r="P71" i="1" s="1"/>
  <c r="Q71" i="1" s="1"/>
  <c r="L72" i="1"/>
  <c r="M72" i="1" s="1"/>
  <c r="N72" i="1" s="1"/>
  <c r="O72" i="1" s="1"/>
  <c r="P72" i="1" s="1"/>
  <c r="Q72" i="1" s="1"/>
  <c r="L73" i="1"/>
  <c r="M73" i="1" s="1"/>
  <c r="N73" i="1" s="1"/>
  <c r="O73" i="1" s="1"/>
  <c r="P73" i="1" s="1"/>
  <c r="Q73" i="1" s="1"/>
  <c r="L52" i="1"/>
  <c r="L53" i="1"/>
  <c r="M53" i="1" s="1"/>
  <c r="N53" i="1" s="1"/>
  <c r="O53" i="1" s="1"/>
  <c r="P53" i="1" s="1"/>
  <c r="Q53" i="1" s="1"/>
  <c r="L54" i="1"/>
  <c r="M54" i="1" s="1"/>
  <c r="N54" i="1" s="1"/>
  <c r="O54" i="1" s="1"/>
  <c r="P54" i="1" s="1"/>
  <c r="Q54" i="1" s="1"/>
  <c r="L18" i="1"/>
  <c r="M18" i="1" s="1"/>
  <c r="N18" i="1" s="1"/>
  <c r="O18" i="1" s="1"/>
  <c r="P18" i="1" s="1"/>
  <c r="Q18" i="1" s="1"/>
  <c r="L19" i="1"/>
  <c r="M19" i="1" s="1"/>
  <c r="N19" i="1" s="1"/>
  <c r="O19" i="1" s="1"/>
  <c r="P19" i="1" s="1"/>
  <c r="Q19" i="1" s="1"/>
  <c r="L38" i="1"/>
  <c r="M38" i="1" s="1"/>
  <c r="N38" i="1" s="1"/>
  <c r="O38" i="1" s="1"/>
  <c r="P38" i="1" s="1"/>
  <c r="Q38" i="1" s="1"/>
  <c r="L55" i="1"/>
  <c r="M55" i="1" s="1"/>
  <c r="N55" i="1" s="1"/>
  <c r="O55" i="1" s="1"/>
  <c r="P55" i="1" s="1"/>
  <c r="Q55" i="1" s="1"/>
  <c r="L20" i="1"/>
  <c r="M20" i="1" s="1"/>
  <c r="N20" i="1" s="1"/>
  <c r="O20" i="1" s="1"/>
  <c r="P20" i="1" s="1"/>
  <c r="Q20" i="1" s="1"/>
  <c r="L56" i="1"/>
  <c r="M56" i="1" s="1"/>
  <c r="N56" i="1" s="1"/>
  <c r="O56" i="1" s="1"/>
  <c r="P56" i="1" s="1"/>
  <c r="Q56" i="1" s="1"/>
  <c r="L39" i="1"/>
  <c r="M39" i="1" s="1"/>
  <c r="N39" i="1" s="1"/>
  <c r="O39" i="1" s="1"/>
  <c r="P39" i="1" s="1"/>
  <c r="Q39" i="1" s="1"/>
  <c r="L21" i="1"/>
  <c r="M21" i="1" s="1"/>
  <c r="N21" i="1" s="1"/>
  <c r="O21" i="1" s="1"/>
  <c r="P21" i="1" s="1"/>
  <c r="Q21" i="1" s="1"/>
  <c r="L22" i="1"/>
  <c r="M22" i="1" s="1"/>
  <c r="N22" i="1" s="1"/>
  <c r="O22" i="1" s="1"/>
  <c r="P22" i="1" s="1"/>
  <c r="Q22" i="1" s="1"/>
  <c r="L23" i="1"/>
  <c r="M23" i="1" s="1"/>
  <c r="N23" i="1" s="1"/>
  <c r="O23" i="1" s="1"/>
  <c r="P23" i="1" s="1"/>
  <c r="Q23" i="1" s="1"/>
  <c r="L24" i="1"/>
  <c r="M24" i="1" s="1"/>
  <c r="N24" i="1" s="1"/>
  <c r="O24" i="1" s="1"/>
  <c r="P24" i="1" s="1"/>
  <c r="Q24" i="1" s="1"/>
  <c r="L25" i="1"/>
  <c r="M25" i="1" s="1"/>
  <c r="N25" i="1" s="1"/>
  <c r="O25" i="1" s="1"/>
  <c r="P25" i="1" s="1"/>
  <c r="Q25" i="1" s="1"/>
  <c r="L74" i="1"/>
  <c r="M74" i="1" s="1"/>
  <c r="N74" i="1" s="1"/>
  <c r="O74" i="1" s="1"/>
  <c r="P74" i="1" s="1"/>
  <c r="Q74" i="1" s="1"/>
  <c r="L75" i="1"/>
  <c r="M75" i="1" s="1"/>
  <c r="N75" i="1" s="1"/>
  <c r="O75" i="1" s="1"/>
  <c r="P75" i="1" s="1"/>
  <c r="Q75" i="1" s="1"/>
  <c r="L76" i="1"/>
  <c r="M76" i="1" s="1"/>
  <c r="N76" i="1" s="1"/>
  <c r="O76" i="1" s="1"/>
  <c r="P76" i="1" s="1"/>
  <c r="Q76" i="1" s="1"/>
  <c r="L77" i="1"/>
  <c r="M77" i="1" s="1"/>
  <c r="N77" i="1" s="1"/>
  <c r="O77" i="1" s="1"/>
  <c r="P77" i="1" s="1"/>
  <c r="Q77" i="1" s="1"/>
  <c r="L57" i="1"/>
  <c r="M57" i="1" s="1"/>
  <c r="N57" i="1" s="1"/>
  <c r="O57" i="1" s="1"/>
  <c r="P57" i="1" s="1"/>
  <c r="Q57" i="1" s="1"/>
  <c r="L58" i="1"/>
  <c r="M58" i="1" s="1"/>
  <c r="N58" i="1" s="1"/>
  <c r="O58" i="1" s="1"/>
  <c r="P58" i="1" s="1"/>
  <c r="Q58" i="1" s="1"/>
  <c r="L59" i="1"/>
  <c r="M59" i="1" s="1"/>
  <c r="N59" i="1" s="1"/>
  <c r="O59" i="1" s="1"/>
  <c r="P59" i="1" s="1"/>
  <c r="Q59" i="1" s="1"/>
  <c r="L26" i="1"/>
  <c r="M26" i="1" s="1"/>
  <c r="N26" i="1" s="1"/>
  <c r="O26" i="1" s="1"/>
  <c r="P26" i="1" s="1"/>
  <c r="Q26" i="1" s="1"/>
  <c r="L27" i="1"/>
  <c r="M27" i="1" s="1"/>
  <c r="N27" i="1" s="1"/>
  <c r="O27" i="1" s="1"/>
  <c r="P27" i="1" s="1"/>
  <c r="Q27" i="1" s="1"/>
  <c r="L40" i="1"/>
  <c r="M40" i="1" s="1"/>
  <c r="N40" i="1" s="1"/>
  <c r="O40" i="1" s="1"/>
  <c r="P40" i="1" s="1"/>
  <c r="Q40" i="1" s="1"/>
  <c r="L60" i="1"/>
  <c r="M60" i="1" s="1"/>
  <c r="N60" i="1" s="1"/>
  <c r="O60" i="1" s="1"/>
  <c r="P60" i="1" s="1"/>
  <c r="Q60" i="1" s="1"/>
  <c r="L28" i="1"/>
  <c r="M28" i="1" s="1"/>
  <c r="N28" i="1" s="1"/>
  <c r="O28" i="1" s="1"/>
  <c r="P28" i="1" s="1"/>
  <c r="Q28" i="1" s="1"/>
  <c r="L61" i="1"/>
  <c r="M61" i="1" s="1"/>
  <c r="N61" i="1" s="1"/>
  <c r="O61" i="1" s="1"/>
  <c r="P61" i="1" s="1"/>
  <c r="Q61" i="1" s="1"/>
  <c r="L41" i="1"/>
  <c r="L29" i="1"/>
  <c r="M29" i="1" s="1"/>
  <c r="N29" i="1" s="1"/>
  <c r="O29" i="1" s="1"/>
  <c r="P29" i="1" s="1"/>
  <c r="Q29" i="1" s="1"/>
  <c r="L30" i="1"/>
  <c r="M30" i="1" s="1"/>
  <c r="N30" i="1" s="1"/>
  <c r="O30" i="1" s="1"/>
  <c r="P30" i="1" s="1"/>
  <c r="Q30" i="1" s="1"/>
  <c r="L31" i="1"/>
  <c r="M31" i="1" s="1"/>
  <c r="N31" i="1" s="1"/>
  <c r="O31" i="1" s="1"/>
  <c r="P31" i="1" s="1"/>
  <c r="Q31" i="1" s="1"/>
  <c r="L32" i="1"/>
  <c r="M32" i="1" s="1"/>
  <c r="N32" i="1" s="1"/>
  <c r="O32" i="1" s="1"/>
  <c r="P32" i="1" s="1"/>
  <c r="Q32" i="1" s="1"/>
  <c r="L33" i="1"/>
  <c r="M33" i="1" s="1"/>
  <c r="N33" i="1" s="1"/>
  <c r="O33" i="1" s="1"/>
  <c r="P33" i="1" s="1"/>
  <c r="Q33" i="1" s="1"/>
  <c r="T45" i="1"/>
  <c r="U45" i="1" s="1"/>
  <c r="V45" i="1" s="1"/>
  <c r="W45" i="1" s="1"/>
  <c r="S35" i="1"/>
  <c r="T35" i="1" s="1"/>
  <c r="U35" i="1" s="1"/>
  <c r="V35" i="1" s="1"/>
  <c r="W35" i="1" s="1"/>
  <c r="S5" i="1"/>
  <c r="T5" i="1" s="1"/>
  <c r="U5" i="1" s="1"/>
  <c r="V5" i="1" s="1"/>
  <c r="W5" i="1" s="1"/>
  <c r="S136" i="1"/>
  <c r="T136" i="1" s="1"/>
  <c r="U136" i="1" s="1"/>
  <c r="V136" i="1" s="1"/>
  <c r="W136" i="1" s="1"/>
  <c r="S10" i="1"/>
  <c r="T10" i="1" s="1"/>
  <c r="U10" i="1" s="1"/>
  <c r="V10" i="1" s="1"/>
  <c r="W10" i="1" s="1"/>
  <c r="S18" i="1"/>
  <c r="T18" i="1" s="1"/>
  <c r="U18" i="1" s="1"/>
  <c r="V18" i="1" s="1"/>
  <c r="W18" i="1" s="1"/>
  <c r="R63" i="1"/>
  <c r="S63" i="1" s="1"/>
  <c r="T63" i="1" s="1"/>
  <c r="U63" i="1" s="1"/>
  <c r="V63" i="1" s="1"/>
  <c r="W63" i="1" s="1"/>
  <c r="R64" i="1"/>
  <c r="S64" i="1" s="1"/>
  <c r="T64" i="1" s="1"/>
  <c r="U64" i="1" s="1"/>
  <c r="V64" i="1" s="1"/>
  <c r="W64" i="1" s="1"/>
  <c r="R65" i="1"/>
  <c r="S65" i="1" s="1"/>
  <c r="T65" i="1" s="1"/>
  <c r="U65" i="1" s="1"/>
  <c r="V65" i="1" s="1"/>
  <c r="W65" i="1" s="1"/>
  <c r="R42" i="1"/>
  <c r="S42" i="1" s="1"/>
  <c r="T42" i="1" s="1"/>
  <c r="U42" i="1" s="1"/>
  <c r="V42" i="1" s="1"/>
  <c r="W42" i="1" s="1"/>
  <c r="R43" i="1"/>
  <c r="S43" i="1" s="1"/>
  <c r="T43" i="1" s="1"/>
  <c r="U43" i="1" s="1"/>
  <c r="V43" i="1" s="1"/>
  <c r="W43" i="1" s="1"/>
  <c r="R44" i="1"/>
  <c r="S44" i="1" s="1"/>
  <c r="T44" i="1" s="1"/>
  <c r="U44" i="1" s="1"/>
  <c r="V44" i="1" s="1"/>
  <c r="W44" i="1" s="1"/>
  <c r="R78" i="1"/>
  <c r="S78" i="1" s="1"/>
  <c r="T78" i="1" s="1"/>
  <c r="U78" i="1" s="1"/>
  <c r="V78" i="1" s="1"/>
  <c r="W78" i="1" s="1"/>
  <c r="R79" i="1"/>
  <c r="S79" i="1" s="1"/>
  <c r="T79" i="1" s="1"/>
  <c r="U79" i="1" s="1"/>
  <c r="V79" i="1" s="1"/>
  <c r="W79" i="1" s="1"/>
  <c r="R80" i="1"/>
  <c r="S80" i="1" s="1"/>
  <c r="T80" i="1" s="1"/>
  <c r="U80" i="1" s="1"/>
  <c r="V80" i="1" s="1"/>
  <c r="W80" i="1" s="1"/>
  <c r="R81" i="1"/>
  <c r="S81" i="1" s="1"/>
  <c r="T81" i="1" s="1"/>
  <c r="U81" i="1" s="1"/>
  <c r="V81" i="1" s="1"/>
  <c r="W81" i="1" s="1"/>
  <c r="R82" i="1"/>
  <c r="S82" i="1" s="1"/>
  <c r="T82" i="1" s="1"/>
  <c r="U82" i="1" s="1"/>
  <c r="V82" i="1" s="1"/>
  <c r="W82" i="1" s="1"/>
  <c r="R83" i="1"/>
  <c r="S83" i="1" s="1"/>
  <c r="T83" i="1" s="1"/>
  <c r="U83" i="1" s="1"/>
  <c r="V83" i="1" s="1"/>
  <c r="W83" i="1" s="1"/>
  <c r="R84" i="1"/>
  <c r="S84" i="1" s="1"/>
  <c r="T84" i="1" s="1"/>
  <c r="U84" i="1" s="1"/>
  <c r="V84" i="1" s="1"/>
  <c r="W84" i="1" s="1"/>
  <c r="R85" i="1"/>
  <c r="S85" i="1" s="1"/>
  <c r="T85" i="1" s="1"/>
  <c r="U85" i="1" s="1"/>
  <c r="V85" i="1" s="1"/>
  <c r="W85" i="1" s="1"/>
  <c r="R86" i="1"/>
  <c r="S86" i="1" s="1"/>
  <c r="T86" i="1" s="1"/>
  <c r="U86" i="1" s="1"/>
  <c r="V86" i="1" s="1"/>
  <c r="W86" i="1" s="1"/>
  <c r="R87" i="1"/>
  <c r="S87" i="1" s="1"/>
  <c r="T87" i="1" s="1"/>
  <c r="U87" i="1" s="1"/>
  <c r="V87" i="1" s="1"/>
  <c r="W87" i="1" s="1"/>
  <c r="R2" i="1"/>
  <c r="S2" i="1" s="1"/>
  <c r="T2" i="1" s="1"/>
  <c r="U2" i="1" s="1"/>
  <c r="V2" i="1" s="1"/>
  <c r="W2" i="1" s="1"/>
  <c r="R3" i="1"/>
  <c r="S3" i="1" s="1"/>
  <c r="T3" i="1" s="1"/>
  <c r="U3" i="1" s="1"/>
  <c r="V3" i="1" s="1"/>
  <c r="W3" i="1" s="1"/>
  <c r="R88" i="1"/>
  <c r="S88" i="1" s="1"/>
  <c r="T88" i="1" s="1"/>
  <c r="U88" i="1" s="1"/>
  <c r="V88" i="1" s="1"/>
  <c r="W88" i="1" s="1"/>
  <c r="R89" i="1"/>
  <c r="S89" i="1" s="1"/>
  <c r="T89" i="1" s="1"/>
  <c r="U89" i="1" s="1"/>
  <c r="V89" i="1" s="1"/>
  <c r="W89" i="1" s="1"/>
  <c r="R90" i="1"/>
  <c r="S90" i="1" s="1"/>
  <c r="T90" i="1" s="1"/>
  <c r="U90" i="1" s="1"/>
  <c r="V90" i="1" s="1"/>
  <c r="W90" i="1" s="1"/>
  <c r="R91" i="1"/>
  <c r="S91" i="1" s="1"/>
  <c r="T91" i="1" s="1"/>
  <c r="U91" i="1" s="1"/>
  <c r="V91" i="1" s="1"/>
  <c r="W91" i="1" s="1"/>
  <c r="R92" i="1"/>
  <c r="S92" i="1" s="1"/>
  <c r="T92" i="1" s="1"/>
  <c r="U92" i="1" s="1"/>
  <c r="V92" i="1" s="1"/>
  <c r="W92" i="1" s="1"/>
  <c r="R93" i="1"/>
  <c r="S93" i="1" s="1"/>
  <c r="T93" i="1" s="1"/>
  <c r="U93" i="1" s="1"/>
  <c r="V93" i="1" s="1"/>
  <c r="W93" i="1" s="1"/>
  <c r="R94" i="1"/>
  <c r="S94" i="1" s="1"/>
  <c r="T94" i="1" s="1"/>
  <c r="U94" i="1" s="1"/>
  <c r="V94" i="1" s="1"/>
  <c r="W94" i="1" s="1"/>
  <c r="R95" i="1"/>
  <c r="S95" i="1" s="1"/>
  <c r="T95" i="1" s="1"/>
  <c r="U95" i="1" s="1"/>
  <c r="V95" i="1" s="1"/>
  <c r="W95" i="1" s="1"/>
  <c r="R96" i="1"/>
  <c r="S96" i="1" s="1"/>
  <c r="T96" i="1" s="1"/>
  <c r="U96" i="1" s="1"/>
  <c r="V96" i="1" s="1"/>
  <c r="W96" i="1" s="1"/>
  <c r="R97" i="1"/>
  <c r="S97" i="1" s="1"/>
  <c r="T97" i="1" s="1"/>
  <c r="U97" i="1" s="1"/>
  <c r="V97" i="1" s="1"/>
  <c r="W97" i="1" s="1"/>
  <c r="R98" i="1"/>
  <c r="S98" i="1" s="1"/>
  <c r="T98" i="1" s="1"/>
  <c r="U98" i="1" s="1"/>
  <c r="V98" i="1" s="1"/>
  <c r="W98" i="1" s="1"/>
  <c r="R99" i="1"/>
  <c r="S99" i="1" s="1"/>
  <c r="T99" i="1" s="1"/>
  <c r="U99" i="1" s="1"/>
  <c r="V99" i="1" s="1"/>
  <c r="W99" i="1" s="1"/>
  <c r="R34" i="1"/>
  <c r="S34" i="1" s="1"/>
  <c r="T34" i="1" s="1"/>
  <c r="U34" i="1" s="1"/>
  <c r="V34" i="1" s="1"/>
  <c r="W34" i="1" s="1"/>
  <c r="R45" i="1"/>
  <c r="S45" i="1" s="1"/>
  <c r="R4" i="1"/>
  <c r="S4" i="1" s="1"/>
  <c r="T4" i="1" s="1"/>
  <c r="U4" i="1" s="1"/>
  <c r="V4" i="1" s="1"/>
  <c r="W4" i="1" s="1"/>
  <c r="R46" i="1"/>
  <c r="S46" i="1" s="1"/>
  <c r="T46" i="1" s="1"/>
  <c r="U46" i="1" s="1"/>
  <c r="V46" i="1" s="1"/>
  <c r="W46" i="1" s="1"/>
  <c r="R100" i="1"/>
  <c r="S100" i="1" s="1"/>
  <c r="T100" i="1" s="1"/>
  <c r="U100" i="1" s="1"/>
  <c r="V100" i="1" s="1"/>
  <c r="W100" i="1" s="1"/>
  <c r="R101" i="1"/>
  <c r="S101" i="1" s="1"/>
  <c r="T101" i="1" s="1"/>
  <c r="U101" i="1" s="1"/>
  <c r="V101" i="1" s="1"/>
  <c r="W101" i="1" s="1"/>
  <c r="R35" i="1"/>
  <c r="R5" i="1"/>
  <c r="R102" i="1"/>
  <c r="S102" i="1" s="1"/>
  <c r="T102" i="1" s="1"/>
  <c r="U102" i="1" s="1"/>
  <c r="V102" i="1" s="1"/>
  <c r="W102" i="1" s="1"/>
  <c r="R6" i="1"/>
  <c r="S6" i="1" s="1"/>
  <c r="T6" i="1" s="1"/>
  <c r="U6" i="1" s="1"/>
  <c r="V6" i="1" s="1"/>
  <c r="W6" i="1" s="1"/>
  <c r="R7" i="1"/>
  <c r="S7" i="1" s="1"/>
  <c r="T7" i="1" s="1"/>
  <c r="U7" i="1" s="1"/>
  <c r="V7" i="1" s="1"/>
  <c r="W7" i="1" s="1"/>
  <c r="R8" i="1"/>
  <c r="S8" i="1" s="1"/>
  <c r="T8" i="1" s="1"/>
  <c r="U8" i="1" s="1"/>
  <c r="V8" i="1" s="1"/>
  <c r="W8" i="1" s="1"/>
  <c r="R9" i="1"/>
  <c r="S9" i="1" s="1"/>
  <c r="T9" i="1" s="1"/>
  <c r="U9" i="1" s="1"/>
  <c r="V9" i="1" s="1"/>
  <c r="W9" i="1" s="1"/>
  <c r="R103" i="1"/>
  <c r="S103" i="1" s="1"/>
  <c r="T103" i="1" s="1"/>
  <c r="U103" i="1" s="1"/>
  <c r="V103" i="1" s="1"/>
  <c r="W103" i="1" s="1"/>
  <c r="R104" i="1"/>
  <c r="S104" i="1" s="1"/>
  <c r="T104" i="1" s="1"/>
  <c r="U104" i="1" s="1"/>
  <c r="V104" i="1" s="1"/>
  <c r="W104" i="1" s="1"/>
  <c r="R105" i="1"/>
  <c r="S105" i="1" s="1"/>
  <c r="T105" i="1" s="1"/>
  <c r="U105" i="1" s="1"/>
  <c r="V105" i="1" s="1"/>
  <c r="W105" i="1" s="1"/>
  <c r="R106" i="1"/>
  <c r="S106" i="1" s="1"/>
  <c r="T106" i="1" s="1"/>
  <c r="U106" i="1" s="1"/>
  <c r="V106" i="1" s="1"/>
  <c r="W106" i="1" s="1"/>
  <c r="R107" i="1"/>
  <c r="S107" i="1" s="1"/>
  <c r="T107" i="1" s="1"/>
  <c r="U107" i="1" s="1"/>
  <c r="V107" i="1" s="1"/>
  <c r="W107" i="1" s="1"/>
  <c r="R108" i="1"/>
  <c r="S108" i="1" s="1"/>
  <c r="T108" i="1" s="1"/>
  <c r="U108" i="1" s="1"/>
  <c r="V108" i="1" s="1"/>
  <c r="W108" i="1" s="1"/>
  <c r="R109" i="1"/>
  <c r="S109" i="1" s="1"/>
  <c r="T109" i="1" s="1"/>
  <c r="U109" i="1" s="1"/>
  <c r="V109" i="1" s="1"/>
  <c r="W109" i="1" s="1"/>
  <c r="R110" i="1"/>
  <c r="S110" i="1" s="1"/>
  <c r="T110" i="1" s="1"/>
  <c r="U110" i="1" s="1"/>
  <c r="V110" i="1" s="1"/>
  <c r="W110" i="1" s="1"/>
  <c r="R111" i="1"/>
  <c r="S111" i="1" s="1"/>
  <c r="T111" i="1" s="1"/>
  <c r="U111" i="1" s="1"/>
  <c r="V111" i="1" s="1"/>
  <c r="W111" i="1" s="1"/>
  <c r="R112" i="1"/>
  <c r="S112" i="1" s="1"/>
  <c r="T112" i="1" s="1"/>
  <c r="U112" i="1" s="1"/>
  <c r="V112" i="1" s="1"/>
  <c r="W112" i="1" s="1"/>
  <c r="R113" i="1"/>
  <c r="S113" i="1" s="1"/>
  <c r="T113" i="1" s="1"/>
  <c r="U113" i="1" s="1"/>
  <c r="V113" i="1" s="1"/>
  <c r="W113" i="1" s="1"/>
  <c r="R114" i="1"/>
  <c r="S114" i="1" s="1"/>
  <c r="T114" i="1" s="1"/>
  <c r="U114" i="1" s="1"/>
  <c r="V114" i="1" s="1"/>
  <c r="W114" i="1" s="1"/>
  <c r="R115" i="1"/>
  <c r="S115" i="1" s="1"/>
  <c r="T115" i="1" s="1"/>
  <c r="U115" i="1" s="1"/>
  <c r="V115" i="1" s="1"/>
  <c r="W115" i="1" s="1"/>
  <c r="R116" i="1"/>
  <c r="S116" i="1" s="1"/>
  <c r="T116" i="1" s="1"/>
  <c r="U116" i="1" s="1"/>
  <c r="V116" i="1" s="1"/>
  <c r="W116" i="1" s="1"/>
  <c r="R117" i="1"/>
  <c r="S117" i="1" s="1"/>
  <c r="T117" i="1" s="1"/>
  <c r="U117" i="1" s="1"/>
  <c r="V117" i="1" s="1"/>
  <c r="W117" i="1" s="1"/>
  <c r="R118" i="1"/>
  <c r="S118" i="1" s="1"/>
  <c r="T118" i="1" s="1"/>
  <c r="U118" i="1" s="1"/>
  <c r="V118" i="1" s="1"/>
  <c r="W118" i="1" s="1"/>
  <c r="R119" i="1"/>
  <c r="S119" i="1" s="1"/>
  <c r="T119" i="1" s="1"/>
  <c r="U119" i="1" s="1"/>
  <c r="V119" i="1" s="1"/>
  <c r="W119" i="1" s="1"/>
  <c r="R120" i="1"/>
  <c r="S120" i="1" s="1"/>
  <c r="T120" i="1" s="1"/>
  <c r="U120" i="1" s="1"/>
  <c r="V120" i="1" s="1"/>
  <c r="W120" i="1" s="1"/>
  <c r="R121" i="1"/>
  <c r="S121" i="1" s="1"/>
  <c r="T121" i="1" s="1"/>
  <c r="U121" i="1" s="1"/>
  <c r="V121" i="1" s="1"/>
  <c r="W121" i="1" s="1"/>
  <c r="R122" i="1"/>
  <c r="S122" i="1" s="1"/>
  <c r="T122" i="1" s="1"/>
  <c r="U122" i="1" s="1"/>
  <c r="V122" i="1" s="1"/>
  <c r="W122" i="1" s="1"/>
  <c r="R123" i="1"/>
  <c r="S123" i="1" s="1"/>
  <c r="T123" i="1" s="1"/>
  <c r="U123" i="1" s="1"/>
  <c r="V123" i="1" s="1"/>
  <c r="W123" i="1" s="1"/>
  <c r="R124" i="1"/>
  <c r="S124" i="1" s="1"/>
  <c r="T124" i="1" s="1"/>
  <c r="U124" i="1" s="1"/>
  <c r="V124" i="1" s="1"/>
  <c r="W124" i="1" s="1"/>
  <c r="R125" i="1"/>
  <c r="S125" i="1" s="1"/>
  <c r="T125" i="1" s="1"/>
  <c r="U125" i="1" s="1"/>
  <c r="V125" i="1" s="1"/>
  <c r="W125" i="1" s="1"/>
  <c r="R126" i="1"/>
  <c r="S126" i="1" s="1"/>
  <c r="T126" i="1" s="1"/>
  <c r="U126" i="1" s="1"/>
  <c r="V126" i="1" s="1"/>
  <c r="W126" i="1" s="1"/>
  <c r="R66" i="1"/>
  <c r="S66" i="1" s="1"/>
  <c r="T66" i="1" s="1"/>
  <c r="U66" i="1" s="1"/>
  <c r="V66" i="1" s="1"/>
  <c r="W66" i="1" s="1"/>
  <c r="R67" i="1"/>
  <c r="S67" i="1" s="1"/>
  <c r="T67" i="1" s="1"/>
  <c r="U67" i="1" s="1"/>
  <c r="V67" i="1" s="1"/>
  <c r="W67" i="1" s="1"/>
  <c r="R68" i="1"/>
  <c r="S68" i="1" s="1"/>
  <c r="T68" i="1" s="1"/>
  <c r="U68" i="1" s="1"/>
  <c r="V68" i="1" s="1"/>
  <c r="W68" i="1" s="1"/>
  <c r="R69" i="1"/>
  <c r="S69" i="1" s="1"/>
  <c r="T69" i="1" s="1"/>
  <c r="U69" i="1" s="1"/>
  <c r="V69" i="1" s="1"/>
  <c r="W69" i="1" s="1"/>
  <c r="R47" i="1"/>
  <c r="S47" i="1" s="1"/>
  <c r="T47" i="1" s="1"/>
  <c r="U47" i="1" s="1"/>
  <c r="V47" i="1" s="1"/>
  <c r="W47" i="1" s="1"/>
  <c r="R48" i="1"/>
  <c r="S48" i="1" s="1"/>
  <c r="T48" i="1" s="1"/>
  <c r="U48" i="1" s="1"/>
  <c r="V48" i="1" s="1"/>
  <c r="W48" i="1" s="1"/>
  <c r="R49" i="1"/>
  <c r="S49" i="1" s="1"/>
  <c r="T49" i="1" s="1"/>
  <c r="U49" i="1" s="1"/>
  <c r="V49" i="1" s="1"/>
  <c r="W49" i="1" s="1"/>
  <c r="R127" i="1"/>
  <c r="S127" i="1" s="1"/>
  <c r="T127" i="1" s="1"/>
  <c r="U127" i="1" s="1"/>
  <c r="V127" i="1" s="1"/>
  <c r="W127" i="1" s="1"/>
  <c r="R128" i="1"/>
  <c r="S128" i="1" s="1"/>
  <c r="T128" i="1" s="1"/>
  <c r="U128" i="1" s="1"/>
  <c r="V128" i="1" s="1"/>
  <c r="W128" i="1" s="1"/>
  <c r="R129" i="1"/>
  <c r="S129" i="1" s="1"/>
  <c r="T129" i="1" s="1"/>
  <c r="U129" i="1" s="1"/>
  <c r="V129" i="1" s="1"/>
  <c r="W129" i="1" s="1"/>
  <c r="R130" i="1"/>
  <c r="S130" i="1" s="1"/>
  <c r="T130" i="1" s="1"/>
  <c r="U130" i="1" s="1"/>
  <c r="V130" i="1" s="1"/>
  <c r="W130" i="1" s="1"/>
  <c r="R131" i="1"/>
  <c r="S131" i="1" s="1"/>
  <c r="T131" i="1" s="1"/>
  <c r="U131" i="1" s="1"/>
  <c r="V131" i="1" s="1"/>
  <c r="W131" i="1" s="1"/>
  <c r="R132" i="1"/>
  <c r="S132" i="1" s="1"/>
  <c r="T132" i="1" s="1"/>
  <c r="U132" i="1" s="1"/>
  <c r="V132" i="1" s="1"/>
  <c r="W132" i="1" s="1"/>
  <c r="R133" i="1"/>
  <c r="S133" i="1" s="1"/>
  <c r="T133" i="1" s="1"/>
  <c r="U133" i="1" s="1"/>
  <c r="V133" i="1" s="1"/>
  <c r="W133" i="1" s="1"/>
  <c r="R134" i="1"/>
  <c r="S134" i="1" s="1"/>
  <c r="T134" i="1" s="1"/>
  <c r="U134" i="1" s="1"/>
  <c r="V134" i="1" s="1"/>
  <c r="W134" i="1" s="1"/>
  <c r="R135" i="1"/>
  <c r="S135" i="1" s="1"/>
  <c r="T135" i="1" s="1"/>
  <c r="U135" i="1" s="1"/>
  <c r="V135" i="1" s="1"/>
  <c r="W135" i="1" s="1"/>
  <c r="R136" i="1"/>
  <c r="R10" i="1"/>
  <c r="R11" i="1"/>
  <c r="S11" i="1" s="1"/>
  <c r="T11" i="1" s="1"/>
  <c r="U11" i="1" s="1"/>
  <c r="V11" i="1" s="1"/>
  <c r="W11" i="1" s="1"/>
  <c r="R137" i="1"/>
  <c r="S137" i="1" s="1"/>
  <c r="T137" i="1" s="1"/>
  <c r="U137" i="1" s="1"/>
  <c r="V137" i="1" s="1"/>
  <c r="W137" i="1" s="1"/>
  <c r="R138" i="1"/>
  <c r="S138" i="1" s="1"/>
  <c r="T138" i="1" s="1"/>
  <c r="U138" i="1" s="1"/>
  <c r="V138" i="1" s="1"/>
  <c r="W138" i="1" s="1"/>
  <c r="R139" i="1"/>
  <c r="S139" i="1" s="1"/>
  <c r="T139" i="1" s="1"/>
  <c r="U139" i="1" s="1"/>
  <c r="V139" i="1" s="1"/>
  <c r="W139" i="1" s="1"/>
  <c r="R140" i="1"/>
  <c r="S140" i="1" s="1"/>
  <c r="T140" i="1" s="1"/>
  <c r="U140" i="1" s="1"/>
  <c r="V140" i="1" s="1"/>
  <c r="W140" i="1" s="1"/>
  <c r="R141" i="1"/>
  <c r="S141" i="1" s="1"/>
  <c r="T141" i="1" s="1"/>
  <c r="U141" i="1" s="1"/>
  <c r="V141" i="1" s="1"/>
  <c r="W141" i="1" s="1"/>
  <c r="R142" i="1"/>
  <c r="S142" i="1" s="1"/>
  <c r="T142" i="1" s="1"/>
  <c r="U142" i="1" s="1"/>
  <c r="V142" i="1" s="1"/>
  <c r="W142" i="1" s="1"/>
  <c r="R143" i="1"/>
  <c r="S143" i="1" s="1"/>
  <c r="T143" i="1" s="1"/>
  <c r="U143" i="1" s="1"/>
  <c r="V143" i="1" s="1"/>
  <c r="W143" i="1" s="1"/>
  <c r="R144" i="1"/>
  <c r="S144" i="1" s="1"/>
  <c r="T144" i="1" s="1"/>
  <c r="U144" i="1" s="1"/>
  <c r="V144" i="1" s="1"/>
  <c r="W144" i="1" s="1"/>
  <c r="R145" i="1"/>
  <c r="S145" i="1" s="1"/>
  <c r="T145" i="1" s="1"/>
  <c r="U145" i="1" s="1"/>
  <c r="V145" i="1" s="1"/>
  <c r="W145" i="1" s="1"/>
  <c r="R146" i="1"/>
  <c r="S146" i="1" s="1"/>
  <c r="T146" i="1" s="1"/>
  <c r="U146" i="1" s="1"/>
  <c r="V146" i="1" s="1"/>
  <c r="W146" i="1" s="1"/>
  <c r="R147" i="1"/>
  <c r="S147" i="1" s="1"/>
  <c r="T147" i="1" s="1"/>
  <c r="U147" i="1" s="1"/>
  <c r="V147" i="1" s="1"/>
  <c r="W147" i="1" s="1"/>
  <c r="R148" i="1"/>
  <c r="S148" i="1" s="1"/>
  <c r="T148" i="1" s="1"/>
  <c r="U148" i="1" s="1"/>
  <c r="V148" i="1" s="1"/>
  <c r="W148" i="1" s="1"/>
  <c r="R36" i="1"/>
  <c r="S36" i="1" s="1"/>
  <c r="T36" i="1" s="1"/>
  <c r="U36" i="1" s="1"/>
  <c r="V36" i="1" s="1"/>
  <c r="W36" i="1" s="1"/>
  <c r="R50" i="1"/>
  <c r="S50" i="1" s="1"/>
  <c r="T50" i="1" s="1"/>
  <c r="U50" i="1" s="1"/>
  <c r="V50" i="1" s="1"/>
  <c r="W50" i="1" s="1"/>
  <c r="R12" i="1"/>
  <c r="S12" i="1" s="1"/>
  <c r="T12" i="1" s="1"/>
  <c r="U12" i="1" s="1"/>
  <c r="V12" i="1" s="1"/>
  <c r="W12" i="1" s="1"/>
  <c r="R51" i="1"/>
  <c r="S51" i="1" s="1"/>
  <c r="T51" i="1" s="1"/>
  <c r="U51" i="1" s="1"/>
  <c r="V51" i="1" s="1"/>
  <c r="W51" i="1" s="1"/>
  <c r="R149" i="1"/>
  <c r="S149" i="1" s="1"/>
  <c r="T149" i="1" s="1"/>
  <c r="U149" i="1" s="1"/>
  <c r="V149" i="1" s="1"/>
  <c r="W149" i="1" s="1"/>
  <c r="R150" i="1"/>
  <c r="S150" i="1" s="1"/>
  <c r="T150" i="1" s="1"/>
  <c r="U150" i="1" s="1"/>
  <c r="V150" i="1" s="1"/>
  <c r="W150" i="1" s="1"/>
  <c r="R37" i="1"/>
  <c r="S37" i="1" s="1"/>
  <c r="T37" i="1" s="1"/>
  <c r="U37" i="1" s="1"/>
  <c r="V37" i="1" s="1"/>
  <c r="W37" i="1" s="1"/>
  <c r="R13" i="1"/>
  <c r="S13" i="1" s="1"/>
  <c r="T13" i="1" s="1"/>
  <c r="U13" i="1" s="1"/>
  <c r="V13" i="1" s="1"/>
  <c r="W13" i="1" s="1"/>
  <c r="R151" i="1"/>
  <c r="S151" i="1" s="1"/>
  <c r="T151" i="1" s="1"/>
  <c r="U151" i="1" s="1"/>
  <c r="V151" i="1" s="1"/>
  <c r="W151" i="1" s="1"/>
  <c r="R14" i="1"/>
  <c r="S14" i="1" s="1"/>
  <c r="T14" i="1" s="1"/>
  <c r="U14" i="1" s="1"/>
  <c r="V14" i="1" s="1"/>
  <c r="W14" i="1" s="1"/>
  <c r="R15" i="1"/>
  <c r="S15" i="1" s="1"/>
  <c r="T15" i="1" s="1"/>
  <c r="U15" i="1" s="1"/>
  <c r="V15" i="1" s="1"/>
  <c r="W15" i="1" s="1"/>
  <c r="R16" i="1"/>
  <c r="S16" i="1" s="1"/>
  <c r="T16" i="1" s="1"/>
  <c r="U16" i="1" s="1"/>
  <c r="V16" i="1" s="1"/>
  <c r="W16" i="1" s="1"/>
  <c r="R17" i="1"/>
  <c r="S17" i="1" s="1"/>
  <c r="T17" i="1" s="1"/>
  <c r="U17" i="1" s="1"/>
  <c r="V17" i="1" s="1"/>
  <c r="W17" i="1" s="1"/>
  <c r="R152" i="1"/>
  <c r="S152" i="1" s="1"/>
  <c r="T152" i="1" s="1"/>
  <c r="U152" i="1" s="1"/>
  <c r="V152" i="1" s="1"/>
  <c r="W152" i="1" s="1"/>
  <c r="R153" i="1"/>
  <c r="S153" i="1" s="1"/>
  <c r="T153" i="1" s="1"/>
  <c r="U153" i="1" s="1"/>
  <c r="V153" i="1" s="1"/>
  <c r="W153" i="1" s="1"/>
  <c r="R154" i="1"/>
  <c r="S154" i="1" s="1"/>
  <c r="T154" i="1" s="1"/>
  <c r="U154" i="1" s="1"/>
  <c r="V154" i="1" s="1"/>
  <c r="W154" i="1" s="1"/>
  <c r="R155" i="1"/>
  <c r="S155" i="1" s="1"/>
  <c r="T155" i="1" s="1"/>
  <c r="U155" i="1" s="1"/>
  <c r="V155" i="1" s="1"/>
  <c r="W155" i="1" s="1"/>
  <c r="R156" i="1"/>
  <c r="S156" i="1" s="1"/>
  <c r="T156" i="1" s="1"/>
  <c r="U156" i="1" s="1"/>
  <c r="V156" i="1" s="1"/>
  <c r="W156" i="1" s="1"/>
  <c r="R157" i="1"/>
  <c r="S157" i="1" s="1"/>
  <c r="T157" i="1" s="1"/>
  <c r="U157" i="1" s="1"/>
  <c r="V157" i="1" s="1"/>
  <c r="W157" i="1" s="1"/>
  <c r="R158" i="1"/>
  <c r="S158" i="1" s="1"/>
  <c r="T158" i="1" s="1"/>
  <c r="U158" i="1" s="1"/>
  <c r="V158" i="1" s="1"/>
  <c r="W158" i="1" s="1"/>
  <c r="R159" i="1"/>
  <c r="S159" i="1" s="1"/>
  <c r="T159" i="1" s="1"/>
  <c r="U159" i="1" s="1"/>
  <c r="V159" i="1" s="1"/>
  <c r="W159" i="1" s="1"/>
  <c r="R160" i="1"/>
  <c r="S160" i="1" s="1"/>
  <c r="T160" i="1" s="1"/>
  <c r="U160" i="1" s="1"/>
  <c r="V160" i="1" s="1"/>
  <c r="W160" i="1" s="1"/>
  <c r="R161" i="1"/>
  <c r="S161" i="1" s="1"/>
  <c r="T161" i="1" s="1"/>
  <c r="U161" i="1" s="1"/>
  <c r="V161" i="1" s="1"/>
  <c r="W161" i="1" s="1"/>
  <c r="R162" i="1"/>
  <c r="S162" i="1" s="1"/>
  <c r="T162" i="1" s="1"/>
  <c r="U162" i="1" s="1"/>
  <c r="V162" i="1" s="1"/>
  <c r="W162" i="1" s="1"/>
  <c r="R163" i="1"/>
  <c r="S163" i="1" s="1"/>
  <c r="T163" i="1" s="1"/>
  <c r="U163" i="1" s="1"/>
  <c r="V163" i="1" s="1"/>
  <c r="W163" i="1" s="1"/>
  <c r="R164" i="1"/>
  <c r="S164" i="1" s="1"/>
  <c r="T164" i="1" s="1"/>
  <c r="U164" i="1" s="1"/>
  <c r="V164" i="1" s="1"/>
  <c r="W164" i="1" s="1"/>
  <c r="R165" i="1"/>
  <c r="S165" i="1" s="1"/>
  <c r="T165" i="1" s="1"/>
  <c r="U165" i="1" s="1"/>
  <c r="V165" i="1" s="1"/>
  <c r="W165" i="1" s="1"/>
  <c r="R166" i="1"/>
  <c r="S166" i="1" s="1"/>
  <c r="T166" i="1" s="1"/>
  <c r="U166" i="1" s="1"/>
  <c r="V166" i="1" s="1"/>
  <c r="W166" i="1" s="1"/>
  <c r="R167" i="1"/>
  <c r="S167" i="1" s="1"/>
  <c r="T167" i="1" s="1"/>
  <c r="U167" i="1" s="1"/>
  <c r="V167" i="1" s="1"/>
  <c r="W167" i="1" s="1"/>
  <c r="R70" i="1"/>
  <c r="S70" i="1" s="1"/>
  <c r="T70" i="1" s="1"/>
  <c r="U70" i="1" s="1"/>
  <c r="V70" i="1" s="1"/>
  <c r="W70" i="1" s="1"/>
  <c r="R71" i="1"/>
  <c r="S71" i="1" s="1"/>
  <c r="T71" i="1" s="1"/>
  <c r="U71" i="1" s="1"/>
  <c r="V71" i="1" s="1"/>
  <c r="W71" i="1" s="1"/>
  <c r="R72" i="1"/>
  <c r="S72" i="1" s="1"/>
  <c r="T72" i="1" s="1"/>
  <c r="U72" i="1" s="1"/>
  <c r="V72" i="1" s="1"/>
  <c r="W72" i="1" s="1"/>
  <c r="R73" i="1"/>
  <c r="S73" i="1" s="1"/>
  <c r="T73" i="1" s="1"/>
  <c r="U73" i="1" s="1"/>
  <c r="V73" i="1" s="1"/>
  <c r="W73" i="1" s="1"/>
  <c r="R52" i="1"/>
  <c r="S52" i="1" s="1"/>
  <c r="T52" i="1" s="1"/>
  <c r="U52" i="1" s="1"/>
  <c r="V52" i="1" s="1"/>
  <c r="W52" i="1" s="1"/>
  <c r="R53" i="1"/>
  <c r="S53" i="1" s="1"/>
  <c r="T53" i="1" s="1"/>
  <c r="U53" i="1" s="1"/>
  <c r="V53" i="1" s="1"/>
  <c r="W53" i="1" s="1"/>
  <c r="R54" i="1"/>
  <c r="S54" i="1" s="1"/>
  <c r="T54" i="1" s="1"/>
  <c r="U54" i="1" s="1"/>
  <c r="V54" i="1" s="1"/>
  <c r="W54" i="1" s="1"/>
  <c r="R18" i="1"/>
  <c r="R19" i="1"/>
  <c r="S19" i="1" s="1"/>
  <c r="T19" i="1" s="1"/>
  <c r="U19" i="1" s="1"/>
  <c r="V19" i="1" s="1"/>
  <c r="W19" i="1" s="1"/>
  <c r="R38" i="1"/>
  <c r="S38" i="1" s="1"/>
  <c r="T38" i="1" s="1"/>
  <c r="U38" i="1" s="1"/>
  <c r="V38" i="1" s="1"/>
  <c r="W38" i="1" s="1"/>
  <c r="R55" i="1"/>
  <c r="S55" i="1" s="1"/>
  <c r="T55" i="1" s="1"/>
  <c r="U55" i="1" s="1"/>
  <c r="V55" i="1" s="1"/>
  <c r="W55" i="1" s="1"/>
  <c r="R20" i="1"/>
  <c r="S20" i="1" s="1"/>
  <c r="T20" i="1" s="1"/>
  <c r="U20" i="1" s="1"/>
  <c r="V20" i="1" s="1"/>
  <c r="W20" i="1" s="1"/>
  <c r="R56" i="1"/>
  <c r="S56" i="1" s="1"/>
  <c r="T56" i="1" s="1"/>
  <c r="U56" i="1" s="1"/>
  <c r="V56" i="1" s="1"/>
  <c r="W56" i="1" s="1"/>
  <c r="R39" i="1"/>
  <c r="S39" i="1" s="1"/>
  <c r="T39" i="1" s="1"/>
  <c r="U39" i="1" s="1"/>
  <c r="V39" i="1" s="1"/>
  <c r="W39" i="1" s="1"/>
  <c r="R21" i="1"/>
  <c r="S21" i="1" s="1"/>
  <c r="T21" i="1" s="1"/>
  <c r="U21" i="1" s="1"/>
  <c r="V21" i="1" s="1"/>
  <c r="W21" i="1" s="1"/>
  <c r="R22" i="1"/>
  <c r="S22" i="1" s="1"/>
  <c r="T22" i="1" s="1"/>
  <c r="U22" i="1" s="1"/>
  <c r="V22" i="1" s="1"/>
  <c r="W22" i="1" s="1"/>
  <c r="R23" i="1"/>
  <c r="S23" i="1" s="1"/>
  <c r="T23" i="1" s="1"/>
  <c r="U23" i="1" s="1"/>
  <c r="V23" i="1" s="1"/>
  <c r="W23" i="1" s="1"/>
  <c r="R24" i="1"/>
  <c r="S24" i="1" s="1"/>
  <c r="T24" i="1" s="1"/>
  <c r="U24" i="1" s="1"/>
  <c r="V24" i="1" s="1"/>
  <c r="W24" i="1" s="1"/>
  <c r="R25" i="1"/>
  <c r="S25" i="1" s="1"/>
  <c r="T25" i="1" s="1"/>
  <c r="U25" i="1" s="1"/>
  <c r="V25" i="1" s="1"/>
  <c r="W25" i="1" s="1"/>
  <c r="R74" i="1"/>
  <c r="S74" i="1" s="1"/>
  <c r="T74" i="1" s="1"/>
  <c r="U74" i="1" s="1"/>
  <c r="V74" i="1" s="1"/>
  <c r="W74" i="1" s="1"/>
  <c r="R75" i="1"/>
  <c r="S75" i="1" s="1"/>
  <c r="T75" i="1" s="1"/>
  <c r="U75" i="1" s="1"/>
  <c r="V75" i="1" s="1"/>
  <c r="W75" i="1" s="1"/>
  <c r="R76" i="1"/>
  <c r="S76" i="1" s="1"/>
  <c r="T76" i="1" s="1"/>
  <c r="U76" i="1" s="1"/>
  <c r="V76" i="1" s="1"/>
  <c r="W76" i="1" s="1"/>
  <c r="R77" i="1"/>
  <c r="S77" i="1" s="1"/>
  <c r="T77" i="1" s="1"/>
  <c r="U77" i="1" s="1"/>
  <c r="V77" i="1" s="1"/>
  <c r="W77" i="1" s="1"/>
  <c r="R57" i="1"/>
  <c r="S57" i="1" s="1"/>
  <c r="T57" i="1" s="1"/>
  <c r="U57" i="1" s="1"/>
  <c r="V57" i="1" s="1"/>
  <c r="W57" i="1" s="1"/>
  <c r="R58" i="1"/>
  <c r="S58" i="1" s="1"/>
  <c r="T58" i="1" s="1"/>
  <c r="U58" i="1" s="1"/>
  <c r="V58" i="1" s="1"/>
  <c r="W58" i="1" s="1"/>
  <c r="R59" i="1"/>
  <c r="S59" i="1" s="1"/>
  <c r="T59" i="1" s="1"/>
  <c r="U59" i="1" s="1"/>
  <c r="V59" i="1" s="1"/>
  <c r="W59" i="1" s="1"/>
  <c r="R26" i="1"/>
  <c r="S26" i="1" s="1"/>
  <c r="T26" i="1" s="1"/>
  <c r="U26" i="1" s="1"/>
  <c r="V26" i="1" s="1"/>
  <c r="W26" i="1" s="1"/>
  <c r="R27" i="1"/>
  <c r="S27" i="1" s="1"/>
  <c r="T27" i="1" s="1"/>
  <c r="U27" i="1" s="1"/>
  <c r="V27" i="1" s="1"/>
  <c r="W27" i="1" s="1"/>
  <c r="R40" i="1"/>
  <c r="S40" i="1" s="1"/>
  <c r="T40" i="1" s="1"/>
  <c r="U40" i="1" s="1"/>
  <c r="V40" i="1" s="1"/>
  <c r="W40" i="1" s="1"/>
  <c r="R60" i="1"/>
  <c r="S60" i="1" s="1"/>
  <c r="T60" i="1" s="1"/>
  <c r="U60" i="1" s="1"/>
  <c r="V60" i="1" s="1"/>
  <c r="W60" i="1" s="1"/>
  <c r="R28" i="1"/>
  <c r="S28" i="1" s="1"/>
  <c r="T28" i="1" s="1"/>
  <c r="U28" i="1" s="1"/>
  <c r="V28" i="1" s="1"/>
  <c r="W28" i="1" s="1"/>
  <c r="R61" i="1"/>
  <c r="S61" i="1" s="1"/>
  <c r="T61" i="1" s="1"/>
  <c r="U61" i="1" s="1"/>
  <c r="V61" i="1" s="1"/>
  <c r="W61" i="1" s="1"/>
  <c r="R41" i="1"/>
  <c r="S41" i="1" s="1"/>
  <c r="T41" i="1" s="1"/>
  <c r="U41" i="1" s="1"/>
  <c r="V41" i="1" s="1"/>
  <c r="W41" i="1" s="1"/>
  <c r="R29" i="1"/>
  <c r="S29" i="1" s="1"/>
  <c r="T29" i="1" s="1"/>
  <c r="U29" i="1" s="1"/>
  <c r="V29" i="1" s="1"/>
  <c r="W29" i="1" s="1"/>
  <c r="R30" i="1"/>
  <c r="S30" i="1" s="1"/>
  <c r="T30" i="1" s="1"/>
  <c r="U30" i="1" s="1"/>
  <c r="V30" i="1" s="1"/>
  <c r="W30" i="1" s="1"/>
  <c r="R31" i="1"/>
  <c r="S31" i="1" s="1"/>
  <c r="T31" i="1" s="1"/>
  <c r="U31" i="1" s="1"/>
  <c r="V31" i="1" s="1"/>
  <c r="W31" i="1" s="1"/>
  <c r="R32" i="1"/>
  <c r="S32" i="1" s="1"/>
  <c r="T32" i="1" s="1"/>
  <c r="U32" i="1" s="1"/>
  <c r="V32" i="1" s="1"/>
  <c r="W32" i="1" s="1"/>
  <c r="R33" i="1"/>
  <c r="S33" i="1" s="1"/>
  <c r="T33" i="1" s="1"/>
  <c r="U33" i="1" s="1"/>
  <c r="V33" i="1" s="1"/>
  <c r="W33" i="1" s="1"/>
  <c r="R62" i="1"/>
  <c r="S62" i="1" s="1"/>
  <c r="T62" i="1" s="1"/>
  <c r="U62" i="1" s="1"/>
  <c r="V62" i="1" s="1"/>
  <c r="W62" i="1" s="1"/>
  <c r="L62" i="1"/>
  <c r="M62" i="1" s="1"/>
  <c r="N62" i="1" s="1"/>
  <c r="O62" i="1" s="1"/>
  <c r="P62" i="1" s="1"/>
  <c r="Q62" i="1" s="1"/>
  <c r="H6" i="1"/>
  <c r="H7" i="1"/>
  <c r="H8" i="1"/>
  <c r="H9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63" i="1"/>
  <c r="H64" i="1"/>
  <c r="H65" i="1"/>
  <c r="H42" i="1"/>
  <c r="H43" i="1"/>
  <c r="H44" i="1"/>
  <c r="H78" i="1"/>
  <c r="H79" i="1"/>
  <c r="H80" i="1"/>
  <c r="H81" i="1"/>
  <c r="H82" i="1"/>
  <c r="H83" i="1"/>
  <c r="H84" i="1"/>
  <c r="H85" i="1"/>
  <c r="H86" i="1"/>
  <c r="H87" i="1"/>
  <c r="H2" i="1"/>
  <c r="H3" i="1"/>
  <c r="H88" i="1"/>
  <c r="H89" i="1"/>
  <c r="H90" i="1"/>
  <c r="H91" i="1"/>
  <c r="H92" i="1"/>
  <c r="H93" i="1"/>
  <c r="H94" i="1"/>
  <c r="H95" i="1"/>
  <c r="H96" i="1"/>
  <c r="H97" i="1"/>
  <c r="H98" i="1"/>
  <c r="H99" i="1"/>
  <c r="H34" i="1"/>
  <c r="H45" i="1"/>
  <c r="H4" i="1"/>
  <c r="H46" i="1"/>
  <c r="H100" i="1"/>
  <c r="H101" i="1"/>
  <c r="H35" i="1"/>
  <c r="H5" i="1"/>
  <c r="H102" i="1"/>
  <c r="H62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H8" i="4"/>
  <c r="H30" i="4"/>
  <c r="H34" i="4"/>
  <c r="H40" i="4"/>
  <c r="H104" i="4"/>
  <c r="H105" i="4"/>
  <c r="H120" i="4"/>
  <c r="H126" i="4"/>
  <c r="H152" i="4"/>
  <c r="H153" i="4"/>
  <c r="G2" i="4"/>
  <c r="H2" i="4" s="1"/>
  <c r="G3" i="4"/>
  <c r="H3" i="4" s="1"/>
  <c r="G4" i="4"/>
  <c r="H4" i="4" s="1"/>
  <c r="G5" i="4"/>
  <c r="H5" i="4" s="1"/>
  <c r="G6" i="4"/>
  <c r="H6" i="4" s="1"/>
  <c r="G7" i="4"/>
  <c r="H7" i="4" s="1"/>
  <c r="G8" i="4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G31" i="4"/>
  <c r="H31" i="4" s="1"/>
  <c r="G32" i="4"/>
  <c r="H32" i="4" s="1"/>
  <c r="G33" i="4"/>
  <c r="H33" i="4" s="1"/>
  <c r="G34" i="4"/>
  <c r="G35" i="4"/>
  <c r="H35" i="4" s="1"/>
  <c r="G36" i="4"/>
  <c r="H36" i="4" s="1"/>
  <c r="G37" i="4"/>
  <c r="H37" i="4" s="1"/>
  <c r="G38" i="4"/>
  <c r="H38" i="4" s="1"/>
  <c r="G39" i="4"/>
  <c r="H39" i="4" s="1"/>
  <c r="G40" i="4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G105" i="4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G153" i="4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M2" i="3"/>
  <c r="N2" i="3" s="1"/>
  <c r="M3" i="3"/>
  <c r="N3" i="3" s="1"/>
  <c r="M5" i="3"/>
  <c r="N5" i="3" s="1"/>
  <c r="M4" i="3"/>
  <c r="N4" i="3" s="1"/>
  <c r="M7" i="3"/>
  <c r="N7" i="3" s="1"/>
  <c r="M6" i="3"/>
  <c r="N6" i="3" s="1"/>
  <c r="M8" i="3"/>
  <c r="N8" i="3" s="1"/>
  <c r="M9" i="3"/>
  <c r="N9" i="3" s="1"/>
  <c r="M10" i="3"/>
  <c r="N10" i="3" s="1"/>
  <c r="M11" i="3"/>
  <c r="N11" i="3" s="1"/>
  <c r="M13" i="3"/>
  <c r="N13" i="3" s="1"/>
  <c r="M12" i="3"/>
  <c r="N12" i="3" s="1"/>
  <c r="M15" i="3"/>
  <c r="N15" i="3" s="1"/>
  <c r="M14" i="3"/>
  <c r="N14" i="3" s="1"/>
  <c r="M16" i="3"/>
  <c r="N16" i="3" s="1"/>
  <c r="M18" i="3"/>
  <c r="N18" i="3" s="1"/>
  <c r="M17" i="3"/>
  <c r="N17" i="3" s="1"/>
  <c r="M19" i="3"/>
  <c r="N19" i="3" s="1"/>
  <c r="M20" i="3"/>
  <c r="N20" i="3" s="1"/>
  <c r="M21" i="3"/>
  <c r="N21" i="3" s="1"/>
  <c r="M22" i="3"/>
  <c r="N22" i="3" s="1"/>
  <c r="M24" i="3"/>
  <c r="N24" i="3" s="1"/>
  <c r="M23" i="3"/>
  <c r="N23" i="3" s="1"/>
  <c r="M28" i="3"/>
  <c r="N28" i="3" s="1"/>
  <c r="M25" i="3"/>
  <c r="N25" i="3" s="1"/>
  <c r="M26" i="3"/>
  <c r="N26" i="3" s="1"/>
  <c r="M27" i="3"/>
  <c r="N27" i="3" s="1"/>
  <c r="M29" i="3"/>
  <c r="N29" i="3" s="1"/>
  <c r="M30" i="3"/>
  <c r="N30" i="3" s="1"/>
  <c r="M32" i="3"/>
  <c r="N32" i="3" s="1"/>
  <c r="M31" i="3"/>
  <c r="N31" i="3" s="1"/>
  <c r="M33" i="3"/>
  <c r="N33" i="3" s="1"/>
  <c r="M36" i="3"/>
  <c r="N36" i="3" s="1"/>
  <c r="M37" i="3"/>
  <c r="N37" i="3" s="1"/>
  <c r="M34" i="3"/>
  <c r="N34" i="3" s="1"/>
  <c r="M35" i="3"/>
  <c r="N35" i="3" s="1"/>
  <c r="M39" i="3"/>
  <c r="N39" i="3" s="1"/>
  <c r="M40" i="3"/>
  <c r="N40" i="3" s="1"/>
  <c r="M38" i="3"/>
  <c r="N38" i="3" s="1"/>
  <c r="M42" i="3"/>
  <c r="N42" i="3" s="1"/>
  <c r="M43" i="3"/>
  <c r="N43" i="3" s="1"/>
  <c r="M44" i="3"/>
  <c r="N44" i="3" s="1"/>
  <c r="M41" i="3"/>
  <c r="N41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4" i="3"/>
  <c r="N54" i="3" s="1"/>
  <c r="M51" i="3"/>
  <c r="N51" i="3" s="1"/>
  <c r="M53" i="3"/>
  <c r="N53" i="3" s="1"/>
  <c r="M55" i="3"/>
  <c r="N55" i="3" s="1"/>
  <c r="M56" i="3"/>
  <c r="N56" i="3" s="1"/>
  <c r="M52" i="3"/>
  <c r="N52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4" i="3"/>
  <c r="N64" i="3" s="1"/>
  <c r="M63" i="3"/>
  <c r="N63" i="3" s="1"/>
  <c r="M65" i="3"/>
  <c r="N65" i="3" s="1"/>
  <c r="M66" i="3"/>
  <c r="N66" i="3" s="1"/>
  <c r="M68" i="3"/>
  <c r="N68" i="3" s="1"/>
  <c r="M67" i="3"/>
  <c r="N67" i="3" s="1"/>
  <c r="M69" i="3"/>
  <c r="N69" i="3" s="1"/>
  <c r="M70" i="3"/>
  <c r="N70" i="3" s="1"/>
  <c r="M71" i="3"/>
  <c r="N71" i="3" s="1"/>
  <c r="M73" i="3"/>
  <c r="N73" i="3" s="1"/>
  <c r="M75" i="3"/>
  <c r="N75" i="3" s="1"/>
  <c r="M74" i="3"/>
  <c r="N74" i="3" s="1"/>
  <c r="M72" i="3"/>
  <c r="N72" i="3" s="1"/>
  <c r="M76" i="3"/>
  <c r="N76" i="3" s="1"/>
  <c r="M77" i="3"/>
  <c r="N77" i="3" s="1"/>
  <c r="M79" i="3"/>
  <c r="N79" i="3" s="1"/>
  <c r="M78" i="3"/>
  <c r="N78" i="3" s="1"/>
  <c r="M80" i="3"/>
  <c r="N80" i="3" s="1"/>
  <c r="M81" i="3"/>
  <c r="N81" i="3" s="1"/>
  <c r="M82" i="3"/>
  <c r="N82" i="3" s="1"/>
  <c r="M83" i="3"/>
  <c r="N83" i="3" s="1"/>
  <c r="M84" i="3"/>
  <c r="N84" i="3" s="1"/>
  <c r="M88" i="3"/>
  <c r="N88" i="3" s="1"/>
  <c r="M86" i="3"/>
  <c r="N86" i="3" s="1"/>
  <c r="M87" i="3"/>
  <c r="N87" i="3" s="1"/>
  <c r="M85" i="3"/>
  <c r="N85" i="3" s="1"/>
  <c r="M97" i="3"/>
  <c r="N97" i="3" s="1"/>
  <c r="M91" i="3"/>
  <c r="N91" i="3" s="1"/>
  <c r="M94" i="3"/>
  <c r="N94" i="3" s="1"/>
  <c r="M89" i="3"/>
  <c r="N89" i="3" s="1"/>
  <c r="M98" i="3"/>
  <c r="N98" i="3" s="1"/>
  <c r="M93" i="3"/>
  <c r="N93" i="3" s="1"/>
  <c r="M92" i="3"/>
  <c r="N92" i="3" s="1"/>
  <c r="M90" i="3"/>
  <c r="N90" i="3" s="1"/>
  <c r="M95" i="3"/>
  <c r="N95" i="3" s="1"/>
  <c r="M96" i="3"/>
  <c r="N96" i="3" s="1"/>
  <c r="M99" i="3"/>
  <c r="N99" i="3" s="1"/>
  <c r="M101" i="3"/>
  <c r="N101" i="3" s="1"/>
  <c r="M100" i="3"/>
  <c r="N100" i="3" s="1"/>
  <c r="M102" i="3"/>
  <c r="N102" i="3" s="1"/>
  <c r="M103" i="3"/>
  <c r="N103" i="3" s="1"/>
  <c r="M104" i="3"/>
  <c r="N104" i="3" s="1"/>
  <c r="M106" i="3"/>
  <c r="N106" i="3" s="1"/>
  <c r="M105" i="3"/>
  <c r="N105" i="3" s="1"/>
  <c r="M107" i="3"/>
  <c r="N107" i="3" s="1"/>
  <c r="M108" i="3"/>
  <c r="N108" i="3" s="1"/>
  <c r="M109" i="3"/>
  <c r="N109" i="3" s="1"/>
  <c r="M110" i="3"/>
  <c r="N110" i="3" s="1"/>
  <c r="M111" i="3"/>
  <c r="N111" i="3" s="1"/>
  <c r="M112" i="3"/>
  <c r="N112" i="3" s="1"/>
  <c r="M113" i="3"/>
  <c r="N113" i="3" s="1"/>
  <c r="M114" i="3"/>
  <c r="N114" i="3" s="1"/>
  <c r="M115" i="3"/>
  <c r="N115" i="3" s="1"/>
  <c r="M117" i="3"/>
  <c r="N117" i="3" s="1"/>
  <c r="M119" i="3"/>
  <c r="N119" i="3" s="1"/>
  <c r="M118" i="3"/>
  <c r="N118" i="3" s="1"/>
  <c r="M116" i="3"/>
  <c r="N116" i="3" s="1"/>
  <c r="M120" i="3"/>
  <c r="N120" i="3" s="1"/>
  <c r="M122" i="3"/>
  <c r="N122" i="3" s="1"/>
  <c r="M121" i="3"/>
  <c r="N121" i="3" s="1"/>
  <c r="M123" i="3"/>
  <c r="N123" i="3" s="1"/>
  <c r="M124" i="3"/>
  <c r="N124" i="3" s="1"/>
  <c r="M125" i="3"/>
  <c r="N125" i="3" s="1"/>
  <c r="M127" i="3"/>
  <c r="N127" i="3" s="1"/>
  <c r="M126" i="3"/>
  <c r="N126" i="3" s="1"/>
  <c r="M132" i="3"/>
  <c r="N132" i="3" s="1"/>
  <c r="M129" i="3"/>
  <c r="N129" i="3" s="1"/>
  <c r="M131" i="3"/>
  <c r="N131" i="3" s="1"/>
  <c r="M128" i="3"/>
  <c r="N128" i="3" s="1"/>
  <c r="M130" i="3"/>
  <c r="N130" i="3" s="1"/>
  <c r="M136" i="3"/>
  <c r="N136" i="3" s="1"/>
  <c r="M137" i="3"/>
  <c r="N137" i="3" s="1"/>
  <c r="M133" i="3"/>
  <c r="N133" i="3" s="1"/>
  <c r="M135" i="3"/>
  <c r="N135" i="3" s="1"/>
  <c r="M134" i="3"/>
  <c r="N134" i="3" s="1"/>
  <c r="M138" i="3"/>
  <c r="N138" i="3" s="1"/>
  <c r="M139" i="3"/>
  <c r="N139" i="3" s="1"/>
  <c r="M140" i="3"/>
  <c r="N140" i="3" s="1"/>
  <c r="M141" i="3"/>
  <c r="N141" i="3" s="1"/>
  <c r="M143" i="3"/>
  <c r="N143" i="3" s="1"/>
  <c r="M142" i="3"/>
  <c r="N142" i="3" s="1"/>
  <c r="M145" i="3"/>
  <c r="N145" i="3" s="1"/>
  <c r="M144" i="3"/>
  <c r="N144" i="3" s="1"/>
  <c r="M147" i="3"/>
  <c r="N147" i="3" s="1"/>
  <c r="M146" i="3"/>
  <c r="N146" i="3" s="1"/>
  <c r="M151" i="3"/>
  <c r="N151" i="3" s="1"/>
  <c r="M148" i="3"/>
  <c r="N148" i="3" s="1"/>
  <c r="M149" i="3"/>
  <c r="N149" i="3" s="1"/>
  <c r="M150" i="3"/>
  <c r="N150" i="3" s="1"/>
  <c r="M152" i="3"/>
  <c r="N152" i="3" s="1"/>
  <c r="M153" i="3"/>
  <c r="N153" i="3" s="1"/>
  <c r="M154" i="3"/>
  <c r="N154" i="3" s="1"/>
  <c r="M156" i="3"/>
  <c r="N156" i="3" s="1"/>
  <c r="M155" i="3"/>
  <c r="N155" i="3" s="1"/>
  <c r="M157" i="3"/>
  <c r="N157" i="3" s="1"/>
  <c r="M158" i="3"/>
  <c r="N158" i="3" s="1"/>
  <c r="M159" i="3"/>
  <c r="N159" i="3" s="1"/>
  <c r="M163" i="3"/>
  <c r="N163" i="3" s="1"/>
  <c r="M161" i="3"/>
  <c r="N161" i="3" s="1"/>
  <c r="M162" i="3"/>
  <c r="N162" i="3" s="1"/>
  <c r="M160" i="3"/>
  <c r="N160" i="3" s="1"/>
  <c r="M165" i="3"/>
  <c r="N165" i="3" s="1"/>
  <c r="M166" i="3"/>
  <c r="N166" i="3" s="1"/>
  <c r="M164" i="3"/>
  <c r="N164" i="3" s="1"/>
  <c r="M167" i="3"/>
  <c r="N167" i="3" s="1"/>
  <c r="M169" i="3"/>
  <c r="N169" i="3" s="1"/>
  <c r="M168" i="3"/>
  <c r="N168" i="3" s="1"/>
  <c r="M172" i="3"/>
  <c r="N172" i="3" s="1"/>
  <c r="M173" i="3"/>
  <c r="N173" i="3" s="1"/>
  <c r="M170" i="3"/>
  <c r="N170" i="3" s="1"/>
  <c r="M171" i="3"/>
  <c r="N171" i="3" s="1"/>
  <c r="M174" i="3"/>
  <c r="N174" i="3" s="1"/>
  <c r="M175" i="3"/>
  <c r="N175" i="3" s="1"/>
  <c r="M179" i="3"/>
  <c r="N179" i="3" s="1"/>
  <c r="M177" i="3"/>
  <c r="N177" i="3" s="1"/>
  <c r="M178" i="3"/>
  <c r="N178" i="3" s="1"/>
  <c r="M176" i="3"/>
  <c r="N176" i="3" s="1"/>
  <c r="M180" i="3"/>
  <c r="N180" i="3" s="1"/>
  <c r="M181" i="3"/>
  <c r="N181" i="3" s="1"/>
  <c r="M182" i="3"/>
  <c r="N182" i="3" s="1"/>
  <c r="M183" i="3"/>
  <c r="N183" i="3" s="1"/>
  <c r="M184" i="3"/>
  <c r="N184" i="3" s="1"/>
  <c r="M185" i="3"/>
  <c r="N185" i="3" s="1"/>
  <c r="M186" i="3"/>
  <c r="N186" i="3" s="1"/>
  <c r="M188" i="3"/>
  <c r="N188" i="3" s="1"/>
  <c r="M187" i="3"/>
  <c r="N187" i="3" s="1"/>
  <c r="M189" i="3"/>
  <c r="N189" i="3" s="1"/>
  <c r="M195" i="3"/>
  <c r="N195" i="3" s="1"/>
  <c r="M191" i="3"/>
  <c r="N191" i="3" s="1"/>
  <c r="M192" i="3"/>
  <c r="N192" i="3" s="1"/>
  <c r="M194" i="3"/>
  <c r="N194" i="3" s="1"/>
  <c r="M190" i="3"/>
  <c r="N190" i="3" s="1"/>
  <c r="M193" i="3"/>
  <c r="N193" i="3" s="1"/>
  <c r="M196" i="3"/>
  <c r="N196" i="3" s="1"/>
  <c r="M198" i="3"/>
  <c r="N198" i="3" s="1"/>
  <c r="M197" i="3"/>
  <c r="N197" i="3" s="1"/>
  <c r="M199" i="3"/>
  <c r="N199" i="3" s="1"/>
  <c r="M201" i="3"/>
  <c r="N201" i="3" s="1"/>
  <c r="M200" i="3"/>
  <c r="N200" i="3" s="1"/>
  <c r="M203" i="3"/>
  <c r="N203" i="3" s="1"/>
  <c r="M202" i="3"/>
  <c r="N202" i="3" s="1"/>
  <c r="M204" i="3"/>
  <c r="N204" i="3" s="1"/>
  <c r="M205" i="3"/>
  <c r="N205" i="3" s="1"/>
  <c r="M207" i="3"/>
  <c r="N207" i="3" s="1"/>
  <c r="M208" i="3"/>
  <c r="N208" i="3" s="1"/>
  <c r="M206" i="3"/>
  <c r="N206" i="3" s="1"/>
  <c r="M209" i="3"/>
  <c r="N209" i="3" s="1"/>
  <c r="M210" i="3"/>
  <c r="N210" i="3" s="1"/>
  <c r="M211" i="3"/>
  <c r="N211" i="3" s="1"/>
  <c r="M212" i="3"/>
  <c r="N212" i="3" s="1"/>
  <c r="M213" i="3"/>
  <c r="N213" i="3" s="1"/>
  <c r="M214" i="3"/>
  <c r="N214" i="3" s="1"/>
  <c r="M215" i="3"/>
  <c r="N215" i="3" s="1"/>
  <c r="M217" i="3"/>
  <c r="N217" i="3" s="1"/>
  <c r="M216" i="3"/>
  <c r="N216" i="3" s="1"/>
  <c r="M218" i="3"/>
  <c r="N218" i="3" s="1"/>
  <c r="M220" i="3"/>
  <c r="N220" i="3" s="1"/>
  <c r="M219" i="3"/>
  <c r="N219" i="3" s="1"/>
  <c r="M221" i="3"/>
  <c r="N221" i="3" s="1"/>
  <c r="M225" i="3"/>
  <c r="N225" i="3" s="1"/>
  <c r="M222" i="3"/>
  <c r="N222" i="3" s="1"/>
  <c r="M227" i="3"/>
  <c r="N227" i="3" s="1"/>
  <c r="M224" i="3"/>
  <c r="N224" i="3" s="1"/>
  <c r="M226" i="3"/>
  <c r="N226" i="3" s="1"/>
  <c r="M223" i="3"/>
  <c r="N223" i="3" s="1"/>
  <c r="M228" i="3"/>
  <c r="N228" i="3" s="1"/>
  <c r="M229" i="3"/>
  <c r="N229" i="3" s="1"/>
  <c r="M230" i="3"/>
  <c r="N230" i="3" s="1"/>
  <c r="M231" i="3"/>
  <c r="N231" i="3" s="1"/>
  <c r="M233" i="3"/>
  <c r="N233" i="3" s="1"/>
  <c r="M232" i="3"/>
  <c r="N232" i="3" s="1"/>
  <c r="M234" i="3"/>
  <c r="N234" i="3" s="1"/>
  <c r="M236" i="3"/>
  <c r="N236" i="3" s="1"/>
  <c r="M235" i="3"/>
  <c r="N235" i="3" s="1"/>
  <c r="M238" i="3"/>
  <c r="N238" i="3" s="1"/>
  <c r="M237" i="3"/>
  <c r="N237" i="3" s="1"/>
  <c r="M239" i="3"/>
  <c r="N239" i="3" s="1"/>
  <c r="M240" i="3"/>
  <c r="N240" i="3" s="1"/>
  <c r="M241" i="3"/>
  <c r="N241" i="3" s="1"/>
  <c r="M242" i="3"/>
  <c r="N242" i="3" s="1"/>
  <c r="M243" i="3"/>
  <c r="N243" i="3" s="1"/>
  <c r="M244" i="3"/>
  <c r="N244" i="3" s="1"/>
  <c r="M245" i="3"/>
  <c r="N245" i="3" s="1"/>
  <c r="M246" i="3"/>
  <c r="N246" i="3" s="1"/>
  <c r="M247" i="3"/>
  <c r="N247" i="3" s="1"/>
  <c r="M248" i="3"/>
  <c r="N248" i="3" s="1"/>
  <c r="M250" i="3"/>
  <c r="N250" i="3" s="1"/>
  <c r="M251" i="3"/>
  <c r="N251" i="3" s="1"/>
  <c r="M252" i="3"/>
  <c r="N252" i="3" s="1"/>
  <c r="M249" i="3"/>
  <c r="N249" i="3" s="1"/>
  <c r="M253" i="3"/>
  <c r="N253" i="3" s="1"/>
  <c r="O2" i="3"/>
  <c r="O3" i="3"/>
  <c r="O5" i="3"/>
  <c r="O4" i="3"/>
  <c r="O7" i="3"/>
  <c r="O6" i="3"/>
  <c r="O8" i="3"/>
  <c r="O9" i="3"/>
  <c r="O10" i="3"/>
  <c r="O11" i="3"/>
  <c r="O13" i="3"/>
  <c r="O12" i="3"/>
  <c r="O15" i="3"/>
  <c r="O14" i="3"/>
  <c r="O16" i="3"/>
  <c r="O18" i="3"/>
  <c r="O17" i="3"/>
  <c r="O19" i="3"/>
  <c r="O20" i="3"/>
  <c r="O21" i="3"/>
  <c r="O22" i="3"/>
  <c r="O24" i="3"/>
  <c r="O23" i="3"/>
  <c r="O28" i="3"/>
  <c r="O25" i="3"/>
  <c r="O26" i="3"/>
  <c r="O27" i="3"/>
  <c r="O29" i="3"/>
  <c r="O30" i="3"/>
  <c r="O32" i="3"/>
  <c r="O31" i="3"/>
  <c r="O33" i="3"/>
  <c r="O36" i="3"/>
  <c r="O37" i="3"/>
  <c r="O34" i="3"/>
  <c r="O35" i="3"/>
  <c r="O39" i="3"/>
  <c r="O40" i="3"/>
  <c r="O38" i="3"/>
  <c r="O42" i="3"/>
  <c r="O43" i="3"/>
  <c r="O44" i="3"/>
  <c r="O41" i="3"/>
  <c r="O45" i="3"/>
  <c r="O46" i="3"/>
  <c r="O47" i="3"/>
  <c r="O48" i="3"/>
  <c r="O49" i="3"/>
  <c r="O50" i="3"/>
  <c r="O54" i="3"/>
  <c r="O51" i="3"/>
  <c r="O53" i="3"/>
  <c r="O55" i="3"/>
  <c r="O56" i="3"/>
  <c r="O52" i="3"/>
  <c r="O57" i="3"/>
  <c r="O58" i="3"/>
  <c r="O59" i="3"/>
  <c r="O60" i="3"/>
  <c r="O61" i="3"/>
  <c r="O62" i="3"/>
  <c r="O64" i="3"/>
  <c r="O63" i="3"/>
  <c r="O65" i="3"/>
  <c r="O66" i="3"/>
  <c r="O68" i="3"/>
  <c r="O67" i="3"/>
  <c r="O69" i="3"/>
  <c r="O70" i="3"/>
  <c r="O71" i="3"/>
  <c r="O73" i="3"/>
  <c r="O75" i="3"/>
  <c r="O74" i="3"/>
  <c r="O72" i="3"/>
  <c r="O76" i="3"/>
  <c r="O77" i="3"/>
  <c r="O79" i="3"/>
  <c r="O78" i="3"/>
  <c r="O80" i="3"/>
  <c r="O81" i="3"/>
  <c r="O82" i="3"/>
  <c r="O83" i="3"/>
  <c r="O84" i="3"/>
  <c r="O88" i="3"/>
  <c r="O86" i="3"/>
  <c r="O87" i="3"/>
  <c r="O85" i="3"/>
  <c r="O97" i="3"/>
  <c r="O91" i="3"/>
  <c r="O94" i="3"/>
  <c r="O89" i="3"/>
  <c r="O98" i="3"/>
  <c r="O93" i="3"/>
  <c r="O92" i="3"/>
  <c r="O90" i="3"/>
  <c r="O95" i="3"/>
  <c r="O96" i="3"/>
  <c r="O99" i="3"/>
  <c r="O101" i="3"/>
  <c r="O100" i="3"/>
  <c r="O102" i="3"/>
  <c r="O103" i="3"/>
  <c r="O104" i="3"/>
  <c r="O106" i="3"/>
  <c r="O105" i="3"/>
  <c r="O107" i="3"/>
  <c r="O108" i="3"/>
  <c r="O109" i="3"/>
  <c r="O110" i="3"/>
  <c r="O111" i="3"/>
  <c r="O112" i="3"/>
  <c r="O113" i="3"/>
  <c r="O114" i="3"/>
  <c r="O115" i="3"/>
  <c r="O117" i="3"/>
  <c r="O119" i="3"/>
  <c r="O118" i="3"/>
  <c r="O116" i="3"/>
  <c r="O120" i="3"/>
  <c r="O122" i="3"/>
  <c r="O121" i="3"/>
  <c r="O123" i="3"/>
  <c r="O124" i="3"/>
  <c r="O125" i="3"/>
  <c r="O127" i="3"/>
  <c r="O126" i="3"/>
  <c r="O132" i="3"/>
  <c r="O129" i="3"/>
  <c r="O131" i="3"/>
  <c r="O128" i="3"/>
  <c r="O130" i="3"/>
  <c r="O136" i="3"/>
  <c r="O137" i="3"/>
  <c r="O133" i="3"/>
  <c r="O135" i="3"/>
  <c r="O134" i="3"/>
  <c r="O138" i="3"/>
  <c r="O139" i="3"/>
  <c r="O140" i="3"/>
  <c r="O141" i="3"/>
  <c r="O143" i="3"/>
  <c r="O142" i="3"/>
  <c r="O145" i="3"/>
  <c r="O144" i="3"/>
  <c r="O147" i="3"/>
  <c r="O146" i="3"/>
  <c r="O151" i="3"/>
  <c r="O148" i="3"/>
  <c r="O149" i="3"/>
  <c r="O150" i="3"/>
  <c r="O152" i="3"/>
  <c r="O153" i="3"/>
  <c r="O154" i="3"/>
  <c r="O156" i="3"/>
  <c r="O155" i="3"/>
  <c r="O157" i="3"/>
  <c r="O158" i="3"/>
  <c r="O159" i="3"/>
  <c r="O163" i="3"/>
  <c r="O161" i="3"/>
  <c r="O162" i="3"/>
  <c r="O160" i="3"/>
  <c r="O165" i="3"/>
  <c r="O166" i="3"/>
  <c r="O164" i="3"/>
  <c r="O167" i="3"/>
  <c r="O169" i="3"/>
  <c r="O168" i="3"/>
  <c r="O172" i="3"/>
  <c r="O173" i="3"/>
  <c r="O170" i="3"/>
  <c r="O171" i="3"/>
  <c r="O174" i="3"/>
  <c r="O175" i="3"/>
  <c r="O179" i="3"/>
  <c r="O177" i="3"/>
  <c r="O178" i="3"/>
  <c r="O176" i="3"/>
  <c r="O180" i="3"/>
  <c r="O181" i="3"/>
  <c r="O182" i="3"/>
  <c r="O183" i="3"/>
  <c r="O184" i="3"/>
  <c r="O185" i="3"/>
  <c r="O186" i="3"/>
  <c r="O188" i="3"/>
  <c r="O187" i="3"/>
  <c r="O189" i="3"/>
  <c r="O195" i="3"/>
  <c r="O191" i="3"/>
  <c r="O192" i="3"/>
  <c r="O194" i="3"/>
  <c r="O190" i="3"/>
  <c r="O193" i="3"/>
  <c r="O196" i="3"/>
  <c r="O198" i="3"/>
  <c r="O197" i="3"/>
  <c r="O199" i="3"/>
  <c r="O201" i="3"/>
  <c r="O200" i="3"/>
  <c r="O203" i="3"/>
  <c r="O202" i="3"/>
  <c r="O204" i="3"/>
  <c r="O205" i="3"/>
  <c r="O207" i="3"/>
  <c r="O208" i="3"/>
  <c r="O206" i="3"/>
  <c r="O209" i="3"/>
  <c r="O210" i="3"/>
  <c r="O211" i="3"/>
  <c r="O212" i="3"/>
  <c r="O213" i="3"/>
  <c r="O214" i="3"/>
  <c r="O215" i="3"/>
  <c r="O217" i="3"/>
  <c r="O216" i="3"/>
  <c r="O218" i="3"/>
  <c r="O220" i="3"/>
  <c r="O219" i="3"/>
  <c r="O221" i="3"/>
  <c r="O225" i="3"/>
  <c r="O222" i="3"/>
  <c r="O227" i="3"/>
  <c r="O224" i="3"/>
  <c r="O226" i="3"/>
  <c r="O223" i="3"/>
  <c r="O228" i="3"/>
  <c r="O229" i="3"/>
  <c r="O230" i="3"/>
  <c r="O231" i="3"/>
  <c r="O233" i="3"/>
  <c r="O232" i="3"/>
  <c r="O234" i="3"/>
  <c r="O236" i="3"/>
  <c r="O235" i="3"/>
  <c r="O238" i="3"/>
  <c r="O237" i="3"/>
  <c r="O239" i="3"/>
  <c r="O240" i="3"/>
  <c r="O241" i="3"/>
  <c r="O242" i="3"/>
  <c r="O243" i="3"/>
  <c r="O244" i="3"/>
  <c r="O245" i="3"/>
  <c r="O246" i="3"/>
  <c r="O247" i="3"/>
  <c r="O248" i="3"/>
  <c r="O250" i="3"/>
  <c r="O251" i="3"/>
  <c r="O252" i="3"/>
  <c r="O249" i="3"/>
  <c r="O253" i="3"/>
  <c r="K2" i="3"/>
  <c r="L2" i="3"/>
  <c r="K3" i="3"/>
  <c r="L3" i="3"/>
  <c r="K5" i="3"/>
  <c r="L5" i="3"/>
  <c r="K4" i="3"/>
  <c r="L4" i="3"/>
  <c r="K7" i="3"/>
  <c r="L7" i="3"/>
  <c r="K6" i="3"/>
  <c r="L6" i="3"/>
  <c r="K8" i="3"/>
  <c r="L8" i="3"/>
  <c r="K9" i="3"/>
  <c r="L9" i="3"/>
  <c r="K10" i="3"/>
  <c r="L10" i="3"/>
  <c r="K11" i="3"/>
  <c r="L11" i="3"/>
  <c r="K13" i="3"/>
  <c r="L13" i="3"/>
  <c r="K12" i="3"/>
  <c r="L12" i="3"/>
  <c r="K15" i="3"/>
  <c r="L15" i="3"/>
  <c r="K14" i="3"/>
  <c r="L14" i="3"/>
  <c r="K16" i="3"/>
  <c r="L16" i="3"/>
  <c r="K18" i="3"/>
  <c r="L18" i="3"/>
  <c r="K17" i="3"/>
  <c r="L17" i="3"/>
  <c r="K19" i="3"/>
  <c r="L19" i="3"/>
  <c r="K20" i="3"/>
  <c r="L20" i="3"/>
  <c r="K21" i="3"/>
  <c r="L21" i="3"/>
  <c r="K22" i="3"/>
  <c r="L22" i="3"/>
  <c r="K24" i="3"/>
  <c r="L24" i="3"/>
  <c r="K23" i="3"/>
  <c r="L23" i="3"/>
  <c r="K28" i="3"/>
  <c r="L28" i="3"/>
  <c r="K25" i="3"/>
  <c r="L25" i="3"/>
  <c r="K26" i="3"/>
  <c r="L26" i="3"/>
  <c r="K27" i="3"/>
  <c r="L27" i="3"/>
  <c r="K29" i="3"/>
  <c r="L29" i="3"/>
  <c r="K30" i="3"/>
  <c r="L30" i="3"/>
  <c r="K32" i="3"/>
  <c r="L32" i="3"/>
  <c r="K31" i="3"/>
  <c r="L31" i="3"/>
  <c r="K33" i="3"/>
  <c r="L33" i="3"/>
  <c r="K36" i="3"/>
  <c r="L36" i="3"/>
  <c r="K37" i="3"/>
  <c r="L37" i="3"/>
  <c r="K34" i="3"/>
  <c r="L34" i="3"/>
  <c r="K35" i="3"/>
  <c r="L35" i="3"/>
  <c r="K39" i="3"/>
  <c r="L39" i="3"/>
  <c r="K40" i="3"/>
  <c r="L40" i="3"/>
  <c r="K38" i="3"/>
  <c r="L38" i="3"/>
  <c r="K42" i="3"/>
  <c r="L42" i="3"/>
  <c r="K43" i="3"/>
  <c r="L43" i="3"/>
  <c r="K44" i="3"/>
  <c r="L44" i="3"/>
  <c r="K41" i="3"/>
  <c r="L41" i="3"/>
  <c r="K45" i="3"/>
  <c r="L45" i="3"/>
  <c r="K46" i="3"/>
  <c r="L46" i="3"/>
  <c r="K47" i="3"/>
  <c r="L47" i="3"/>
  <c r="K48" i="3"/>
  <c r="L48" i="3"/>
  <c r="K49" i="3"/>
  <c r="L49" i="3"/>
  <c r="K50" i="3"/>
  <c r="L50" i="3"/>
  <c r="K54" i="3"/>
  <c r="L54" i="3"/>
  <c r="K51" i="3"/>
  <c r="L51" i="3"/>
  <c r="K53" i="3"/>
  <c r="L53" i="3"/>
  <c r="K55" i="3"/>
  <c r="L55" i="3"/>
  <c r="K56" i="3"/>
  <c r="L56" i="3"/>
  <c r="K52" i="3"/>
  <c r="L52" i="3"/>
  <c r="K57" i="3"/>
  <c r="L57" i="3"/>
  <c r="K58" i="3"/>
  <c r="L58" i="3"/>
  <c r="K59" i="3"/>
  <c r="L59" i="3"/>
  <c r="K60" i="3"/>
  <c r="L60" i="3"/>
  <c r="K61" i="3"/>
  <c r="L61" i="3"/>
  <c r="K62" i="3"/>
  <c r="L62" i="3"/>
  <c r="K64" i="3"/>
  <c r="L64" i="3"/>
  <c r="K63" i="3"/>
  <c r="L63" i="3"/>
  <c r="K65" i="3"/>
  <c r="L65" i="3"/>
  <c r="K66" i="3"/>
  <c r="L66" i="3"/>
  <c r="K68" i="3"/>
  <c r="L68" i="3"/>
  <c r="K67" i="3"/>
  <c r="L67" i="3"/>
  <c r="K69" i="3"/>
  <c r="L69" i="3"/>
  <c r="K70" i="3"/>
  <c r="L70" i="3"/>
  <c r="K71" i="3"/>
  <c r="L71" i="3"/>
  <c r="K73" i="3"/>
  <c r="L73" i="3"/>
  <c r="K75" i="3"/>
  <c r="L75" i="3"/>
  <c r="K74" i="3"/>
  <c r="L74" i="3"/>
  <c r="K72" i="3"/>
  <c r="L72" i="3"/>
  <c r="K76" i="3"/>
  <c r="L76" i="3"/>
  <c r="K77" i="3"/>
  <c r="L77" i="3"/>
  <c r="K79" i="3"/>
  <c r="L79" i="3"/>
  <c r="K78" i="3"/>
  <c r="L78" i="3"/>
  <c r="K80" i="3"/>
  <c r="L80" i="3"/>
  <c r="K81" i="3"/>
  <c r="L81" i="3"/>
  <c r="K82" i="3"/>
  <c r="L82" i="3"/>
  <c r="K83" i="3"/>
  <c r="L83" i="3"/>
  <c r="K84" i="3"/>
  <c r="L84" i="3"/>
  <c r="K88" i="3"/>
  <c r="L88" i="3"/>
  <c r="K86" i="3"/>
  <c r="L86" i="3"/>
  <c r="K87" i="3"/>
  <c r="L87" i="3"/>
  <c r="K85" i="3"/>
  <c r="L85" i="3"/>
  <c r="K97" i="3"/>
  <c r="L97" i="3"/>
  <c r="K91" i="3"/>
  <c r="L91" i="3"/>
  <c r="K94" i="3"/>
  <c r="L94" i="3"/>
  <c r="K89" i="3"/>
  <c r="L89" i="3"/>
  <c r="K98" i="3"/>
  <c r="L98" i="3"/>
  <c r="K93" i="3"/>
  <c r="L93" i="3"/>
  <c r="K92" i="3"/>
  <c r="L92" i="3"/>
  <c r="K90" i="3"/>
  <c r="L90" i="3"/>
  <c r="K95" i="3"/>
  <c r="L95" i="3"/>
  <c r="K96" i="3"/>
  <c r="L96" i="3"/>
  <c r="K99" i="3"/>
  <c r="L99" i="3"/>
  <c r="K101" i="3"/>
  <c r="L101" i="3"/>
  <c r="K100" i="3"/>
  <c r="L100" i="3"/>
  <c r="K102" i="3"/>
  <c r="L102" i="3"/>
  <c r="K103" i="3"/>
  <c r="L103" i="3"/>
  <c r="K104" i="3"/>
  <c r="L104" i="3"/>
  <c r="K106" i="3"/>
  <c r="L106" i="3"/>
  <c r="K105" i="3"/>
  <c r="L105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7" i="3"/>
  <c r="L117" i="3"/>
  <c r="K119" i="3"/>
  <c r="L119" i="3"/>
  <c r="K118" i="3"/>
  <c r="L118" i="3"/>
  <c r="K116" i="3"/>
  <c r="L116" i="3"/>
  <c r="K120" i="3"/>
  <c r="L120" i="3"/>
  <c r="K122" i="3"/>
  <c r="L122" i="3"/>
  <c r="K121" i="3"/>
  <c r="L121" i="3"/>
  <c r="K123" i="3"/>
  <c r="L123" i="3"/>
  <c r="K124" i="3"/>
  <c r="L124" i="3"/>
  <c r="K125" i="3"/>
  <c r="L125" i="3"/>
  <c r="K127" i="3"/>
  <c r="L127" i="3"/>
  <c r="K126" i="3"/>
  <c r="L126" i="3"/>
  <c r="K132" i="3"/>
  <c r="L132" i="3"/>
  <c r="K129" i="3"/>
  <c r="L129" i="3"/>
  <c r="K131" i="3"/>
  <c r="L131" i="3"/>
  <c r="K128" i="3"/>
  <c r="L128" i="3"/>
  <c r="K130" i="3"/>
  <c r="L130" i="3"/>
  <c r="K136" i="3"/>
  <c r="L136" i="3"/>
  <c r="K137" i="3"/>
  <c r="L137" i="3"/>
  <c r="K133" i="3"/>
  <c r="L133" i="3"/>
  <c r="K135" i="3"/>
  <c r="L135" i="3"/>
  <c r="K134" i="3"/>
  <c r="L134" i="3"/>
  <c r="K138" i="3"/>
  <c r="L138" i="3"/>
  <c r="K139" i="3"/>
  <c r="L139" i="3"/>
  <c r="K140" i="3"/>
  <c r="L140" i="3"/>
  <c r="K141" i="3"/>
  <c r="L141" i="3"/>
  <c r="K143" i="3"/>
  <c r="L143" i="3"/>
  <c r="K142" i="3"/>
  <c r="L142" i="3"/>
  <c r="K145" i="3"/>
  <c r="L145" i="3"/>
  <c r="K144" i="3"/>
  <c r="L144" i="3"/>
  <c r="K147" i="3"/>
  <c r="L147" i="3"/>
  <c r="K146" i="3"/>
  <c r="L146" i="3"/>
  <c r="K151" i="3"/>
  <c r="L151" i="3"/>
  <c r="K148" i="3"/>
  <c r="L148" i="3"/>
  <c r="K149" i="3"/>
  <c r="L149" i="3"/>
  <c r="K150" i="3"/>
  <c r="L150" i="3"/>
  <c r="K152" i="3"/>
  <c r="L152" i="3"/>
  <c r="K153" i="3"/>
  <c r="L153" i="3"/>
  <c r="K154" i="3"/>
  <c r="L154" i="3"/>
  <c r="K156" i="3"/>
  <c r="L156" i="3"/>
  <c r="K155" i="3"/>
  <c r="L155" i="3"/>
  <c r="K157" i="3"/>
  <c r="L157" i="3"/>
  <c r="K158" i="3"/>
  <c r="L158" i="3"/>
  <c r="K159" i="3"/>
  <c r="L159" i="3"/>
  <c r="K163" i="3"/>
  <c r="L163" i="3"/>
  <c r="K161" i="3"/>
  <c r="L161" i="3"/>
  <c r="K162" i="3"/>
  <c r="L162" i="3"/>
  <c r="K160" i="3"/>
  <c r="L160" i="3"/>
  <c r="K165" i="3"/>
  <c r="L165" i="3"/>
  <c r="K166" i="3"/>
  <c r="L166" i="3"/>
  <c r="K164" i="3"/>
  <c r="L164" i="3"/>
  <c r="K167" i="3"/>
  <c r="L167" i="3"/>
  <c r="K169" i="3"/>
  <c r="L169" i="3"/>
  <c r="K168" i="3"/>
  <c r="L168" i="3"/>
  <c r="K172" i="3"/>
  <c r="L172" i="3"/>
  <c r="K173" i="3"/>
  <c r="L173" i="3"/>
  <c r="K170" i="3"/>
  <c r="L170" i="3"/>
  <c r="K171" i="3"/>
  <c r="L171" i="3"/>
  <c r="K174" i="3"/>
  <c r="L174" i="3"/>
  <c r="K175" i="3"/>
  <c r="L175" i="3"/>
  <c r="K179" i="3"/>
  <c r="L179" i="3"/>
  <c r="K177" i="3"/>
  <c r="L177" i="3"/>
  <c r="K178" i="3"/>
  <c r="L178" i="3"/>
  <c r="K176" i="3"/>
  <c r="L176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8" i="3"/>
  <c r="L188" i="3"/>
  <c r="K187" i="3"/>
  <c r="L187" i="3"/>
  <c r="K189" i="3"/>
  <c r="L189" i="3"/>
  <c r="K195" i="3"/>
  <c r="L195" i="3"/>
  <c r="K191" i="3"/>
  <c r="L191" i="3"/>
  <c r="K192" i="3"/>
  <c r="L192" i="3"/>
  <c r="K194" i="3"/>
  <c r="L194" i="3"/>
  <c r="K190" i="3"/>
  <c r="L190" i="3"/>
  <c r="K193" i="3"/>
  <c r="L193" i="3"/>
  <c r="K196" i="3"/>
  <c r="L196" i="3"/>
  <c r="K198" i="3"/>
  <c r="L198" i="3"/>
  <c r="K197" i="3"/>
  <c r="L197" i="3"/>
  <c r="K199" i="3"/>
  <c r="L199" i="3"/>
  <c r="K201" i="3"/>
  <c r="L201" i="3"/>
  <c r="K200" i="3"/>
  <c r="L200" i="3"/>
  <c r="K203" i="3"/>
  <c r="L203" i="3"/>
  <c r="K202" i="3"/>
  <c r="L202" i="3"/>
  <c r="K204" i="3"/>
  <c r="L204" i="3"/>
  <c r="K205" i="3"/>
  <c r="L205" i="3"/>
  <c r="K207" i="3"/>
  <c r="L207" i="3"/>
  <c r="K208" i="3"/>
  <c r="L208" i="3"/>
  <c r="K206" i="3"/>
  <c r="L206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7" i="3"/>
  <c r="L217" i="3"/>
  <c r="K216" i="3"/>
  <c r="L216" i="3"/>
  <c r="K218" i="3"/>
  <c r="L218" i="3"/>
  <c r="K220" i="3"/>
  <c r="L220" i="3"/>
  <c r="K219" i="3"/>
  <c r="L219" i="3"/>
  <c r="K221" i="3"/>
  <c r="L221" i="3"/>
  <c r="K225" i="3"/>
  <c r="L225" i="3"/>
  <c r="K222" i="3"/>
  <c r="L222" i="3"/>
  <c r="K227" i="3"/>
  <c r="L227" i="3"/>
  <c r="K224" i="3"/>
  <c r="L224" i="3"/>
  <c r="K226" i="3"/>
  <c r="L226" i="3"/>
  <c r="K223" i="3"/>
  <c r="L223" i="3"/>
  <c r="K228" i="3"/>
  <c r="L228" i="3"/>
  <c r="K229" i="3"/>
  <c r="L229" i="3"/>
  <c r="K230" i="3"/>
  <c r="L230" i="3"/>
  <c r="K231" i="3"/>
  <c r="L231" i="3"/>
  <c r="K233" i="3"/>
  <c r="L233" i="3"/>
  <c r="K232" i="3"/>
  <c r="L232" i="3"/>
  <c r="K234" i="3"/>
  <c r="L234" i="3"/>
  <c r="K236" i="3"/>
  <c r="L236" i="3"/>
  <c r="K235" i="3"/>
  <c r="L235" i="3"/>
  <c r="K238" i="3"/>
  <c r="L238" i="3"/>
  <c r="K237" i="3"/>
  <c r="L237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L246" i="3"/>
  <c r="K247" i="3"/>
  <c r="L247" i="3"/>
  <c r="K248" i="3"/>
  <c r="L248" i="3"/>
  <c r="K250" i="3"/>
  <c r="L250" i="3"/>
  <c r="K251" i="3"/>
  <c r="L251" i="3"/>
  <c r="K252" i="3"/>
  <c r="L252" i="3"/>
  <c r="K249" i="3"/>
  <c r="L249" i="3"/>
  <c r="K253" i="3"/>
  <c r="L253" i="3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I2" i="2"/>
  <c r="J2" i="2"/>
  <c r="N2" i="2" s="1"/>
  <c r="O2" i="2" s="1"/>
  <c r="P2" i="2" s="1"/>
  <c r="Q2" i="2" s="1"/>
  <c r="R2" i="2" s="1"/>
  <c r="S2" i="2" s="1"/>
  <c r="I3" i="2"/>
  <c r="J3" i="2"/>
  <c r="N3" i="2" s="1"/>
  <c r="O3" i="2" s="1"/>
  <c r="P3" i="2" s="1"/>
  <c r="Q3" i="2" s="1"/>
  <c r="R3" i="2" s="1"/>
  <c r="S3" i="2" s="1"/>
  <c r="I4" i="2"/>
  <c r="J4" i="2"/>
  <c r="N4" i="2" s="1"/>
  <c r="O4" i="2" s="1"/>
  <c r="P4" i="2" s="1"/>
  <c r="Q4" i="2" s="1"/>
  <c r="R4" i="2" s="1"/>
  <c r="S4" i="2" s="1"/>
  <c r="I5" i="2"/>
  <c r="J5" i="2"/>
  <c r="N5" i="2" s="1"/>
  <c r="O5" i="2" s="1"/>
  <c r="P5" i="2" s="1"/>
  <c r="Q5" i="2" s="1"/>
  <c r="R5" i="2" s="1"/>
  <c r="S5" i="2" s="1"/>
  <c r="I6" i="2"/>
  <c r="J6" i="2"/>
  <c r="N6" i="2" s="1"/>
  <c r="O6" i="2" s="1"/>
  <c r="P6" i="2" s="1"/>
  <c r="Q6" i="2" s="1"/>
  <c r="R6" i="2" s="1"/>
  <c r="S6" i="2" s="1"/>
  <c r="I7" i="2"/>
  <c r="J7" i="2"/>
  <c r="N7" i="2" s="1"/>
  <c r="O7" i="2" s="1"/>
  <c r="P7" i="2" s="1"/>
  <c r="Q7" i="2" s="1"/>
  <c r="R7" i="2" s="1"/>
  <c r="S7" i="2" s="1"/>
  <c r="I8" i="2"/>
  <c r="J8" i="2"/>
  <c r="N8" i="2" s="1"/>
  <c r="O8" i="2" s="1"/>
  <c r="P8" i="2" s="1"/>
  <c r="Q8" i="2" s="1"/>
  <c r="R8" i="2" s="1"/>
  <c r="S8" i="2" s="1"/>
  <c r="I9" i="2"/>
  <c r="J9" i="2"/>
  <c r="N9" i="2" s="1"/>
  <c r="O9" i="2" s="1"/>
  <c r="P9" i="2" s="1"/>
  <c r="Q9" i="2" s="1"/>
  <c r="R9" i="2" s="1"/>
  <c r="S9" i="2" s="1"/>
  <c r="I10" i="2"/>
  <c r="J10" i="2"/>
  <c r="N10" i="2" s="1"/>
  <c r="O10" i="2" s="1"/>
  <c r="P10" i="2" s="1"/>
  <c r="Q10" i="2" s="1"/>
  <c r="R10" i="2" s="1"/>
  <c r="S10" i="2" s="1"/>
  <c r="I11" i="2"/>
  <c r="J11" i="2"/>
  <c r="N11" i="2" s="1"/>
  <c r="O11" i="2" s="1"/>
  <c r="P11" i="2" s="1"/>
  <c r="Q11" i="2" s="1"/>
  <c r="R11" i="2" s="1"/>
  <c r="S11" i="2" s="1"/>
  <c r="I12" i="2"/>
  <c r="J12" i="2"/>
  <c r="N12" i="2" s="1"/>
  <c r="O12" i="2" s="1"/>
  <c r="P12" i="2" s="1"/>
  <c r="Q12" i="2" s="1"/>
  <c r="R12" i="2" s="1"/>
  <c r="S12" i="2" s="1"/>
  <c r="I13" i="2"/>
  <c r="J13" i="2"/>
  <c r="N13" i="2" s="1"/>
  <c r="O13" i="2" s="1"/>
  <c r="P13" i="2" s="1"/>
  <c r="Q13" i="2" s="1"/>
  <c r="R13" i="2" s="1"/>
  <c r="S13" i="2" s="1"/>
  <c r="I14" i="2"/>
  <c r="J14" i="2"/>
  <c r="N14" i="2" s="1"/>
  <c r="O14" i="2" s="1"/>
  <c r="P14" i="2" s="1"/>
  <c r="Q14" i="2" s="1"/>
  <c r="R14" i="2" s="1"/>
  <c r="S14" i="2" s="1"/>
  <c r="I15" i="2"/>
  <c r="J15" i="2"/>
  <c r="N15" i="2" s="1"/>
  <c r="O15" i="2" s="1"/>
  <c r="P15" i="2" s="1"/>
  <c r="Q15" i="2" s="1"/>
  <c r="R15" i="2" s="1"/>
  <c r="S15" i="2" s="1"/>
  <c r="I16" i="2"/>
  <c r="J16" i="2"/>
  <c r="N16" i="2" s="1"/>
  <c r="O16" i="2" s="1"/>
  <c r="P16" i="2" s="1"/>
  <c r="Q16" i="2" s="1"/>
  <c r="R16" i="2" s="1"/>
  <c r="S16" i="2" s="1"/>
  <c r="I17" i="2"/>
  <c r="J17" i="2"/>
  <c r="N17" i="2" s="1"/>
  <c r="O17" i="2" s="1"/>
  <c r="P17" i="2" s="1"/>
  <c r="Q17" i="2" s="1"/>
  <c r="R17" i="2" s="1"/>
  <c r="S17" i="2" s="1"/>
  <c r="I18" i="2"/>
  <c r="J18" i="2"/>
  <c r="N18" i="2" s="1"/>
  <c r="O18" i="2" s="1"/>
  <c r="P18" i="2" s="1"/>
  <c r="Q18" i="2" s="1"/>
  <c r="R18" i="2" s="1"/>
  <c r="S18" i="2" s="1"/>
  <c r="I19" i="2"/>
  <c r="J19" i="2"/>
  <c r="N19" i="2" s="1"/>
  <c r="O19" i="2" s="1"/>
  <c r="P19" i="2" s="1"/>
  <c r="Q19" i="2" s="1"/>
  <c r="R19" i="2" s="1"/>
  <c r="S19" i="2" s="1"/>
  <c r="I20" i="2"/>
  <c r="J20" i="2"/>
  <c r="N20" i="2" s="1"/>
  <c r="O20" i="2" s="1"/>
  <c r="P20" i="2" s="1"/>
  <c r="Q20" i="2" s="1"/>
  <c r="R20" i="2" s="1"/>
  <c r="S20" i="2" s="1"/>
  <c r="I21" i="2"/>
  <c r="J21" i="2"/>
  <c r="N21" i="2" s="1"/>
  <c r="O21" i="2" s="1"/>
  <c r="P21" i="2" s="1"/>
  <c r="Q21" i="2" s="1"/>
  <c r="R21" i="2" s="1"/>
  <c r="S21" i="2" s="1"/>
  <c r="I22" i="2"/>
  <c r="J22" i="2"/>
  <c r="N22" i="2" s="1"/>
  <c r="O22" i="2" s="1"/>
  <c r="P22" i="2" s="1"/>
  <c r="Q22" i="2" s="1"/>
  <c r="R22" i="2" s="1"/>
  <c r="S22" i="2" s="1"/>
  <c r="I23" i="2"/>
  <c r="J23" i="2"/>
  <c r="N23" i="2" s="1"/>
  <c r="O23" i="2" s="1"/>
  <c r="P23" i="2" s="1"/>
  <c r="Q23" i="2" s="1"/>
  <c r="R23" i="2" s="1"/>
  <c r="S23" i="2" s="1"/>
  <c r="I24" i="2"/>
  <c r="J24" i="2"/>
  <c r="N24" i="2" s="1"/>
  <c r="O24" i="2" s="1"/>
  <c r="P24" i="2" s="1"/>
  <c r="Q24" i="2" s="1"/>
  <c r="R24" i="2" s="1"/>
  <c r="S24" i="2" s="1"/>
  <c r="I25" i="2"/>
  <c r="J25" i="2"/>
  <c r="N25" i="2" s="1"/>
  <c r="O25" i="2" s="1"/>
  <c r="P25" i="2" s="1"/>
  <c r="Q25" i="2" s="1"/>
  <c r="R25" i="2" s="1"/>
  <c r="S25" i="2" s="1"/>
  <c r="I26" i="2"/>
  <c r="J26" i="2"/>
  <c r="N26" i="2" s="1"/>
  <c r="O26" i="2" s="1"/>
  <c r="P26" i="2" s="1"/>
  <c r="Q26" i="2" s="1"/>
  <c r="R26" i="2" s="1"/>
  <c r="S26" i="2" s="1"/>
  <c r="I27" i="2"/>
  <c r="J27" i="2"/>
  <c r="N27" i="2" s="1"/>
  <c r="O27" i="2" s="1"/>
  <c r="P27" i="2" s="1"/>
  <c r="Q27" i="2" s="1"/>
  <c r="R27" i="2" s="1"/>
  <c r="S27" i="2" s="1"/>
  <c r="I28" i="2"/>
  <c r="J28" i="2"/>
  <c r="N28" i="2" s="1"/>
  <c r="O28" i="2" s="1"/>
  <c r="P28" i="2" s="1"/>
  <c r="Q28" i="2" s="1"/>
  <c r="R28" i="2" s="1"/>
  <c r="S28" i="2" s="1"/>
  <c r="I29" i="2"/>
  <c r="J29" i="2"/>
  <c r="N29" i="2" s="1"/>
  <c r="O29" i="2" s="1"/>
  <c r="P29" i="2" s="1"/>
  <c r="Q29" i="2" s="1"/>
  <c r="R29" i="2" s="1"/>
  <c r="S29" i="2" s="1"/>
  <c r="I30" i="2"/>
  <c r="J30" i="2"/>
  <c r="N30" i="2" s="1"/>
  <c r="O30" i="2" s="1"/>
  <c r="P30" i="2" s="1"/>
  <c r="Q30" i="2" s="1"/>
  <c r="R30" i="2" s="1"/>
  <c r="S30" i="2" s="1"/>
  <c r="I31" i="2"/>
  <c r="J31" i="2"/>
  <c r="N31" i="2" s="1"/>
  <c r="O31" i="2" s="1"/>
  <c r="P31" i="2" s="1"/>
  <c r="Q31" i="2" s="1"/>
  <c r="R31" i="2" s="1"/>
  <c r="S31" i="2" s="1"/>
  <c r="I32" i="2"/>
  <c r="J32" i="2"/>
  <c r="N32" i="2" s="1"/>
  <c r="O32" i="2" s="1"/>
  <c r="P32" i="2" s="1"/>
  <c r="Q32" i="2" s="1"/>
  <c r="R32" i="2" s="1"/>
  <c r="S32" i="2" s="1"/>
  <c r="I33" i="2"/>
  <c r="J33" i="2"/>
  <c r="N33" i="2" s="1"/>
  <c r="O33" i="2" s="1"/>
  <c r="P33" i="2" s="1"/>
  <c r="Q33" i="2" s="1"/>
  <c r="R33" i="2" s="1"/>
  <c r="S33" i="2" s="1"/>
  <c r="I34" i="2"/>
  <c r="J34" i="2"/>
  <c r="N34" i="2" s="1"/>
  <c r="O34" i="2" s="1"/>
  <c r="P34" i="2" s="1"/>
  <c r="Q34" i="2" s="1"/>
  <c r="R34" i="2" s="1"/>
  <c r="S34" i="2" s="1"/>
  <c r="I35" i="2"/>
  <c r="J35" i="2"/>
  <c r="N35" i="2" s="1"/>
  <c r="O35" i="2" s="1"/>
  <c r="P35" i="2" s="1"/>
  <c r="Q35" i="2" s="1"/>
  <c r="R35" i="2" s="1"/>
  <c r="S35" i="2" s="1"/>
  <c r="I36" i="2"/>
  <c r="J36" i="2"/>
  <c r="N36" i="2" s="1"/>
  <c r="O36" i="2" s="1"/>
  <c r="P36" i="2" s="1"/>
  <c r="Q36" i="2" s="1"/>
  <c r="R36" i="2" s="1"/>
  <c r="S36" i="2" s="1"/>
  <c r="I37" i="2"/>
  <c r="J37" i="2"/>
  <c r="N37" i="2" s="1"/>
  <c r="O37" i="2" s="1"/>
  <c r="P37" i="2" s="1"/>
  <c r="Q37" i="2" s="1"/>
  <c r="R37" i="2" s="1"/>
  <c r="S37" i="2" s="1"/>
  <c r="I38" i="2"/>
  <c r="J38" i="2"/>
  <c r="N38" i="2" s="1"/>
  <c r="O38" i="2" s="1"/>
  <c r="P38" i="2" s="1"/>
  <c r="Q38" i="2" s="1"/>
  <c r="R38" i="2" s="1"/>
  <c r="S38" i="2" s="1"/>
  <c r="I39" i="2"/>
  <c r="J39" i="2"/>
  <c r="N39" i="2" s="1"/>
  <c r="O39" i="2" s="1"/>
  <c r="P39" i="2" s="1"/>
  <c r="Q39" i="2" s="1"/>
  <c r="R39" i="2" s="1"/>
  <c r="S39" i="2" s="1"/>
  <c r="I40" i="2"/>
  <c r="J40" i="2"/>
  <c r="N40" i="2" s="1"/>
  <c r="O40" i="2" s="1"/>
  <c r="P40" i="2" s="1"/>
  <c r="Q40" i="2" s="1"/>
  <c r="R40" i="2" s="1"/>
  <c r="S40" i="2" s="1"/>
  <c r="I41" i="2"/>
  <c r="J41" i="2"/>
  <c r="N41" i="2" s="1"/>
  <c r="O41" i="2" s="1"/>
  <c r="P41" i="2" s="1"/>
  <c r="Q41" i="2" s="1"/>
  <c r="R41" i="2" s="1"/>
  <c r="S41" i="2" s="1"/>
  <c r="I42" i="2"/>
  <c r="J42" i="2"/>
  <c r="N42" i="2" s="1"/>
  <c r="O42" i="2" s="1"/>
  <c r="P42" i="2" s="1"/>
  <c r="Q42" i="2" s="1"/>
  <c r="R42" i="2" s="1"/>
  <c r="S42" i="2" s="1"/>
  <c r="I43" i="2"/>
  <c r="J43" i="2"/>
  <c r="N43" i="2" s="1"/>
  <c r="O43" i="2" s="1"/>
  <c r="P43" i="2" s="1"/>
  <c r="Q43" i="2" s="1"/>
  <c r="R43" i="2" s="1"/>
  <c r="S43" i="2" s="1"/>
  <c r="I44" i="2"/>
  <c r="J44" i="2"/>
  <c r="N44" i="2" s="1"/>
  <c r="O44" i="2" s="1"/>
  <c r="P44" i="2" s="1"/>
  <c r="Q44" i="2" s="1"/>
  <c r="R44" i="2" s="1"/>
  <c r="S44" i="2" s="1"/>
  <c r="I45" i="2"/>
  <c r="J45" i="2"/>
  <c r="N45" i="2" s="1"/>
  <c r="O45" i="2" s="1"/>
  <c r="P45" i="2" s="1"/>
  <c r="Q45" i="2" s="1"/>
  <c r="R45" i="2" s="1"/>
  <c r="S45" i="2" s="1"/>
  <c r="I46" i="2"/>
  <c r="J46" i="2"/>
  <c r="N46" i="2" s="1"/>
  <c r="O46" i="2" s="1"/>
  <c r="P46" i="2" s="1"/>
  <c r="Q46" i="2" s="1"/>
  <c r="R46" i="2" s="1"/>
  <c r="S46" i="2" s="1"/>
  <c r="I47" i="2"/>
  <c r="J47" i="2"/>
  <c r="N47" i="2" s="1"/>
  <c r="O47" i="2" s="1"/>
  <c r="P47" i="2" s="1"/>
  <c r="Q47" i="2" s="1"/>
  <c r="R47" i="2" s="1"/>
  <c r="S47" i="2" s="1"/>
  <c r="I48" i="2"/>
  <c r="J48" i="2"/>
  <c r="N48" i="2" s="1"/>
  <c r="O48" i="2" s="1"/>
  <c r="P48" i="2" s="1"/>
  <c r="Q48" i="2" s="1"/>
  <c r="R48" i="2" s="1"/>
  <c r="S48" i="2" s="1"/>
  <c r="I49" i="2"/>
  <c r="J49" i="2"/>
  <c r="N49" i="2" s="1"/>
  <c r="O49" i="2" s="1"/>
  <c r="P49" i="2" s="1"/>
  <c r="Q49" i="2" s="1"/>
  <c r="R49" i="2" s="1"/>
  <c r="S49" i="2" s="1"/>
  <c r="I50" i="2"/>
  <c r="J50" i="2"/>
  <c r="N50" i="2" s="1"/>
  <c r="O50" i="2" s="1"/>
  <c r="P50" i="2" s="1"/>
  <c r="Q50" i="2" s="1"/>
  <c r="R50" i="2" s="1"/>
  <c r="S50" i="2" s="1"/>
  <c r="I51" i="2"/>
  <c r="J51" i="2"/>
  <c r="N51" i="2" s="1"/>
  <c r="O51" i="2" s="1"/>
  <c r="P51" i="2" s="1"/>
  <c r="Q51" i="2" s="1"/>
  <c r="R51" i="2" s="1"/>
  <c r="S51" i="2" s="1"/>
  <c r="I52" i="2"/>
  <c r="J52" i="2"/>
  <c r="N52" i="2" s="1"/>
  <c r="O52" i="2" s="1"/>
  <c r="P52" i="2" s="1"/>
  <c r="Q52" i="2" s="1"/>
  <c r="R52" i="2" s="1"/>
  <c r="S52" i="2" s="1"/>
  <c r="I53" i="2"/>
  <c r="J53" i="2"/>
  <c r="N53" i="2" s="1"/>
  <c r="O53" i="2" s="1"/>
  <c r="P53" i="2" s="1"/>
  <c r="Q53" i="2" s="1"/>
  <c r="R53" i="2" s="1"/>
  <c r="S53" i="2" s="1"/>
  <c r="I54" i="2"/>
  <c r="J54" i="2"/>
  <c r="N54" i="2" s="1"/>
  <c r="O54" i="2" s="1"/>
  <c r="P54" i="2" s="1"/>
  <c r="Q54" i="2" s="1"/>
  <c r="R54" i="2" s="1"/>
  <c r="S54" i="2" s="1"/>
  <c r="I55" i="2"/>
  <c r="J55" i="2"/>
  <c r="N55" i="2" s="1"/>
  <c r="O55" i="2" s="1"/>
  <c r="P55" i="2" s="1"/>
  <c r="Q55" i="2" s="1"/>
  <c r="R55" i="2" s="1"/>
  <c r="S55" i="2" s="1"/>
  <c r="I56" i="2"/>
  <c r="J56" i="2"/>
  <c r="N56" i="2" s="1"/>
  <c r="O56" i="2" s="1"/>
  <c r="P56" i="2" s="1"/>
  <c r="Q56" i="2" s="1"/>
  <c r="R56" i="2" s="1"/>
  <c r="S56" i="2" s="1"/>
  <c r="I57" i="2"/>
  <c r="J57" i="2"/>
  <c r="N57" i="2" s="1"/>
  <c r="O57" i="2" s="1"/>
  <c r="P57" i="2" s="1"/>
  <c r="Q57" i="2" s="1"/>
  <c r="R57" i="2" s="1"/>
  <c r="S57" i="2" s="1"/>
  <c r="I58" i="2"/>
  <c r="J58" i="2"/>
  <c r="N58" i="2" s="1"/>
  <c r="O58" i="2" s="1"/>
  <c r="P58" i="2" s="1"/>
  <c r="Q58" i="2" s="1"/>
  <c r="R58" i="2" s="1"/>
  <c r="S58" i="2" s="1"/>
  <c r="I59" i="2"/>
  <c r="J59" i="2"/>
  <c r="N59" i="2" s="1"/>
  <c r="O59" i="2" s="1"/>
  <c r="P59" i="2" s="1"/>
  <c r="Q59" i="2" s="1"/>
  <c r="R59" i="2" s="1"/>
  <c r="S59" i="2" s="1"/>
  <c r="I60" i="2"/>
  <c r="J60" i="2"/>
  <c r="N60" i="2" s="1"/>
  <c r="O60" i="2" s="1"/>
  <c r="P60" i="2" s="1"/>
  <c r="Q60" i="2" s="1"/>
  <c r="R60" i="2" s="1"/>
  <c r="S60" i="2" s="1"/>
  <c r="I61" i="2"/>
  <c r="J61" i="2"/>
  <c r="N61" i="2" s="1"/>
  <c r="O61" i="2" s="1"/>
  <c r="P61" i="2" s="1"/>
  <c r="Q61" i="2" s="1"/>
  <c r="R61" i="2" s="1"/>
  <c r="S61" i="2" s="1"/>
  <c r="I62" i="2"/>
  <c r="J62" i="2"/>
  <c r="N62" i="2" s="1"/>
  <c r="O62" i="2" s="1"/>
  <c r="P62" i="2" s="1"/>
  <c r="Q62" i="2" s="1"/>
  <c r="R62" i="2" s="1"/>
  <c r="S62" i="2" s="1"/>
  <c r="I63" i="2"/>
  <c r="J63" i="2"/>
  <c r="N63" i="2" s="1"/>
  <c r="O63" i="2" s="1"/>
  <c r="P63" i="2" s="1"/>
  <c r="Q63" i="2" s="1"/>
  <c r="R63" i="2" s="1"/>
  <c r="S63" i="2" s="1"/>
  <c r="I64" i="2"/>
  <c r="J64" i="2"/>
  <c r="N64" i="2" s="1"/>
  <c r="O64" i="2" s="1"/>
  <c r="P64" i="2" s="1"/>
  <c r="Q64" i="2" s="1"/>
  <c r="R64" i="2" s="1"/>
  <c r="S64" i="2" s="1"/>
  <c r="I65" i="2"/>
  <c r="J65" i="2"/>
  <c r="N65" i="2" s="1"/>
  <c r="O65" i="2" s="1"/>
  <c r="P65" i="2" s="1"/>
  <c r="Q65" i="2" s="1"/>
  <c r="R65" i="2" s="1"/>
  <c r="S65" i="2" s="1"/>
  <c r="I66" i="2"/>
  <c r="J66" i="2"/>
  <c r="N66" i="2" s="1"/>
  <c r="O66" i="2" s="1"/>
  <c r="P66" i="2" s="1"/>
  <c r="Q66" i="2" s="1"/>
  <c r="R66" i="2" s="1"/>
  <c r="S66" i="2" s="1"/>
  <c r="I67" i="2"/>
  <c r="J67" i="2"/>
  <c r="N67" i="2" s="1"/>
  <c r="O67" i="2" s="1"/>
  <c r="P67" i="2" s="1"/>
  <c r="Q67" i="2" s="1"/>
  <c r="R67" i="2" s="1"/>
  <c r="S67" i="2" s="1"/>
  <c r="I68" i="2"/>
  <c r="J68" i="2"/>
  <c r="N68" i="2" s="1"/>
  <c r="O68" i="2" s="1"/>
  <c r="P68" i="2" s="1"/>
  <c r="Q68" i="2" s="1"/>
  <c r="R68" i="2" s="1"/>
  <c r="S68" i="2" s="1"/>
  <c r="I69" i="2"/>
  <c r="J69" i="2"/>
  <c r="N69" i="2" s="1"/>
  <c r="O69" i="2" s="1"/>
  <c r="P69" i="2" s="1"/>
  <c r="Q69" i="2" s="1"/>
  <c r="R69" i="2" s="1"/>
  <c r="S69" i="2" s="1"/>
  <c r="I70" i="2"/>
  <c r="J70" i="2"/>
  <c r="N70" i="2" s="1"/>
  <c r="O70" i="2" s="1"/>
  <c r="P70" i="2" s="1"/>
  <c r="Q70" i="2" s="1"/>
  <c r="R70" i="2" s="1"/>
  <c r="S70" i="2" s="1"/>
  <c r="I71" i="2"/>
  <c r="J71" i="2"/>
  <c r="N71" i="2" s="1"/>
  <c r="O71" i="2" s="1"/>
  <c r="P71" i="2" s="1"/>
  <c r="Q71" i="2" s="1"/>
  <c r="R71" i="2" s="1"/>
  <c r="S71" i="2" s="1"/>
  <c r="I72" i="2"/>
  <c r="J72" i="2"/>
  <c r="N72" i="2" s="1"/>
  <c r="O72" i="2" s="1"/>
  <c r="P72" i="2" s="1"/>
  <c r="Q72" i="2" s="1"/>
  <c r="R72" i="2" s="1"/>
  <c r="S72" i="2" s="1"/>
  <c r="I73" i="2"/>
  <c r="J73" i="2"/>
  <c r="N73" i="2" s="1"/>
  <c r="O73" i="2" s="1"/>
  <c r="P73" i="2" s="1"/>
  <c r="Q73" i="2" s="1"/>
  <c r="R73" i="2" s="1"/>
  <c r="S73" i="2" s="1"/>
  <c r="I74" i="2"/>
  <c r="J74" i="2"/>
  <c r="N74" i="2" s="1"/>
  <c r="O74" i="2" s="1"/>
  <c r="P74" i="2" s="1"/>
  <c r="Q74" i="2" s="1"/>
  <c r="R74" i="2" s="1"/>
  <c r="S74" i="2" s="1"/>
  <c r="I75" i="2"/>
  <c r="J75" i="2"/>
  <c r="N75" i="2" s="1"/>
  <c r="O75" i="2" s="1"/>
  <c r="P75" i="2" s="1"/>
  <c r="Q75" i="2" s="1"/>
  <c r="R75" i="2" s="1"/>
  <c r="S75" i="2" s="1"/>
  <c r="I76" i="2"/>
  <c r="J76" i="2"/>
  <c r="N76" i="2" s="1"/>
  <c r="O76" i="2" s="1"/>
  <c r="P76" i="2" s="1"/>
  <c r="Q76" i="2" s="1"/>
  <c r="R76" i="2" s="1"/>
  <c r="S76" i="2" s="1"/>
  <c r="I77" i="2"/>
  <c r="J77" i="2"/>
  <c r="N77" i="2" s="1"/>
  <c r="O77" i="2" s="1"/>
  <c r="P77" i="2" s="1"/>
  <c r="Q77" i="2" s="1"/>
  <c r="R77" i="2" s="1"/>
  <c r="S77" i="2" s="1"/>
  <c r="I78" i="2"/>
  <c r="J78" i="2"/>
  <c r="N78" i="2" s="1"/>
  <c r="O78" i="2" s="1"/>
  <c r="P78" i="2" s="1"/>
  <c r="Q78" i="2" s="1"/>
  <c r="R78" i="2" s="1"/>
  <c r="S78" i="2" s="1"/>
  <c r="I79" i="2"/>
  <c r="J79" i="2"/>
  <c r="N79" i="2" s="1"/>
  <c r="O79" i="2" s="1"/>
  <c r="P79" i="2" s="1"/>
  <c r="Q79" i="2" s="1"/>
  <c r="R79" i="2" s="1"/>
  <c r="S79" i="2" s="1"/>
  <c r="I80" i="2"/>
  <c r="J80" i="2"/>
  <c r="N80" i="2" s="1"/>
  <c r="O80" i="2" s="1"/>
  <c r="P80" i="2" s="1"/>
  <c r="Q80" i="2" s="1"/>
  <c r="R80" i="2" s="1"/>
  <c r="S80" i="2" s="1"/>
  <c r="I81" i="2"/>
  <c r="J81" i="2"/>
  <c r="N81" i="2" s="1"/>
  <c r="O81" i="2" s="1"/>
  <c r="P81" i="2" s="1"/>
  <c r="Q81" i="2" s="1"/>
  <c r="R81" i="2" s="1"/>
  <c r="S81" i="2" s="1"/>
  <c r="I82" i="2"/>
  <c r="J82" i="2"/>
  <c r="N82" i="2" s="1"/>
  <c r="O82" i="2" s="1"/>
  <c r="P82" i="2" s="1"/>
  <c r="Q82" i="2" s="1"/>
  <c r="R82" i="2" s="1"/>
  <c r="S82" i="2" s="1"/>
  <c r="I83" i="2"/>
  <c r="J83" i="2"/>
  <c r="N83" i="2" s="1"/>
  <c r="O83" i="2" s="1"/>
  <c r="P83" i="2" s="1"/>
  <c r="Q83" i="2" s="1"/>
  <c r="R83" i="2" s="1"/>
  <c r="S83" i="2" s="1"/>
  <c r="I84" i="2"/>
  <c r="J84" i="2"/>
  <c r="N84" i="2" s="1"/>
  <c r="O84" i="2" s="1"/>
  <c r="P84" i="2" s="1"/>
  <c r="Q84" i="2" s="1"/>
  <c r="R84" i="2" s="1"/>
  <c r="S84" i="2" s="1"/>
  <c r="I85" i="2"/>
  <c r="J85" i="2"/>
  <c r="N85" i="2" s="1"/>
  <c r="O85" i="2" s="1"/>
  <c r="P85" i="2" s="1"/>
  <c r="Q85" i="2" s="1"/>
  <c r="R85" i="2" s="1"/>
  <c r="S85" i="2" s="1"/>
  <c r="I86" i="2"/>
  <c r="J86" i="2"/>
  <c r="N86" i="2" s="1"/>
  <c r="O86" i="2" s="1"/>
  <c r="P86" i="2" s="1"/>
  <c r="Q86" i="2" s="1"/>
  <c r="R86" i="2" s="1"/>
  <c r="S86" i="2" s="1"/>
  <c r="I87" i="2"/>
  <c r="J87" i="2"/>
  <c r="N87" i="2" s="1"/>
  <c r="O87" i="2" s="1"/>
  <c r="P87" i="2" s="1"/>
  <c r="Q87" i="2" s="1"/>
  <c r="R87" i="2" s="1"/>
  <c r="S87" i="2" s="1"/>
  <c r="I88" i="2"/>
  <c r="J88" i="2"/>
  <c r="N88" i="2" s="1"/>
  <c r="O88" i="2" s="1"/>
  <c r="P88" i="2" s="1"/>
  <c r="Q88" i="2" s="1"/>
  <c r="R88" i="2" s="1"/>
  <c r="S88" i="2" s="1"/>
  <c r="I89" i="2"/>
  <c r="J89" i="2"/>
  <c r="N89" i="2" s="1"/>
  <c r="O89" i="2" s="1"/>
  <c r="P89" i="2" s="1"/>
  <c r="Q89" i="2" s="1"/>
  <c r="R89" i="2" s="1"/>
  <c r="S89" i="2" s="1"/>
  <c r="I90" i="2"/>
  <c r="J90" i="2"/>
  <c r="N90" i="2" s="1"/>
  <c r="O90" i="2" s="1"/>
  <c r="P90" i="2" s="1"/>
  <c r="Q90" i="2" s="1"/>
  <c r="R90" i="2" s="1"/>
  <c r="S90" i="2" s="1"/>
  <c r="I91" i="2"/>
  <c r="J91" i="2"/>
  <c r="N91" i="2" s="1"/>
  <c r="O91" i="2" s="1"/>
  <c r="P91" i="2" s="1"/>
  <c r="Q91" i="2" s="1"/>
  <c r="R91" i="2" s="1"/>
  <c r="S91" i="2" s="1"/>
  <c r="I92" i="2"/>
  <c r="J92" i="2"/>
  <c r="N92" i="2" s="1"/>
  <c r="O92" i="2" s="1"/>
  <c r="P92" i="2" s="1"/>
  <c r="Q92" i="2" s="1"/>
  <c r="R92" i="2" s="1"/>
  <c r="S92" i="2" s="1"/>
  <c r="I93" i="2"/>
  <c r="J93" i="2"/>
  <c r="N93" i="2" s="1"/>
  <c r="O93" i="2" s="1"/>
  <c r="P93" i="2" s="1"/>
  <c r="Q93" i="2" s="1"/>
  <c r="R93" i="2" s="1"/>
  <c r="S93" i="2" s="1"/>
  <c r="I94" i="2"/>
  <c r="J94" i="2"/>
  <c r="N94" i="2" s="1"/>
  <c r="O94" i="2" s="1"/>
  <c r="P94" i="2" s="1"/>
  <c r="Q94" i="2" s="1"/>
  <c r="R94" i="2" s="1"/>
  <c r="S94" i="2" s="1"/>
  <c r="I95" i="2"/>
  <c r="J95" i="2"/>
  <c r="N95" i="2" s="1"/>
  <c r="O95" i="2" s="1"/>
  <c r="P95" i="2" s="1"/>
  <c r="Q95" i="2" s="1"/>
  <c r="R95" i="2" s="1"/>
  <c r="S95" i="2" s="1"/>
  <c r="I96" i="2"/>
  <c r="J96" i="2"/>
  <c r="N96" i="2" s="1"/>
  <c r="O96" i="2" s="1"/>
  <c r="P96" i="2" s="1"/>
  <c r="Q96" i="2" s="1"/>
  <c r="R96" i="2" s="1"/>
  <c r="S96" i="2" s="1"/>
  <c r="I97" i="2"/>
  <c r="J97" i="2"/>
  <c r="N97" i="2" s="1"/>
  <c r="O97" i="2" s="1"/>
  <c r="P97" i="2" s="1"/>
  <c r="Q97" i="2" s="1"/>
  <c r="R97" i="2" s="1"/>
  <c r="S97" i="2" s="1"/>
  <c r="I98" i="2"/>
  <c r="J98" i="2"/>
  <c r="N98" i="2" s="1"/>
  <c r="O98" i="2" s="1"/>
  <c r="P98" i="2" s="1"/>
  <c r="Q98" i="2" s="1"/>
  <c r="R98" i="2" s="1"/>
  <c r="S98" i="2" s="1"/>
  <c r="I99" i="2"/>
  <c r="J99" i="2"/>
  <c r="N99" i="2" s="1"/>
  <c r="O99" i="2" s="1"/>
  <c r="P99" i="2" s="1"/>
  <c r="Q99" i="2" s="1"/>
  <c r="R99" i="2" s="1"/>
  <c r="S99" i="2" s="1"/>
  <c r="I100" i="2"/>
  <c r="J100" i="2"/>
  <c r="N100" i="2" s="1"/>
  <c r="O100" i="2" s="1"/>
  <c r="P100" i="2" s="1"/>
  <c r="Q100" i="2" s="1"/>
  <c r="R100" i="2" s="1"/>
  <c r="S100" i="2" s="1"/>
  <c r="I101" i="2"/>
  <c r="J101" i="2"/>
  <c r="N101" i="2" s="1"/>
  <c r="O101" i="2" s="1"/>
  <c r="P101" i="2" s="1"/>
  <c r="Q101" i="2" s="1"/>
  <c r="R101" i="2" s="1"/>
  <c r="S101" i="2" s="1"/>
  <c r="I102" i="2"/>
  <c r="J102" i="2"/>
  <c r="N102" i="2" s="1"/>
  <c r="O102" i="2" s="1"/>
  <c r="P102" i="2" s="1"/>
  <c r="Q102" i="2" s="1"/>
  <c r="R102" i="2" s="1"/>
  <c r="S102" i="2" s="1"/>
  <c r="I103" i="2"/>
  <c r="J103" i="2"/>
  <c r="N103" i="2" s="1"/>
  <c r="O103" i="2" s="1"/>
  <c r="P103" i="2" s="1"/>
  <c r="Q103" i="2" s="1"/>
  <c r="R103" i="2" s="1"/>
  <c r="S103" i="2" s="1"/>
  <c r="I104" i="2"/>
  <c r="J104" i="2"/>
  <c r="N104" i="2" s="1"/>
  <c r="O104" i="2" s="1"/>
  <c r="P104" i="2" s="1"/>
  <c r="Q104" i="2" s="1"/>
  <c r="R104" i="2" s="1"/>
  <c r="S104" i="2" s="1"/>
  <c r="I105" i="2"/>
  <c r="J105" i="2"/>
  <c r="N105" i="2" s="1"/>
  <c r="O105" i="2" s="1"/>
  <c r="P105" i="2" s="1"/>
  <c r="Q105" i="2" s="1"/>
  <c r="R105" i="2" s="1"/>
  <c r="S105" i="2" s="1"/>
  <c r="I106" i="2"/>
  <c r="J106" i="2"/>
  <c r="N106" i="2" s="1"/>
  <c r="O106" i="2" s="1"/>
  <c r="P106" i="2" s="1"/>
  <c r="Q106" i="2" s="1"/>
  <c r="R106" i="2" s="1"/>
  <c r="S106" i="2" s="1"/>
  <c r="I107" i="2"/>
  <c r="J107" i="2"/>
  <c r="N107" i="2" s="1"/>
  <c r="O107" i="2" s="1"/>
  <c r="P107" i="2" s="1"/>
  <c r="Q107" i="2" s="1"/>
  <c r="R107" i="2" s="1"/>
  <c r="S107" i="2" s="1"/>
  <c r="I108" i="2"/>
  <c r="J108" i="2"/>
  <c r="N108" i="2" s="1"/>
  <c r="O108" i="2" s="1"/>
  <c r="P108" i="2" s="1"/>
  <c r="Q108" i="2" s="1"/>
  <c r="R108" i="2" s="1"/>
  <c r="S108" i="2" s="1"/>
  <c r="I109" i="2"/>
  <c r="J109" i="2"/>
  <c r="N109" i="2" s="1"/>
  <c r="O109" i="2" s="1"/>
  <c r="P109" i="2" s="1"/>
  <c r="Q109" i="2" s="1"/>
  <c r="R109" i="2" s="1"/>
  <c r="S109" i="2" s="1"/>
  <c r="I110" i="2"/>
  <c r="J110" i="2"/>
  <c r="N110" i="2" s="1"/>
  <c r="O110" i="2" s="1"/>
  <c r="P110" i="2" s="1"/>
  <c r="Q110" i="2" s="1"/>
  <c r="R110" i="2" s="1"/>
  <c r="S110" i="2" s="1"/>
  <c r="I111" i="2"/>
  <c r="J111" i="2"/>
  <c r="N111" i="2" s="1"/>
  <c r="O111" i="2" s="1"/>
  <c r="P111" i="2" s="1"/>
  <c r="Q111" i="2" s="1"/>
  <c r="R111" i="2" s="1"/>
  <c r="S111" i="2" s="1"/>
  <c r="I112" i="2"/>
  <c r="J112" i="2"/>
  <c r="N112" i="2" s="1"/>
  <c r="O112" i="2" s="1"/>
  <c r="P112" i="2" s="1"/>
  <c r="Q112" i="2" s="1"/>
  <c r="R112" i="2" s="1"/>
  <c r="S112" i="2" s="1"/>
  <c r="I113" i="2"/>
  <c r="J113" i="2"/>
  <c r="N113" i="2" s="1"/>
  <c r="O113" i="2" s="1"/>
  <c r="P113" i="2" s="1"/>
  <c r="Q113" i="2" s="1"/>
  <c r="R113" i="2" s="1"/>
  <c r="S113" i="2" s="1"/>
  <c r="I114" i="2"/>
  <c r="J114" i="2"/>
  <c r="N114" i="2" s="1"/>
  <c r="O114" i="2" s="1"/>
  <c r="P114" i="2" s="1"/>
  <c r="Q114" i="2" s="1"/>
  <c r="R114" i="2" s="1"/>
  <c r="S114" i="2" s="1"/>
  <c r="I115" i="2"/>
  <c r="J115" i="2"/>
  <c r="N115" i="2" s="1"/>
  <c r="O115" i="2" s="1"/>
  <c r="P115" i="2" s="1"/>
  <c r="Q115" i="2" s="1"/>
  <c r="R115" i="2" s="1"/>
  <c r="S115" i="2" s="1"/>
  <c r="I116" i="2"/>
  <c r="J116" i="2"/>
  <c r="N116" i="2" s="1"/>
  <c r="O116" i="2" s="1"/>
  <c r="P116" i="2" s="1"/>
  <c r="Q116" i="2" s="1"/>
  <c r="R116" i="2" s="1"/>
  <c r="S116" i="2" s="1"/>
  <c r="I117" i="2"/>
  <c r="J117" i="2"/>
  <c r="N117" i="2" s="1"/>
  <c r="O117" i="2" s="1"/>
  <c r="P117" i="2" s="1"/>
  <c r="Q117" i="2" s="1"/>
  <c r="R117" i="2" s="1"/>
  <c r="S117" i="2" s="1"/>
  <c r="I118" i="2"/>
  <c r="J118" i="2"/>
  <c r="N118" i="2" s="1"/>
  <c r="O118" i="2" s="1"/>
  <c r="P118" i="2" s="1"/>
  <c r="Q118" i="2" s="1"/>
  <c r="R118" i="2" s="1"/>
  <c r="S118" i="2" s="1"/>
  <c r="I119" i="2"/>
  <c r="J119" i="2"/>
  <c r="N119" i="2" s="1"/>
  <c r="O119" i="2" s="1"/>
  <c r="P119" i="2" s="1"/>
  <c r="Q119" i="2" s="1"/>
  <c r="R119" i="2" s="1"/>
  <c r="S119" i="2" s="1"/>
  <c r="I120" i="2"/>
  <c r="J120" i="2"/>
  <c r="N120" i="2" s="1"/>
  <c r="O120" i="2" s="1"/>
  <c r="P120" i="2" s="1"/>
  <c r="Q120" i="2" s="1"/>
  <c r="R120" i="2" s="1"/>
  <c r="S120" i="2" s="1"/>
  <c r="I121" i="2"/>
  <c r="J121" i="2"/>
  <c r="N121" i="2" s="1"/>
  <c r="O121" i="2" s="1"/>
  <c r="P121" i="2" s="1"/>
  <c r="Q121" i="2" s="1"/>
  <c r="R121" i="2" s="1"/>
  <c r="S121" i="2" s="1"/>
  <c r="I122" i="2"/>
  <c r="J122" i="2"/>
  <c r="N122" i="2" s="1"/>
  <c r="O122" i="2" s="1"/>
  <c r="P122" i="2" s="1"/>
  <c r="Q122" i="2" s="1"/>
  <c r="R122" i="2" s="1"/>
  <c r="S122" i="2" s="1"/>
  <c r="I123" i="2"/>
  <c r="J123" i="2"/>
  <c r="N123" i="2" s="1"/>
  <c r="O123" i="2" s="1"/>
  <c r="P123" i="2" s="1"/>
  <c r="Q123" i="2" s="1"/>
  <c r="R123" i="2" s="1"/>
  <c r="S123" i="2" s="1"/>
  <c r="I124" i="2"/>
  <c r="J124" i="2"/>
  <c r="N124" i="2" s="1"/>
  <c r="O124" i="2" s="1"/>
  <c r="P124" i="2" s="1"/>
  <c r="Q124" i="2" s="1"/>
  <c r="R124" i="2" s="1"/>
  <c r="S124" i="2" s="1"/>
  <c r="I125" i="2"/>
  <c r="J125" i="2"/>
  <c r="N125" i="2" s="1"/>
  <c r="O125" i="2" s="1"/>
  <c r="P125" i="2" s="1"/>
  <c r="Q125" i="2" s="1"/>
  <c r="R125" i="2" s="1"/>
  <c r="S125" i="2" s="1"/>
  <c r="I126" i="2"/>
  <c r="J126" i="2"/>
  <c r="N126" i="2" s="1"/>
  <c r="O126" i="2" s="1"/>
  <c r="P126" i="2" s="1"/>
  <c r="Q126" i="2" s="1"/>
  <c r="R126" i="2" s="1"/>
  <c r="S126" i="2" s="1"/>
  <c r="I127" i="2"/>
  <c r="J127" i="2"/>
  <c r="N127" i="2" s="1"/>
  <c r="O127" i="2" s="1"/>
  <c r="P127" i="2" s="1"/>
  <c r="Q127" i="2" s="1"/>
  <c r="R127" i="2" s="1"/>
  <c r="S127" i="2" s="1"/>
  <c r="I128" i="2"/>
  <c r="J128" i="2"/>
  <c r="N128" i="2" s="1"/>
  <c r="O128" i="2" s="1"/>
  <c r="P128" i="2" s="1"/>
  <c r="Q128" i="2" s="1"/>
  <c r="R128" i="2" s="1"/>
  <c r="S128" i="2" s="1"/>
  <c r="I129" i="2"/>
  <c r="J129" i="2"/>
  <c r="N129" i="2" s="1"/>
  <c r="O129" i="2" s="1"/>
  <c r="P129" i="2" s="1"/>
  <c r="Q129" i="2" s="1"/>
  <c r="R129" i="2" s="1"/>
  <c r="S129" i="2" s="1"/>
  <c r="I130" i="2"/>
  <c r="J130" i="2"/>
  <c r="N130" i="2" s="1"/>
  <c r="O130" i="2" s="1"/>
  <c r="P130" i="2" s="1"/>
  <c r="Q130" i="2" s="1"/>
  <c r="R130" i="2" s="1"/>
  <c r="S130" i="2" s="1"/>
  <c r="I131" i="2"/>
  <c r="J131" i="2"/>
  <c r="N131" i="2" s="1"/>
  <c r="O131" i="2" s="1"/>
  <c r="P131" i="2" s="1"/>
  <c r="Q131" i="2" s="1"/>
  <c r="R131" i="2" s="1"/>
  <c r="S131" i="2" s="1"/>
  <c r="I132" i="2"/>
  <c r="J132" i="2"/>
  <c r="N132" i="2" s="1"/>
  <c r="O132" i="2" s="1"/>
  <c r="P132" i="2" s="1"/>
  <c r="Q132" i="2" s="1"/>
  <c r="R132" i="2" s="1"/>
  <c r="S132" i="2" s="1"/>
  <c r="I133" i="2"/>
  <c r="J133" i="2"/>
  <c r="N133" i="2" s="1"/>
  <c r="O133" i="2" s="1"/>
  <c r="P133" i="2" s="1"/>
  <c r="Q133" i="2" s="1"/>
  <c r="R133" i="2" s="1"/>
  <c r="S133" i="2" s="1"/>
  <c r="I134" i="2"/>
  <c r="J134" i="2"/>
  <c r="N134" i="2" s="1"/>
  <c r="O134" i="2" s="1"/>
  <c r="P134" i="2" s="1"/>
  <c r="Q134" i="2" s="1"/>
  <c r="R134" i="2" s="1"/>
  <c r="S134" i="2" s="1"/>
  <c r="I135" i="2"/>
  <c r="J135" i="2"/>
  <c r="N135" i="2" s="1"/>
  <c r="O135" i="2" s="1"/>
  <c r="P135" i="2" s="1"/>
  <c r="Q135" i="2" s="1"/>
  <c r="R135" i="2" s="1"/>
  <c r="S135" i="2" s="1"/>
  <c r="I136" i="2"/>
  <c r="J136" i="2"/>
  <c r="N136" i="2" s="1"/>
  <c r="O136" i="2" s="1"/>
  <c r="P136" i="2" s="1"/>
  <c r="Q136" i="2" s="1"/>
  <c r="R136" i="2" s="1"/>
  <c r="S136" i="2" s="1"/>
  <c r="I137" i="2"/>
  <c r="J137" i="2"/>
  <c r="N137" i="2" s="1"/>
  <c r="O137" i="2" s="1"/>
  <c r="P137" i="2" s="1"/>
  <c r="Q137" i="2" s="1"/>
  <c r="R137" i="2" s="1"/>
  <c r="S137" i="2" s="1"/>
  <c r="I138" i="2"/>
  <c r="J138" i="2"/>
  <c r="N138" i="2" s="1"/>
  <c r="O138" i="2" s="1"/>
  <c r="P138" i="2" s="1"/>
  <c r="Q138" i="2" s="1"/>
  <c r="R138" i="2" s="1"/>
  <c r="S138" i="2" s="1"/>
  <c r="I139" i="2"/>
  <c r="J139" i="2"/>
  <c r="N139" i="2" s="1"/>
  <c r="O139" i="2" s="1"/>
  <c r="P139" i="2" s="1"/>
  <c r="Q139" i="2" s="1"/>
  <c r="R139" i="2" s="1"/>
  <c r="S139" i="2" s="1"/>
  <c r="I140" i="2"/>
  <c r="J140" i="2"/>
  <c r="N140" i="2" s="1"/>
  <c r="O140" i="2" s="1"/>
  <c r="P140" i="2" s="1"/>
  <c r="Q140" i="2" s="1"/>
  <c r="R140" i="2" s="1"/>
  <c r="S140" i="2" s="1"/>
  <c r="I141" i="2"/>
  <c r="J141" i="2"/>
  <c r="N141" i="2" s="1"/>
  <c r="O141" i="2" s="1"/>
  <c r="P141" i="2" s="1"/>
  <c r="Q141" i="2" s="1"/>
  <c r="R141" i="2" s="1"/>
  <c r="S141" i="2" s="1"/>
  <c r="I142" i="2"/>
  <c r="J142" i="2"/>
  <c r="N142" i="2" s="1"/>
  <c r="O142" i="2" s="1"/>
  <c r="P142" i="2" s="1"/>
  <c r="Q142" i="2" s="1"/>
  <c r="R142" i="2" s="1"/>
  <c r="S142" i="2" s="1"/>
  <c r="I143" i="2"/>
  <c r="J143" i="2"/>
  <c r="N143" i="2" s="1"/>
  <c r="O143" i="2" s="1"/>
  <c r="P143" i="2" s="1"/>
  <c r="Q143" i="2" s="1"/>
  <c r="R143" i="2" s="1"/>
  <c r="S143" i="2" s="1"/>
  <c r="I144" i="2"/>
  <c r="J144" i="2"/>
  <c r="N144" i="2" s="1"/>
  <c r="O144" i="2" s="1"/>
  <c r="P144" i="2" s="1"/>
  <c r="Q144" i="2" s="1"/>
  <c r="R144" i="2" s="1"/>
  <c r="S144" i="2" s="1"/>
  <c r="I145" i="2"/>
  <c r="J145" i="2"/>
  <c r="N145" i="2" s="1"/>
  <c r="O145" i="2" s="1"/>
  <c r="P145" i="2" s="1"/>
  <c r="Q145" i="2" s="1"/>
  <c r="R145" i="2" s="1"/>
  <c r="S145" i="2" s="1"/>
  <c r="I146" i="2"/>
  <c r="J146" i="2"/>
  <c r="N146" i="2" s="1"/>
  <c r="O146" i="2" s="1"/>
  <c r="P146" i="2" s="1"/>
  <c r="Q146" i="2" s="1"/>
  <c r="R146" i="2" s="1"/>
  <c r="S146" i="2" s="1"/>
  <c r="I147" i="2"/>
  <c r="J147" i="2"/>
  <c r="N147" i="2" s="1"/>
  <c r="O147" i="2" s="1"/>
  <c r="P147" i="2" s="1"/>
  <c r="Q147" i="2" s="1"/>
  <c r="R147" i="2" s="1"/>
  <c r="S147" i="2" s="1"/>
  <c r="I148" i="2"/>
  <c r="J148" i="2"/>
  <c r="N148" i="2" s="1"/>
  <c r="O148" i="2" s="1"/>
  <c r="P148" i="2" s="1"/>
  <c r="Q148" i="2" s="1"/>
  <c r="R148" i="2" s="1"/>
  <c r="S148" i="2" s="1"/>
  <c r="I149" i="2"/>
  <c r="J149" i="2"/>
  <c r="N149" i="2" s="1"/>
  <c r="O149" i="2" s="1"/>
  <c r="P149" i="2" s="1"/>
  <c r="Q149" i="2" s="1"/>
  <c r="R149" i="2" s="1"/>
  <c r="S149" i="2" s="1"/>
  <c r="I150" i="2"/>
  <c r="J150" i="2"/>
  <c r="N150" i="2" s="1"/>
  <c r="O150" i="2" s="1"/>
  <c r="P150" i="2" s="1"/>
  <c r="Q150" i="2" s="1"/>
  <c r="R150" i="2" s="1"/>
  <c r="S150" i="2" s="1"/>
  <c r="I151" i="2"/>
  <c r="J151" i="2"/>
  <c r="N151" i="2" s="1"/>
  <c r="O151" i="2" s="1"/>
  <c r="P151" i="2" s="1"/>
  <c r="Q151" i="2" s="1"/>
  <c r="R151" i="2" s="1"/>
  <c r="S151" i="2" s="1"/>
  <c r="I152" i="2"/>
  <c r="J152" i="2"/>
  <c r="N152" i="2" s="1"/>
  <c r="O152" i="2" s="1"/>
  <c r="P152" i="2" s="1"/>
  <c r="Q152" i="2" s="1"/>
  <c r="R152" i="2" s="1"/>
  <c r="S152" i="2" s="1"/>
  <c r="I153" i="2"/>
  <c r="J153" i="2"/>
  <c r="N153" i="2" s="1"/>
  <c r="O153" i="2" s="1"/>
  <c r="P153" i="2" s="1"/>
  <c r="Q153" i="2" s="1"/>
  <c r="R153" i="2" s="1"/>
  <c r="S153" i="2" s="1"/>
  <c r="I154" i="2"/>
  <c r="J154" i="2"/>
  <c r="N154" i="2" s="1"/>
  <c r="O154" i="2" s="1"/>
  <c r="P154" i="2" s="1"/>
  <c r="Q154" i="2" s="1"/>
  <c r="R154" i="2" s="1"/>
  <c r="S154" i="2" s="1"/>
  <c r="I155" i="2"/>
  <c r="J155" i="2"/>
  <c r="N155" i="2" s="1"/>
  <c r="O155" i="2" s="1"/>
  <c r="P155" i="2" s="1"/>
  <c r="Q155" i="2" s="1"/>
  <c r="R155" i="2" s="1"/>
  <c r="S155" i="2" s="1"/>
  <c r="I156" i="2"/>
  <c r="J156" i="2"/>
  <c r="N156" i="2" s="1"/>
  <c r="O156" i="2" s="1"/>
  <c r="P156" i="2" s="1"/>
  <c r="Q156" i="2" s="1"/>
  <c r="R156" i="2" s="1"/>
  <c r="S156" i="2" s="1"/>
  <c r="I157" i="2"/>
  <c r="J157" i="2"/>
  <c r="N157" i="2" s="1"/>
  <c r="O157" i="2" s="1"/>
  <c r="P157" i="2" s="1"/>
  <c r="Q157" i="2" s="1"/>
  <c r="R157" i="2" s="1"/>
  <c r="S157" i="2" s="1"/>
  <c r="I158" i="2"/>
  <c r="J158" i="2"/>
  <c r="N158" i="2" s="1"/>
  <c r="O158" i="2" s="1"/>
  <c r="P158" i="2" s="1"/>
  <c r="Q158" i="2" s="1"/>
  <c r="R158" i="2" s="1"/>
  <c r="S158" i="2" s="1"/>
  <c r="I159" i="2"/>
  <c r="J159" i="2"/>
  <c r="N159" i="2" s="1"/>
  <c r="O159" i="2" s="1"/>
  <c r="P159" i="2" s="1"/>
  <c r="Q159" i="2" s="1"/>
  <c r="R159" i="2" s="1"/>
  <c r="S159" i="2" s="1"/>
  <c r="I160" i="2"/>
  <c r="J160" i="2"/>
  <c r="N160" i="2" s="1"/>
  <c r="O160" i="2" s="1"/>
  <c r="P160" i="2" s="1"/>
  <c r="Q160" i="2" s="1"/>
  <c r="R160" i="2" s="1"/>
  <c r="S160" i="2" s="1"/>
  <c r="I161" i="2"/>
  <c r="J161" i="2"/>
  <c r="N161" i="2" s="1"/>
  <c r="O161" i="2" s="1"/>
  <c r="P161" i="2" s="1"/>
  <c r="Q161" i="2" s="1"/>
  <c r="R161" i="2" s="1"/>
  <c r="S161" i="2" s="1"/>
  <c r="I162" i="2"/>
  <c r="J162" i="2"/>
  <c r="N162" i="2" s="1"/>
  <c r="O162" i="2" s="1"/>
  <c r="P162" i="2" s="1"/>
  <c r="Q162" i="2" s="1"/>
  <c r="R162" i="2" s="1"/>
  <c r="S162" i="2" s="1"/>
  <c r="I163" i="2"/>
  <c r="J163" i="2"/>
  <c r="N163" i="2" s="1"/>
  <c r="O163" i="2" s="1"/>
  <c r="P163" i="2" s="1"/>
  <c r="Q163" i="2" s="1"/>
  <c r="R163" i="2" s="1"/>
  <c r="S163" i="2" s="1"/>
  <c r="I164" i="2"/>
  <c r="J164" i="2"/>
  <c r="N164" i="2" s="1"/>
  <c r="O164" i="2" s="1"/>
  <c r="P164" i="2" s="1"/>
  <c r="Q164" i="2" s="1"/>
  <c r="R164" i="2" s="1"/>
  <c r="S164" i="2" s="1"/>
  <c r="I165" i="2"/>
  <c r="J165" i="2"/>
  <c r="N165" i="2" s="1"/>
  <c r="O165" i="2" s="1"/>
  <c r="P165" i="2" s="1"/>
  <c r="Q165" i="2" s="1"/>
  <c r="R165" i="2" s="1"/>
  <c r="S165" i="2" s="1"/>
  <c r="I166" i="2"/>
  <c r="J166" i="2"/>
  <c r="N166" i="2" s="1"/>
  <c r="O166" i="2" s="1"/>
  <c r="P166" i="2" s="1"/>
  <c r="Q166" i="2" s="1"/>
  <c r="R166" i="2" s="1"/>
  <c r="S166" i="2" s="1"/>
  <c r="I167" i="2"/>
  <c r="J167" i="2"/>
  <c r="N167" i="2" s="1"/>
  <c r="O167" i="2" s="1"/>
  <c r="P167" i="2" s="1"/>
  <c r="Q167" i="2" s="1"/>
  <c r="R167" i="2" s="1"/>
  <c r="S167" i="2" s="1"/>
  <c r="I168" i="2"/>
  <c r="J168" i="2"/>
  <c r="N168" i="2" s="1"/>
  <c r="O168" i="2" s="1"/>
  <c r="P168" i="2" s="1"/>
  <c r="Q168" i="2" s="1"/>
  <c r="R168" i="2" s="1"/>
  <c r="S168" i="2" s="1"/>
  <c r="I169" i="2"/>
  <c r="J169" i="2"/>
  <c r="N169" i="2" s="1"/>
  <c r="O169" i="2" s="1"/>
  <c r="P169" i="2" s="1"/>
  <c r="Q169" i="2" s="1"/>
  <c r="R169" i="2" s="1"/>
  <c r="S169" i="2" s="1"/>
  <c r="I170" i="2"/>
  <c r="J170" i="2"/>
  <c r="N170" i="2" s="1"/>
  <c r="O170" i="2" s="1"/>
  <c r="P170" i="2" s="1"/>
  <c r="Q170" i="2" s="1"/>
  <c r="R170" i="2" s="1"/>
  <c r="S170" i="2" s="1"/>
  <c r="I171" i="2"/>
  <c r="J171" i="2"/>
  <c r="N171" i="2" s="1"/>
  <c r="O171" i="2" s="1"/>
  <c r="P171" i="2" s="1"/>
  <c r="Q171" i="2" s="1"/>
  <c r="R171" i="2" s="1"/>
  <c r="S171" i="2" s="1"/>
  <c r="I172" i="2"/>
  <c r="J172" i="2"/>
  <c r="N172" i="2" s="1"/>
  <c r="O172" i="2" s="1"/>
  <c r="P172" i="2" s="1"/>
  <c r="Q172" i="2" s="1"/>
  <c r="R172" i="2" s="1"/>
  <c r="S172" i="2" s="1"/>
  <c r="I173" i="2"/>
  <c r="J173" i="2"/>
  <c r="N173" i="2" s="1"/>
  <c r="O173" i="2" s="1"/>
  <c r="P173" i="2" s="1"/>
  <c r="Q173" i="2" s="1"/>
  <c r="R173" i="2" s="1"/>
  <c r="S173" i="2" s="1"/>
  <c r="I174" i="2"/>
  <c r="J174" i="2"/>
  <c r="N174" i="2" s="1"/>
  <c r="O174" i="2" s="1"/>
  <c r="P174" i="2" s="1"/>
  <c r="Q174" i="2" s="1"/>
  <c r="R174" i="2" s="1"/>
  <c r="S174" i="2" s="1"/>
  <c r="I175" i="2"/>
  <c r="J175" i="2"/>
  <c r="N175" i="2" s="1"/>
  <c r="O175" i="2" s="1"/>
  <c r="P175" i="2" s="1"/>
  <c r="Q175" i="2" s="1"/>
  <c r="R175" i="2" s="1"/>
  <c r="S175" i="2" s="1"/>
  <c r="I176" i="2"/>
  <c r="J176" i="2"/>
  <c r="N176" i="2" s="1"/>
  <c r="O176" i="2" s="1"/>
  <c r="P176" i="2" s="1"/>
  <c r="Q176" i="2" s="1"/>
  <c r="R176" i="2" s="1"/>
  <c r="S176" i="2" s="1"/>
  <c r="I177" i="2"/>
  <c r="J177" i="2"/>
  <c r="N177" i="2" s="1"/>
  <c r="O177" i="2" s="1"/>
  <c r="P177" i="2" s="1"/>
  <c r="Q177" i="2" s="1"/>
  <c r="R177" i="2" s="1"/>
  <c r="S177" i="2" s="1"/>
  <c r="I178" i="2"/>
  <c r="J178" i="2"/>
  <c r="N178" i="2" s="1"/>
  <c r="O178" i="2" s="1"/>
  <c r="P178" i="2" s="1"/>
  <c r="Q178" i="2" s="1"/>
  <c r="R178" i="2" s="1"/>
  <c r="S178" i="2" s="1"/>
  <c r="I179" i="2"/>
  <c r="J179" i="2"/>
  <c r="N179" i="2" s="1"/>
  <c r="O179" i="2" s="1"/>
  <c r="P179" i="2" s="1"/>
  <c r="Q179" i="2" s="1"/>
  <c r="R179" i="2" s="1"/>
  <c r="S179" i="2" s="1"/>
  <c r="I180" i="2"/>
  <c r="J180" i="2"/>
  <c r="N180" i="2" s="1"/>
  <c r="O180" i="2" s="1"/>
  <c r="P180" i="2" s="1"/>
  <c r="Q180" i="2" s="1"/>
  <c r="R180" i="2" s="1"/>
  <c r="S180" i="2" s="1"/>
  <c r="I181" i="2"/>
  <c r="J181" i="2"/>
  <c r="N181" i="2" s="1"/>
  <c r="O181" i="2" s="1"/>
  <c r="P181" i="2" s="1"/>
  <c r="Q181" i="2" s="1"/>
  <c r="R181" i="2" s="1"/>
  <c r="S181" i="2" s="1"/>
  <c r="I182" i="2"/>
  <c r="J182" i="2"/>
  <c r="N182" i="2" s="1"/>
  <c r="O182" i="2" s="1"/>
  <c r="P182" i="2" s="1"/>
  <c r="Q182" i="2" s="1"/>
  <c r="R182" i="2" s="1"/>
  <c r="S182" i="2" s="1"/>
  <c r="I183" i="2"/>
  <c r="J183" i="2"/>
  <c r="N183" i="2" s="1"/>
  <c r="O183" i="2" s="1"/>
  <c r="P183" i="2" s="1"/>
  <c r="Q183" i="2" s="1"/>
  <c r="R183" i="2" s="1"/>
  <c r="S183" i="2" s="1"/>
  <c r="I184" i="2"/>
  <c r="J184" i="2"/>
  <c r="N184" i="2" s="1"/>
  <c r="O184" i="2" s="1"/>
  <c r="P184" i="2" s="1"/>
  <c r="Q184" i="2" s="1"/>
  <c r="R184" i="2" s="1"/>
  <c r="S184" i="2" s="1"/>
  <c r="I185" i="2"/>
  <c r="J185" i="2"/>
  <c r="N185" i="2" s="1"/>
  <c r="O185" i="2" s="1"/>
  <c r="P185" i="2" s="1"/>
  <c r="Q185" i="2" s="1"/>
  <c r="R185" i="2" s="1"/>
  <c r="S185" i="2" s="1"/>
  <c r="I186" i="2"/>
  <c r="J186" i="2"/>
  <c r="N186" i="2" s="1"/>
  <c r="O186" i="2" s="1"/>
  <c r="P186" i="2" s="1"/>
  <c r="Q186" i="2" s="1"/>
  <c r="R186" i="2" s="1"/>
  <c r="S186" i="2" s="1"/>
  <c r="I187" i="2"/>
  <c r="J187" i="2"/>
  <c r="N187" i="2" s="1"/>
  <c r="O187" i="2" s="1"/>
  <c r="P187" i="2" s="1"/>
  <c r="Q187" i="2" s="1"/>
  <c r="R187" i="2" s="1"/>
  <c r="S187" i="2" s="1"/>
  <c r="I188" i="2"/>
  <c r="J188" i="2"/>
  <c r="N188" i="2" s="1"/>
  <c r="O188" i="2" s="1"/>
  <c r="P188" i="2" s="1"/>
  <c r="Q188" i="2" s="1"/>
  <c r="R188" i="2" s="1"/>
  <c r="S188" i="2" s="1"/>
  <c r="I189" i="2"/>
  <c r="J189" i="2"/>
  <c r="N189" i="2" s="1"/>
  <c r="O189" i="2" s="1"/>
  <c r="P189" i="2" s="1"/>
  <c r="Q189" i="2" s="1"/>
  <c r="R189" i="2" s="1"/>
  <c r="S189" i="2" s="1"/>
  <c r="I190" i="2"/>
  <c r="J190" i="2"/>
  <c r="N190" i="2" s="1"/>
  <c r="O190" i="2" s="1"/>
  <c r="P190" i="2" s="1"/>
  <c r="Q190" i="2" s="1"/>
  <c r="R190" i="2" s="1"/>
  <c r="S190" i="2" s="1"/>
  <c r="I191" i="2"/>
  <c r="J191" i="2"/>
  <c r="N191" i="2" s="1"/>
  <c r="O191" i="2" s="1"/>
  <c r="P191" i="2" s="1"/>
  <c r="Q191" i="2" s="1"/>
  <c r="R191" i="2" s="1"/>
  <c r="S191" i="2" s="1"/>
  <c r="I192" i="2"/>
  <c r="J192" i="2"/>
  <c r="N192" i="2" s="1"/>
  <c r="O192" i="2" s="1"/>
  <c r="P192" i="2" s="1"/>
  <c r="Q192" i="2" s="1"/>
  <c r="R192" i="2" s="1"/>
  <c r="S192" i="2" s="1"/>
  <c r="I193" i="2"/>
  <c r="J193" i="2"/>
  <c r="N193" i="2" s="1"/>
  <c r="O193" i="2" s="1"/>
  <c r="P193" i="2" s="1"/>
  <c r="Q193" i="2" s="1"/>
  <c r="R193" i="2" s="1"/>
  <c r="S193" i="2" s="1"/>
  <c r="I194" i="2"/>
  <c r="J194" i="2"/>
  <c r="N194" i="2" s="1"/>
  <c r="O194" i="2" s="1"/>
  <c r="P194" i="2" s="1"/>
  <c r="Q194" i="2" s="1"/>
  <c r="R194" i="2" s="1"/>
  <c r="S194" i="2" s="1"/>
  <c r="I195" i="2"/>
  <c r="J195" i="2"/>
  <c r="N195" i="2" s="1"/>
  <c r="O195" i="2" s="1"/>
  <c r="P195" i="2" s="1"/>
  <c r="Q195" i="2" s="1"/>
  <c r="R195" i="2" s="1"/>
  <c r="S195" i="2" s="1"/>
  <c r="I196" i="2"/>
  <c r="J196" i="2"/>
  <c r="N196" i="2" s="1"/>
  <c r="O196" i="2" s="1"/>
  <c r="P196" i="2" s="1"/>
  <c r="Q196" i="2" s="1"/>
  <c r="R196" i="2" s="1"/>
  <c r="S196" i="2" s="1"/>
  <c r="I197" i="2"/>
  <c r="J197" i="2"/>
  <c r="N197" i="2" s="1"/>
  <c r="O197" i="2" s="1"/>
  <c r="P197" i="2" s="1"/>
  <c r="Q197" i="2" s="1"/>
  <c r="R197" i="2" s="1"/>
  <c r="S197" i="2" s="1"/>
  <c r="I198" i="2"/>
  <c r="J198" i="2"/>
  <c r="N198" i="2" s="1"/>
  <c r="O198" i="2" s="1"/>
  <c r="P198" i="2" s="1"/>
  <c r="Q198" i="2" s="1"/>
  <c r="R198" i="2" s="1"/>
  <c r="S198" i="2" s="1"/>
  <c r="I199" i="2"/>
  <c r="J199" i="2"/>
  <c r="N199" i="2" s="1"/>
  <c r="O199" i="2" s="1"/>
  <c r="P199" i="2" s="1"/>
  <c r="Q199" i="2" s="1"/>
  <c r="R199" i="2" s="1"/>
  <c r="S199" i="2" s="1"/>
  <c r="I200" i="2"/>
  <c r="J200" i="2"/>
  <c r="N200" i="2" s="1"/>
  <c r="O200" i="2" s="1"/>
  <c r="P200" i="2" s="1"/>
  <c r="Q200" i="2" s="1"/>
  <c r="R200" i="2" s="1"/>
  <c r="S200" i="2" s="1"/>
  <c r="I201" i="2"/>
  <c r="J201" i="2"/>
  <c r="N201" i="2" s="1"/>
  <c r="O201" i="2" s="1"/>
  <c r="P201" i="2" s="1"/>
  <c r="Q201" i="2" s="1"/>
  <c r="R201" i="2" s="1"/>
  <c r="S201" i="2" s="1"/>
  <c r="I202" i="2"/>
  <c r="J202" i="2"/>
  <c r="N202" i="2" s="1"/>
  <c r="O202" i="2" s="1"/>
  <c r="P202" i="2" s="1"/>
  <c r="Q202" i="2" s="1"/>
  <c r="R202" i="2" s="1"/>
  <c r="S202" i="2" s="1"/>
  <c r="I203" i="2"/>
  <c r="J203" i="2"/>
  <c r="N203" i="2" s="1"/>
  <c r="O203" i="2" s="1"/>
  <c r="P203" i="2" s="1"/>
  <c r="Q203" i="2" s="1"/>
  <c r="R203" i="2" s="1"/>
  <c r="S203" i="2" s="1"/>
  <c r="I204" i="2"/>
  <c r="J204" i="2"/>
  <c r="N204" i="2" s="1"/>
  <c r="O204" i="2" s="1"/>
  <c r="P204" i="2" s="1"/>
  <c r="Q204" i="2" s="1"/>
  <c r="R204" i="2" s="1"/>
  <c r="S204" i="2" s="1"/>
  <c r="I205" i="2"/>
  <c r="J205" i="2"/>
  <c r="N205" i="2" s="1"/>
  <c r="O205" i="2" s="1"/>
  <c r="P205" i="2" s="1"/>
  <c r="Q205" i="2" s="1"/>
  <c r="R205" i="2" s="1"/>
  <c r="S205" i="2" s="1"/>
  <c r="I206" i="2"/>
  <c r="J206" i="2"/>
  <c r="N206" i="2" s="1"/>
  <c r="O206" i="2" s="1"/>
  <c r="P206" i="2" s="1"/>
  <c r="Q206" i="2" s="1"/>
  <c r="R206" i="2" s="1"/>
  <c r="S206" i="2" s="1"/>
  <c r="I207" i="2"/>
  <c r="J207" i="2"/>
  <c r="N207" i="2" s="1"/>
  <c r="O207" i="2" s="1"/>
  <c r="P207" i="2" s="1"/>
  <c r="Q207" i="2" s="1"/>
  <c r="R207" i="2" s="1"/>
  <c r="S207" i="2" s="1"/>
  <c r="I208" i="2"/>
  <c r="J208" i="2"/>
  <c r="N208" i="2" s="1"/>
  <c r="O208" i="2" s="1"/>
  <c r="P208" i="2" s="1"/>
  <c r="Q208" i="2" s="1"/>
  <c r="R208" i="2" s="1"/>
  <c r="S208" i="2" s="1"/>
  <c r="I209" i="2"/>
  <c r="J209" i="2"/>
  <c r="N209" i="2" s="1"/>
  <c r="O209" i="2" s="1"/>
  <c r="P209" i="2" s="1"/>
  <c r="Q209" i="2" s="1"/>
  <c r="R209" i="2" s="1"/>
  <c r="S209" i="2" s="1"/>
  <c r="I210" i="2"/>
  <c r="J210" i="2"/>
  <c r="N210" i="2" s="1"/>
  <c r="O210" i="2" s="1"/>
  <c r="P210" i="2" s="1"/>
  <c r="Q210" i="2" s="1"/>
  <c r="R210" i="2" s="1"/>
  <c r="S210" i="2" s="1"/>
  <c r="I211" i="2"/>
  <c r="J211" i="2"/>
  <c r="N211" i="2" s="1"/>
  <c r="O211" i="2" s="1"/>
  <c r="P211" i="2" s="1"/>
  <c r="Q211" i="2" s="1"/>
  <c r="R211" i="2" s="1"/>
  <c r="S211" i="2" s="1"/>
  <c r="I212" i="2"/>
  <c r="J212" i="2"/>
  <c r="N212" i="2" s="1"/>
  <c r="O212" i="2" s="1"/>
  <c r="P212" i="2" s="1"/>
  <c r="Q212" i="2" s="1"/>
  <c r="R212" i="2" s="1"/>
  <c r="S212" i="2" s="1"/>
  <c r="I213" i="2"/>
  <c r="J213" i="2"/>
  <c r="N213" i="2" s="1"/>
  <c r="O213" i="2" s="1"/>
  <c r="P213" i="2" s="1"/>
  <c r="Q213" i="2" s="1"/>
  <c r="R213" i="2" s="1"/>
  <c r="S213" i="2" s="1"/>
  <c r="I214" i="2"/>
  <c r="J214" i="2"/>
  <c r="N214" i="2" s="1"/>
  <c r="O214" i="2" s="1"/>
  <c r="P214" i="2" s="1"/>
  <c r="Q214" i="2" s="1"/>
  <c r="R214" i="2" s="1"/>
  <c r="S214" i="2" s="1"/>
  <c r="I215" i="2"/>
  <c r="J215" i="2"/>
  <c r="N215" i="2" s="1"/>
  <c r="O215" i="2" s="1"/>
  <c r="P215" i="2" s="1"/>
  <c r="Q215" i="2" s="1"/>
  <c r="R215" i="2" s="1"/>
  <c r="S215" i="2" s="1"/>
  <c r="I216" i="2"/>
  <c r="J216" i="2"/>
  <c r="N216" i="2" s="1"/>
  <c r="O216" i="2" s="1"/>
  <c r="P216" i="2" s="1"/>
  <c r="Q216" i="2" s="1"/>
  <c r="R216" i="2" s="1"/>
  <c r="S216" i="2" s="1"/>
  <c r="I217" i="2"/>
  <c r="J217" i="2"/>
  <c r="N217" i="2" s="1"/>
  <c r="O217" i="2" s="1"/>
  <c r="P217" i="2" s="1"/>
  <c r="Q217" i="2" s="1"/>
  <c r="R217" i="2" s="1"/>
  <c r="S217" i="2" s="1"/>
  <c r="I218" i="2"/>
  <c r="J218" i="2"/>
  <c r="N218" i="2" s="1"/>
  <c r="O218" i="2" s="1"/>
  <c r="P218" i="2" s="1"/>
  <c r="Q218" i="2" s="1"/>
  <c r="R218" i="2" s="1"/>
  <c r="S218" i="2" s="1"/>
  <c r="I219" i="2"/>
  <c r="J219" i="2"/>
  <c r="N219" i="2" s="1"/>
  <c r="O219" i="2" s="1"/>
  <c r="P219" i="2" s="1"/>
  <c r="Q219" i="2" s="1"/>
  <c r="R219" i="2" s="1"/>
  <c r="S219" i="2" s="1"/>
  <c r="I220" i="2"/>
  <c r="J220" i="2"/>
  <c r="N220" i="2" s="1"/>
  <c r="O220" i="2" s="1"/>
  <c r="P220" i="2" s="1"/>
  <c r="Q220" i="2" s="1"/>
  <c r="R220" i="2" s="1"/>
  <c r="S220" i="2" s="1"/>
  <c r="I221" i="2"/>
  <c r="J221" i="2"/>
  <c r="N221" i="2" s="1"/>
  <c r="O221" i="2" s="1"/>
  <c r="P221" i="2" s="1"/>
  <c r="Q221" i="2" s="1"/>
  <c r="R221" i="2" s="1"/>
  <c r="S221" i="2" s="1"/>
  <c r="I222" i="2"/>
  <c r="J222" i="2"/>
  <c r="N222" i="2" s="1"/>
  <c r="O222" i="2" s="1"/>
  <c r="P222" i="2" s="1"/>
  <c r="Q222" i="2" s="1"/>
  <c r="R222" i="2" s="1"/>
  <c r="S222" i="2" s="1"/>
  <c r="I223" i="2"/>
  <c r="J223" i="2"/>
  <c r="N223" i="2" s="1"/>
  <c r="O223" i="2" s="1"/>
  <c r="P223" i="2" s="1"/>
  <c r="Q223" i="2" s="1"/>
  <c r="R223" i="2" s="1"/>
  <c r="S223" i="2" s="1"/>
  <c r="I224" i="2"/>
  <c r="J224" i="2"/>
  <c r="N224" i="2" s="1"/>
  <c r="O224" i="2" s="1"/>
  <c r="P224" i="2" s="1"/>
  <c r="Q224" i="2" s="1"/>
  <c r="R224" i="2" s="1"/>
  <c r="S224" i="2" s="1"/>
  <c r="I225" i="2"/>
  <c r="J225" i="2"/>
  <c r="N225" i="2" s="1"/>
  <c r="O225" i="2" s="1"/>
  <c r="P225" i="2" s="1"/>
  <c r="Q225" i="2" s="1"/>
  <c r="R225" i="2" s="1"/>
  <c r="S225" i="2" s="1"/>
  <c r="I226" i="2"/>
  <c r="J226" i="2"/>
  <c r="N226" i="2" s="1"/>
  <c r="O226" i="2" s="1"/>
  <c r="P226" i="2" s="1"/>
  <c r="Q226" i="2" s="1"/>
  <c r="R226" i="2" s="1"/>
  <c r="S226" i="2" s="1"/>
  <c r="I227" i="2"/>
  <c r="J227" i="2"/>
  <c r="N227" i="2" s="1"/>
  <c r="O227" i="2" s="1"/>
  <c r="P227" i="2" s="1"/>
  <c r="Q227" i="2" s="1"/>
  <c r="R227" i="2" s="1"/>
  <c r="S227" i="2" s="1"/>
  <c r="I228" i="2"/>
  <c r="J228" i="2"/>
  <c r="N228" i="2" s="1"/>
  <c r="O228" i="2" s="1"/>
  <c r="P228" i="2" s="1"/>
  <c r="Q228" i="2" s="1"/>
  <c r="R228" i="2" s="1"/>
  <c r="S228" i="2" s="1"/>
  <c r="I229" i="2"/>
  <c r="J229" i="2"/>
  <c r="N229" i="2" s="1"/>
  <c r="O229" i="2" s="1"/>
  <c r="P229" i="2" s="1"/>
  <c r="Q229" i="2" s="1"/>
  <c r="R229" i="2" s="1"/>
  <c r="S229" i="2" s="1"/>
  <c r="I230" i="2"/>
  <c r="J230" i="2"/>
  <c r="N230" i="2" s="1"/>
  <c r="O230" i="2" s="1"/>
  <c r="P230" i="2" s="1"/>
  <c r="Q230" i="2" s="1"/>
  <c r="R230" i="2" s="1"/>
  <c r="S230" i="2" s="1"/>
  <c r="I231" i="2"/>
  <c r="J231" i="2"/>
  <c r="N231" i="2" s="1"/>
  <c r="O231" i="2" s="1"/>
  <c r="P231" i="2" s="1"/>
  <c r="Q231" i="2" s="1"/>
  <c r="R231" i="2" s="1"/>
  <c r="S231" i="2" s="1"/>
  <c r="I232" i="2"/>
  <c r="J232" i="2"/>
  <c r="N232" i="2" s="1"/>
  <c r="O232" i="2" s="1"/>
  <c r="P232" i="2" s="1"/>
  <c r="Q232" i="2" s="1"/>
  <c r="R232" i="2" s="1"/>
  <c r="S232" i="2" s="1"/>
  <c r="I233" i="2"/>
  <c r="J233" i="2"/>
  <c r="N233" i="2" s="1"/>
  <c r="O233" i="2" s="1"/>
  <c r="P233" i="2" s="1"/>
  <c r="Q233" i="2" s="1"/>
  <c r="R233" i="2" s="1"/>
  <c r="S233" i="2" s="1"/>
  <c r="I234" i="2"/>
  <c r="J234" i="2"/>
  <c r="N234" i="2" s="1"/>
  <c r="O234" i="2" s="1"/>
  <c r="P234" i="2" s="1"/>
  <c r="Q234" i="2" s="1"/>
  <c r="R234" i="2" s="1"/>
  <c r="S234" i="2" s="1"/>
  <c r="I235" i="2"/>
  <c r="J235" i="2"/>
  <c r="N235" i="2" s="1"/>
  <c r="O235" i="2" s="1"/>
  <c r="P235" i="2" s="1"/>
  <c r="Q235" i="2" s="1"/>
  <c r="R235" i="2" s="1"/>
  <c r="S235" i="2" s="1"/>
  <c r="I236" i="2"/>
  <c r="J236" i="2"/>
  <c r="N236" i="2" s="1"/>
  <c r="O236" i="2" s="1"/>
  <c r="P236" i="2" s="1"/>
  <c r="Q236" i="2" s="1"/>
  <c r="R236" i="2" s="1"/>
  <c r="S236" i="2" s="1"/>
  <c r="I237" i="2"/>
  <c r="J237" i="2"/>
  <c r="N237" i="2" s="1"/>
  <c r="O237" i="2" s="1"/>
  <c r="P237" i="2" s="1"/>
  <c r="Q237" i="2" s="1"/>
  <c r="R237" i="2" s="1"/>
  <c r="S237" i="2" s="1"/>
  <c r="I238" i="2"/>
  <c r="J238" i="2"/>
  <c r="N238" i="2" s="1"/>
  <c r="O238" i="2" s="1"/>
  <c r="P238" i="2" s="1"/>
  <c r="Q238" i="2" s="1"/>
  <c r="R238" i="2" s="1"/>
  <c r="S238" i="2" s="1"/>
  <c r="I239" i="2"/>
  <c r="J239" i="2"/>
  <c r="N239" i="2" s="1"/>
  <c r="O239" i="2" s="1"/>
  <c r="P239" i="2" s="1"/>
  <c r="Q239" i="2" s="1"/>
  <c r="R239" i="2" s="1"/>
  <c r="S239" i="2" s="1"/>
  <c r="I240" i="2"/>
  <c r="J240" i="2"/>
  <c r="N240" i="2" s="1"/>
  <c r="O240" i="2" s="1"/>
  <c r="P240" i="2" s="1"/>
  <c r="Q240" i="2" s="1"/>
  <c r="R240" i="2" s="1"/>
  <c r="S240" i="2" s="1"/>
  <c r="I241" i="2"/>
  <c r="J241" i="2"/>
  <c r="N241" i="2" s="1"/>
  <c r="O241" i="2" s="1"/>
  <c r="P241" i="2" s="1"/>
  <c r="Q241" i="2" s="1"/>
  <c r="R241" i="2" s="1"/>
  <c r="S241" i="2" s="1"/>
  <c r="I242" i="2"/>
  <c r="J242" i="2"/>
  <c r="N242" i="2" s="1"/>
  <c r="O242" i="2" s="1"/>
  <c r="P242" i="2" s="1"/>
  <c r="Q242" i="2" s="1"/>
  <c r="R242" i="2" s="1"/>
  <c r="S242" i="2" s="1"/>
  <c r="I243" i="2"/>
  <c r="J243" i="2"/>
  <c r="N243" i="2" s="1"/>
  <c r="O243" i="2" s="1"/>
  <c r="P243" i="2" s="1"/>
  <c r="Q243" i="2" s="1"/>
  <c r="R243" i="2" s="1"/>
  <c r="S243" i="2" s="1"/>
  <c r="I244" i="2"/>
  <c r="J244" i="2"/>
  <c r="N244" i="2" s="1"/>
  <c r="O244" i="2" s="1"/>
  <c r="P244" i="2" s="1"/>
  <c r="Q244" i="2" s="1"/>
  <c r="R244" i="2" s="1"/>
  <c r="S244" i="2" s="1"/>
  <c r="I245" i="2"/>
  <c r="J245" i="2"/>
  <c r="N245" i="2" s="1"/>
  <c r="O245" i="2" s="1"/>
  <c r="P245" i="2" s="1"/>
  <c r="Q245" i="2" s="1"/>
  <c r="R245" i="2" s="1"/>
  <c r="S245" i="2" s="1"/>
  <c r="I246" i="2"/>
  <c r="J246" i="2"/>
  <c r="N246" i="2" s="1"/>
  <c r="O246" i="2" s="1"/>
  <c r="P246" i="2" s="1"/>
  <c r="Q246" i="2" s="1"/>
  <c r="R246" i="2" s="1"/>
  <c r="S246" i="2" s="1"/>
  <c r="I247" i="2"/>
  <c r="J247" i="2"/>
  <c r="N247" i="2" s="1"/>
  <c r="O247" i="2" s="1"/>
  <c r="P247" i="2" s="1"/>
  <c r="Q247" i="2" s="1"/>
  <c r="R247" i="2" s="1"/>
  <c r="S247" i="2" s="1"/>
  <c r="I248" i="2"/>
  <c r="J248" i="2"/>
  <c r="N248" i="2" s="1"/>
  <c r="O248" i="2" s="1"/>
  <c r="P248" i="2" s="1"/>
  <c r="Q248" i="2" s="1"/>
  <c r="R248" i="2" s="1"/>
  <c r="S248" i="2" s="1"/>
  <c r="I249" i="2"/>
  <c r="J249" i="2"/>
  <c r="N249" i="2" s="1"/>
  <c r="O249" i="2" s="1"/>
  <c r="P249" i="2" s="1"/>
  <c r="Q249" i="2" s="1"/>
  <c r="R249" i="2" s="1"/>
  <c r="S249" i="2" s="1"/>
  <c r="I250" i="2"/>
  <c r="J250" i="2"/>
  <c r="N250" i="2" s="1"/>
  <c r="O250" i="2" s="1"/>
  <c r="P250" i="2" s="1"/>
  <c r="Q250" i="2" s="1"/>
  <c r="R250" i="2" s="1"/>
  <c r="S250" i="2" s="1"/>
  <c r="I251" i="2"/>
  <c r="J251" i="2"/>
  <c r="N251" i="2" s="1"/>
  <c r="O251" i="2" s="1"/>
  <c r="P251" i="2" s="1"/>
  <c r="Q251" i="2" s="1"/>
  <c r="R251" i="2" s="1"/>
  <c r="S251" i="2" s="1"/>
  <c r="I252" i="2"/>
  <c r="J252" i="2"/>
  <c r="N252" i="2" s="1"/>
  <c r="O252" i="2" s="1"/>
  <c r="P252" i="2" s="1"/>
  <c r="Q252" i="2" s="1"/>
  <c r="R252" i="2" s="1"/>
  <c r="S252" i="2" s="1"/>
  <c r="I253" i="2"/>
  <c r="J253" i="2"/>
  <c r="N253" i="2" s="1"/>
  <c r="O253" i="2" s="1"/>
  <c r="P253" i="2" s="1"/>
  <c r="Q253" i="2" s="1"/>
  <c r="R253" i="2" s="1"/>
  <c r="S253" i="2" s="1"/>
  <c r="I254" i="2"/>
  <c r="J254" i="2"/>
  <c r="N254" i="2" s="1"/>
  <c r="O254" i="2" s="1"/>
  <c r="P254" i="2" s="1"/>
  <c r="Q254" i="2" s="1"/>
  <c r="R254" i="2" s="1"/>
  <c r="S254" i="2" s="1"/>
  <c r="I255" i="2"/>
  <c r="J255" i="2"/>
  <c r="N255" i="2" s="1"/>
  <c r="O255" i="2" s="1"/>
  <c r="P255" i="2" s="1"/>
  <c r="Q255" i="2" s="1"/>
  <c r="R255" i="2" s="1"/>
  <c r="S255" i="2" s="1"/>
  <c r="I256" i="2"/>
  <c r="J256" i="2"/>
  <c r="N256" i="2" s="1"/>
  <c r="O256" i="2" s="1"/>
  <c r="P256" i="2" s="1"/>
  <c r="Q256" i="2" s="1"/>
  <c r="R256" i="2" s="1"/>
  <c r="S256" i="2" s="1"/>
  <c r="I257" i="2"/>
  <c r="J257" i="2"/>
  <c r="N257" i="2" s="1"/>
  <c r="O257" i="2" s="1"/>
  <c r="P257" i="2" s="1"/>
  <c r="Q257" i="2" s="1"/>
  <c r="R257" i="2" s="1"/>
  <c r="S257" i="2" s="1"/>
  <c r="I258" i="2"/>
  <c r="J258" i="2"/>
  <c r="N258" i="2" s="1"/>
  <c r="O258" i="2" s="1"/>
  <c r="P258" i="2" s="1"/>
  <c r="Q258" i="2" s="1"/>
  <c r="R258" i="2" s="1"/>
  <c r="S258" i="2" s="1"/>
  <c r="I259" i="2"/>
  <c r="J259" i="2"/>
  <c r="N259" i="2" s="1"/>
  <c r="O259" i="2" s="1"/>
  <c r="P259" i="2" s="1"/>
  <c r="Q259" i="2" s="1"/>
  <c r="R259" i="2" s="1"/>
  <c r="S259" i="2" s="1"/>
  <c r="I260" i="2"/>
  <c r="J260" i="2"/>
  <c r="N260" i="2" s="1"/>
  <c r="O260" i="2" s="1"/>
  <c r="P260" i="2" s="1"/>
  <c r="Q260" i="2" s="1"/>
  <c r="R260" i="2" s="1"/>
  <c r="S260" i="2" s="1"/>
  <c r="I261" i="2"/>
  <c r="J261" i="2"/>
  <c r="N261" i="2" s="1"/>
  <c r="O261" i="2" s="1"/>
  <c r="P261" i="2" s="1"/>
  <c r="Q261" i="2" s="1"/>
  <c r="R261" i="2" s="1"/>
  <c r="S261" i="2" s="1"/>
  <c r="I262" i="2"/>
  <c r="J262" i="2"/>
  <c r="N262" i="2" s="1"/>
  <c r="O262" i="2" s="1"/>
  <c r="P262" i="2" s="1"/>
  <c r="Q262" i="2" s="1"/>
  <c r="R262" i="2" s="1"/>
  <c r="S262" i="2" s="1"/>
  <c r="I263" i="2"/>
  <c r="J263" i="2"/>
  <c r="N263" i="2" s="1"/>
  <c r="O263" i="2" s="1"/>
  <c r="P263" i="2" s="1"/>
  <c r="Q263" i="2" s="1"/>
  <c r="R263" i="2" s="1"/>
  <c r="S263" i="2" s="1"/>
  <c r="I264" i="2"/>
  <c r="J264" i="2"/>
  <c r="N264" i="2" s="1"/>
  <c r="O264" i="2" s="1"/>
  <c r="P264" i="2" s="1"/>
  <c r="Q264" i="2" s="1"/>
  <c r="R264" i="2" s="1"/>
  <c r="S264" i="2" s="1"/>
  <c r="I265" i="2"/>
  <c r="J265" i="2"/>
  <c r="N265" i="2" s="1"/>
  <c r="O265" i="2" s="1"/>
  <c r="P265" i="2" s="1"/>
  <c r="Q265" i="2" s="1"/>
  <c r="R265" i="2" s="1"/>
  <c r="S265" i="2" s="1"/>
  <c r="I266" i="2"/>
  <c r="J266" i="2"/>
  <c r="N266" i="2" s="1"/>
  <c r="O266" i="2" s="1"/>
  <c r="P266" i="2" s="1"/>
  <c r="Q266" i="2" s="1"/>
  <c r="R266" i="2" s="1"/>
  <c r="S266" i="2" s="1"/>
  <c r="I267" i="2"/>
  <c r="J267" i="2"/>
  <c r="N267" i="2" s="1"/>
  <c r="O267" i="2" s="1"/>
  <c r="P267" i="2" s="1"/>
  <c r="Q267" i="2" s="1"/>
  <c r="R267" i="2" s="1"/>
  <c r="S267" i="2" s="1"/>
  <c r="S2" i="5"/>
  <c r="AG2" i="5"/>
  <c r="AI2" i="5"/>
  <c r="AJ2" i="5"/>
  <c r="AO2" i="5"/>
  <c r="AY2" i="5"/>
  <c r="I3" i="5"/>
  <c r="S3" i="5"/>
  <c r="Y3" i="5"/>
  <c r="Z3" i="5"/>
  <c r="AA3" i="5"/>
  <c r="AI3" i="5"/>
  <c r="AO3" i="5"/>
  <c r="AY3" i="5"/>
  <c r="J4" i="5"/>
  <c r="K4" i="5"/>
  <c r="L4" i="5"/>
  <c r="T4" i="5"/>
  <c r="Z4" i="5"/>
  <c r="AJ4" i="5"/>
  <c r="AP4" i="5"/>
  <c r="AQ4" i="5"/>
  <c r="AR4" i="5"/>
  <c r="AY4" i="5"/>
  <c r="E5" i="5"/>
  <c r="K5" i="5"/>
  <c r="U5" i="5"/>
  <c r="AA5" i="5"/>
  <c r="AB5" i="5"/>
  <c r="AC5" i="5"/>
  <c r="AK5" i="5"/>
  <c r="AQ5" i="5"/>
  <c r="AY5" i="5"/>
  <c r="F6" i="5"/>
  <c r="L6" i="5"/>
  <c r="M6" i="5"/>
  <c r="N6" i="5"/>
  <c r="V6" i="5"/>
  <c r="W6" i="5"/>
  <c r="AB6" i="5"/>
  <c r="AL6" i="5"/>
  <c r="AR6" i="5"/>
  <c r="AS6" i="5"/>
  <c r="AT6" i="5"/>
  <c r="AY6" i="5"/>
  <c r="G7" i="5"/>
  <c r="V7" i="5"/>
  <c r="X7" i="5"/>
  <c r="AC7" i="5"/>
  <c r="AD7" i="5"/>
  <c r="AE7" i="5"/>
  <c r="AM7" i="5"/>
  <c r="AY7" i="5"/>
  <c r="D5" i="5"/>
  <c r="D6" i="5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W31" i="6"/>
  <c r="AX7" i="5" s="1"/>
  <c r="AV31" i="6"/>
  <c r="AW7" i="5" s="1"/>
  <c r="AU31" i="6"/>
  <c r="AV7" i="5" s="1"/>
  <c r="AT31" i="6"/>
  <c r="AU7" i="5" s="1"/>
  <c r="AS31" i="6"/>
  <c r="AT7" i="5" s="1"/>
  <c r="AR31" i="6"/>
  <c r="AS7" i="5" s="1"/>
  <c r="AQ31" i="6"/>
  <c r="AR7" i="5" s="1"/>
  <c r="AP31" i="6"/>
  <c r="AQ7" i="5" s="1"/>
  <c r="AO31" i="6"/>
  <c r="AP7" i="5" s="1"/>
  <c r="AN31" i="6"/>
  <c r="AO7" i="5" s="1"/>
  <c r="AM31" i="6"/>
  <c r="AN7" i="5" s="1"/>
  <c r="AL31" i="6"/>
  <c r="AK31" i="6"/>
  <c r="AL7" i="5" s="1"/>
  <c r="AJ31" i="6"/>
  <c r="AK7" i="5" s="1"/>
  <c r="AI31" i="6"/>
  <c r="AJ7" i="5" s="1"/>
  <c r="AH31" i="6"/>
  <c r="AI7" i="5" s="1"/>
  <c r="AG31" i="6"/>
  <c r="AH7" i="5" s="1"/>
  <c r="AF31" i="6"/>
  <c r="AG7" i="5" s="1"/>
  <c r="AE31" i="6"/>
  <c r="AF7" i="5" s="1"/>
  <c r="AD31" i="6"/>
  <c r="AC31" i="6"/>
  <c r="AB31" i="6"/>
  <c r="AA31" i="6"/>
  <c r="AB7" i="5" s="1"/>
  <c r="Z31" i="6"/>
  <c r="AA7" i="5" s="1"/>
  <c r="Y31" i="6"/>
  <c r="Z7" i="5" s="1"/>
  <c r="X31" i="6"/>
  <c r="Y7" i="5" s="1"/>
  <c r="W31" i="6"/>
  <c r="V31" i="6"/>
  <c r="W7" i="5" s="1"/>
  <c r="U31" i="6"/>
  <c r="T31" i="6"/>
  <c r="U7" i="5" s="1"/>
  <c r="S31" i="6"/>
  <c r="T7" i="5" s="1"/>
  <c r="R31" i="6"/>
  <c r="S7" i="5" s="1"/>
  <c r="Q31" i="6"/>
  <c r="R7" i="5" s="1"/>
  <c r="P31" i="6"/>
  <c r="Q7" i="5" s="1"/>
  <c r="O31" i="6"/>
  <c r="P7" i="5" s="1"/>
  <c r="N31" i="6"/>
  <c r="O7" i="5" s="1"/>
  <c r="M31" i="6"/>
  <c r="N7" i="5" s="1"/>
  <c r="L31" i="6"/>
  <c r="M7" i="5" s="1"/>
  <c r="K31" i="6"/>
  <c r="L7" i="5" s="1"/>
  <c r="J31" i="6"/>
  <c r="K7" i="5" s="1"/>
  <c r="I31" i="6"/>
  <c r="J7" i="5" s="1"/>
  <c r="H31" i="6"/>
  <c r="I7" i="5" s="1"/>
  <c r="G31" i="6"/>
  <c r="H7" i="5" s="1"/>
  <c r="F31" i="6"/>
  <c r="E31" i="6"/>
  <c r="F7" i="5" s="1"/>
  <c r="D31" i="6"/>
  <c r="E7" i="5" s="1"/>
  <c r="C31" i="6"/>
  <c r="D7" i="5" s="1"/>
  <c r="AW30" i="6"/>
  <c r="AX6" i="5" s="1"/>
  <c r="AV30" i="6"/>
  <c r="AW6" i="5" s="1"/>
  <c r="AU30" i="6"/>
  <c r="AV6" i="5" s="1"/>
  <c r="AT30" i="6"/>
  <c r="AU6" i="5" s="1"/>
  <c r="AS30" i="6"/>
  <c r="AR30" i="6"/>
  <c r="AQ30" i="6"/>
  <c r="AP30" i="6"/>
  <c r="AQ6" i="5" s="1"/>
  <c r="AO30" i="6"/>
  <c r="AP6" i="5" s="1"/>
  <c r="AN30" i="6"/>
  <c r="AO6" i="5" s="1"/>
  <c r="AM30" i="6"/>
  <c r="AN6" i="5" s="1"/>
  <c r="AL30" i="6"/>
  <c r="AM6" i="5" s="1"/>
  <c r="AK30" i="6"/>
  <c r="AJ30" i="6"/>
  <c r="AK6" i="5" s="1"/>
  <c r="AI30" i="6"/>
  <c r="AJ6" i="5" s="1"/>
  <c r="AH30" i="6"/>
  <c r="AI6" i="5" s="1"/>
  <c r="AG30" i="6"/>
  <c r="AH6" i="5" s="1"/>
  <c r="AF30" i="6"/>
  <c r="AG6" i="5" s="1"/>
  <c r="AE30" i="6"/>
  <c r="AF6" i="5" s="1"/>
  <c r="AD30" i="6"/>
  <c r="AE6" i="5" s="1"/>
  <c r="AC30" i="6"/>
  <c r="AD6" i="5" s="1"/>
  <c r="AB30" i="6"/>
  <c r="AC6" i="5" s="1"/>
  <c r="AA30" i="6"/>
  <c r="Z30" i="6"/>
  <c r="AA6" i="5" s="1"/>
  <c r="Y30" i="6"/>
  <c r="Z6" i="5" s="1"/>
  <c r="X30" i="6"/>
  <c r="Y6" i="5" s="1"/>
  <c r="W30" i="6"/>
  <c r="X6" i="5" s="1"/>
  <c r="V30" i="6"/>
  <c r="U30" i="6"/>
  <c r="T30" i="6"/>
  <c r="U6" i="5" s="1"/>
  <c r="S30" i="6"/>
  <c r="T6" i="5" s="1"/>
  <c r="R30" i="6"/>
  <c r="S6" i="5" s="1"/>
  <c r="Q30" i="6"/>
  <c r="R6" i="5" s="1"/>
  <c r="P30" i="6"/>
  <c r="Q6" i="5" s="1"/>
  <c r="O30" i="6"/>
  <c r="P6" i="5" s="1"/>
  <c r="N30" i="6"/>
  <c r="O6" i="5" s="1"/>
  <c r="M30" i="6"/>
  <c r="L30" i="6"/>
  <c r="K30" i="6"/>
  <c r="J30" i="6"/>
  <c r="K6" i="5" s="1"/>
  <c r="I30" i="6"/>
  <c r="J6" i="5" s="1"/>
  <c r="H30" i="6"/>
  <c r="I6" i="5" s="1"/>
  <c r="G30" i="6"/>
  <c r="H6" i="5" s="1"/>
  <c r="F30" i="6"/>
  <c r="G6" i="5" s="1"/>
  <c r="E30" i="6"/>
  <c r="D30" i="6"/>
  <c r="E6" i="5" s="1"/>
  <c r="C30" i="6"/>
  <c r="AW29" i="6"/>
  <c r="AX5" i="5" s="1"/>
  <c r="AV29" i="6"/>
  <c r="AW5" i="5" s="1"/>
  <c r="AU29" i="6"/>
  <c r="AV5" i="5" s="1"/>
  <c r="AT29" i="6"/>
  <c r="AU5" i="5" s="1"/>
  <c r="AS29" i="6"/>
  <c r="AT5" i="5" s="1"/>
  <c r="AR29" i="6"/>
  <c r="AS5" i="5" s="1"/>
  <c r="AQ29" i="6"/>
  <c r="AR5" i="5" s="1"/>
  <c r="AP29" i="6"/>
  <c r="AO29" i="6"/>
  <c r="AP5" i="5" s="1"/>
  <c r="AN29" i="6"/>
  <c r="AO5" i="5" s="1"/>
  <c r="AM29" i="6"/>
  <c r="AN5" i="5" s="1"/>
  <c r="AL29" i="6"/>
  <c r="AM5" i="5" s="1"/>
  <c r="AK29" i="6"/>
  <c r="AL5" i="5" s="1"/>
  <c r="AJ29" i="6"/>
  <c r="AI29" i="6"/>
  <c r="AJ5" i="5" s="1"/>
  <c r="AH29" i="6"/>
  <c r="AI5" i="5" s="1"/>
  <c r="AG29" i="6"/>
  <c r="AH5" i="5" s="1"/>
  <c r="AF29" i="6"/>
  <c r="AG5" i="5" s="1"/>
  <c r="AE29" i="6"/>
  <c r="AF5" i="5" s="1"/>
  <c r="AD29" i="6"/>
  <c r="AE5" i="5" s="1"/>
  <c r="AC29" i="6"/>
  <c r="AD5" i="5" s="1"/>
  <c r="AB29" i="6"/>
  <c r="AA29" i="6"/>
  <c r="Z29" i="6"/>
  <c r="Y29" i="6"/>
  <c r="Z5" i="5" s="1"/>
  <c r="X29" i="6"/>
  <c r="Y5" i="5" s="1"/>
  <c r="W29" i="6"/>
  <c r="X5" i="5" s="1"/>
  <c r="V29" i="6"/>
  <c r="W5" i="5" s="1"/>
  <c r="U29" i="6"/>
  <c r="V5" i="5" s="1"/>
  <c r="T29" i="6"/>
  <c r="S29" i="6"/>
  <c r="T5" i="5" s="1"/>
  <c r="R29" i="6"/>
  <c r="S5" i="5" s="1"/>
  <c r="Q29" i="6"/>
  <c r="R5" i="5" s="1"/>
  <c r="P29" i="6"/>
  <c r="Q5" i="5" s="1"/>
  <c r="O29" i="6"/>
  <c r="P5" i="5" s="1"/>
  <c r="N29" i="6"/>
  <c r="O5" i="5" s="1"/>
  <c r="M29" i="6"/>
  <c r="N5" i="5" s="1"/>
  <c r="L29" i="6"/>
  <c r="M5" i="5" s="1"/>
  <c r="K29" i="6"/>
  <c r="L5" i="5" s="1"/>
  <c r="J29" i="6"/>
  <c r="I29" i="6"/>
  <c r="J5" i="5" s="1"/>
  <c r="H29" i="6"/>
  <c r="I5" i="5" s="1"/>
  <c r="G29" i="6"/>
  <c r="H5" i="5" s="1"/>
  <c r="F29" i="6"/>
  <c r="G5" i="5" s="1"/>
  <c r="E29" i="6"/>
  <c r="F5" i="5" s="1"/>
  <c r="D29" i="6"/>
  <c r="C29" i="6"/>
  <c r="AW28" i="6"/>
  <c r="AX4" i="5" s="1"/>
  <c r="AV28" i="6"/>
  <c r="AW4" i="5" s="1"/>
  <c r="AU28" i="6"/>
  <c r="AV4" i="5" s="1"/>
  <c r="AT28" i="6"/>
  <c r="AU4" i="5" s="1"/>
  <c r="AS28" i="6"/>
  <c r="AT4" i="5" s="1"/>
  <c r="AR28" i="6"/>
  <c r="AS4" i="5" s="1"/>
  <c r="AQ28" i="6"/>
  <c r="AP28" i="6"/>
  <c r="AO28" i="6"/>
  <c r="AN28" i="6"/>
  <c r="AO4" i="5" s="1"/>
  <c r="AM28" i="6"/>
  <c r="AN4" i="5" s="1"/>
  <c r="AL28" i="6"/>
  <c r="AM4" i="5" s="1"/>
  <c r="AK28" i="6"/>
  <c r="AL4" i="5" s="1"/>
  <c r="AJ28" i="6"/>
  <c r="AK4" i="5" s="1"/>
  <c r="AI28" i="6"/>
  <c r="AH28" i="6"/>
  <c r="AI4" i="5" s="1"/>
  <c r="AG28" i="6"/>
  <c r="AH4" i="5" s="1"/>
  <c r="AF28" i="6"/>
  <c r="AG4" i="5" s="1"/>
  <c r="AE28" i="6"/>
  <c r="AF4" i="5" s="1"/>
  <c r="AD28" i="6"/>
  <c r="AE4" i="5" s="1"/>
  <c r="AC28" i="6"/>
  <c r="AD4" i="5" s="1"/>
  <c r="AB28" i="6"/>
  <c r="AC4" i="5" s="1"/>
  <c r="AA28" i="6"/>
  <c r="AB4" i="5" s="1"/>
  <c r="Z28" i="6"/>
  <c r="AA4" i="5" s="1"/>
  <c r="Y28" i="6"/>
  <c r="X28" i="6"/>
  <c r="Y4" i="5" s="1"/>
  <c r="W28" i="6"/>
  <c r="X4" i="5" s="1"/>
  <c r="V28" i="6"/>
  <c r="W4" i="5" s="1"/>
  <c r="U28" i="6"/>
  <c r="V4" i="5" s="1"/>
  <c r="T28" i="6"/>
  <c r="U4" i="5" s="1"/>
  <c r="S28" i="6"/>
  <c r="R28" i="6"/>
  <c r="S4" i="5" s="1"/>
  <c r="Q28" i="6"/>
  <c r="R4" i="5" s="1"/>
  <c r="P28" i="6"/>
  <c r="Q4" i="5" s="1"/>
  <c r="O28" i="6"/>
  <c r="P4" i="5" s="1"/>
  <c r="N28" i="6"/>
  <c r="O4" i="5" s="1"/>
  <c r="M28" i="6"/>
  <c r="N4" i="5" s="1"/>
  <c r="L28" i="6"/>
  <c r="M4" i="5" s="1"/>
  <c r="K28" i="6"/>
  <c r="J28" i="6"/>
  <c r="I28" i="6"/>
  <c r="H28" i="6"/>
  <c r="I4" i="5" s="1"/>
  <c r="G28" i="6"/>
  <c r="H4" i="5" s="1"/>
  <c r="F28" i="6"/>
  <c r="G4" i="5" s="1"/>
  <c r="E28" i="6"/>
  <c r="F4" i="5" s="1"/>
  <c r="D28" i="6"/>
  <c r="E4" i="5" s="1"/>
  <c r="C28" i="6"/>
  <c r="D4" i="5" s="1"/>
  <c r="AW27" i="6"/>
  <c r="AX3" i="5" s="1"/>
  <c r="AV27" i="6"/>
  <c r="AW3" i="5" s="1"/>
  <c r="AU27" i="6"/>
  <c r="AV3" i="5" s="1"/>
  <c r="AT27" i="6"/>
  <c r="AU3" i="5" s="1"/>
  <c r="AS27" i="6"/>
  <c r="AT3" i="5" s="1"/>
  <c r="AR27" i="6"/>
  <c r="AS3" i="5" s="1"/>
  <c r="AQ27" i="6"/>
  <c r="AR3" i="5" s="1"/>
  <c r="AP27" i="6"/>
  <c r="AQ3" i="5" s="1"/>
  <c r="AO27" i="6"/>
  <c r="AP3" i="5" s="1"/>
  <c r="AN27" i="6"/>
  <c r="AM27" i="6"/>
  <c r="AN3" i="5" s="1"/>
  <c r="AL27" i="6"/>
  <c r="AM3" i="5" s="1"/>
  <c r="AK27" i="6"/>
  <c r="AL3" i="5" s="1"/>
  <c r="AJ27" i="6"/>
  <c r="AK3" i="5" s="1"/>
  <c r="AI27" i="6"/>
  <c r="AJ3" i="5" s="1"/>
  <c r="AH27" i="6"/>
  <c r="AG27" i="6"/>
  <c r="AH3" i="5" s="1"/>
  <c r="AF27" i="6"/>
  <c r="AG3" i="5" s="1"/>
  <c r="AE27" i="6"/>
  <c r="AF3" i="5" s="1"/>
  <c r="AD27" i="6"/>
  <c r="AE3" i="5" s="1"/>
  <c r="AC27" i="6"/>
  <c r="AD3" i="5" s="1"/>
  <c r="AB27" i="6"/>
  <c r="AC3" i="5" s="1"/>
  <c r="AA27" i="6"/>
  <c r="AB3" i="5" s="1"/>
  <c r="Z27" i="6"/>
  <c r="Y27" i="6"/>
  <c r="X27" i="6"/>
  <c r="W27" i="6"/>
  <c r="X3" i="5" s="1"/>
  <c r="V27" i="6"/>
  <c r="W3" i="5" s="1"/>
  <c r="U27" i="6"/>
  <c r="V3" i="5" s="1"/>
  <c r="T27" i="6"/>
  <c r="U3" i="5" s="1"/>
  <c r="S27" i="6"/>
  <c r="T3" i="5" s="1"/>
  <c r="R27" i="6"/>
  <c r="Q27" i="6"/>
  <c r="R3" i="5" s="1"/>
  <c r="P27" i="6"/>
  <c r="Q3" i="5" s="1"/>
  <c r="O27" i="6"/>
  <c r="P3" i="5" s="1"/>
  <c r="N27" i="6"/>
  <c r="O3" i="5" s="1"/>
  <c r="M27" i="6"/>
  <c r="N3" i="5" s="1"/>
  <c r="L27" i="6"/>
  <c r="M3" i="5" s="1"/>
  <c r="K27" i="6"/>
  <c r="L3" i="5" s="1"/>
  <c r="J27" i="6"/>
  <c r="K3" i="5" s="1"/>
  <c r="I27" i="6"/>
  <c r="J3" i="5" s="1"/>
  <c r="H27" i="6"/>
  <c r="G27" i="6"/>
  <c r="H3" i="5" s="1"/>
  <c r="F27" i="6"/>
  <c r="G3" i="5" s="1"/>
  <c r="E27" i="6"/>
  <c r="F3" i="5" s="1"/>
  <c r="D27" i="6"/>
  <c r="E3" i="5" s="1"/>
  <c r="C27" i="6"/>
  <c r="D3" i="5" s="1"/>
  <c r="AX26" i="6"/>
  <c r="AW26" i="6"/>
  <c r="AX2" i="5" s="1"/>
  <c r="AV26" i="6"/>
  <c r="AW2" i="5" s="1"/>
  <c r="AU26" i="6"/>
  <c r="AV2" i="5" s="1"/>
  <c r="AT26" i="6"/>
  <c r="AU2" i="5" s="1"/>
  <c r="AS26" i="6"/>
  <c r="AT2" i="5" s="1"/>
  <c r="AR26" i="6"/>
  <c r="AS2" i="5" s="1"/>
  <c r="AQ26" i="6"/>
  <c r="AR2" i="5" s="1"/>
  <c r="AP26" i="6"/>
  <c r="AQ2" i="5" s="1"/>
  <c r="AO26" i="6"/>
  <c r="AP2" i="5" s="1"/>
  <c r="AN26" i="6"/>
  <c r="AM26" i="6"/>
  <c r="AN2" i="5" s="1"/>
  <c r="AL26" i="6"/>
  <c r="AM2" i="5" s="1"/>
  <c r="AK26" i="6"/>
  <c r="AL2" i="5" s="1"/>
  <c r="AJ26" i="6"/>
  <c r="AK2" i="5" s="1"/>
  <c r="AI26" i="6"/>
  <c r="AH26" i="6"/>
  <c r="AG26" i="6"/>
  <c r="AH2" i="5" s="1"/>
  <c r="AF26" i="6"/>
  <c r="AE26" i="6"/>
  <c r="AF2" i="5" s="1"/>
  <c r="AD26" i="6"/>
  <c r="AE2" i="5" s="1"/>
  <c r="AC26" i="6"/>
  <c r="AD2" i="5" s="1"/>
  <c r="AB26" i="6"/>
  <c r="AC2" i="5" s="1"/>
  <c r="AA26" i="6"/>
  <c r="AB2" i="5" s="1"/>
  <c r="Z26" i="6"/>
  <c r="AA2" i="5" s="1"/>
  <c r="Y26" i="6"/>
  <c r="Z2" i="5" s="1"/>
  <c r="X26" i="6"/>
  <c r="Y2" i="5" s="1"/>
  <c r="W26" i="6"/>
  <c r="X2" i="5" s="1"/>
  <c r="V26" i="6"/>
  <c r="W2" i="5" s="1"/>
  <c r="U26" i="6"/>
  <c r="V2" i="5" s="1"/>
  <c r="T26" i="6"/>
  <c r="U2" i="5" s="1"/>
  <c r="S26" i="6"/>
  <c r="T2" i="5" s="1"/>
  <c r="R26" i="6"/>
  <c r="Q26" i="6"/>
  <c r="R2" i="5" s="1"/>
  <c r="P26" i="6"/>
  <c r="Q2" i="5" s="1"/>
  <c r="O26" i="6"/>
  <c r="P2" i="5" s="1"/>
  <c r="N26" i="6"/>
  <c r="O2" i="5" s="1"/>
  <c r="M26" i="6"/>
  <c r="N2" i="5" s="1"/>
  <c r="L26" i="6"/>
  <c r="M2" i="5" s="1"/>
  <c r="K26" i="6"/>
  <c r="L2" i="5" s="1"/>
  <c r="J26" i="6"/>
  <c r="K2" i="5" s="1"/>
  <c r="I26" i="6"/>
  <c r="J2" i="5" s="1"/>
  <c r="H26" i="6"/>
  <c r="I2" i="5" s="1"/>
  <c r="G26" i="6"/>
  <c r="H2" i="5" s="1"/>
  <c r="F26" i="6"/>
  <c r="G2" i="5" s="1"/>
  <c r="E26" i="6"/>
  <c r="F2" i="5" s="1"/>
  <c r="D26" i="6"/>
  <c r="E2" i="5" s="1"/>
  <c r="C26" i="6"/>
  <c r="D2" i="5" s="1"/>
  <c r="W154" i="4" l="1"/>
  <c r="AM154" i="4"/>
  <c r="BC154" i="4"/>
  <c r="BS154" i="4"/>
  <c r="CI154" i="4"/>
  <c r="CY154" i="4"/>
  <c r="DO154" i="4"/>
  <c r="EE154" i="4"/>
  <c r="EU154" i="4"/>
  <c r="FK154" i="4"/>
  <c r="GA154" i="4"/>
  <c r="GQ154" i="4"/>
  <c r="HG154" i="4"/>
  <c r="HW154" i="4"/>
  <c r="IM154" i="4"/>
  <c r="JC154" i="4"/>
  <c r="JS154" i="4"/>
  <c r="KI154" i="4"/>
  <c r="X154" i="4"/>
  <c r="AN154" i="4"/>
  <c r="BD154" i="4"/>
  <c r="BT154" i="4"/>
  <c r="CJ154" i="4"/>
  <c r="CZ154" i="4"/>
  <c r="DP154" i="4"/>
  <c r="EF154" i="4"/>
  <c r="EV154" i="4"/>
  <c r="FL154" i="4"/>
  <c r="GB154" i="4"/>
  <c r="GR154" i="4"/>
  <c r="HH154" i="4"/>
  <c r="HX154" i="4"/>
  <c r="IN154" i="4"/>
  <c r="JD154" i="4"/>
  <c r="JT154" i="4"/>
  <c r="I154" i="4"/>
  <c r="Y154" i="4"/>
  <c r="AO154" i="4"/>
  <c r="BE154" i="4"/>
  <c r="BU154" i="4"/>
  <c r="CK154" i="4"/>
  <c r="DA154" i="4"/>
  <c r="DQ154" i="4"/>
  <c r="EG154" i="4"/>
  <c r="EW154" i="4"/>
  <c r="FM154" i="4"/>
  <c r="GC154" i="4"/>
  <c r="GS154" i="4"/>
  <c r="HI154" i="4"/>
  <c r="HY154" i="4"/>
  <c r="IO154" i="4"/>
  <c r="JE154" i="4"/>
  <c r="JU154" i="4"/>
  <c r="M154" i="4"/>
  <c r="AC154" i="4"/>
  <c r="AS154" i="4"/>
  <c r="BI154" i="4"/>
  <c r="BY154" i="4"/>
  <c r="CO154" i="4"/>
  <c r="DE154" i="4"/>
  <c r="DU154" i="4"/>
  <c r="EK154" i="4"/>
  <c r="FA154" i="4"/>
  <c r="FQ154" i="4"/>
  <c r="GG154" i="4"/>
  <c r="GW154" i="4"/>
  <c r="HM154" i="4"/>
  <c r="IC154" i="4"/>
  <c r="IS154" i="4"/>
  <c r="JI154" i="4"/>
  <c r="JY154" i="4"/>
  <c r="AB154" i="4"/>
  <c r="AW154" i="4"/>
  <c r="BQ154" i="4"/>
  <c r="CN154" i="4"/>
  <c r="DI154" i="4"/>
  <c r="EC154" i="4"/>
  <c r="EZ154" i="4"/>
  <c r="FU154" i="4"/>
  <c r="GO154" i="4"/>
  <c r="HL154" i="4"/>
  <c r="IG154" i="4"/>
  <c r="JA154" i="4"/>
  <c r="JX154" i="4"/>
  <c r="AD154" i="4"/>
  <c r="AX154" i="4"/>
  <c r="BR154" i="4"/>
  <c r="CP154" i="4"/>
  <c r="DJ154" i="4"/>
  <c r="ED154" i="4"/>
  <c r="FB154" i="4"/>
  <c r="FV154" i="4"/>
  <c r="GP154" i="4"/>
  <c r="HN154" i="4"/>
  <c r="IH154" i="4"/>
  <c r="JB154" i="4"/>
  <c r="JZ154" i="4"/>
  <c r="J154" i="4"/>
  <c r="AE154" i="4"/>
  <c r="AY154" i="4"/>
  <c r="BV154" i="4"/>
  <c r="CQ154" i="4"/>
  <c r="DK154" i="4"/>
  <c r="EH154" i="4"/>
  <c r="FC154" i="4"/>
  <c r="FW154" i="4"/>
  <c r="GT154" i="4"/>
  <c r="HO154" i="4"/>
  <c r="II154" i="4"/>
  <c r="JF154" i="4"/>
  <c r="KA154" i="4"/>
  <c r="O154" i="4"/>
  <c r="AI154" i="4"/>
  <c r="BF154" i="4"/>
  <c r="CA154" i="4"/>
  <c r="CU154" i="4"/>
  <c r="DR154" i="4"/>
  <c r="EM154" i="4"/>
  <c r="FG154" i="4"/>
  <c r="GD154" i="4"/>
  <c r="GY154" i="4"/>
  <c r="HS154" i="4"/>
  <c r="IP154" i="4"/>
  <c r="JK154" i="4"/>
  <c r="KE154" i="4"/>
  <c r="AH154" i="4"/>
  <c r="BK154" i="4"/>
  <c r="CL154" i="4"/>
  <c r="DN154" i="4"/>
  <c r="EQ154" i="4"/>
  <c r="FS154" i="4"/>
  <c r="GX154" i="4"/>
  <c r="HZ154" i="4"/>
  <c r="IY154" i="4"/>
  <c r="KD154" i="4"/>
  <c r="AJ154" i="4"/>
  <c r="BL154" i="4"/>
  <c r="CM154" i="4"/>
  <c r="DS154" i="4"/>
  <c r="ER154" i="4"/>
  <c r="FT154" i="4"/>
  <c r="GZ154" i="4"/>
  <c r="IA154" i="4"/>
  <c r="IZ154" i="4"/>
  <c r="KF154" i="4"/>
  <c r="K154" i="4"/>
  <c r="AK154" i="4"/>
  <c r="BM154" i="4"/>
  <c r="CR154" i="4"/>
  <c r="DT154" i="4"/>
  <c r="ES154" i="4"/>
  <c r="FX154" i="4"/>
  <c r="HA154" i="4"/>
  <c r="IB154" i="4"/>
  <c r="JG154" i="4"/>
  <c r="KG154" i="4"/>
  <c r="L154" i="4"/>
  <c r="AL154" i="4"/>
  <c r="BN154" i="4"/>
  <c r="CS154" i="4"/>
  <c r="DV154" i="4"/>
  <c r="ET154" i="4"/>
  <c r="FY154" i="4"/>
  <c r="HB154" i="4"/>
  <c r="ID154" i="4"/>
  <c r="JH154" i="4"/>
  <c r="KH154" i="4"/>
  <c r="N154" i="4"/>
  <c r="AP154" i="4"/>
  <c r="BO154" i="4"/>
  <c r="CT154" i="4"/>
  <c r="DW154" i="4"/>
  <c r="EX154" i="4"/>
  <c r="FZ154" i="4"/>
  <c r="HC154" i="4"/>
  <c r="IE154" i="4"/>
  <c r="JJ154" i="4"/>
  <c r="Q154" i="4"/>
  <c r="AR154" i="4"/>
  <c r="BW154" i="4"/>
  <c r="CW154" i="4"/>
  <c r="DY154" i="4"/>
  <c r="FD154" i="4"/>
  <c r="GF154" i="4"/>
  <c r="HE154" i="4"/>
  <c r="IJ154" i="4"/>
  <c r="JM154" i="4"/>
  <c r="AF154" i="4"/>
  <c r="CC154" i="4"/>
  <c r="DX154" i="4"/>
  <c r="FN154" i="4"/>
  <c r="HJ154" i="4"/>
  <c r="IW154" i="4"/>
  <c r="AG154" i="4"/>
  <c r="CD154" i="4"/>
  <c r="DZ154" i="4"/>
  <c r="FO154" i="4"/>
  <c r="HK154" i="4"/>
  <c r="IX154" i="4"/>
  <c r="AQ154" i="4"/>
  <c r="CE154" i="4"/>
  <c r="EA154" i="4"/>
  <c r="FP154" i="4"/>
  <c r="HP154" i="4"/>
  <c r="JL154" i="4"/>
  <c r="AT154" i="4"/>
  <c r="CF154" i="4"/>
  <c r="EB154" i="4"/>
  <c r="FR154" i="4"/>
  <c r="HQ154" i="4"/>
  <c r="JN154" i="4"/>
  <c r="AU154" i="4"/>
  <c r="CG154" i="4"/>
  <c r="EI154" i="4"/>
  <c r="GE154" i="4"/>
  <c r="HR154" i="4"/>
  <c r="JO154" i="4"/>
  <c r="AZ154" i="4"/>
  <c r="CV154" i="4"/>
  <c r="EL154" i="4"/>
  <c r="GI154" i="4"/>
  <c r="HU154" i="4"/>
  <c r="JQ154" i="4"/>
  <c r="BB154" i="4"/>
  <c r="DL154" i="4"/>
  <c r="GM154" i="4"/>
  <c r="JP154" i="4"/>
  <c r="BG154" i="4"/>
  <c r="DM154" i="4"/>
  <c r="GN154" i="4"/>
  <c r="JR154" i="4"/>
  <c r="BH154" i="4"/>
  <c r="EJ154" i="4"/>
  <c r="GU154" i="4"/>
  <c r="JV154" i="4"/>
  <c r="BJ154" i="4"/>
  <c r="EN154" i="4"/>
  <c r="GV154" i="4"/>
  <c r="JW154" i="4"/>
  <c r="BP154" i="4"/>
  <c r="EO154" i="4"/>
  <c r="HD154" i="4"/>
  <c r="KB154" i="4"/>
  <c r="P154" i="4"/>
  <c r="BZ154" i="4"/>
  <c r="EY154" i="4"/>
  <c r="HT154" i="4"/>
  <c r="Z154" i="4"/>
  <c r="FF154" i="4"/>
  <c r="IU154" i="4"/>
  <c r="AA154" i="4"/>
  <c r="FH154" i="4"/>
  <c r="IV154" i="4"/>
  <c r="AV154" i="4"/>
  <c r="FI154" i="4"/>
  <c r="KC154" i="4"/>
  <c r="BA154" i="4"/>
  <c r="FJ154" i="4"/>
  <c r="BX154" i="4"/>
  <c r="GH154" i="4"/>
  <c r="R154" i="4"/>
  <c r="GJ154" i="4"/>
  <c r="S154" i="4"/>
  <c r="GK154" i="4"/>
  <c r="T154" i="4"/>
  <c r="GL154" i="4"/>
  <c r="U154" i="4"/>
  <c r="HF154" i="4"/>
  <c r="V154" i="4"/>
  <c r="HV154" i="4"/>
  <c r="DD154" i="4"/>
  <c r="IT154" i="4"/>
  <c r="DG154" i="4"/>
  <c r="DH154" i="4"/>
  <c r="EP154" i="4"/>
  <c r="FE154" i="4"/>
  <c r="IK154" i="4"/>
  <c r="CB154" i="4"/>
  <c r="IQ154" i="4"/>
  <c r="IR154" i="4"/>
  <c r="CH154" i="4"/>
  <c r="CX154" i="4"/>
  <c r="DB154" i="4"/>
  <c r="DC154" i="4"/>
  <c r="DF154" i="4"/>
  <c r="IF154" i="4"/>
  <c r="IL154" i="4"/>
  <c r="O138" i="4"/>
  <c r="AE138" i="4"/>
  <c r="AU138" i="4"/>
  <c r="BK138" i="4"/>
  <c r="CA138" i="4"/>
  <c r="CQ138" i="4"/>
  <c r="DG138" i="4"/>
  <c r="DW138" i="4"/>
  <c r="EM138" i="4"/>
  <c r="FC138" i="4"/>
  <c r="FS138" i="4"/>
  <c r="GI138" i="4"/>
  <c r="GY138" i="4"/>
  <c r="HO138" i="4"/>
  <c r="IE138" i="4"/>
  <c r="IU138" i="4"/>
  <c r="JK138" i="4"/>
  <c r="KA138" i="4"/>
  <c r="N138" i="4"/>
  <c r="AF138" i="4"/>
  <c r="AW138" i="4"/>
  <c r="BN138" i="4"/>
  <c r="CE138" i="4"/>
  <c r="CV138" i="4"/>
  <c r="DM138" i="4"/>
  <c r="ED138" i="4"/>
  <c r="EU138" i="4"/>
  <c r="FL138" i="4"/>
  <c r="GC138" i="4"/>
  <c r="GT138" i="4"/>
  <c r="HK138" i="4"/>
  <c r="IB138" i="4"/>
  <c r="IS138" i="4"/>
  <c r="JJ138" i="4"/>
  <c r="KB138" i="4"/>
  <c r="P138" i="4"/>
  <c r="AG138" i="4"/>
  <c r="AX138" i="4"/>
  <c r="BO138" i="4"/>
  <c r="CF138" i="4"/>
  <c r="CW138" i="4"/>
  <c r="DN138" i="4"/>
  <c r="EE138" i="4"/>
  <c r="EV138" i="4"/>
  <c r="FM138" i="4"/>
  <c r="GD138" i="4"/>
  <c r="GU138" i="4"/>
  <c r="HL138" i="4"/>
  <c r="IC138" i="4"/>
  <c r="IT138" i="4"/>
  <c r="JL138" i="4"/>
  <c r="KC138" i="4"/>
  <c r="Q138" i="4"/>
  <c r="AH138" i="4"/>
  <c r="AY138" i="4"/>
  <c r="BP138" i="4"/>
  <c r="CG138" i="4"/>
  <c r="CX138" i="4"/>
  <c r="DO138" i="4"/>
  <c r="EF138" i="4"/>
  <c r="EW138" i="4"/>
  <c r="FN138" i="4"/>
  <c r="GE138" i="4"/>
  <c r="GV138" i="4"/>
  <c r="HM138" i="4"/>
  <c r="ID138" i="4"/>
  <c r="IV138" i="4"/>
  <c r="JM138" i="4"/>
  <c r="KD138" i="4"/>
  <c r="U138" i="4"/>
  <c r="AL138" i="4"/>
  <c r="BC138" i="4"/>
  <c r="BT138" i="4"/>
  <c r="CK138" i="4"/>
  <c r="DB138" i="4"/>
  <c r="DS138" i="4"/>
  <c r="EJ138" i="4"/>
  <c r="FA138" i="4"/>
  <c r="FR138" i="4"/>
  <c r="GJ138" i="4"/>
  <c r="HA138" i="4"/>
  <c r="HR138" i="4"/>
  <c r="II138" i="4"/>
  <c r="IZ138" i="4"/>
  <c r="JQ138" i="4"/>
  <c r="KH138" i="4"/>
  <c r="T138" i="4"/>
  <c r="AP138" i="4"/>
  <c r="BL138" i="4"/>
  <c r="CJ138" i="4"/>
  <c r="DF138" i="4"/>
  <c r="EB138" i="4"/>
  <c r="EZ138" i="4"/>
  <c r="FW138" i="4"/>
  <c r="GR138" i="4"/>
  <c r="HQ138" i="4"/>
  <c r="IM138" i="4"/>
  <c r="JH138" i="4"/>
  <c r="KG138" i="4"/>
  <c r="V138" i="4"/>
  <c r="AQ138" i="4"/>
  <c r="BM138" i="4"/>
  <c r="CL138" i="4"/>
  <c r="DH138" i="4"/>
  <c r="EC138" i="4"/>
  <c r="FB138" i="4"/>
  <c r="FX138" i="4"/>
  <c r="GS138" i="4"/>
  <c r="HS138" i="4"/>
  <c r="IN138" i="4"/>
  <c r="JI138" i="4"/>
  <c r="KI138" i="4"/>
  <c r="W138" i="4"/>
  <c r="AR138" i="4"/>
  <c r="BQ138" i="4"/>
  <c r="CM138" i="4"/>
  <c r="DI138" i="4"/>
  <c r="EG138" i="4"/>
  <c r="FD138" i="4"/>
  <c r="FY138" i="4"/>
  <c r="GW138" i="4"/>
  <c r="HT138" i="4"/>
  <c r="IO138" i="4"/>
  <c r="JN138" i="4"/>
  <c r="X138" i="4"/>
  <c r="AS138" i="4"/>
  <c r="BR138" i="4"/>
  <c r="CN138" i="4"/>
  <c r="DJ138" i="4"/>
  <c r="EH138" i="4"/>
  <c r="FE138" i="4"/>
  <c r="FZ138" i="4"/>
  <c r="GX138" i="4"/>
  <c r="HU138" i="4"/>
  <c r="IP138" i="4"/>
  <c r="JO138" i="4"/>
  <c r="Y138" i="4"/>
  <c r="AT138" i="4"/>
  <c r="BS138" i="4"/>
  <c r="CO138" i="4"/>
  <c r="DK138" i="4"/>
  <c r="EI138" i="4"/>
  <c r="FF138" i="4"/>
  <c r="GA138" i="4"/>
  <c r="GZ138" i="4"/>
  <c r="HV138" i="4"/>
  <c r="IQ138" i="4"/>
  <c r="JP138" i="4"/>
  <c r="AA138" i="4"/>
  <c r="AZ138" i="4"/>
  <c r="BV138" i="4"/>
  <c r="CR138" i="4"/>
  <c r="DP138" i="4"/>
  <c r="EL138" i="4"/>
  <c r="FH138" i="4"/>
  <c r="GF138" i="4"/>
  <c r="HC138" i="4"/>
  <c r="HX138" i="4"/>
  <c r="IW138" i="4"/>
  <c r="JS138" i="4"/>
  <c r="Z138" i="4"/>
  <c r="BG138" i="4"/>
  <c r="CT138" i="4"/>
  <c r="DZ138" i="4"/>
  <c r="FO138" i="4"/>
  <c r="HB138" i="4"/>
  <c r="IH138" i="4"/>
  <c r="JU138" i="4"/>
  <c r="AB138" i="4"/>
  <c r="BH138" i="4"/>
  <c r="CU138" i="4"/>
  <c r="EA138" i="4"/>
  <c r="FP138" i="4"/>
  <c r="HD138" i="4"/>
  <c r="IJ138" i="4"/>
  <c r="JV138" i="4"/>
  <c r="AC138" i="4"/>
  <c r="BI138" i="4"/>
  <c r="CY138" i="4"/>
  <c r="EK138" i="4"/>
  <c r="FQ138" i="4"/>
  <c r="HE138" i="4"/>
  <c r="IK138" i="4"/>
  <c r="JW138" i="4"/>
  <c r="AD138" i="4"/>
  <c r="BJ138" i="4"/>
  <c r="CZ138" i="4"/>
  <c r="EN138" i="4"/>
  <c r="FT138" i="4"/>
  <c r="HF138" i="4"/>
  <c r="IL138" i="4"/>
  <c r="JX138" i="4"/>
  <c r="AI138" i="4"/>
  <c r="BU138" i="4"/>
  <c r="DA138" i="4"/>
  <c r="EO138" i="4"/>
  <c r="FU138" i="4"/>
  <c r="HG138" i="4"/>
  <c r="IR138" i="4"/>
  <c r="JY138" i="4"/>
  <c r="AK138" i="4"/>
  <c r="BX138" i="4"/>
  <c r="DD138" i="4"/>
  <c r="EQ138" i="4"/>
  <c r="GB138" i="4"/>
  <c r="HI138" i="4"/>
  <c r="IY138" i="4"/>
  <c r="KE138" i="4"/>
  <c r="J138" i="4"/>
  <c r="BW138" i="4"/>
  <c r="DU138" i="4"/>
  <c r="GH138" i="4"/>
  <c r="IF138" i="4"/>
  <c r="K138" i="4"/>
  <c r="BY138" i="4"/>
  <c r="DV138" i="4"/>
  <c r="GK138" i="4"/>
  <c r="IG138" i="4"/>
  <c r="L138" i="4"/>
  <c r="BZ138" i="4"/>
  <c r="DX138" i="4"/>
  <c r="GL138" i="4"/>
  <c r="IX138" i="4"/>
  <c r="M138" i="4"/>
  <c r="CB138" i="4"/>
  <c r="DY138" i="4"/>
  <c r="GM138" i="4"/>
  <c r="JA138" i="4"/>
  <c r="R138" i="4"/>
  <c r="CC138" i="4"/>
  <c r="EP138" i="4"/>
  <c r="GN138" i="4"/>
  <c r="JB138" i="4"/>
  <c r="AJ138" i="4"/>
  <c r="CH138" i="4"/>
  <c r="ES138" i="4"/>
  <c r="GP138" i="4"/>
  <c r="JD138" i="4"/>
  <c r="CP138" i="4"/>
  <c r="FV138" i="4"/>
  <c r="JR138" i="4"/>
  <c r="CS138" i="4"/>
  <c r="GG138" i="4"/>
  <c r="JT138" i="4"/>
  <c r="DC138" i="4"/>
  <c r="GO138" i="4"/>
  <c r="JZ138" i="4"/>
  <c r="I138" i="4"/>
  <c r="DE138" i="4"/>
  <c r="GQ138" i="4"/>
  <c r="KF138" i="4"/>
  <c r="S138" i="4"/>
  <c r="DL138" i="4"/>
  <c r="HH138" i="4"/>
  <c r="AN138" i="4"/>
  <c r="DR138" i="4"/>
  <c r="HN138" i="4"/>
  <c r="ER138" i="4"/>
  <c r="JF138" i="4"/>
  <c r="ET138" i="4"/>
  <c r="JG138" i="4"/>
  <c r="EX138" i="4"/>
  <c r="EY138" i="4"/>
  <c r="AM138" i="4"/>
  <c r="FG138" i="4"/>
  <c r="FJ138" i="4"/>
  <c r="FK138" i="4"/>
  <c r="HJ138" i="4"/>
  <c r="HP138" i="4"/>
  <c r="AO138" i="4"/>
  <c r="HW138" i="4"/>
  <c r="BF138" i="4"/>
  <c r="CI138" i="4"/>
  <c r="DQ138" i="4"/>
  <c r="DT138" i="4"/>
  <c r="FI138" i="4"/>
  <c r="HZ138" i="4"/>
  <c r="AV138" i="4"/>
  <c r="BA138" i="4"/>
  <c r="BB138" i="4"/>
  <c r="BD138" i="4"/>
  <c r="JC138" i="4"/>
  <c r="JE138" i="4"/>
  <c r="BE138" i="4"/>
  <c r="CD138" i="4"/>
  <c r="HY138" i="4"/>
  <c r="IA138" i="4"/>
  <c r="J106" i="4"/>
  <c r="Z106" i="4"/>
  <c r="AP106" i="4"/>
  <c r="BF106" i="4"/>
  <c r="BV106" i="4"/>
  <c r="CL106" i="4"/>
  <c r="DB106" i="4"/>
  <c r="DR106" i="4"/>
  <c r="EH106" i="4"/>
  <c r="EX106" i="4"/>
  <c r="FN106" i="4"/>
  <c r="GD106" i="4"/>
  <c r="GT106" i="4"/>
  <c r="HJ106" i="4"/>
  <c r="HZ106" i="4"/>
  <c r="IP106" i="4"/>
  <c r="JF106" i="4"/>
  <c r="JV106" i="4"/>
  <c r="N106" i="4"/>
  <c r="AD106" i="4"/>
  <c r="AT106" i="4"/>
  <c r="BJ106" i="4"/>
  <c r="BZ106" i="4"/>
  <c r="CP106" i="4"/>
  <c r="DF106" i="4"/>
  <c r="DV106" i="4"/>
  <c r="EL106" i="4"/>
  <c r="FB106" i="4"/>
  <c r="FR106" i="4"/>
  <c r="GH106" i="4"/>
  <c r="GX106" i="4"/>
  <c r="HN106" i="4"/>
  <c r="ID106" i="4"/>
  <c r="IT106" i="4"/>
  <c r="JJ106" i="4"/>
  <c r="JZ106" i="4"/>
  <c r="Y106" i="4"/>
  <c r="AR106" i="4"/>
  <c r="BK106" i="4"/>
  <c r="CC106" i="4"/>
  <c r="CU106" i="4"/>
  <c r="DM106" i="4"/>
  <c r="EE106" i="4"/>
  <c r="EW106" i="4"/>
  <c r="FP106" i="4"/>
  <c r="GI106" i="4"/>
  <c r="HA106" i="4"/>
  <c r="HS106" i="4"/>
  <c r="IK106" i="4"/>
  <c r="JC106" i="4"/>
  <c r="JU106" i="4"/>
  <c r="AA106" i="4"/>
  <c r="AS106" i="4"/>
  <c r="BL106" i="4"/>
  <c r="CD106" i="4"/>
  <c r="CV106" i="4"/>
  <c r="DN106" i="4"/>
  <c r="EF106" i="4"/>
  <c r="EY106" i="4"/>
  <c r="FQ106" i="4"/>
  <c r="GJ106" i="4"/>
  <c r="HB106" i="4"/>
  <c r="HT106" i="4"/>
  <c r="IL106" i="4"/>
  <c r="JD106" i="4"/>
  <c r="JW106" i="4"/>
  <c r="I106" i="4"/>
  <c r="AB106" i="4"/>
  <c r="AU106" i="4"/>
  <c r="BM106" i="4"/>
  <c r="CE106" i="4"/>
  <c r="CW106" i="4"/>
  <c r="DO106" i="4"/>
  <c r="EG106" i="4"/>
  <c r="EZ106" i="4"/>
  <c r="FS106" i="4"/>
  <c r="GK106" i="4"/>
  <c r="HC106" i="4"/>
  <c r="HU106" i="4"/>
  <c r="IM106" i="4"/>
  <c r="JE106" i="4"/>
  <c r="JX106" i="4"/>
  <c r="O106" i="4"/>
  <c r="AG106" i="4"/>
  <c r="AY106" i="4"/>
  <c r="BQ106" i="4"/>
  <c r="CI106" i="4"/>
  <c r="DA106" i="4"/>
  <c r="DT106" i="4"/>
  <c r="EM106" i="4"/>
  <c r="FE106" i="4"/>
  <c r="FW106" i="4"/>
  <c r="GO106" i="4"/>
  <c r="HG106" i="4"/>
  <c r="HY106" i="4"/>
  <c r="IR106" i="4"/>
  <c r="JK106" i="4"/>
  <c r="KC106" i="4"/>
  <c r="Q106" i="4"/>
  <c r="AM106" i="4"/>
  <c r="BN106" i="4"/>
  <c r="CK106" i="4"/>
  <c r="DI106" i="4"/>
  <c r="EI106" i="4"/>
  <c r="FG106" i="4"/>
  <c r="GC106" i="4"/>
  <c r="HD106" i="4"/>
  <c r="IB106" i="4"/>
  <c r="IY106" i="4"/>
  <c r="JY106" i="4"/>
  <c r="R106" i="4"/>
  <c r="AN106" i="4"/>
  <c r="BO106" i="4"/>
  <c r="CM106" i="4"/>
  <c r="DJ106" i="4"/>
  <c r="EJ106" i="4"/>
  <c r="FH106" i="4"/>
  <c r="GE106" i="4"/>
  <c r="HE106" i="4"/>
  <c r="IC106" i="4"/>
  <c r="IZ106" i="4"/>
  <c r="KA106" i="4"/>
  <c r="S106" i="4"/>
  <c r="AO106" i="4"/>
  <c r="BP106" i="4"/>
  <c r="CN106" i="4"/>
  <c r="DK106" i="4"/>
  <c r="EK106" i="4"/>
  <c r="FI106" i="4"/>
  <c r="GF106" i="4"/>
  <c r="HF106" i="4"/>
  <c r="IE106" i="4"/>
  <c r="JA106" i="4"/>
  <c r="KB106" i="4"/>
  <c r="T106" i="4"/>
  <c r="AQ106" i="4"/>
  <c r="BR106" i="4"/>
  <c r="CO106" i="4"/>
  <c r="DL106" i="4"/>
  <c r="EN106" i="4"/>
  <c r="FJ106" i="4"/>
  <c r="GG106" i="4"/>
  <c r="HH106" i="4"/>
  <c r="IF106" i="4"/>
  <c r="JB106" i="4"/>
  <c r="KD106" i="4"/>
  <c r="U106" i="4"/>
  <c r="AV106" i="4"/>
  <c r="BS106" i="4"/>
  <c r="CQ106" i="4"/>
  <c r="DP106" i="4"/>
  <c r="EO106" i="4"/>
  <c r="FK106" i="4"/>
  <c r="GL106" i="4"/>
  <c r="HI106" i="4"/>
  <c r="IG106" i="4"/>
  <c r="JG106" i="4"/>
  <c r="KE106" i="4"/>
  <c r="W106" i="4"/>
  <c r="AX106" i="4"/>
  <c r="BU106" i="4"/>
  <c r="CS106" i="4"/>
  <c r="DS106" i="4"/>
  <c r="EQ106" i="4"/>
  <c r="FM106" i="4"/>
  <c r="GN106" i="4"/>
  <c r="HL106" i="4"/>
  <c r="II106" i="4"/>
  <c r="JI106" i="4"/>
  <c r="KG106" i="4"/>
  <c r="V106" i="4"/>
  <c r="BE106" i="4"/>
  <c r="CX106" i="4"/>
  <c r="EC106" i="4"/>
  <c r="FV106" i="4"/>
  <c r="HK106" i="4"/>
  <c r="IU106" i="4"/>
  <c r="KI106" i="4"/>
  <c r="X106" i="4"/>
  <c r="BG106" i="4"/>
  <c r="CY106" i="4"/>
  <c r="ED106" i="4"/>
  <c r="FX106" i="4"/>
  <c r="HM106" i="4"/>
  <c r="IV106" i="4"/>
  <c r="AC106" i="4"/>
  <c r="BH106" i="4"/>
  <c r="CZ106" i="4"/>
  <c r="EP106" i="4"/>
  <c r="FY106" i="4"/>
  <c r="HO106" i="4"/>
  <c r="IW106" i="4"/>
  <c r="AE106" i="4"/>
  <c r="BI106" i="4"/>
  <c r="DC106" i="4"/>
  <c r="ER106" i="4"/>
  <c r="FZ106" i="4"/>
  <c r="HP106" i="4"/>
  <c r="IX106" i="4"/>
  <c r="AF106" i="4"/>
  <c r="BT106" i="4"/>
  <c r="DD106" i="4"/>
  <c r="ES106" i="4"/>
  <c r="GA106" i="4"/>
  <c r="HQ106" i="4"/>
  <c r="JH106" i="4"/>
  <c r="AI106" i="4"/>
  <c r="BX106" i="4"/>
  <c r="DG106" i="4"/>
  <c r="EU106" i="4"/>
  <c r="GM106" i="4"/>
  <c r="HV106" i="4"/>
  <c r="JM106" i="4"/>
  <c r="BW106" i="4"/>
  <c r="DY106" i="4"/>
  <c r="GQ106" i="4"/>
  <c r="IQ106" i="4"/>
  <c r="BY106" i="4"/>
  <c r="DZ106" i="4"/>
  <c r="GR106" i="4"/>
  <c r="IS106" i="4"/>
  <c r="K106" i="4"/>
  <c r="CA106" i="4"/>
  <c r="EA106" i="4"/>
  <c r="GS106" i="4"/>
  <c r="JL106" i="4"/>
  <c r="L106" i="4"/>
  <c r="CB106" i="4"/>
  <c r="EB106" i="4"/>
  <c r="GU106" i="4"/>
  <c r="JN106" i="4"/>
  <c r="M106" i="4"/>
  <c r="CF106" i="4"/>
  <c r="ET106" i="4"/>
  <c r="GV106" i="4"/>
  <c r="JO106" i="4"/>
  <c r="AH106" i="4"/>
  <c r="CH106" i="4"/>
  <c r="FA106" i="4"/>
  <c r="GY106" i="4"/>
  <c r="JQ106" i="4"/>
  <c r="P106" i="4"/>
  <c r="DQ106" i="4"/>
  <c r="HR106" i="4"/>
  <c r="AJ106" i="4"/>
  <c r="DU106" i="4"/>
  <c r="HW106" i="4"/>
  <c r="AK106" i="4"/>
  <c r="DW106" i="4"/>
  <c r="HX106" i="4"/>
  <c r="AL106" i="4"/>
  <c r="DX106" i="4"/>
  <c r="IA106" i="4"/>
  <c r="AW106" i="4"/>
  <c r="EV106" i="4"/>
  <c r="IH106" i="4"/>
  <c r="BA106" i="4"/>
  <c r="FD106" i="4"/>
  <c r="IN106" i="4"/>
  <c r="BC106" i="4"/>
  <c r="GW106" i="4"/>
  <c r="BD106" i="4"/>
  <c r="GZ106" i="4"/>
  <c r="CG106" i="4"/>
  <c r="IJ106" i="4"/>
  <c r="CJ106" i="4"/>
  <c r="IO106" i="4"/>
  <c r="CR106" i="4"/>
  <c r="JP106" i="4"/>
  <c r="DE106" i="4"/>
  <c r="JS106" i="4"/>
  <c r="CT106" i="4"/>
  <c r="DH106" i="4"/>
  <c r="FC106" i="4"/>
  <c r="FF106" i="4"/>
  <c r="FL106" i="4"/>
  <c r="JR106" i="4"/>
  <c r="AZ106" i="4"/>
  <c r="BB106" i="4"/>
  <c r="FO106" i="4"/>
  <c r="FT106" i="4"/>
  <c r="FU106" i="4"/>
  <c r="JT106" i="4"/>
  <c r="KH106" i="4"/>
  <c r="GB106" i="4"/>
  <c r="GP106" i="4"/>
  <c r="KF106" i="4"/>
  <c r="X74" i="4"/>
  <c r="AN74" i="4"/>
  <c r="BD74" i="4"/>
  <c r="BT74" i="4"/>
  <c r="CJ74" i="4"/>
  <c r="CZ74" i="4"/>
  <c r="DP74" i="4"/>
  <c r="EF74" i="4"/>
  <c r="EV74" i="4"/>
  <c r="FL74" i="4"/>
  <c r="GB74" i="4"/>
  <c r="GR74" i="4"/>
  <c r="HH74" i="4"/>
  <c r="HX74" i="4"/>
  <c r="IN74" i="4"/>
  <c r="JD74" i="4"/>
  <c r="JT74" i="4"/>
  <c r="I74" i="4"/>
  <c r="Y74" i="4"/>
  <c r="AO74" i="4"/>
  <c r="BE74" i="4"/>
  <c r="BU74" i="4"/>
  <c r="CK74" i="4"/>
  <c r="DA74" i="4"/>
  <c r="DQ74" i="4"/>
  <c r="EG74" i="4"/>
  <c r="EW74" i="4"/>
  <c r="FM74" i="4"/>
  <c r="GC74" i="4"/>
  <c r="GS74" i="4"/>
  <c r="HI74" i="4"/>
  <c r="HY74" i="4"/>
  <c r="IO74" i="4"/>
  <c r="JE74" i="4"/>
  <c r="JU74" i="4"/>
  <c r="J74" i="4"/>
  <c r="Z74" i="4"/>
  <c r="AP74" i="4"/>
  <c r="BF74" i="4"/>
  <c r="BV74" i="4"/>
  <c r="CL74" i="4"/>
  <c r="DB74" i="4"/>
  <c r="DR74" i="4"/>
  <c r="EH74" i="4"/>
  <c r="EX74" i="4"/>
  <c r="FN74" i="4"/>
  <c r="GD74" i="4"/>
  <c r="GT74" i="4"/>
  <c r="HJ74" i="4"/>
  <c r="HZ74" i="4"/>
  <c r="IP74" i="4"/>
  <c r="JF74" i="4"/>
  <c r="JV74" i="4"/>
  <c r="K74" i="4"/>
  <c r="AA74" i="4"/>
  <c r="AQ74" i="4"/>
  <c r="BG74" i="4"/>
  <c r="BW74" i="4"/>
  <c r="CM74" i="4"/>
  <c r="DC74" i="4"/>
  <c r="DS74" i="4"/>
  <c r="EI74" i="4"/>
  <c r="EY74" i="4"/>
  <c r="FO74" i="4"/>
  <c r="GE74" i="4"/>
  <c r="GU74" i="4"/>
  <c r="HK74" i="4"/>
  <c r="IA74" i="4"/>
  <c r="IQ74" i="4"/>
  <c r="JG74" i="4"/>
  <c r="JW74" i="4"/>
  <c r="L74" i="4"/>
  <c r="AB74" i="4"/>
  <c r="AR74" i="4"/>
  <c r="BH74" i="4"/>
  <c r="BX74" i="4"/>
  <c r="CN74" i="4"/>
  <c r="DD74" i="4"/>
  <c r="DT74" i="4"/>
  <c r="EJ74" i="4"/>
  <c r="EZ74" i="4"/>
  <c r="FP74" i="4"/>
  <c r="GF74" i="4"/>
  <c r="GV74" i="4"/>
  <c r="HL74" i="4"/>
  <c r="IB74" i="4"/>
  <c r="IR74" i="4"/>
  <c r="JH74" i="4"/>
  <c r="JX74" i="4"/>
  <c r="N74" i="4"/>
  <c r="AD74" i="4"/>
  <c r="AT74" i="4"/>
  <c r="BJ74" i="4"/>
  <c r="BZ74" i="4"/>
  <c r="CP74" i="4"/>
  <c r="DF74" i="4"/>
  <c r="DV74" i="4"/>
  <c r="EL74" i="4"/>
  <c r="FB74" i="4"/>
  <c r="FR74" i="4"/>
  <c r="GH74" i="4"/>
  <c r="GX74" i="4"/>
  <c r="HN74" i="4"/>
  <c r="ID74" i="4"/>
  <c r="IT74" i="4"/>
  <c r="JJ74" i="4"/>
  <c r="JZ74" i="4"/>
  <c r="AH74" i="4"/>
  <c r="BI74" i="4"/>
  <c r="CF74" i="4"/>
  <c r="DH74" i="4"/>
  <c r="ED74" i="4"/>
  <c r="FF74" i="4"/>
  <c r="GG74" i="4"/>
  <c r="HD74" i="4"/>
  <c r="IF74" i="4"/>
  <c r="JB74" i="4"/>
  <c r="KD74" i="4"/>
  <c r="AI74" i="4"/>
  <c r="BK74" i="4"/>
  <c r="CG74" i="4"/>
  <c r="DI74" i="4"/>
  <c r="EE74" i="4"/>
  <c r="FG74" i="4"/>
  <c r="GI74" i="4"/>
  <c r="HE74" i="4"/>
  <c r="IG74" i="4"/>
  <c r="JC74" i="4"/>
  <c r="KE74" i="4"/>
  <c r="M74" i="4"/>
  <c r="AJ74" i="4"/>
  <c r="BL74" i="4"/>
  <c r="CH74" i="4"/>
  <c r="DJ74" i="4"/>
  <c r="EK74" i="4"/>
  <c r="FH74" i="4"/>
  <c r="GJ74" i="4"/>
  <c r="HF74" i="4"/>
  <c r="IH74" i="4"/>
  <c r="JI74" i="4"/>
  <c r="KF74" i="4"/>
  <c r="O74" i="4"/>
  <c r="AK74" i="4"/>
  <c r="BM74" i="4"/>
  <c r="CI74" i="4"/>
  <c r="DK74" i="4"/>
  <c r="EM74" i="4"/>
  <c r="FI74" i="4"/>
  <c r="GK74" i="4"/>
  <c r="HG74" i="4"/>
  <c r="II74" i="4"/>
  <c r="JK74" i="4"/>
  <c r="KG74" i="4"/>
  <c r="P74" i="4"/>
  <c r="AL74" i="4"/>
  <c r="BN74" i="4"/>
  <c r="CO74" i="4"/>
  <c r="DL74" i="4"/>
  <c r="EN74" i="4"/>
  <c r="FJ74" i="4"/>
  <c r="GL74" i="4"/>
  <c r="HM74" i="4"/>
  <c r="IJ74" i="4"/>
  <c r="JL74" i="4"/>
  <c r="KH74" i="4"/>
  <c r="R74" i="4"/>
  <c r="AS74" i="4"/>
  <c r="BP74" i="4"/>
  <c r="CR74" i="4"/>
  <c r="DN74" i="4"/>
  <c r="EP74" i="4"/>
  <c r="FQ74" i="4"/>
  <c r="GN74" i="4"/>
  <c r="HP74" i="4"/>
  <c r="IL74" i="4"/>
  <c r="JN74" i="4"/>
  <c r="Q74" i="4"/>
  <c r="AZ74" i="4"/>
  <c r="CT74" i="4"/>
  <c r="EB74" i="4"/>
  <c r="FV74" i="4"/>
  <c r="HO74" i="4"/>
  <c r="IX74" i="4"/>
  <c r="S74" i="4"/>
  <c r="BA74" i="4"/>
  <c r="CU74" i="4"/>
  <c r="EC74" i="4"/>
  <c r="FW74" i="4"/>
  <c r="HQ74" i="4"/>
  <c r="IY74" i="4"/>
  <c r="T74" i="4"/>
  <c r="BB74" i="4"/>
  <c r="CV74" i="4"/>
  <c r="EO74" i="4"/>
  <c r="FX74" i="4"/>
  <c r="HR74" i="4"/>
  <c r="IZ74" i="4"/>
  <c r="U74" i="4"/>
  <c r="BC74" i="4"/>
  <c r="CW74" i="4"/>
  <c r="EQ74" i="4"/>
  <c r="FY74" i="4"/>
  <c r="HS74" i="4"/>
  <c r="JA74" i="4"/>
  <c r="V74" i="4"/>
  <c r="BO74" i="4"/>
  <c r="CX74" i="4"/>
  <c r="ER74" i="4"/>
  <c r="FZ74" i="4"/>
  <c r="HT74" i="4"/>
  <c r="JM74" i="4"/>
  <c r="AC74" i="4"/>
  <c r="BR74" i="4"/>
  <c r="DE74" i="4"/>
  <c r="ET74" i="4"/>
  <c r="GM74" i="4"/>
  <c r="HV74" i="4"/>
  <c r="JP74" i="4"/>
  <c r="CB74" i="4"/>
  <c r="ES74" i="4"/>
  <c r="GZ74" i="4"/>
  <c r="JR74" i="4"/>
  <c r="CC74" i="4"/>
  <c r="EU74" i="4"/>
  <c r="HA74" i="4"/>
  <c r="JS74" i="4"/>
  <c r="W74" i="4"/>
  <c r="CD74" i="4"/>
  <c r="FA74" i="4"/>
  <c r="HB74" i="4"/>
  <c r="JY74" i="4"/>
  <c r="AE74" i="4"/>
  <c r="CE74" i="4"/>
  <c r="FC74" i="4"/>
  <c r="HC74" i="4"/>
  <c r="KA74" i="4"/>
  <c r="AF74" i="4"/>
  <c r="CQ74" i="4"/>
  <c r="FD74" i="4"/>
  <c r="HU74" i="4"/>
  <c r="KB74" i="4"/>
  <c r="AM74" i="4"/>
  <c r="CY74" i="4"/>
  <c r="FK74" i="4"/>
  <c r="IC74" i="4"/>
  <c r="KI74" i="4"/>
  <c r="AG74" i="4"/>
  <c r="DX74" i="4"/>
  <c r="IK74" i="4"/>
  <c r="AU74" i="4"/>
  <c r="DY74" i="4"/>
  <c r="IM74" i="4"/>
  <c r="AV74" i="4"/>
  <c r="DZ74" i="4"/>
  <c r="IS74" i="4"/>
  <c r="AW74" i="4"/>
  <c r="EA74" i="4"/>
  <c r="IU74" i="4"/>
  <c r="AX74" i="4"/>
  <c r="FE74" i="4"/>
  <c r="IV74" i="4"/>
  <c r="BQ74" i="4"/>
  <c r="FT74" i="4"/>
  <c r="JO74" i="4"/>
  <c r="AY74" i="4"/>
  <c r="GW74" i="4"/>
  <c r="BS74" i="4"/>
  <c r="GY74" i="4"/>
  <c r="BY74" i="4"/>
  <c r="HW74" i="4"/>
  <c r="CA74" i="4"/>
  <c r="IE74" i="4"/>
  <c r="CS74" i="4"/>
  <c r="IW74" i="4"/>
  <c r="DM74" i="4"/>
  <c r="KC74" i="4"/>
  <c r="DG74" i="4"/>
  <c r="DU74" i="4"/>
  <c r="GA74" i="4"/>
  <c r="DW74" i="4"/>
  <c r="FS74" i="4"/>
  <c r="FU74" i="4"/>
  <c r="GO74" i="4"/>
  <c r="GP74" i="4"/>
  <c r="JQ74" i="4"/>
  <c r="DO74" i="4"/>
  <c r="GQ74" i="4"/>
  <c r="Q42" i="4"/>
  <c r="AG42" i="4"/>
  <c r="AW42" i="4"/>
  <c r="BM42" i="4"/>
  <c r="CC42" i="4"/>
  <c r="CS42" i="4"/>
  <c r="DI42" i="4"/>
  <c r="DY42" i="4"/>
  <c r="EO42" i="4"/>
  <c r="FE42" i="4"/>
  <c r="FU42" i="4"/>
  <c r="GK42" i="4"/>
  <c r="HA42" i="4"/>
  <c r="HQ42" i="4"/>
  <c r="IG42" i="4"/>
  <c r="IW42" i="4"/>
  <c r="JM42" i="4"/>
  <c r="KC42" i="4"/>
  <c r="J42" i="4"/>
  <c r="AA42" i="4"/>
  <c r="AR42" i="4"/>
  <c r="BI42" i="4"/>
  <c r="BZ42" i="4"/>
  <c r="CQ42" i="4"/>
  <c r="DH42" i="4"/>
  <c r="DZ42" i="4"/>
  <c r="EQ42" i="4"/>
  <c r="FH42" i="4"/>
  <c r="FY42" i="4"/>
  <c r="GP42" i="4"/>
  <c r="HG42" i="4"/>
  <c r="HX42" i="4"/>
  <c r="IO42" i="4"/>
  <c r="JF42" i="4"/>
  <c r="JW42" i="4"/>
  <c r="K42" i="4"/>
  <c r="AB42" i="4"/>
  <c r="AS42" i="4"/>
  <c r="BJ42" i="4"/>
  <c r="CA42" i="4"/>
  <c r="CR42" i="4"/>
  <c r="DJ42" i="4"/>
  <c r="EA42" i="4"/>
  <c r="ER42" i="4"/>
  <c r="FI42" i="4"/>
  <c r="FZ42" i="4"/>
  <c r="GQ42" i="4"/>
  <c r="HH42" i="4"/>
  <c r="HY42" i="4"/>
  <c r="IP42" i="4"/>
  <c r="JG42" i="4"/>
  <c r="JX42" i="4"/>
  <c r="L42" i="4"/>
  <c r="AC42" i="4"/>
  <c r="AT42" i="4"/>
  <c r="BK42" i="4"/>
  <c r="CB42" i="4"/>
  <c r="CT42" i="4"/>
  <c r="DK42" i="4"/>
  <c r="EB42" i="4"/>
  <c r="ES42" i="4"/>
  <c r="FJ42" i="4"/>
  <c r="GA42" i="4"/>
  <c r="GR42" i="4"/>
  <c r="HI42" i="4"/>
  <c r="HZ42" i="4"/>
  <c r="IQ42" i="4"/>
  <c r="JH42" i="4"/>
  <c r="JY42" i="4"/>
  <c r="M42" i="4"/>
  <c r="AD42" i="4"/>
  <c r="AU42" i="4"/>
  <c r="BL42" i="4"/>
  <c r="CD42" i="4"/>
  <c r="CU42" i="4"/>
  <c r="DL42" i="4"/>
  <c r="EC42" i="4"/>
  <c r="ET42" i="4"/>
  <c r="FK42" i="4"/>
  <c r="P42" i="4"/>
  <c r="AH42" i="4"/>
  <c r="AY42" i="4"/>
  <c r="BP42" i="4"/>
  <c r="CG42" i="4"/>
  <c r="CX42" i="4"/>
  <c r="DO42" i="4"/>
  <c r="EF42" i="4"/>
  <c r="EW42" i="4"/>
  <c r="FN42" i="4"/>
  <c r="GE42" i="4"/>
  <c r="GV42" i="4"/>
  <c r="HM42" i="4"/>
  <c r="ID42" i="4"/>
  <c r="IU42" i="4"/>
  <c r="JL42" i="4"/>
  <c r="KD42" i="4"/>
  <c r="Z42" i="4"/>
  <c r="BB42" i="4"/>
  <c r="BX42" i="4"/>
  <c r="CZ42" i="4"/>
  <c r="DV42" i="4"/>
  <c r="EX42" i="4"/>
  <c r="FT42" i="4"/>
  <c r="GS42" i="4"/>
  <c r="HO42" i="4"/>
  <c r="IK42" i="4"/>
  <c r="JI42" i="4"/>
  <c r="KF42" i="4"/>
  <c r="AE42" i="4"/>
  <c r="BC42" i="4"/>
  <c r="BY42" i="4"/>
  <c r="DA42" i="4"/>
  <c r="DW42" i="4"/>
  <c r="EY42" i="4"/>
  <c r="FV42" i="4"/>
  <c r="GT42" i="4"/>
  <c r="HP42" i="4"/>
  <c r="IL42" i="4"/>
  <c r="JJ42" i="4"/>
  <c r="KG42" i="4"/>
  <c r="AF42" i="4"/>
  <c r="BD42" i="4"/>
  <c r="CE42" i="4"/>
  <c r="DB42" i="4"/>
  <c r="DX42" i="4"/>
  <c r="EZ42" i="4"/>
  <c r="FW42" i="4"/>
  <c r="GU42" i="4"/>
  <c r="HR42" i="4"/>
  <c r="IM42" i="4"/>
  <c r="JK42" i="4"/>
  <c r="KH42" i="4"/>
  <c r="AI42" i="4"/>
  <c r="BE42" i="4"/>
  <c r="CF42" i="4"/>
  <c r="DC42" i="4"/>
  <c r="ED42" i="4"/>
  <c r="FA42" i="4"/>
  <c r="FX42" i="4"/>
  <c r="GW42" i="4"/>
  <c r="HS42" i="4"/>
  <c r="IN42" i="4"/>
  <c r="JN42" i="4"/>
  <c r="KI42" i="4"/>
  <c r="AJ42" i="4"/>
  <c r="BF42" i="4"/>
  <c r="CH42" i="4"/>
  <c r="DD42" i="4"/>
  <c r="EE42" i="4"/>
  <c r="FB42" i="4"/>
  <c r="GB42" i="4"/>
  <c r="GX42" i="4"/>
  <c r="HT42" i="4"/>
  <c r="IR42" i="4"/>
  <c r="JO42" i="4"/>
  <c r="N42" i="4"/>
  <c r="AL42" i="4"/>
  <c r="BH42" i="4"/>
  <c r="CJ42" i="4"/>
  <c r="DF42" i="4"/>
  <c r="EH42" i="4"/>
  <c r="FD42" i="4"/>
  <c r="GD42" i="4"/>
  <c r="GZ42" i="4"/>
  <c r="HV42" i="4"/>
  <c r="IT42" i="4"/>
  <c r="JQ42" i="4"/>
  <c r="AN42" i="4"/>
  <c r="BV42" i="4"/>
  <c r="DP42" i="4"/>
  <c r="FC42" i="4"/>
  <c r="GL42" i="4"/>
  <c r="IA42" i="4"/>
  <c r="JD42" i="4"/>
  <c r="AO42" i="4"/>
  <c r="BW42" i="4"/>
  <c r="DQ42" i="4"/>
  <c r="FF42" i="4"/>
  <c r="GM42" i="4"/>
  <c r="IB42" i="4"/>
  <c r="JE42" i="4"/>
  <c r="AP42" i="4"/>
  <c r="CI42" i="4"/>
  <c r="DR42" i="4"/>
  <c r="FG42" i="4"/>
  <c r="GN42" i="4"/>
  <c r="IC42" i="4"/>
  <c r="JP42" i="4"/>
  <c r="AQ42" i="4"/>
  <c r="CK42" i="4"/>
  <c r="DS42" i="4"/>
  <c r="FL42" i="4"/>
  <c r="GO42" i="4"/>
  <c r="IE42" i="4"/>
  <c r="JR42" i="4"/>
  <c r="I42" i="4"/>
  <c r="AV42" i="4"/>
  <c r="CL42" i="4"/>
  <c r="DT42" i="4"/>
  <c r="FM42" i="4"/>
  <c r="GY42" i="4"/>
  <c r="IF42" i="4"/>
  <c r="JS42" i="4"/>
  <c r="R42" i="4"/>
  <c r="AZ42" i="4"/>
  <c r="CN42" i="4"/>
  <c r="EG42" i="4"/>
  <c r="FP42" i="4"/>
  <c r="HC42" i="4"/>
  <c r="II42" i="4"/>
  <c r="JU42" i="4"/>
  <c r="X42" i="4"/>
  <c r="CP42" i="4"/>
  <c r="EU42" i="4"/>
  <c r="HJ42" i="4"/>
  <c r="JT42" i="4"/>
  <c r="Y42" i="4"/>
  <c r="CV42" i="4"/>
  <c r="EV42" i="4"/>
  <c r="HK42" i="4"/>
  <c r="JV42" i="4"/>
  <c r="AK42" i="4"/>
  <c r="CW42" i="4"/>
  <c r="FO42" i="4"/>
  <c r="HL42" i="4"/>
  <c r="JZ42" i="4"/>
  <c r="AM42" i="4"/>
  <c r="CY42" i="4"/>
  <c r="FQ42" i="4"/>
  <c r="HN42" i="4"/>
  <c r="KA42" i="4"/>
  <c r="AX42" i="4"/>
  <c r="DE42" i="4"/>
  <c r="FR42" i="4"/>
  <c r="HU42" i="4"/>
  <c r="KB42" i="4"/>
  <c r="BG42" i="4"/>
  <c r="DM42" i="4"/>
  <c r="GC42" i="4"/>
  <c r="IH42" i="4"/>
  <c r="V42" i="4"/>
  <c r="EJ42" i="4"/>
  <c r="HW42" i="4"/>
  <c r="W42" i="4"/>
  <c r="EK42" i="4"/>
  <c r="IJ42" i="4"/>
  <c r="BA42" i="4"/>
  <c r="EL42" i="4"/>
  <c r="IS42" i="4"/>
  <c r="BN42" i="4"/>
  <c r="EM42" i="4"/>
  <c r="IV42" i="4"/>
  <c r="BO42" i="4"/>
  <c r="EN42" i="4"/>
  <c r="IX42" i="4"/>
  <c r="BR42" i="4"/>
  <c r="FS42" i="4"/>
  <c r="IZ42" i="4"/>
  <c r="EP42" i="4"/>
  <c r="GF42" i="4"/>
  <c r="O42" i="4"/>
  <c r="GG42" i="4"/>
  <c r="S42" i="4"/>
  <c r="GH42" i="4"/>
  <c r="T42" i="4"/>
  <c r="GI42" i="4"/>
  <c r="BQ42" i="4"/>
  <c r="HB42" i="4"/>
  <c r="GJ42" i="4"/>
  <c r="HD42" i="4"/>
  <c r="HE42" i="4"/>
  <c r="HF42" i="4"/>
  <c r="IY42" i="4"/>
  <c r="U42" i="4"/>
  <c r="JB42" i="4"/>
  <c r="BS42" i="4"/>
  <c r="BT42" i="4"/>
  <c r="BU42" i="4"/>
  <c r="CM42" i="4"/>
  <c r="DG42" i="4"/>
  <c r="CO42" i="4"/>
  <c r="KE42" i="4"/>
  <c r="JA42" i="4"/>
  <c r="DN42" i="4"/>
  <c r="DU42" i="4"/>
  <c r="EI42" i="4"/>
  <c r="JC42" i="4"/>
  <c r="I26" i="4"/>
  <c r="Y26" i="4"/>
  <c r="AO26" i="4"/>
  <c r="BE26" i="4"/>
  <c r="BU26" i="4"/>
  <c r="CK26" i="4"/>
  <c r="DA26" i="4"/>
  <c r="DQ26" i="4"/>
  <c r="EG26" i="4"/>
  <c r="EW26" i="4"/>
  <c r="FM26" i="4"/>
  <c r="GC26" i="4"/>
  <c r="GS26" i="4"/>
  <c r="HI26" i="4"/>
  <c r="HY26" i="4"/>
  <c r="IO26" i="4"/>
  <c r="JE26" i="4"/>
  <c r="JU26" i="4"/>
  <c r="J26" i="4"/>
  <c r="Z26" i="4"/>
  <c r="AP26" i="4"/>
  <c r="BF26" i="4"/>
  <c r="BV26" i="4"/>
  <c r="CL26" i="4"/>
  <c r="DB26" i="4"/>
  <c r="DR26" i="4"/>
  <c r="EH26" i="4"/>
  <c r="EX26" i="4"/>
  <c r="FN26" i="4"/>
  <c r="GD26" i="4"/>
  <c r="GT26" i="4"/>
  <c r="HJ26" i="4"/>
  <c r="HZ26" i="4"/>
  <c r="IP26" i="4"/>
  <c r="JF26" i="4"/>
  <c r="JV26" i="4"/>
  <c r="K26" i="4"/>
  <c r="AA26" i="4"/>
  <c r="AQ26" i="4"/>
  <c r="BG26" i="4"/>
  <c r="BW26" i="4"/>
  <c r="CM26" i="4"/>
  <c r="DC26" i="4"/>
  <c r="DS26" i="4"/>
  <c r="EI26" i="4"/>
  <c r="EY26" i="4"/>
  <c r="FO26" i="4"/>
  <c r="GE26" i="4"/>
  <c r="GU26" i="4"/>
  <c r="HK26" i="4"/>
  <c r="IA26" i="4"/>
  <c r="IQ26" i="4"/>
  <c r="JG26" i="4"/>
  <c r="JW26" i="4"/>
  <c r="O26" i="4"/>
  <c r="AE26" i="4"/>
  <c r="AU26" i="4"/>
  <c r="BK26" i="4"/>
  <c r="CA26" i="4"/>
  <c r="CQ26" i="4"/>
  <c r="DG26" i="4"/>
  <c r="DW26" i="4"/>
  <c r="EM26" i="4"/>
  <c r="FC26" i="4"/>
  <c r="FS26" i="4"/>
  <c r="GI26" i="4"/>
  <c r="GY26" i="4"/>
  <c r="HO26" i="4"/>
  <c r="IE26" i="4"/>
  <c r="IU26" i="4"/>
  <c r="JK26" i="4"/>
  <c r="KA26" i="4"/>
  <c r="V26" i="4"/>
  <c r="AS26" i="4"/>
  <c r="BN26" i="4"/>
  <c r="CH26" i="4"/>
  <c r="DE26" i="4"/>
  <c r="DZ26" i="4"/>
  <c r="ET26" i="4"/>
  <c r="FQ26" i="4"/>
  <c r="GL26" i="4"/>
  <c r="HF26" i="4"/>
  <c r="IC26" i="4"/>
  <c r="IX26" i="4"/>
  <c r="JR26" i="4"/>
  <c r="W26" i="4"/>
  <c r="AT26" i="4"/>
  <c r="BO26" i="4"/>
  <c r="CI26" i="4"/>
  <c r="DF26" i="4"/>
  <c r="EA26" i="4"/>
  <c r="EU26" i="4"/>
  <c r="FR26" i="4"/>
  <c r="GM26" i="4"/>
  <c r="HG26" i="4"/>
  <c r="ID26" i="4"/>
  <c r="IY26" i="4"/>
  <c r="JS26" i="4"/>
  <c r="X26" i="4"/>
  <c r="AV26" i="4"/>
  <c r="BP26" i="4"/>
  <c r="CJ26" i="4"/>
  <c r="DH26" i="4"/>
  <c r="EB26" i="4"/>
  <c r="EV26" i="4"/>
  <c r="FT26" i="4"/>
  <c r="GN26" i="4"/>
  <c r="HH26" i="4"/>
  <c r="IF26" i="4"/>
  <c r="IZ26" i="4"/>
  <c r="JT26" i="4"/>
  <c r="AB26" i="4"/>
  <c r="AW26" i="4"/>
  <c r="BQ26" i="4"/>
  <c r="CN26" i="4"/>
  <c r="DI26" i="4"/>
  <c r="EC26" i="4"/>
  <c r="EZ26" i="4"/>
  <c r="FU26" i="4"/>
  <c r="GO26" i="4"/>
  <c r="HL26" i="4"/>
  <c r="IG26" i="4"/>
  <c r="JA26" i="4"/>
  <c r="JX26" i="4"/>
  <c r="AF26" i="4"/>
  <c r="AZ26" i="4"/>
  <c r="BT26" i="4"/>
  <c r="CR26" i="4"/>
  <c r="DL26" i="4"/>
  <c r="EF26" i="4"/>
  <c r="FD26" i="4"/>
  <c r="FX26" i="4"/>
  <c r="GR26" i="4"/>
  <c r="HP26" i="4"/>
  <c r="IJ26" i="4"/>
  <c r="JD26" i="4"/>
  <c r="KB26" i="4"/>
  <c r="M26" i="4"/>
  <c r="AM26" i="4"/>
  <c r="BX26" i="4"/>
  <c r="CX26" i="4"/>
  <c r="EE26" i="4"/>
  <c r="FI26" i="4"/>
  <c r="GP26" i="4"/>
  <c r="HT26" i="4"/>
  <c r="IW26" i="4"/>
  <c r="KE26" i="4"/>
  <c r="N26" i="4"/>
  <c r="AN26" i="4"/>
  <c r="BY26" i="4"/>
  <c r="CY26" i="4"/>
  <c r="EJ26" i="4"/>
  <c r="FJ26" i="4"/>
  <c r="GQ26" i="4"/>
  <c r="HU26" i="4"/>
  <c r="JB26" i="4"/>
  <c r="KF26" i="4"/>
  <c r="P26" i="4"/>
  <c r="AR26" i="4"/>
  <c r="BZ26" i="4"/>
  <c r="CZ26" i="4"/>
  <c r="EK26" i="4"/>
  <c r="FK26" i="4"/>
  <c r="GV26" i="4"/>
  <c r="HV26" i="4"/>
  <c r="JC26" i="4"/>
  <c r="KG26" i="4"/>
  <c r="Q26" i="4"/>
  <c r="AX26" i="4"/>
  <c r="CB26" i="4"/>
  <c r="DD26" i="4"/>
  <c r="EL26" i="4"/>
  <c r="FL26" i="4"/>
  <c r="GW26" i="4"/>
  <c r="HW26" i="4"/>
  <c r="JH26" i="4"/>
  <c r="KH26" i="4"/>
  <c r="R26" i="4"/>
  <c r="AY26" i="4"/>
  <c r="CC26" i="4"/>
  <c r="DJ26" i="4"/>
  <c r="EN26" i="4"/>
  <c r="FP26" i="4"/>
  <c r="GX26" i="4"/>
  <c r="HX26" i="4"/>
  <c r="JI26" i="4"/>
  <c r="KI26" i="4"/>
  <c r="T26" i="4"/>
  <c r="BB26" i="4"/>
  <c r="CE26" i="4"/>
  <c r="DM26" i="4"/>
  <c r="EP26" i="4"/>
  <c r="FW26" i="4"/>
  <c r="HA26" i="4"/>
  <c r="IH26" i="4"/>
  <c r="JL26" i="4"/>
  <c r="BI26" i="4"/>
  <c r="DK26" i="4"/>
  <c r="FE26" i="4"/>
  <c r="HC26" i="4"/>
  <c r="IT26" i="4"/>
  <c r="L26" i="4"/>
  <c r="BJ26" i="4"/>
  <c r="DN26" i="4"/>
  <c r="FF26" i="4"/>
  <c r="HD26" i="4"/>
  <c r="IV26" i="4"/>
  <c r="S26" i="4"/>
  <c r="BL26" i="4"/>
  <c r="DO26" i="4"/>
  <c r="FG26" i="4"/>
  <c r="HE26" i="4"/>
  <c r="JJ26" i="4"/>
  <c r="U26" i="4"/>
  <c r="BM26" i="4"/>
  <c r="DP26" i="4"/>
  <c r="FH26" i="4"/>
  <c r="HM26" i="4"/>
  <c r="JM26" i="4"/>
  <c r="AC26" i="4"/>
  <c r="BR26" i="4"/>
  <c r="DT26" i="4"/>
  <c r="FV26" i="4"/>
  <c r="HN26" i="4"/>
  <c r="JN26" i="4"/>
  <c r="AG26" i="4"/>
  <c r="CD26" i="4"/>
  <c r="DV26" i="4"/>
  <c r="FZ26" i="4"/>
  <c r="HR26" i="4"/>
  <c r="JP26" i="4"/>
  <c r="AD26" i="4"/>
  <c r="CT26" i="4"/>
  <c r="GB26" i="4"/>
  <c r="IR26" i="4"/>
  <c r="AH26" i="4"/>
  <c r="CU26" i="4"/>
  <c r="GF26" i="4"/>
  <c r="IS26" i="4"/>
  <c r="AI26" i="4"/>
  <c r="CV26" i="4"/>
  <c r="GG26" i="4"/>
  <c r="JO26" i="4"/>
  <c r="AJ26" i="4"/>
  <c r="CW26" i="4"/>
  <c r="GH26" i="4"/>
  <c r="JQ26" i="4"/>
  <c r="AK26" i="4"/>
  <c r="DU26" i="4"/>
  <c r="GJ26" i="4"/>
  <c r="JY26" i="4"/>
  <c r="BA26" i="4"/>
  <c r="DY26" i="4"/>
  <c r="GZ26" i="4"/>
  <c r="KC26" i="4"/>
  <c r="AL26" i="4"/>
  <c r="FA26" i="4"/>
  <c r="BC26" i="4"/>
  <c r="FB26" i="4"/>
  <c r="BD26" i="4"/>
  <c r="FY26" i="4"/>
  <c r="BH26" i="4"/>
  <c r="GA26" i="4"/>
  <c r="BS26" i="4"/>
  <c r="GK26" i="4"/>
  <c r="CG26" i="4"/>
  <c r="HQ26" i="4"/>
  <c r="IB26" i="4"/>
  <c r="II26" i="4"/>
  <c r="IK26" i="4"/>
  <c r="IL26" i="4"/>
  <c r="CF26" i="4"/>
  <c r="IM26" i="4"/>
  <c r="CP26" i="4"/>
  <c r="JZ26" i="4"/>
  <c r="IN26" i="4"/>
  <c r="KD26" i="4"/>
  <c r="CO26" i="4"/>
  <c r="DX26" i="4"/>
  <c r="ED26" i="4"/>
  <c r="EO26" i="4"/>
  <c r="EQ26" i="4"/>
  <c r="ER26" i="4"/>
  <c r="HB26" i="4"/>
  <c r="ES26" i="4"/>
  <c r="CS26" i="4"/>
  <c r="HS26" i="4"/>
  <c r="L157" i="4"/>
  <c r="AB157" i="4"/>
  <c r="AR157" i="4"/>
  <c r="BH157" i="4"/>
  <c r="BX157" i="4"/>
  <c r="CN157" i="4"/>
  <c r="DD157" i="4"/>
  <c r="DT157" i="4"/>
  <c r="EJ157" i="4"/>
  <c r="EZ157" i="4"/>
  <c r="FP157" i="4"/>
  <c r="GF157" i="4"/>
  <c r="GV157" i="4"/>
  <c r="HL157" i="4"/>
  <c r="IB157" i="4"/>
  <c r="IR157" i="4"/>
  <c r="JH157" i="4"/>
  <c r="JX157" i="4"/>
  <c r="P157" i="4"/>
  <c r="AF157" i="4"/>
  <c r="AV157" i="4"/>
  <c r="BL157" i="4"/>
  <c r="CB157" i="4"/>
  <c r="CR157" i="4"/>
  <c r="DH157" i="4"/>
  <c r="DX157" i="4"/>
  <c r="EN157" i="4"/>
  <c r="FD157" i="4"/>
  <c r="FT157" i="4"/>
  <c r="GJ157" i="4"/>
  <c r="GZ157" i="4"/>
  <c r="HP157" i="4"/>
  <c r="IF157" i="4"/>
  <c r="IV157" i="4"/>
  <c r="JL157" i="4"/>
  <c r="KB157" i="4"/>
  <c r="K157" i="4"/>
  <c r="AD157" i="4"/>
  <c r="AW157" i="4"/>
  <c r="BO157" i="4"/>
  <c r="CG157" i="4"/>
  <c r="CY157" i="4"/>
  <c r="DQ157" i="4"/>
  <c r="EI157" i="4"/>
  <c r="FB157" i="4"/>
  <c r="FU157" i="4"/>
  <c r="GM157" i="4"/>
  <c r="HE157" i="4"/>
  <c r="HW157" i="4"/>
  <c r="IO157" i="4"/>
  <c r="JG157" i="4"/>
  <c r="JZ157" i="4"/>
  <c r="M157" i="4"/>
  <c r="AE157" i="4"/>
  <c r="AX157" i="4"/>
  <c r="BP157" i="4"/>
  <c r="CH157" i="4"/>
  <c r="CZ157" i="4"/>
  <c r="DR157" i="4"/>
  <c r="EK157" i="4"/>
  <c r="FC157" i="4"/>
  <c r="FV157" i="4"/>
  <c r="GN157" i="4"/>
  <c r="HF157" i="4"/>
  <c r="HX157" i="4"/>
  <c r="IP157" i="4"/>
  <c r="JI157" i="4"/>
  <c r="KA157" i="4"/>
  <c r="N157" i="4"/>
  <c r="AG157" i="4"/>
  <c r="AY157" i="4"/>
  <c r="BQ157" i="4"/>
  <c r="CI157" i="4"/>
  <c r="DA157" i="4"/>
  <c r="DS157" i="4"/>
  <c r="EL157" i="4"/>
  <c r="FE157" i="4"/>
  <c r="FW157" i="4"/>
  <c r="GO157" i="4"/>
  <c r="HG157" i="4"/>
  <c r="HY157" i="4"/>
  <c r="IQ157" i="4"/>
  <c r="JJ157" i="4"/>
  <c r="KC157" i="4"/>
  <c r="S157" i="4"/>
  <c r="AK157" i="4"/>
  <c r="BC157" i="4"/>
  <c r="BU157" i="4"/>
  <c r="CM157" i="4"/>
  <c r="DF157" i="4"/>
  <c r="DY157" i="4"/>
  <c r="EQ157" i="4"/>
  <c r="FI157" i="4"/>
  <c r="GA157" i="4"/>
  <c r="GS157" i="4"/>
  <c r="HK157" i="4"/>
  <c r="ID157" i="4"/>
  <c r="IW157" i="4"/>
  <c r="JO157" i="4"/>
  <c r="KG157" i="4"/>
  <c r="R157" i="4"/>
  <c r="AO157" i="4"/>
  <c r="BM157" i="4"/>
  <c r="CL157" i="4"/>
  <c r="DK157" i="4"/>
  <c r="EG157" i="4"/>
  <c r="FH157" i="4"/>
  <c r="GE157" i="4"/>
  <c r="HC157" i="4"/>
  <c r="IC157" i="4"/>
  <c r="JA157" i="4"/>
  <c r="JW157" i="4"/>
  <c r="T157" i="4"/>
  <c r="AP157" i="4"/>
  <c r="BN157" i="4"/>
  <c r="CO157" i="4"/>
  <c r="DL157" i="4"/>
  <c r="EH157" i="4"/>
  <c r="FJ157" i="4"/>
  <c r="GG157" i="4"/>
  <c r="HD157" i="4"/>
  <c r="IE157" i="4"/>
  <c r="JB157" i="4"/>
  <c r="JY157" i="4"/>
  <c r="U157" i="4"/>
  <c r="AQ157" i="4"/>
  <c r="BR157" i="4"/>
  <c r="CP157" i="4"/>
  <c r="DM157" i="4"/>
  <c r="EM157" i="4"/>
  <c r="FK157" i="4"/>
  <c r="GH157" i="4"/>
  <c r="HH157" i="4"/>
  <c r="IG157" i="4"/>
  <c r="JC157" i="4"/>
  <c r="KD157" i="4"/>
  <c r="V157" i="4"/>
  <c r="AS157" i="4"/>
  <c r="BS157" i="4"/>
  <c r="CQ157" i="4"/>
  <c r="DN157" i="4"/>
  <c r="EO157" i="4"/>
  <c r="FL157" i="4"/>
  <c r="GI157" i="4"/>
  <c r="HI157" i="4"/>
  <c r="IH157" i="4"/>
  <c r="JD157" i="4"/>
  <c r="KE157" i="4"/>
  <c r="W157" i="4"/>
  <c r="AT157" i="4"/>
  <c r="BT157" i="4"/>
  <c r="CS157" i="4"/>
  <c r="DO157" i="4"/>
  <c r="EP157" i="4"/>
  <c r="FM157" i="4"/>
  <c r="GK157" i="4"/>
  <c r="HJ157" i="4"/>
  <c r="II157" i="4"/>
  <c r="JE157" i="4"/>
  <c r="KF157" i="4"/>
  <c r="Y157" i="4"/>
  <c r="AZ157" i="4"/>
  <c r="BW157" i="4"/>
  <c r="CU157" i="4"/>
  <c r="DU157" i="4"/>
  <c r="ES157" i="4"/>
  <c r="FO157" i="4"/>
  <c r="GP157" i="4"/>
  <c r="HN157" i="4"/>
  <c r="IK157" i="4"/>
  <c r="JK157" i="4"/>
  <c r="KI157" i="4"/>
  <c r="AA157" i="4"/>
  <c r="BJ157" i="4"/>
  <c r="DB157" i="4"/>
  <c r="ER157" i="4"/>
  <c r="FZ157" i="4"/>
  <c r="HQ157" i="4"/>
  <c r="IY157" i="4"/>
  <c r="AC157" i="4"/>
  <c r="BK157" i="4"/>
  <c r="DC157" i="4"/>
  <c r="ET157" i="4"/>
  <c r="GB157" i="4"/>
  <c r="HR157" i="4"/>
  <c r="IZ157" i="4"/>
  <c r="AH157" i="4"/>
  <c r="BV157" i="4"/>
  <c r="DE157" i="4"/>
  <c r="EU157" i="4"/>
  <c r="GC157" i="4"/>
  <c r="HS157" i="4"/>
  <c r="JF157" i="4"/>
  <c r="AI157" i="4"/>
  <c r="BY157" i="4"/>
  <c r="DG157" i="4"/>
  <c r="EV157" i="4"/>
  <c r="GD157" i="4"/>
  <c r="HT157" i="4"/>
  <c r="JM157" i="4"/>
  <c r="AJ157" i="4"/>
  <c r="BZ157" i="4"/>
  <c r="DI157" i="4"/>
  <c r="EW157" i="4"/>
  <c r="GL157" i="4"/>
  <c r="HU157" i="4"/>
  <c r="JN157" i="4"/>
  <c r="AM157" i="4"/>
  <c r="CC157" i="4"/>
  <c r="DP157" i="4"/>
  <c r="EY157" i="4"/>
  <c r="GR157" i="4"/>
  <c r="HZ157" i="4"/>
  <c r="JQ157" i="4"/>
  <c r="BB157" i="4"/>
  <c r="DJ157" i="4"/>
  <c r="FR157" i="4"/>
  <c r="IJ157" i="4"/>
  <c r="BD157" i="4"/>
  <c r="DV157" i="4"/>
  <c r="FS157" i="4"/>
  <c r="IL157" i="4"/>
  <c r="BE157" i="4"/>
  <c r="DW157" i="4"/>
  <c r="FX157" i="4"/>
  <c r="IM157" i="4"/>
  <c r="BF157" i="4"/>
  <c r="DZ157" i="4"/>
  <c r="FY157" i="4"/>
  <c r="IN157" i="4"/>
  <c r="BG157" i="4"/>
  <c r="EA157" i="4"/>
  <c r="GQ157" i="4"/>
  <c r="IS157" i="4"/>
  <c r="I157" i="4"/>
  <c r="CA157" i="4"/>
  <c r="EC157" i="4"/>
  <c r="GU157" i="4"/>
  <c r="IU157" i="4"/>
  <c r="CJ157" i="4"/>
  <c r="GT157" i="4"/>
  <c r="JU157" i="4"/>
  <c r="CK157" i="4"/>
  <c r="GW157" i="4"/>
  <c r="JV157" i="4"/>
  <c r="CT157" i="4"/>
  <c r="GX157" i="4"/>
  <c r="KH157" i="4"/>
  <c r="J157" i="4"/>
  <c r="CV157" i="4"/>
  <c r="GY157" i="4"/>
  <c r="O157" i="4"/>
  <c r="CW157" i="4"/>
  <c r="HA157" i="4"/>
  <c r="EE157" i="4"/>
  <c r="JR157" i="4"/>
  <c r="EF157" i="4"/>
  <c r="JS157" i="4"/>
  <c r="Q157" i="4"/>
  <c r="EX157" i="4"/>
  <c r="JT157" i="4"/>
  <c r="X157" i="4"/>
  <c r="FA157" i="4"/>
  <c r="Z157" i="4"/>
  <c r="FF157" i="4"/>
  <c r="CD157" i="4"/>
  <c r="HO157" i="4"/>
  <c r="BI157" i="4"/>
  <c r="CE157" i="4"/>
  <c r="CF157" i="4"/>
  <c r="CX157" i="4"/>
  <c r="ED157" i="4"/>
  <c r="HM157" i="4"/>
  <c r="HB157" i="4"/>
  <c r="HV157" i="4"/>
  <c r="IA157" i="4"/>
  <c r="IT157" i="4"/>
  <c r="IX157" i="4"/>
  <c r="JP157" i="4"/>
  <c r="EB157" i="4"/>
  <c r="FG157" i="4"/>
  <c r="FN157" i="4"/>
  <c r="FQ157" i="4"/>
  <c r="AU157" i="4"/>
  <c r="BA157" i="4"/>
  <c r="AL157" i="4"/>
  <c r="AN157" i="4"/>
  <c r="L125" i="4"/>
  <c r="AB125" i="4"/>
  <c r="AR125" i="4"/>
  <c r="BH125" i="4"/>
  <c r="BX125" i="4"/>
  <c r="CN125" i="4"/>
  <c r="DD125" i="4"/>
  <c r="DT125" i="4"/>
  <c r="EJ125" i="4"/>
  <c r="EZ125" i="4"/>
  <c r="FP125" i="4"/>
  <c r="GF125" i="4"/>
  <c r="GV125" i="4"/>
  <c r="HL125" i="4"/>
  <c r="IB125" i="4"/>
  <c r="IR125" i="4"/>
  <c r="JH125" i="4"/>
  <c r="JX125" i="4"/>
  <c r="M125" i="4"/>
  <c r="AC125" i="4"/>
  <c r="AS125" i="4"/>
  <c r="BI125" i="4"/>
  <c r="BY125" i="4"/>
  <c r="CO125" i="4"/>
  <c r="DE125" i="4"/>
  <c r="DU125" i="4"/>
  <c r="EK125" i="4"/>
  <c r="FA125" i="4"/>
  <c r="FQ125" i="4"/>
  <c r="GG125" i="4"/>
  <c r="GW125" i="4"/>
  <c r="HM125" i="4"/>
  <c r="IC125" i="4"/>
  <c r="IS125" i="4"/>
  <c r="JI125" i="4"/>
  <c r="JY125" i="4"/>
  <c r="N125" i="4"/>
  <c r="AD125" i="4"/>
  <c r="AT125" i="4"/>
  <c r="BJ125" i="4"/>
  <c r="BZ125" i="4"/>
  <c r="CP125" i="4"/>
  <c r="DF125" i="4"/>
  <c r="DV125" i="4"/>
  <c r="EL125" i="4"/>
  <c r="FB125" i="4"/>
  <c r="FR125" i="4"/>
  <c r="GH125" i="4"/>
  <c r="GX125" i="4"/>
  <c r="HN125" i="4"/>
  <c r="ID125" i="4"/>
  <c r="IT125" i="4"/>
  <c r="JJ125" i="4"/>
  <c r="JZ125" i="4"/>
  <c r="R125" i="4"/>
  <c r="AH125" i="4"/>
  <c r="AX125" i="4"/>
  <c r="BN125" i="4"/>
  <c r="CD125" i="4"/>
  <c r="CT125" i="4"/>
  <c r="DJ125" i="4"/>
  <c r="DZ125" i="4"/>
  <c r="EP125" i="4"/>
  <c r="FF125" i="4"/>
  <c r="FV125" i="4"/>
  <c r="GL125" i="4"/>
  <c r="HB125" i="4"/>
  <c r="HR125" i="4"/>
  <c r="IH125" i="4"/>
  <c r="IX125" i="4"/>
  <c r="JN125" i="4"/>
  <c r="KD125" i="4"/>
  <c r="T125" i="4"/>
  <c r="AN125" i="4"/>
  <c r="BK125" i="4"/>
  <c r="CF125" i="4"/>
  <c r="CZ125" i="4"/>
  <c r="DW125" i="4"/>
  <c r="ER125" i="4"/>
  <c r="FL125" i="4"/>
  <c r="GI125" i="4"/>
  <c r="HD125" i="4"/>
  <c r="HX125" i="4"/>
  <c r="IU125" i="4"/>
  <c r="JP125" i="4"/>
  <c r="U125" i="4"/>
  <c r="AO125" i="4"/>
  <c r="BL125" i="4"/>
  <c r="CG125" i="4"/>
  <c r="DA125" i="4"/>
  <c r="DX125" i="4"/>
  <c r="ES125" i="4"/>
  <c r="FM125" i="4"/>
  <c r="GJ125" i="4"/>
  <c r="HE125" i="4"/>
  <c r="HY125" i="4"/>
  <c r="IV125" i="4"/>
  <c r="JQ125" i="4"/>
  <c r="V125" i="4"/>
  <c r="AP125" i="4"/>
  <c r="BM125" i="4"/>
  <c r="CH125" i="4"/>
  <c r="DB125" i="4"/>
  <c r="DY125" i="4"/>
  <c r="ET125" i="4"/>
  <c r="FN125" i="4"/>
  <c r="GK125" i="4"/>
  <c r="HF125" i="4"/>
  <c r="HZ125" i="4"/>
  <c r="IW125" i="4"/>
  <c r="JR125" i="4"/>
  <c r="W125" i="4"/>
  <c r="AQ125" i="4"/>
  <c r="BO125" i="4"/>
  <c r="CI125" i="4"/>
  <c r="DC125" i="4"/>
  <c r="EA125" i="4"/>
  <c r="EU125" i="4"/>
  <c r="FO125" i="4"/>
  <c r="GM125" i="4"/>
  <c r="HG125" i="4"/>
  <c r="IA125" i="4"/>
  <c r="IY125" i="4"/>
  <c r="JS125" i="4"/>
  <c r="Z125" i="4"/>
  <c r="AW125" i="4"/>
  <c r="BR125" i="4"/>
  <c r="CL125" i="4"/>
  <c r="DI125" i="4"/>
  <c r="ED125" i="4"/>
  <c r="EX125" i="4"/>
  <c r="FU125" i="4"/>
  <c r="GP125" i="4"/>
  <c r="HJ125" i="4"/>
  <c r="IG125" i="4"/>
  <c r="JB125" i="4"/>
  <c r="JV125" i="4"/>
  <c r="X125" i="4"/>
  <c r="BB125" i="4"/>
  <c r="CE125" i="4"/>
  <c r="DM125" i="4"/>
  <c r="EO125" i="4"/>
  <c r="FX125" i="4"/>
  <c r="GZ125" i="4"/>
  <c r="II125" i="4"/>
  <c r="JK125" i="4"/>
  <c r="Y125" i="4"/>
  <c r="BC125" i="4"/>
  <c r="CJ125" i="4"/>
  <c r="DN125" i="4"/>
  <c r="EQ125" i="4"/>
  <c r="FY125" i="4"/>
  <c r="HA125" i="4"/>
  <c r="IJ125" i="4"/>
  <c r="JL125" i="4"/>
  <c r="AA125" i="4"/>
  <c r="BD125" i="4"/>
  <c r="CK125" i="4"/>
  <c r="DO125" i="4"/>
  <c r="EV125" i="4"/>
  <c r="FZ125" i="4"/>
  <c r="HC125" i="4"/>
  <c r="IK125" i="4"/>
  <c r="JM125" i="4"/>
  <c r="AE125" i="4"/>
  <c r="BE125" i="4"/>
  <c r="CM125" i="4"/>
  <c r="DP125" i="4"/>
  <c r="EW125" i="4"/>
  <c r="GA125" i="4"/>
  <c r="HH125" i="4"/>
  <c r="IL125" i="4"/>
  <c r="JO125" i="4"/>
  <c r="AF125" i="4"/>
  <c r="BF125" i="4"/>
  <c r="CQ125" i="4"/>
  <c r="DQ125" i="4"/>
  <c r="EY125" i="4"/>
  <c r="GB125" i="4"/>
  <c r="HI125" i="4"/>
  <c r="IM125" i="4"/>
  <c r="JT125" i="4"/>
  <c r="AI125" i="4"/>
  <c r="BP125" i="4"/>
  <c r="CS125" i="4"/>
  <c r="DS125" i="4"/>
  <c r="FD125" i="4"/>
  <c r="GD125" i="4"/>
  <c r="HO125" i="4"/>
  <c r="IO125" i="4"/>
  <c r="JW125" i="4"/>
  <c r="AK125" i="4"/>
  <c r="CB125" i="4"/>
  <c r="EF125" i="4"/>
  <c r="GC125" i="4"/>
  <c r="HV125" i="4"/>
  <c r="KB125" i="4"/>
  <c r="AL125" i="4"/>
  <c r="CC125" i="4"/>
  <c r="EG125" i="4"/>
  <c r="GE125" i="4"/>
  <c r="HW125" i="4"/>
  <c r="KC125" i="4"/>
  <c r="AM125" i="4"/>
  <c r="CR125" i="4"/>
  <c r="EH125" i="4"/>
  <c r="GN125" i="4"/>
  <c r="IE125" i="4"/>
  <c r="KE125" i="4"/>
  <c r="AU125" i="4"/>
  <c r="CU125" i="4"/>
  <c r="EI125" i="4"/>
  <c r="GO125" i="4"/>
  <c r="IF125" i="4"/>
  <c r="KF125" i="4"/>
  <c r="AV125" i="4"/>
  <c r="CV125" i="4"/>
  <c r="EM125" i="4"/>
  <c r="GQ125" i="4"/>
  <c r="IN125" i="4"/>
  <c r="KG125" i="4"/>
  <c r="AZ125" i="4"/>
  <c r="CX125" i="4"/>
  <c r="FC125" i="4"/>
  <c r="GS125" i="4"/>
  <c r="IQ125" i="4"/>
  <c r="KI125" i="4"/>
  <c r="Q125" i="4"/>
  <c r="DG125" i="4"/>
  <c r="FT125" i="4"/>
  <c r="JD125" i="4"/>
  <c r="S125" i="4"/>
  <c r="DH125" i="4"/>
  <c r="FW125" i="4"/>
  <c r="JE125" i="4"/>
  <c r="AG125" i="4"/>
  <c r="DK125" i="4"/>
  <c r="GR125" i="4"/>
  <c r="JF125" i="4"/>
  <c r="AJ125" i="4"/>
  <c r="DL125" i="4"/>
  <c r="GT125" i="4"/>
  <c r="JG125" i="4"/>
  <c r="AY125" i="4"/>
  <c r="DR125" i="4"/>
  <c r="GU125" i="4"/>
  <c r="JU125" i="4"/>
  <c r="BG125" i="4"/>
  <c r="EC125" i="4"/>
  <c r="HK125" i="4"/>
  <c r="KH125" i="4"/>
  <c r="BA125" i="4"/>
  <c r="FI125" i="4"/>
  <c r="BQ125" i="4"/>
  <c r="FJ125" i="4"/>
  <c r="BS125" i="4"/>
  <c r="FK125" i="4"/>
  <c r="BT125" i="4"/>
  <c r="FS125" i="4"/>
  <c r="BU125" i="4"/>
  <c r="GY125" i="4"/>
  <c r="BW125" i="4"/>
  <c r="HQ125" i="4"/>
  <c r="EB125" i="4"/>
  <c r="EE125" i="4"/>
  <c r="EN125" i="4"/>
  <c r="FE125" i="4"/>
  <c r="FG125" i="4"/>
  <c r="O125" i="4"/>
  <c r="IP125" i="4"/>
  <c r="CW125" i="4"/>
  <c r="CY125" i="4"/>
  <c r="FH125" i="4"/>
  <c r="HP125" i="4"/>
  <c r="HS125" i="4"/>
  <c r="I125" i="4"/>
  <c r="KA125" i="4"/>
  <c r="IZ125" i="4"/>
  <c r="JA125" i="4"/>
  <c r="JC125" i="4"/>
  <c r="K125" i="4"/>
  <c r="J125" i="4"/>
  <c r="P125" i="4"/>
  <c r="BV125" i="4"/>
  <c r="CA125" i="4"/>
  <c r="HT125" i="4"/>
  <c r="HU125" i="4"/>
  <c r="M109" i="4"/>
  <c r="AC109" i="4"/>
  <c r="AS109" i="4"/>
  <c r="BI109" i="4"/>
  <c r="BY109" i="4"/>
  <c r="CO109" i="4"/>
  <c r="DE109" i="4"/>
  <c r="DU109" i="4"/>
  <c r="EK109" i="4"/>
  <c r="FA109" i="4"/>
  <c r="FQ109" i="4"/>
  <c r="GG109" i="4"/>
  <c r="GW109" i="4"/>
  <c r="HM109" i="4"/>
  <c r="IC109" i="4"/>
  <c r="IS109" i="4"/>
  <c r="JI109" i="4"/>
  <c r="JY109" i="4"/>
  <c r="Q109" i="4"/>
  <c r="AG109" i="4"/>
  <c r="AW109" i="4"/>
  <c r="BM109" i="4"/>
  <c r="CC109" i="4"/>
  <c r="CS109" i="4"/>
  <c r="DI109" i="4"/>
  <c r="DY109" i="4"/>
  <c r="EO109" i="4"/>
  <c r="FE109" i="4"/>
  <c r="FU109" i="4"/>
  <c r="GK109" i="4"/>
  <c r="HA109" i="4"/>
  <c r="HQ109" i="4"/>
  <c r="IG109" i="4"/>
  <c r="IW109" i="4"/>
  <c r="JM109" i="4"/>
  <c r="KC109" i="4"/>
  <c r="X109" i="4"/>
  <c r="AP109" i="4"/>
  <c r="BH109" i="4"/>
  <c r="CA109" i="4"/>
  <c r="CT109" i="4"/>
  <c r="DL109" i="4"/>
  <c r="ED109" i="4"/>
  <c r="EV109" i="4"/>
  <c r="FN109" i="4"/>
  <c r="GF109" i="4"/>
  <c r="GY109" i="4"/>
  <c r="HR109" i="4"/>
  <c r="IJ109" i="4"/>
  <c r="JB109" i="4"/>
  <c r="JT109" i="4"/>
  <c r="Y109" i="4"/>
  <c r="AQ109" i="4"/>
  <c r="BJ109" i="4"/>
  <c r="CB109" i="4"/>
  <c r="CU109" i="4"/>
  <c r="DM109" i="4"/>
  <c r="EE109" i="4"/>
  <c r="EW109" i="4"/>
  <c r="FO109" i="4"/>
  <c r="GH109" i="4"/>
  <c r="GZ109" i="4"/>
  <c r="HS109" i="4"/>
  <c r="IK109" i="4"/>
  <c r="JC109" i="4"/>
  <c r="JU109" i="4"/>
  <c r="Z109" i="4"/>
  <c r="AR109" i="4"/>
  <c r="BK109" i="4"/>
  <c r="CD109" i="4"/>
  <c r="CV109" i="4"/>
  <c r="DN109" i="4"/>
  <c r="EF109" i="4"/>
  <c r="EX109" i="4"/>
  <c r="FP109" i="4"/>
  <c r="GI109" i="4"/>
  <c r="HB109" i="4"/>
  <c r="HT109" i="4"/>
  <c r="IL109" i="4"/>
  <c r="JD109" i="4"/>
  <c r="JV109" i="4"/>
  <c r="L109" i="4"/>
  <c r="AE109" i="4"/>
  <c r="AX109" i="4"/>
  <c r="BP109" i="4"/>
  <c r="CH109" i="4"/>
  <c r="CZ109" i="4"/>
  <c r="DR109" i="4"/>
  <c r="EJ109" i="4"/>
  <c r="FC109" i="4"/>
  <c r="FV109" i="4"/>
  <c r="GN109" i="4"/>
  <c r="HF109" i="4"/>
  <c r="HX109" i="4"/>
  <c r="IP109" i="4"/>
  <c r="JH109" i="4"/>
  <c r="KA109" i="4"/>
  <c r="I109" i="4"/>
  <c r="AH109" i="4"/>
  <c r="BD109" i="4"/>
  <c r="CE109" i="4"/>
  <c r="DB109" i="4"/>
  <c r="DZ109" i="4"/>
  <c r="EY109" i="4"/>
  <c r="FX109" i="4"/>
  <c r="GT109" i="4"/>
  <c r="HU109" i="4"/>
  <c r="IR109" i="4"/>
  <c r="JP109" i="4"/>
  <c r="J109" i="4"/>
  <c r="AI109" i="4"/>
  <c r="BE109" i="4"/>
  <c r="CF109" i="4"/>
  <c r="DC109" i="4"/>
  <c r="EA109" i="4"/>
  <c r="EZ109" i="4"/>
  <c r="FY109" i="4"/>
  <c r="GU109" i="4"/>
  <c r="HV109" i="4"/>
  <c r="IT109" i="4"/>
  <c r="JQ109" i="4"/>
  <c r="K109" i="4"/>
  <c r="AJ109" i="4"/>
  <c r="BF109" i="4"/>
  <c r="CG109" i="4"/>
  <c r="DD109" i="4"/>
  <c r="EB109" i="4"/>
  <c r="FB109" i="4"/>
  <c r="FZ109" i="4"/>
  <c r="GV109" i="4"/>
  <c r="HW109" i="4"/>
  <c r="IU109" i="4"/>
  <c r="JR109" i="4"/>
  <c r="N109" i="4"/>
  <c r="AK109" i="4"/>
  <c r="BG109" i="4"/>
  <c r="CI109" i="4"/>
  <c r="DF109" i="4"/>
  <c r="EC109" i="4"/>
  <c r="FD109" i="4"/>
  <c r="GA109" i="4"/>
  <c r="GX109" i="4"/>
  <c r="HY109" i="4"/>
  <c r="IV109" i="4"/>
  <c r="JS109" i="4"/>
  <c r="O109" i="4"/>
  <c r="AL109" i="4"/>
  <c r="BL109" i="4"/>
  <c r="CJ109" i="4"/>
  <c r="DG109" i="4"/>
  <c r="EG109" i="4"/>
  <c r="FF109" i="4"/>
  <c r="GB109" i="4"/>
  <c r="HC109" i="4"/>
  <c r="HZ109" i="4"/>
  <c r="IX109" i="4"/>
  <c r="JW109" i="4"/>
  <c r="R109" i="4"/>
  <c r="AN109" i="4"/>
  <c r="BO109" i="4"/>
  <c r="CL109" i="4"/>
  <c r="DJ109" i="4"/>
  <c r="EI109" i="4"/>
  <c r="FH109" i="4"/>
  <c r="GD109" i="4"/>
  <c r="HE109" i="4"/>
  <c r="IB109" i="4"/>
  <c r="IZ109" i="4"/>
  <c r="JZ109" i="4"/>
  <c r="T109" i="4"/>
  <c r="BB109" i="4"/>
  <c r="CQ109" i="4"/>
  <c r="EH109" i="4"/>
  <c r="FR109" i="4"/>
  <c r="HH109" i="4"/>
  <c r="IO109" i="4"/>
  <c r="KF109" i="4"/>
  <c r="U109" i="4"/>
  <c r="BC109" i="4"/>
  <c r="CR109" i="4"/>
  <c r="EL109" i="4"/>
  <c r="FS109" i="4"/>
  <c r="HI109" i="4"/>
  <c r="IQ109" i="4"/>
  <c r="KG109" i="4"/>
  <c r="V109" i="4"/>
  <c r="BN109" i="4"/>
  <c r="CW109" i="4"/>
  <c r="EM109" i="4"/>
  <c r="FT109" i="4"/>
  <c r="HJ109" i="4"/>
  <c r="IY109" i="4"/>
  <c r="KH109" i="4"/>
  <c r="W109" i="4"/>
  <c r="BQ109" i="4"/>
  <c r="CX109" i="4"/>
  <c r="EN109" i="4"/>
  <c r="FW109" i="4"/>
  <c r="HK109" i="4"/>
  <c r="JA109" i="4"/>
  <c r="KI109" i="4"/>
  <c r="AA109" i="4"/>
  <c r="BR109" i="4"/>
  <c r="CY109" i="4"/>
  <c r="EP109" i="4"/>
  <c r="GC109" i="4"/>
  <c r="HL109" i="4"/>
  <c r="JE109" i="4"/>
  <c r="AD109" i="4"/>
  <c r="BT109" i="4"/>
  <c r="DH109" i="4"/>
  <c r="ER109" i="4"/>
  <c r="GJ109" i="4"/>
  <c r="HO109" i="4"/>
  <c r="JG109" i="4"/>
  <c r="P109" i="4"/>
  <c r="BX109" i="4"/>
  <c r="EQ109" i="4"/>
  <c r="GR109" i="4"/>
  <c r="JK109" i="4"/>
  <c r="S109" i="4"/>
  <c r="BZ109" i="4"/>
  <c r="ES109" i="4"/>
  <c r="GS109" i="4"/>
  <c r="JL109" i="4"/>
  <c r="AB109" i="4"/>
  <c r="CK109" i="4"/>
  <c r="ET109" i="4"/>
  <c r="HD109" i="4"/>
  <c r="JN109" i="4"/>
  <c r="AF109" i="4"/>
  <c r="CM109" i="4"/>
  <c r="EU109" i="4"/>
  <c r="HG109" i="4"/>
  <c r="JO109" i="4"/>
  <c r="AM109" i="4"/>
  <c r="CN109" i="4"/>
  <c r="FG109" i="4"/>
  <c r="HN109" i="4"/>
  <c r="JX109" i="4"/>
  <c r="AT109" i="4"/>
  <c r="DA109" i="4"/>
  <c r="FJ109" i="4"/>
  <c r="IA109" i="4"/>
  <c r="KD109" i="4"/>
  <c r="AZ109" i="4"/>
  <c r="FI109" i="4"/>
  <c r="IM109" i="4"/>
  <c r="BA109" i="4"/>
  <c r="FK109" i="4"/>
  <c r="IN109" i="4"/>
  <c r="BS109" i="4"/>
  <c r="FL109" i="4"/>
  <c r="JF109" i="4"/>
  <c r="BU109" i="4"/>
  <c r="FM109" i="4"/>
  <c r="JJ109" i="4"/>
  <c r="BV109" i="4"/>
  <c r="GE109" i="4"/>
  <c r="KB109" i="4"/>
  <c r="CP109" i="4"/>
  <c r="GM109" i="4"/>
  <c r="DW109" i="4"/>
  <c r="DX109" i="4"/>
  <c r="GL109" i="4"/>
  <c r="GO109" i="4"/>
  <c r="AO109" i="4"/>
  <c r="GP109" i="4"/>
  <c r="AV109" i="4"/>
  <c r="HP109" i="4"/>
  <c r="IH109" i="4"/>
  <c r="II109" i="4"/>
  <c r="AU109" i="4"/>
  <c r="KE109" i="4"/>
  <c r="AY109" i="4"/>
  <c r="BW109" i="4"/>
  <c r="DT109" i="4"/>
  <c r="DK109" i="4"/>
  <c r="DO109" i="4"/>
  <c r="DP109" i="4"/>
  <c r="DQ109" i="4"/>
  <c r="DS109" i="4"/>
  <c r="IF109" i="4"/>
  <c r="DV109" i="4"/>
  <c r="GQ109" i="4"/>
  <c r="ID109" i="4"/>
  <c r="IE109" i="4"/>
  <c r="K77" i="4"/>
  <c r="AA77" i="4"/>
  <c r="AQ77" i="4"/>
  <c r="BG77" i="4"/>
  <c r="BW77" i="4"/>
  <c r="CM77" i="4"/>
  <c r="DC77" i="4"/>
  <c r="DS77" i="4"/>
  <c r="EI77" i="4"/>
  <c r="EY77" i="4"/>
  <c r="FO77" i="4"/>
  <c r="GE77" i="4"/>
  <c r="GU77" i="4"/>
  <c r="HK77" i="4"/>
  <c r="IA77" i="4"/>
  <c r="IQ77" i="4"/>
  <c r="JG77" i="4"/>
  <c r="JW77" i="4"/>
  <c r="L77" i="4"/>
  <c r="AB77" i="4"/>
  <c r="AR77" i="4"/>
  <c r="BH77" i="4"/>
  <c r="BX77" i="4"/>
  <c r="CN77" i="4"/>
  <c r="DD77" i="4"/>
  <c r="DT77" i="4"/>
  <c r="EJ77" i="4"/>
  <c r="EZ77" i="4"/>
  <c r="FP77" i="4"/>
  <c r="GF77" i="4"/>
  <c r="GV77" i="4"/>
  <c r="HL77" i="4"/>
  <c r="IB77" i="4"/>
  <c r="IR77" i="4"/>
  <c r="JH77" i="4"/>
  <c r="JX77" i="4"/>
  <c r="M77" i="4"/>
  <c r="AC77" i="4"/>
  <c r="AS77" i="4"/>
  <c r="BI77" i="4"/>
  <c r="BY77" i="4"/>
  <c r="CO77" i="4"/>
  <c r="DE77" i="4"/>
  <c r="DU77" i="4"/>
  <c r="EK77" i="4"/>
  <c r="FA77" i="4"/>
  <c r="FQ77" i="4"/>
  <c r="GG77" i="4"/>
  <c r="GW77" i="4"/>
  <c r="HM77" i="4"/>
  <c r="IC77" i="4"/>
  <c r="IS77" i="4"/>
  <c r="JI77" i="4"/>
  <c r="JY77" i="4"/>
  <c r="N77" i="4"/>
  <c r="AD77" i="4"/>
  <c r="AT77" i="4"/>
  <c r="BJ77" i="4"/>
  <c r="BZ77" i="4"/>
  <c r="CP77" i="4"/>
  <c r="DF77" i="4"/>
  <c r="DV77" i="4"/>
  <c r="EL77" i="4"/>
  <c r="FB77" i="4"/>
  <c r="FR77" i="4"/>
  <c r="GH77" i="4"/>
  <c r="GX77" i="4"/>
  <c r="HN77" i="4"/>
  <c r="ID77" i="4"/>
  <c r="IT77" i="4"/>
  <c r="JJ77" i="4"/>
  <c r="JZ77" i="4"/>
  <c r="O77" i="4"/>
  <c r="AE77" i="4"/>
  <c r="AU77" i="4"/>
  <c r="BK77" i="4"/>
  <c r="CA77" i="4"/>
  <c r="CQ77" i="4"/>
  <c r="DG77" i="4"/>
  <c r="DW77" i="4"/>
  <c r="EM77" i="4"/>
  <c r="FC77" i="4"/>
  <c r="FS77" i="4"/>
  <c r="GI77" i="4"/>
  <c r="GY77" i="4"/>
  <c r="HO77" i="4"/>
  <c r="IE77" i="4"/>
  <c r="IU77" i="4"/>
  <c r="JK77" i="4"/>
  <c r="KA77" i="4"/>
  <c r="Q77" i="4"/>
  <c r="AG77" i="4"/>
  <c r="AW77" i="4"/>
  <c r="BM77" i="4"/>
  <c r="CC77" i="4"/>
  <c r="CS77" i="4"/>
  <c r="DI77" i="4"/>
  <c r="DY77" i="4"/>
  <c r="EO77" i="4"/>
  <c r="FE77" i="4"/>
  <c r="FU77" i="4"/>
  <c r="GK77" i="4"/>
  <c r="HA77" i="4"/>
  <c r="HQ77" i="4"/>
  <c r="IG77" i="4"/>
  <c r="IW77" i="4"/>
  <c r="JM77" i="4"/>
  <c r="KC77" i="4"/>
  <c r="S77" i="4"/>
  <c r="AO77" i="4"/>
  <c r="BQ77" i="4"/>
  <c r="CR77" i="4"/>
  <c r="DO77" i="4"/>
  <c r="EQ77" i="4"/>
  <c r="FM77" i="4"/>
  <c r="GO77" i="4"/>
  <c r="HP77" i="4"/>
  <c r="IM77" i="4"/>
  <c r="JO77" i="4"/>
  <c r="T77" i="4"/>
  <c r="AP77" i="4"/>
  <c r="BR77" i="4"/>
  <c r="CT77" i="4"/>
  <c r="DP77" i="4"/>
  <c r="ER77" i="4"/>
  <c r="FN77" i="4"/>
  <c r="GP77" i="4"/>
  <c r="HR77" i="4"/>
  <c r="IN77" i="4"/>
  <c r="JP77" i="4"/>
  <c r="U77" i="4"/>
  <c r="AV77" i="4"/>
  <c r="BS77" i="4"/>
  <c r="CU77" i="4"/>
  <c r="DQ77" i="4"/>
  <c r="ES77" i="4"/>
  <c r="FT77" i="4"/>
  <c r="GQ77" i="4"/>
  <c r="HS77" i="4"/>
  <c r="IO77" i="4"/>
  <c r="JQ77" i="4"/>
  <c r="V77" i="4"/>
  <c r="AX77" i="4"/>
  <c r="BT77" i="4"/>
  <c r="CV77" i="4"/>
  <c r="DR77" i="4"/>
  <c r="ET77" i="4"/>
  <c r="FV77" i="4"/>
  <c r="GR77" i="4"/>
  <c r="HT77" i="4"/>
  <c r="IP77" i="4"/>
  <c r="JR77" i="4"/>
  <c r="W77" i="4"/>
  <c r="AY77" i="4"/>
  <c r="BU77" i="4"/>
  <c r="CW77" i="4"/>
  <c r="DX77" i="4"/>
  <c r="EU77" i="4"/>
  <c r="FW77" i="4"/>
  <c r="GS77" i="4"/>
  <c r="HU77" i="4"/>
  <c r="IV77" i="4"/>
  <c r="JS77" i="4"/>
  <c r="Y77" i="4"/>
  <c r="BA77" i="4"/>
  <c r="CB77" i="4"/>
  <c r="CY77" i="4"/>
  <c r="EA77" i="4"/>
  <c r="EW77" i="4"/>
  <c r="FY77" i="4"/>
  <c r="GZ77" i="4"/>
  <c r="HW77" i="4"/>
  <c r="IY77" i="4"/>
  <c r="JU77" i="4"/>
  <c r="I77" i="4"/>
  <c r="BC77" i="4"/>
  <c r="CK77" i="4"/>
  <c r="EE77" i="4"/>
  <c r="FX77" i="4"/>
  <c r="HG77" i="4"/>
  <c r="JA77" i="4"/>
  <c r="KI77" i="4"/>
  <c r="J77" i="4"/>
  <c r="BD77" i="4"/>
  <c r="CL77" i="4"/>
  <c r="EF77" i="4"/>
  <c r="FZ77" i="4"/>
  <c r="HH77" i="4"/>
  <c r="JB77" i="4"/>
  <c r="P77" i="4"/>
  <c r="BE77" i="4"/>
  <c r="CX77" i="4"/>
  <c r="EG77" i="4"/>
  <c r="GA77" i="4"/>
  <c r="HI77" i="4"/>
  <c r="JC77" i="4"/>
  <c r="R77" i="4"/>
  <c r="BF77" i="4"/>
  <c r="CZ77" i="4"/>
  <c r="EH77" i="4"/>
  <c r="GB77" i="4"/>
  <c r="HJ77" i="4"/>
  <c r="JD77" i="4"/>
  <c r="X77" i="4"/>
  <c r="BL77" i="4"/>
  <c r="DA77" i="4"/>
  <c r="EN77" i="4"/>
  <c r="GC77" i="4"/>
  <c r="HV77" i="4"/>
  <c r="JE77" i="4"/>
  <c r="AF77" i="4"/>
  <c r="BO77" i="4"/>
  <c r="DH77" i="4"/>
  <c r="EV77" i="4"/>
  <c r="GJ77" i="4"/>
  <c r="HY77" i="4"/>
  <c r="JL77" i="4"/>
  <c r="BV77" i="4"/>
  <c r="EC77" i="4"/>
  <c r="GT77" i="4"/>
  <c r="JF77" i="4"/>
  <c r="CD77" i="4"/>
  <c r="ED77" i="4"/>
  <c r="HB77" i="4"/>
  <c r="JN77" i="4"/>
  <c r="CE77" i="4"/>
  <c r="EP77" i="4"/>
  <c r="HC77" i="4"/>
  <c r="JT77" i="4"/>
  <c r="CF77" i="4"/>
  <c r="EX77" i="4"/>
  <c r="HD77" i="4"/>
  <c r="JV77" i="4"/>
  <c r="Z77" i="4"/>
  <c r="CG77" i="4"/>
  <c r="FD77" i="4"/>
  <c r="HE77" i="4"/>
  <c r="KB77" i="4"/>
  <c r="AI77" i="4"/>
  <c r="CI77" i="4"/>
  <c r="FG77" i="4"/>
  <c r="HX77" i="4"/>
  <c r="KE77" i="4"/>
  <c r="DK77" i="4"/>
  <c r="HF77" i="4"/>
  <c r="DL77" i="4"/>
  <c r="HZ77" i="4"/>
  <c r="AH77" i="4"/>
  <c r="DM77" i="4"/>
  <c r="IF77" i="4"/>
  <c r="AJ77" i="4"/>
  <c r="DN77" i="4"/>
  <c r="IH77" i="4"/>
  <c r="AK77" i="4"/>
  <c r="DZ77" i="4"/>
  <c r="II77" i="4"/>
  <c r="AM77" i="4"/>
  <c r="FF77" i="4"/>
  <c r="IK77" i="4"/>
  <c r="AL77" i="4"/>
  <c r="GD77" i="4"/>
  <c r="AN77" i="4"/>
  <c r="GL77" i="4"/>
  <c r="AZ77" i="4"/>
  <c r="GM77" i="4"/>
  <c r="BB77" i="4"/>
  <c r="GN77" i="4"/>
  <c r="BN77" i="4"/>
  <c r="IJ77" i="4"/>
  <c r="CH77" i="4"/>
  <c r="IX77" i="4"/>
  <c r="IL77" i="4"/>
  <c r="IZ77" i="4"/>
  <c r="KD77" i="4"/>
  <c r="KF77" i="4"/>
  <c r="KG77" i="4"/>
  <c r="BP77" i="4"/>
  <c r="FI77" i="4"/>
  <c r="CJ77" i="4"/>
  <c r="DB77" i="4"/>
  <c r="DJ77" i="4"/>
  <c r="KH77" i="4"/>
  <c r="EB77" i="4"/>
  <c r="FH77" i="4"/>
  <c r="FK77" i="4"/>
  <c r="FJ77" i="4"/>
  <c r="FL77" i="4"/>
  <c r="T45" i="4"/>
  <c r="AJ45" i="4"/>
  <c r="AZ45" i="4"/>
  <c r="BP45" i="4"/>
  <c r="CF45" i="4"/>
  <c r="CV45" i="4"/>
  <c r="DL45" i="4"/>
  <c r="EB45" i="4"/>
  <c r="ER45" i="4"/>
  <c r="FH45" i="4"/>
  <c r="FX45" i="4"/>
  <c r="GN45" i="4"/>
  <c r="HD45" i="4"/>
  <c r="HT45" i="4"/>
  <c r="IJ45" i="4"/>
  <c r="IZ45" i="4"/>
  <c r="JP45" i="4"/>
  <c r="KF45" i="4"/>
  <c r="S45" i="4"/>
  <c r="AK45" i="4"/>
  <c r="BB45" i="4"/>
  <c r="BS45" i="4"/>
  <c r="CJ45" i="4"/>
  <c r="DA45" i="4"/>
  <c r="DR45" i="4"/>
  <c r="EI45" i="4"/>
  <c r="EZ45" i="4"/>
  <c r="FQ45" i="4"/>
  <c r="GH45" i="4"/>
  <c r="GY45" i="4"/>
  <c r="HP45" i="4"/>
  <c r="IG45" i="4"/>
  <c r="IX45" i="4"/>
  <c r="JO45" i="4"/>
  <c r="KG45" i="4"/>
  <c r="U45" i="4"/>
  <c r="AL45" i="4"/>
  <c r="BC45" i="4"/>
  <c r="BT45" i="4"/>
  <c r="CK45" i="4"/>
  <c r="DB45" i="4"/>
  <c r="DS45" i="4"/>
  <c r="EJ45" i="4"/>
  <c r="FA45" i="4"/>
  <c r="FR45" i="4"/>
  <c r="GI45" i="4"/>
  <c r="GZ45" i="4"/>
  <c r="HQ45" i="4"/>
  <c r="IH45" i="4"/>
  <c r="IY45" i="4"/>
  <c r="JQ45" i="4"/>
  <c r="KH45" i="4"/>
  <c r="V45" i="4"/>
  <c r="AM45" i="4"/>
  <c r="BD45" i="4"/>
  <c r="BU45" i="4"/>
  <c r="CL45" i="4"/>
  <c r="DC45" i="4"/>
  <c r="DT45" i="4"/>
  <c r="EK45" i="4"/>
  <c r="FB45" i="4"/>
  <c r="FS45" i="4"/>
  <c r="GJ45" i="4"/>
  <c r="HA45" i="4"/>
  <c r="HR45" i="4"/>
  <c r="II45" i="4"/>
  <c r="JA45" i="4"/>
  <c r="JR45" i="4"/>
  <c r="KI45" i="4"/>
  <c r="I45" i="4"/>
  <c r="Z45" i="4"/>
  <c r="AQ45" i="4"/>
  <c r="BH45" i="4"/>
  <c r="BY45" i="4"/>
  <c r="CP45" i="4"/>
  <c r="DG45" i="4"/>
  <c r="DX45" i="4"/>
  <c r="EO45" i="4"/>
  <c r="FF45" i="4"/>
  <c r="FW45" i="4"/>
  <c r="GO45" i="4"/>
  <c r="HF45" i="4"/>
  <c r="HW45" i="4"/>
  <c r="IN45" i="4"/>
  <c r="JE45" i="4"/>
  <c r="JV45" i="4"/>
  <c r="W45" i="4"/>
  <c r="AS45" i="4"/>
  <c r="BN45" i="4"/>
  <c r="CM45" i="4"/>
  <c r="DI45" i="4"/>
  <c r="EE45" i="4"/>
  <c r="FC45" i="4"/>
  <c r="FZ45" i="4"/>
  <c r="GU45" i="4"/>
  <c r="HS45" i="4"/>
  <c r="IP45" i="4"/>
  <c r="JK45" i="4"/>
  <c r="X45" i="4"/>
  <c r="AT45" i="4"/>
  <c r="BO45" i="4"/>
  <c r="CN45" i="4"/>
  <c r="DJ45" i="4"/>
  <c r="EF45" i="4"/>
  <c r="FD45" i="4"/>
  <c r="GA45" i="4"/>
  <c r="GV45" i="4"/>
  <c r="HU45" i="4"/>
  <c r="IQ45" i="4"/>
  <c r="JL45" i="4"/>
  <c r="Y45" i="4"/>
  <c r="AU45" i="4"/>
  <c r="BQ45" i="4"/>
  <c r="CO45" i="4"/>
  <c r="DK45" i="4"/>
  <c r="EG45" i="4"/>
  <c r="FE45" i="4"/>
  <c r="GB45" i="4"/>
  <c r="GW45" i="4"/>
  <c r="HV45" i="4"/>
  <c r="IR45" i="4"/>
  <c r="JM45" i="4"/>
  <c r="AA45" i="4"/>
  <c r="AV45" i="4"/>
  <c r="BR45" i="4"/>
  <c r="CQ45" i="4"/>
  <c r="DM45" i="4"/>
  <c r="EH45" i="4"/>
  <c r="FG45" i="4"/>
  <c r="GC45" i="4"/>
  <c r="GX45" i="4"/>
  <c r="HX45" i="4"/>
  <c r="IS45" i="4"/>
  <c r="JN45" i="4"/>
  <c r="AB45" i="4"/>
  <c r="AW45" i="4"/>
  <c r="BV45" i="4"/>
  <c r="CR45" i="4"/>
  <c r="DN45" i="4"/>
  <c r="EL45" i="4"/>
  <c r="FI45" i="4"/>
  <c r="GD45" i="4"/>
  <c r="HB45" i="4"/>
  <c r="HY45" i="4"/>
  <c r="IT45" i="4"/>
  <c r="JS45" i="4"/>
  <c r="AD45" i="4"/>
  <c r="AY45" i="4"/>
  <c r="BX45" i="4"/>
  <c r="CT45" i="4"/>
  <c r="DP45" i="4"/>
  <c r="EN45" i="4"/>
  <c r="FK45" i="4"/>
  <c r="GF45" i="4"/>
  <c r="HE45" i="4"/>
  <c r="IA45" i="4"/>
  <c r="IV45" i="4"/>
  <c r="JU45" i="4"/>
  <c r="AC45" i="4"/>
  <c r="BJ45" i="4"/>
  <c r="CW45" i="4"/>
  <c r="EC45" i="4"/>
  <c r="FO45" i="4"/>
  <c r="HC45" i="4"/>
  <c r="IK45" i="4"/>
  <c r="JX45" i="4"/>
  <c r="AE45" i="4"/>
  <c r="BK45" i="4"/>
  <c r="CX45" i="4"/>
  <c r="ED45" i="4"/>
  <c r="FP45" i="4"/>
  <c r="HG45" i="4"/>
  <c r="IL45" i="4"/>
  <c r="JY45" i="4"/>
  <c r="AF45" i="4"/>
  <c r="BL45" i="4"/>
  <c r="CY45" i="4"/>
  <c r="EM45" i="4"/>
  <c r="FT45" i="4"/>
  <c r="HH45" i="4"/>
  <c r="IM45" i="4"/>
  <c r="JZ45" i="4"/>
  <c r="AG45" i="4"/>
  <c r="BM45" i="4"/>
  <c r="CZ45" i="4"/>
  <c r="EP45" i="4"/>
  <c r="FU45" i="4"/>
  <c r="HI45" i="4"/>
  <c r="IO45" i="4"/>
  <c r="KA45" i="4"/>
  <c r="AH45" i="4"/>
  <c r="BW45" i="4"/>
  <c r="DD45" i="4"/>
  <c r="EQ45" i="4"/>
  <c r="FV45" i="4"/>
  <c r="HJ45" i="4"/>
  <c r="IU45" i="4"/>
  <c r="KB45" i="4"/>
  <c r="AN45" i="4"/>
  <c r="CA45" i="4"/>
  <c r="DF45" i="4"/>
  <c r="ET45" i="4"/>
  <c r="GE45" i="4"/>
  <c r="HL45" i="4"/>
  <c r="JB45" i="4"/>
  <c r="KD45" i="4"/>
  <c r="BE45" i="4"/>
  <c r="DO45" i="4"/>
  <c r="FM45" i="4"/>
  <c r="HZ45" i="4"/>
  <c r="KC45" i="4"/>
  <c r="J45" i="4"/>
  <c r="BF45" i="4"/>
  <c r="DQ45" i="4"/>
  <c r="FN45" i="4"/>
  <c r="IB45" i="4"/>
  <c r="KE45" i="4"/>
  <c r="K45" i="4"/>
  <c r="BG45" i="4"/>
  <c r="DU45" i="4"/>
  <c r="FY45" i="4"/>
  <c r="IC45" i="4"/>
  <c r="L45" i="4"/>
  <c r="BI45" i="4"/>
  <c r="DV45" i="4"/>
  <c r="GG45" i="4"/>
  <c r="ID45" i="4"/>
  <c r="M45" i="4"/>
  <c r="BZ45" i="4"/>
  <c r="DW45" i="4"/>
  <c r="GK45" i="4"/>
  <c r="IE45" i="4"/>
  <c r="O45" i="4"/>
  <c r="CC45" i="4"/>
  <c r="DZ45" i="4"/>
  <c r="GM45" i="4"/>
  <c r="IW45" i="4"/>
  <c r="Q45" i="4"/>
  <c r="DE45" i="4"/>
  <c r="GS45" i="4"/>
  <c r="R45" i="4"/>
  <c r="DH45" i="4"/>
  <c r="GT45" i="4"/>
  <c r="AI45" i="4"/>
  <c r="DY45" i="4"/>
  <c r="HK45" i="4"/>
  <c r="AO45" i="4"/>
  <c r="EA45" i="4"/>
  <c r="HM45" i="4"/>
  <c r="AP45" i="4"/>
  <c r="ES45" i="4"/>
  <c r="HN45" i="4"/>
  <c r="AX45" i="4"/>
  <c r="EV45" i="4"/>
  <c r="IF45" i="4"/>
  <c r="AR45" i="4"/>
  <c r="GL45" i="4"/>
  <c r="BA45" i="4"/>
  <c r="GP45" i="4"/>
  <c r="CB45" i="4"/>
  <c r="GQ45" i="4"/>
  <c r="CD45" i="4"/>
  <c r="GR45" i="4"/>
  <c r="CE45" i="4"/>
  <c r="HO45" i="4"/>
  <c r="CH45" i="4"/>
  <c r="JD45" i="4"/>
  <c r="N45" i="4"/>
  <c r="JI45" i="4"/>
  <c r="P45" i="4"/>
  <c r="JJ45" i="4"/>
  <c r="CG45" i="4"/>
  <c r="JT45" i="4"/>
  <c r="CI45" i="4"/>
  <c r="JW45" i="4"/>
  <c r="CS45" i="4"/>
  <c r="EU45" i="4"/>
  <c r="JG45" i="4"/>
  <c r="JH45" i="4"/>
  <c r="FJ45" i="4"/>
  <c r="FL45" i="4"/>
  <c r="JC45" i="4"/>
  <c r="JF45" i="4"/>
  <c r="CU45" i="4"/>
  <c r="EW45" i="4"/>
  <c r="EX45" i="4"/>
  <c r="EY45" i="4"/>
  <c r="L29" i="4"/>
  <c r="AB29" i="4"/>
  <c r="AR29" i="4"/>
  <c r="BH29" i="4"/>
  <c r="BX29" i="4"/>
  <c r="CN29" i="4"/>
  <c r="DD29" i="4"/>
  <c r="DT29" i="4"/>
  <c r="EJ29" i="4"/>
  <c r="EZ29" i="4"/>
  <c r="FP29" i="4"/>
  <c r="GF29" i="4"/>
  <c r="GV29" i="4"/>
  <c r="HL29" i="4"/>
  <c r="IB29" i="4"/>
  <c r="IR29" i="4"/>
  <c r="JH29" i="4"/>
  <c r="JX29" i="4"/>
  <c r="N29" i="4"/>
  <c r="AD29" i="4"/>
  <c r="AT29" i="4"/>
  <c r="BJ29" i="4"/>
  <c r="BZ29" i="4"/>
  <c r="CP29" i="4"/>
  <c r="DF29" i="4"/>
  <c r="DV29" i="4"/>
  <c r="EL29" i="4"/>
  <c r="FB29" i="4"/>
  <c r="FR29" i="4"/>
  <c r="GH29" i="4"/>
  <c r="GX29" i="4"/>
  <c r="HN29" i="4"/>
  <c r="ID29" i="4"/>
  <c r="IT29" i="4"/>
  <c r="JJ29" i="4"/>
  <c r="JZ29" i="4"/>
  <c r="O29" i="4"/>
  <c r="AG29" i="4"/>
  <c r="AY29" i="4"/>
  <c r="BQ29" i="4"/>
  <c r="CI29" i="4"/>
  <c r="DA29" i="4"/>
  <c r="DS29" i="4"/>
  <c r="EM29" i="4"/>
  <c r="FE29" i="4"/>
  <c r="FW29" i="4"/>
  <c r="GO29" i="4"/>
  <c r="HG29" i="4"/>
  <c r="HY29" i="4"/>
  <c r="IQ29" i="4"/>
  <c r="JK29" i="4"/>
  <c r="KC29" i="4"/>
  <c r="P29" i="4"/>
  <c r="AH29" i="4"/>
  <c r="AZ29" i="4"/>
  <c r="BR29" i="4"/>
  <c r="CJ29" i="4"/>
  <c r="DB29" i="4"/>
  <c r="DU29" i="4"/>
  <c r="EN29" i="4"/>
  <c r="FF29" i="4"/>
  <c r="FX29" i="4"/>
  <c r="GP29" i="4"/>
  <c r="HH29" i="4"/>
  <c r="HZ29" i="4"/>
  <c r="IS29" i="4"/>
  <c r="JL29" i="4"/>
  <c r="KD29" i="4"/>
  <c r="Q29" i="4"/>
  <c r="AI29" i="4"/>
  <c r="BA29" i="4"/>
  <c r="BS29" i="4"/>
  <c r="CK29" i="4"/>
  <c r="DC29" i="4"/>
  <c r="DW29" i="4"/>
  <c r="EO29" i="4"/>
  <c r="FG29" i="4"/>
  <c r="FY29" i="4"/>
  <c r="GQ29" i="4"/>
  <c r="HI29" i="4"/>
  <c r="IA29" i="4"/>
  <c r="IU29" i="4"/>
  <c r="JM29" i="4"/>
  <c r="KE29" i="4"/>
  <c r="U29" i="4"/>
  <c r="AM29" i="4"/>
  <c r="BE29" i="4"/>
  <c r="BW29" i="4"/>
  <c r="CQ29" i="4"/>
  <c r="DI29" i="4"/>
  <c r="EA29" i="4"/>
  <c r="ES29" i="4"/>
  <c r="FK29" i="4"/>
  <c r="GC29" i="4"/>
  <c r="GU29" i="4"/>
  <c r="HO29" i="4"/>
  <c r="IG29" i="4"/>
  <c r="IY29" i="4"/>
  <c r="JQ29" i="4"/>
  <c r="KI29" i="4"/>
  <c r="M29" i="4"/>
  <c r="AN29" i="4"/>
  <c r="BL29" i="4"/>
  <c r="CH29" i="4"/>
  <c r="DJ29" i="4"/>
  <c r="EF29" i="4"/>
  <c r="FD29" i="4"/>
  <c r="GD29" i="4"/>
  <c r="HB29" i="4"/>
  <c r="HX29" i="4"/>
  <c r="IZ29" i="4"/>
  <c r="JV29" i="4"/>
  <c r="R29" i="4"/>
  <c r="AO29" i="4"/>
  <c r="BM29" i="4"/>
  <c r="CL29" i="4"/>
  <c r="DK29" i="4"/>
  <c r="EG29" i="4"/>
  <c r="FH29" i="4"/>
  <c r="GE29" i="4"/>
  <c r="HC29" i="4"/>
  <c r="IC29" i="4"/>
  <c r="JA29" i="4"/>
  <c r="JW29" i="4"/>
  <c r="S29" i="4"/>
  <c r="AP29" i="4"/>
  <c r="BN29" i="4"/>
  <c r="CM29" i="4"/>
  <c r="DL29" i="4"/>
  <c r="EH29" i="4"/>
  <c r="FI29" i="4"/>
  <c r="GG29" i="4"/>
  <c r="HD29" i="4"/>
  <c r="IE29" i="4"/>
  <c r="JB29" i="4"/>
  <c r="JY29" i="4"/>
  <c r="T29" i="4"/>
  <c r="AQ29" i="4"/>
  <c r="BO29" i="4"/>
  <c r="CO29" i="4"/>
  <c r="DM29" i="4"/>
  <c r="EI29" i="4"/>
  <c r="FJ29" i="4"/>
  <c r="GI29" i="4"/>
  <c r="HE29" i="4"/>
  <c r="IF29" i="4"/>
  <c r="JC29" i="4"/>
  <c r="KA29" i="4"/>
  <c r="V29" i="4"/>
  <c r="AS29" i="4"/>
  <c r="BP29" i="4"/>
  <c r="CR29" i="4"/>
  <c r="DN29" i="4"/>
  <c r="EK29" i="4"/>
  <c r="FL29" i="4"/>
  <c r="GJ29" i="4"/>
  <c r="HF29" i="4"/>
  <c r="IH29" i="4"/>
  <c r="JD29" i="4"/>
  <c r="KB29" i="4"/>
  <c r="X29" i="4"/>
  <c r="AV29" i="4"/>
  <c r="BU29" i="4"/>
  <c r="CT29" i="4"/>
  <c r="DP29" i="4"/>
  <c r="EQ29" i="4"/>
  <c r="FN29" i="4"/>
  <c r="GL29" i="4"/>
  <c r="HK29" i="4"/>
  <c r="IJ29" i="4"/>
  <c r="JF29" i="4"/>
  <c r="KG29" i="4"/>
  <c r="AK29" i="4"/>
  <c r="CB29" i="4"/>
  <c r="DO29" i="4"/>
  <c r="EX29" i="4"/>
  <c r="GN29" i="4"/>
  <c r="HV29" i="4"/>
  <c r="JO29" i="4"/>
  <c r="AL29" i="4"/>
  <c r="CC29" i="4"/>
  <c r="DQ29" i="4"/>
  <c r="EY29" i="4"/>
  <c r="GR29" i="4"/>
  <c r="HW29" i="4"/>
  <c r="JP29" i="4"/>
  <c r="AU29" i="4"/>
  <c r="CD29" i="4"/>
  <c r="DR29" i="4"/>
  <c r="FA29" i="4"/>
  <c r="GS29" i="4"/>
  <c r="II29" i="4"/>
  <c r="JR29" i="4"/>
  <c r="AW29" i="4"/>
  <c r="CE29" i="4"/>
  <c r="DX29" i="4"/>
  <c r="FC29" i="4"/>
  <c r="GT29" i="4"/>
  <c r="IK29" i="4"/>
  <c r="JS29" i="4"/>
  <c r="AX29" i="4"/>
  <c r="CF29" i="4"/>
  <c r="DY29" i="4"/>
  <c r="FM29" i="4"/>
  <c r="GW29" i="4"/>
  <c r="IL29" i="4"/>
  <c r="JT29" i="4"/>
  <c r="J29" i="4"/>
  <c r="BC29" i="4"/>
  <c r="CS29" i="4"/>
  <c r="EB29" i="4"/>
  <c r="FQ29" i="4"/>
  <c r="GZ29" i="4"/>
  <c r="IN29" i="4"/>
  <c r="KF29" i="4"/>
  <c r="W29" i="4"/>
  <c r="BY29" i="4"/>
  <c r="EP29" i="4"/>
  <c r="GY29" i="4"/>
  <c r="JE29" i="4"/>
  <c r="Y29" i="4"/>
  <c r="CA29" i="4"/>
  <c r="ER29" i="4"/>
  <c r="HA29" i="4"/>
  <c r="JG29" i="4"/>
  <c r="Z29" i="4"/>
  <c r="CG29" i="4"/>
  <c r="ET29" i="4"/>
  <c r="HJ29" i="4"/>
  <c r="JI29" i="4"/>
  <c r="AA29" i="4"/>
  <c r="CU29" i="4"/>
  <c r="EU29" i="4"/>
  <c r="HM29" i="4"/>
  <c r="JN29" i="4"/>
  <c r="AC29" i="4"/>
  <c r="CV29" i="4"/>
  <c r="EV29" i="4"/>
  <c r="HP29" i="4"/>
  <c r="JU29" i="4"/>
  <c r="AF29" i="4"/>
  <c r="CX29" i="4"/>
  <c r="FO29" i="4"/>
  <c r="HR29" i="4"/>
  <c r="BT29" i="4"/>
  <c r="FV29" i="4"/>
  <c r="KH29" i="4"/>
  <c r="BV29" i="4"/>
  <c r="FZ29" i="4"/>
  <c r="CW29" i="4"/>
  <c r="GA29" i="4"/>
  <c r="CY29" i="4"/>
  <c r="GB29" i="4"/>
  <c r="CZ29" i="4"/>
  <c r="GK29" i="4"/>
  <c r="I29" i="4"/>
  <c r="DG29" i="4"/>
  <c r="HQ29" i="4"/>
  <c r="BF29" i="4"/>
  <c r="HT29" i="4"/>
  <c r="BG29" i="4"/>
  <c r="HU29" i="4"/>
  <c r="BI29" i="4"/>
  <c r="IM29" i="4"/>
  <c r="BK29" i="4"/>
  <c r="IO29" i="4"/>
  <c r="DE29" i="4"/>
  <c r="IP29" i="4"/>
  <c r="DZ29" i="4"/>
  <c r="IW29" i="4"/>
  <c r="GM29" i="4"/>
  <c r="HS29" i="4"/>
  <c r="IV29" i="4"/>
  <c r="K29" i="4"/>
  <c r="IX29" i="4"/>
  <c r="AE29" i="4"/>
  <c r="BB29" i="4"/>
  <c r="ED29" i="4"/>
  <c r="EE29" i="4"/>
  <c r="EW29" i="4"/>
  <c r="FS29" i="4"/>
  <c r="FT29" i="4"/>
  <c r="AJ29" i="4"/>
  <c r="BD29" i="4"/>
  <c r="DH29" i="4"/>
  <c r="FU29" i="4"/>
  <c r="EC29" i="4"/>
  <c r="R141" i="4"/>
  <c r="AH141" i="4"/>
  <c r="AX141" i="4"/>
  <c r="X141" i="4"/>
  <c r="AO141" i="4"/>
  <c r="BF141" i="4"/>
  <c r="BV141" i="4"/>
  <c r="CL141" i="4"/>
  <c r="DB141" i="4"/>
  <c r="DR141" i="4"/>
  <c r="EH141" i="4"/>
  <c r="EX141" i="4"/>
  <c r="FN141" i="4"/>
  <c r="GD141" i="4"/>
  <c r="GT141" i="4"/>
  <c r="HJ141" i="4"/>
  <c r="HZ141" i="4"/>
  <c r="IP141" i="4"/>
  <c r="JF141" i="4"/>
  <c r="JV141" i="4"/>
  <c r="Y141" i="4"/>
  <c r="AP141" i="4"/>
  <c r="BG141" i="4"/>
  <c r="BW141" i="4"/>
  <c r="CM141" i="4"/>
  <c r="DC141" i="4"/>
  <c r="DS141" i="4"/>
  <c r="EI141" i="4"/>
  <c r="EY141" i="4"/>
  <c r="FO141" i="4"/>
  <c r="GE141" i="4"/>
  <c r="GU141" i="4"/>
  <c r="HK141" i="4"/>
  <c r="IA141" i="4"/>
  <c r="IQ141" i="4"/>
  <c r="JG141" i="4"/>
  <c r="JW141" i="4"/>
  <c r="I141" i="4"/>
  <c r="Z141" i="4"/>
  <c r="AQ141" i="4"/>
  <c r="BH141" i="4"/>
  <c r="BX141" i="4"/>
  <c r="CN141" i="4"/>
  <c r="DD141" i="4"/>
  <c r="DT141" i="4"/>
  <c r="EJ141" i="4"/>
  <c r="EZ141" i="4"/>
  <c r="FP141" i="4"/>
  <c r="GF141" i="4"/>
  <c r="GV141" i="4"/>
  <c r="HL141" i="4"/>
  <c r="IB141" i="4"/>
  <c r="IR141" i="4"/>
  <c r="JH141" i="4"/>
  <c r="JX141" i="4"/>
  <c r="M141" i="4"/>
  <c r="AD141" i="4"/>
  <c r="AU141" i="4"/>
  <c r="BL141" i="4"/>
  <c r="CB141" i="4"/>
  <c r="CR141" i="4"/>
  <c r="DH141" i="4"/>
  <c r="DX141" i="4"/>
  <c r="EN141" i="4"/>
  <c r="FD141" i="4"/>
  <c r="FT141" i="4"/>
  <c r="GJ141" i="4"/>
  <c r="GZ141" i="4"/>
  <c r="HP141" i="4"/>
  <c r="IF141" i="4"/>
  <c r="IV141" i="4"/>
  <c r="JL141" i="4"/>
  <c r="KB141" i="4"/>
  <c r="V141" i="4"/>
  <c r="AT141" i="4"/>
  <c r="BP141" i="4"/>
  <c r="CJ141" i="4"/>
  <c r="DG141" i="4"/>
  <c r="EB141" i="4"/>
  <c r="EV141" i="4"/>
  <c r="FS141" i="4"/>
  <c r="GN141" i="4"/>
  <c r="HH141" i="4"/>
  <c r="IE141" i="4"/>
  <c r="IZ141" i="4"/>
  <c r="JT141" i="4"/>
  <c r="W141" i="4"/>
  <c r="AV141" i="4"/>
  <c r="BQ141" i="4"/>
  <c r="CK141" i="4"/>
  <c r="DI141" i="4"/>
  <c r="EC141" i="4"/>
  <c r="EW141" i="4"/>
  <c r="FU141" i="4"/>
  <c r="GO141" i="4"/>
  <c r="HI141" i="4"/>
  <c r="IG141" i="4"/>
  <c r="JA141" i="4"/>
  <c r="JU141" i="4"/>
  <c r="AA141" i="4"/>
  <c r="AW141" i="4"/>
  <c r="BR141" i="4"/>
  <c r="CO141" i="4"/>
  <c r="DJ141" i="4"/>
  <c r="ED141" i="4"/>
  <c r="FA141" i="4"/>
  <c r="FV141" i="4"/>
  <c r="GP141" i="4"/>
  <c r="HM141" i="4"/>
  <c r="IH141" i="4"/>
  <c r="JB141" i="4"/>
  <c r="JY141" i="4"/>
  <c r="AB141" i="4"/>
  <c r="AY141" i="4"/>
  <c r="BS141" i="4"/>
  <c r="CP141" i="4"/>
  <c r="DK141" i="4"/>
  <c r="EE141" i="4"/>
  <c r="FB141" i="4"/>
  <c r="FW141" i="4"/>
  <c r="GQ141" i="4"/>
  <c r="HN141" i="4"/>
  <c r="II141" i="4"/>
  <c r="JC141" i="4"/>
  <c r="JZ141" i="4"/>
  <c r="AC141" i="4"/>
  <c r="AZ141" i="4"/>
  <c r="BT141" i="4"/>
  <c r="CQ141" i="4"/>
  <c r="DL141" i="4"/>
  <c r="EF141" i="4"/>
  <c r="FC141" i="4"/>
  <c r="FX141" i="4"/>
  <c r="GR141" i="4"/>
  <c r="HO141" i="4"/>
  <c r="IJ141" i="4"/>
  <c r="JD141" i="4"/>
  <c r="KA141" i="4"/>
  <c r="J141" i="4"/>
  <c r="AF141" i="4"/>
  <c r="BB141" i="4"/>
  <c r="BY141" i="4"/>
  <c r="CT141" i="4"/>
  <c r="DN141" i="4"/>
  <c r="EK141" i="4"/>
  <c r="FF141" i="4"/>
  <c r="FZ141" i="4"/>
  <c r="GW141" i="4"/>
  <c r="HR141" i="4"/>
  <c r="IL141" i="4"/>
  <c r="JI141" i="4"/>
  <c r="KD141" i="4"/>
  <c r="AK141" i="4"/>
  <c r="BU141" i="4"/>
  <c r="CZ141" i="4"/>
  <c r="EM141" i="4"/>
  <c r="FQ141" i="4"/>
  <c r="HB141" i="4"/>
  <c r="IK141" i="4"/>
  <c r="JP141" i="4"/>
  <c r="AL141" i="4"/>
  <c r="BZ141" i="4"/>
  <c r="DA141" i="4"/>
  <c r="EO141" i="4"/>
  <c r="FR141" i="4"/>
  <c r="HC141" i="4"/>
  <c r="IM141" i="4"/>
  <c r="JQ141" i="4"/>
  <c r="AM141" i="4"/>
  <c r="CA141" i="4"/>
  <c r="DE141" i="4"/>
  <c r="EP141" i="4"/>
  <c r="FY141" i="4"/>
  <c r="HD141" i="4"/>
  <c r="IN141" i="4"/>
  <c r="JR141" i="4"/>
  <c r="K141" i="4"/>
  <c r="AN141" i="4"/>
  <c r="CC141" i="4"/>
  <c r="DF141" i="4"/>
  <c r="EQ141" i="4"/>
  <c r="GA141" i="4"/>
  <c r="HE141" i="4"/>
  <c r="IO141" i="4"/>
  <c r="JS141" i="4"/>
  <c r="L141" i="4"/>
  <c r="AR141" i="4"/>
  <c r="CD141" i="4"/>
  <c r="DM141" i="4"/>
  <c r="ER141" i="4"/>
  <c r="GB141" i="4"/>
  <c r="HF141" i="4"/>
  <c r="IS141" i="4"/>
  <c r="KC141" i="4"/>
  <c r="O141" i="4"/>
  <c r="BA141" i="4"/>
  <c r="CF141" i="4"/>
  <c r="DP141" i="4"/>
  <c r="ET141" i="4"/>
  <c r="GG141" i="4"/>
  <c r="HQ141" i="4"/>
  <c r="IU141" i="4"/>
  <c r="KF141" i="4"/>
  <c r="T141" i="4"/>
  <c r="CE141" i="4"/>
  <c r="DZ141" i="4"/>
  <c r="GI141" i="4"/>
  <c r="IC141" i="4"/>
  <c r="U141" i="4"/>
  <c r="CG141" i="4"/>
  <c r="EA141" i="4"/>
  <c r="GK141" i="4"/>
  <c r="ID141" i="4"/>
  <c r="AE141" i="4"/>
  <c r="CH141" i="4"/>
  <c r="EG141" i="4"/>
  <c r="GL141" i="4"/>
  <c r="IT141" i="4"/>
  <c r="AG141" i="4"/>
  <c r="CI141" i="4"/>
  <c r="EL141" i="4"/>
  <c r="GM141" i="4"/>
  <c r="IW141" i="4"/>
  <c r="AI141" i="4"/>
  <c r="CS141" i="4"/>
  <c r="ES141" i="4"/>
  <c r="GS141" i="4"/>
  <c r="IX141" i="4"/>
  <c r="AS141" i="4"/>
  <c r="CV141" i="4"/>
  <c r="FE141" i="4"/>
  <c r="GY141" i="4"/>
  <c r="JE141" i="4"/>
  <c r="BK141" i="4"/>
  <c r="FH141" i="4"/>
  <c r="HX141" i="4"/>
  <c r="BM141" i="4"/>
  <c r="FI141" i="4"/>
  <c r="HY141" i="4"/>
  <c r="BN141" i="4"/>
  <c r="FJ141" i="4"/>
  <c r="IY141" i="4"/>
  <c r="BO141" i="4"/>
  <c r="FK141" i="4"/>
  <c r="JJ141" i="4"/>
  <c r="CU141" i="4"/>
  <c r="FL141" i="4"/>
  <c r="JK141" i="4"/>
  <c r="N141" i="4"/>
  <c r="CX141" i="4"/>
  <c r="GC141" i="4"/>
  <c r="JN141" i="4"/>
  <c r="Q141" i="4"/>
  <c r="EU141" i="4"/>
  <c r="KH141" i="4"/>
  <c r="S141" i="4"/>
  <c r="FG141" i="4"/>
  <c r="KI141" i="4"/>
  <c r="AJ141" i="4"/>
  <c r="FM141" i="4"/>
  <c r="BC141" i="4"/>
  <c r="GH141" i="4"/>
  <c r="BD141" i="4"/>
  <c r="GX141" i="4"/>
  <c r="DY141" i="4"/>
  <c r="HA141" i="4"/>
  <c r="HG141" i="4"/>
  <c r="HS141" i="4"/>
  <c r="HT141" i="4"/>
  <c r="CY141" i="4"/>
  <c r="KE141" i="4"/>
  <c r="JO141" i="4"/>
  <c r="KG141" i="4"/>
  <c r="P141" i="4"/>
  <c r="BE141" i="4"/>
  <c r="BJ141" i="4"/>
  <c r="DV141" i="4"/>
  <c r="DU141" i="4"/>
  <c r="DW141" i="4"/>
  <c r="HU141" i="4"/>
  <c r="HV141" i="4"/>
  <c r="HW141" i="4"/>
  <c r="JM141" i="4"/>
  <c r="BI141" i="4"/>
  <c r="CW141" i="4"/>
  <c r="DO141" i="4"/>
  <c r="DQ141" i="4"/>
  <c r="K93" i="4"/>
  <c r="AA93" i="4"/>
  <c r="AQ93" i="4"/>
  <c r="BG93" i="4"/>
  <c r="BW93" i="4"/>
  <c r="CM93" i="4"/>
  <c r="DC93" i="4"/>
  <c r="DS93" i="4"/>
  <c r="EI93" i="4"/>
  <c r="EY93" i="4"/>
  <c r="FO93" i="4"/>
  <c r="GE93" i="4"/>
  <c r="GU93" i="4"/>
  <c r="HK93" i="4"/>
  <c r="IA93" i="4"/>
  <c r="IQ93" i="4"/>
  <c r="JG93" i="4"/>
  <c r="JW93" i="4"/>
  <c r="L93" i="4"/>
  <c r="AB93" i="4"/>
  <c r="AR93" i="4"/>
  <c r="BH93" i="4"/>
  <c r="BX93" i="4"/>
  <c r="CN93" i="4"/>
  <c r="DD93" i="4"/>
  <c r="DT93" i="4"/>
  <c r="EJ93" i="4"/>
  <c r="EZ93" i="4"/>
  <c r="FP93" i="4"/>
  <c r="GF93" i="4"/>
  <c r="GV93" i="4"/>
  <c r="HL93" i="4"/>
  <c r="IB93" i="4"/>
  <c r="IR93" i="4"/>
  <c r="JH93" i="4"/>
  <c r="JX93" i="4"/>
  <c r="M93" i="4"/>
  <c r="AC93" i="4"/>
  <c r="AS93" i="4"/>
  <c r="BI93" i="4"/>
  <c r="BY93" i="4"/>
  <c r="CO93" i="4"/>
  <c r="DE93" i="4"/>
  <c r="DU93" i="4"/>
  <c r="EK93" i="4"/>
  <c r="FA93" i="4"/>
  <c r="FQ93" i="4"/>
  <c r="GG93" i="4"/>
  <c r="GW93" i="4"/>
  <c r="HM93" i="4"/>
  <c r="IC93" i="4"/>
  <c r="IS93" i="4"/>
  <c r="JI93" i="4"/>
  <c r="JY93" i="4"/>
  <c r="Q93" i="4"/>
  <c r="AG93" i="4"/>
  <c r="AW93" i="4"/>
  <c r="BM93" i="4"/>
  <c r="CC93" i="4"/>
  <c r="CS93" i="4"/>
  <c r="DI93" i="4"/>
  <c r="DY93" i="4"/>
  <c r="EO93" i="4"/>
  <c r="FE93" i="4"/>
  <c r="FU93" i="4"/>
  <c r="GK93" i="4"/>
  <c r="HA93" i="4"/>
  <c r="HQ93" i="4"/>
  <c r="IG93" i="4"/>
  <c r="IW93" i="4"/>
  <c r="JM93" i="4"/>
  <c r="KC93" i="4"/>
  <c r="N93" i="4"/>
  <c r="AI93" i="4"/>
  <c r="BC93" i="4"/>
  <c r="BZ93" i="4"/>
  <c r="CU93" i="4"/>
  <c r="DO93" i="4"/>
  <c r="EL93" i="4"/>
  <c r="FG93" i="4"/>
  <c r="GA93" i="4"/>
  <c r="GX93" i="4"/>
  <c r="HS93" i="4"/>
  <c r="IM93" i="4"/>
  <c r="JJ93" i="4"/>
  <c r="KE93" i="4"/>
  <c r="O93" i="4"/>
  <c r="AJ93" i="4"/>
  <c r="BD93" i="4"/>
  <c r="CA93" i="4"/>
  <c r="CV93" i="4"/>
  <c r="DP93" i="4"/>
  <c r="EM93" i="4"/>
  <c r="FH93" i="4"/>
  <c r="GB93" i="4"/>
  <c r="GY93" i="4"/>
  <c r="HT93" i="4"/>
  <c r="IN93" i="4"/>
  <c r="JK93" i="4"/>
  <c r="KF93" i="4"/>
  <c r="P93" i="4"/>
  <c r="AK93" i="4"/>
  <c r="BE93" i="4"/>
  <c r="CB93" i="4"/>
  <c r="CW93" i="4"/>
  <c r="DQ93" i="4"/>
  <c r="EN93" i="4"/>
  <c r="FI93" i="4"/>
  <c r="GC93" i="4"/>
  <c r="GZ93" i="4"/>
  <c r="HU93" i="4"/>
  <c r="IO93" i="4"/>
  <c r="JL93" i="4"/>
  <c r="KG93" i="4"/>
  <c r="R93" i="4"/>
  <c r="AL93" i="4"/>
  <c r="BF93" i="4"/>
  <c r="CD93" i="4"/>
  <c r="CX93" i="4"/>
  <c r="DR93" i="4"/>
  <c r="EP93" i="4"/>
  <c r="FJ93" i="4"/>
  <c r="GD93" i="4"/>
  <c r="HB93" i="4"/>
  <c r="HV93" i="4"/>
  <c r="IP93" i="4"/>
  <c r="JN93" i="4"/>
  <c r="KH93" i="4"/>
  <c r="S93" i="4"/>
  <c r="AM93" i="4"/>
  <c r="BJ93" i="4"/>
  <c r="CE93" i="4"/>
  <c r="CY93" i="4"/>
  <c r="DV93" i="4"/>
  <c r="EQ93" i="4"/>
  <c r="FK93" i="4"/>
  <c r="GH93" i="4"/>
  <c r="HC93" i="4"/>
  <c r="HW93" i="4"/>
  <c r="IT93" i="4"/>
  <c r="JO93" i="4"/>
  <c r="KI93" i="4"/>
  <c r="U93" i="4"/>
  <c r="AO93" i="4"/>
  <c r="BL93" i="4"/>
  <c r="CG93" i="4"/>
  <c r="DA93" i="4"/>
  <c r="DX93" i="4"/>
  <c r="ES93" i="4"/>
  <c r="FM93" i="4"/>
  <c r="GJ93" i="4"/>
  <c r="HE93" i="4"/>
  <c r="HY93" i="4"/>
  <c r="IV93" i="4"/>
  <c r="JQ93" i="4"/>
  <c r="AN93" i="4"/>
  <c r="BS93" i="4"/>
  <c r="DF93" i="4"/>
  <c r="EG93" i="4"/>
  <c r="FT93" i="4"/>
  <c r="HD93" i="4"/>
  <c r="II93" i="4"/>
  <c r="JS93" i="4"/>
  <c r="AP93" i="4"/>
  <c r="BT93" i="4"/>
  <c r="DG93" i="4"/>
  <c r="EH93" i="4"/>
  <c r="FV93" i="4"/>
  <c r="HF93" i="4"/>
  <c r="IJ93" i="4"/>
  <c r="JT93" i="4"/>
  <c r="AT93" i="4"/>
  <c r="BU93" i="4"/>
  <c r="DH93" i="4"/>
  <c r="ER93" i="4"/>
  <c r="FW93" i="4"/>
  <c r="HG93" i="4"/>
  <c r="IK93" i="4"/>
  <c r="JU93" i="4"/>
  <c r="AU93" i="4"/>
  <c r="BV93" i="4"/>
  <c r="DJ93" i="4"/>
  <c r="ET93" i="4"/>
  <c r="FX93" i="4"/>
  <c r="HH93" i="4"/>
  <c r="IL93" i="4"/>
  <c r="JV93" i="4"/>
  <c r="I93" i="4"/>
  <c r="AV93" i="4"/>
  <c r="CF93" i="4"/>
  <c r="DK93" i="4"/>
  <c r="EU93" i="4"/>
  <c r="FY93" i="4"/>
  <c r="HI93" i="4"/>
  <c r="IU93" i="4"/>
  <c r="JZ93" i="4"/>
  <c r="T93" i="4"/>
  <c r="AY93" i="4"/>
  <c r="CI93" i="4"/>
  <c r="DM93" i="4"/>
  <c r="EW93" i="4"/>
  <c r="GI93" i="4"/>
  <c r="HN93" i="4"/>
  <c r="IY93" i="4"/>
  <c r="KB93" i="4"/>
  <c r="BA93" i="4"/>
  <c r="CZ93" i="4"/>
  <c r="FD93" i="4"/>
  <c r="HJ93" i="4"/>
  <c r="JE93" i="4"/>
  <c r="BB93" i="4"/>
  <c r="DB93" i="4"/>
  <c r="FF93" i="4"/>
  <c r="HO93" i="4"/>
  <c r="JF93" i="4"/>
  <c r="BK93" i="4"/>
  <c r="DL93" i="4"/>
  <c r="FL93" i="4"/>
  <c r="HP93" i="4"/>
  <c r="JP93" i="4"/>
  <c r="BN93" i="4"/>
  <c r="DN93" i="4"/>
  <c r="FN93" i="4"/>
  <c r="HR93" i="4"/>
  <c r="JR93" i="4"/>
  <c r="J93" i="4"/>
  <c r="BO93" i="4"/>
  <c r="DW93" i="4"/>
  <c r="FR93" i="4"/>
  <c r="HX93" i="4"/>
  <c r="KA93" i="4"/>
  <c r="W93" i="4"/>
  <c r="BQ93" i="4"/>
  <c r="EA93" i="4"/>
  <c r="FZ93" i="4"/>
  <c r="ID93" i="4"/>
  <c r="CK93" i="4"/>
  <c r="FS93" i="4"/>
  <c r="JA93" i="4"/>
  <c r="CL93" i="4"/>
  <c r="GL93" i="4"/>
  <c r="JB93" i="4"/>
  <c r="V93" i="4"/>
  <c r="CP93" i="4"/>
  <c r="GM93" i="4"/>
  <c r="JC93" i="4"/>
  <c r="X93" i="4"/>
  <c r="CQ93" i="4"/>
  <c r="GN93" i="4"/>
  <c r="JD93" i="4"/>
  <c r="Y93" i="4"/>
  <c r="CR93" i="4"/>
  <c r="GO93" i="4"/>
  <c r="KD93" i="4"/>
  <c r="AD93" i="4"/>
  <c r="DZ93" i="4"/>
  <c r="GQ93" i="4"/>
  <c r="EC93" i="4"/>
  <c r="IX93" i="4"/>
  <c r="ED93" i="4"/>
  <c r="IZ93" i="4"/>
  <c r="EE93" i="4"/>
  <c r="EF93" i="4"/>
  <c r="Z93" i="4"/>
  <c r="EV93" i="4"/>
  <c r="AF93" i="4"/>
  <c r="FB93" i="4"/>
  <c r="BP93" i="4"/>
  <c r="BR93" i="4"/>
  <c r="CH93" i="4"/>
  <c r="CJ93" i="4"/>
  <c r="CT93" i="4"/>
  <c r="EX93" i="4"/>
  <c r="GS93" i="4"/>
  <c r="GT93" i="4"/>
  <c r="HZ93" i="4"/>
  <c r="IE93" i="4"/>
  <c r="IF93" i="4"/>
  <c r="AX93" i="4"/>
  <c r="EB93" i="4"/>
  <c r="FC93" i="4"/>
  <c r="GP93" i="4"/>
  <c r="GR93" i="4"/>
  <c r="IH93" i="4"/>
  <c r="AH93" i="4"/>
  <c r="AZ93" i="4"/>
  <c r="AE93" i="4"/>
  <c r="K124" i="4"/>
  <c r="AA124" i="4"/>
  <c r="AQ124" i="4"/>
  <c r="BG124" i="4"/>
  <c r="BW124" i="4"/>
  <c r="CM124" i="4"/>
  <c r="DC124" i="4"/>
  <c r="DS124" i="4"/>
  <c r="EI124" i="4"/>
  <c r="EY124" i="4"/>
  <c r="FO124" i="4"/>
  <c r="GE124" i="4"/>
  <c r="GU124" i="4"/>
  <c r="HK124" i="4"/>
  <c r="IA124" i="4"/>
  <c r="IQ124" i="4"/>
  <c r="JG124" i="4"/>
  <c r="JW124" i="4"/>
  <c r="L124" i="4"/>
  <c r="AB124" i="4"/>
  <c r="AR124" i="4"/>
  <c r="BH124" i="4"/>
  <c r="BX124" i="4"/>
  <c r="CN124" i="4"/>
  <c r="DD124" i="4"/>
  <c r="DT124" i="4"/>
  <c r="EJ124" i="4"/>
  <c r="EZ124" i="4"/>
  <c r="FP124" i="4"/>
  <c r="GF124" i="4"/>
  <c r="GV124" i="4"/>
  <c r="HL124" i="4"/>
  <c r="IB124" i="4"/>
  <c r="IR124" i="4"/>
  <c r="JH124" i="4"/>
  <c r="JX124" i="4"/>
  <c r="M124" i="4"/>
  <c r="AC124" i="4"/>
  <c r="AS124" i="4"/>
  <c r="BI124" i="4"/>
  <c r="BY124" i="4"/>
  <c r="CO124" i="4"/>
  <c r="DE124" i="4"/>
  <c r="DU124" i="4"/>
  <c r="EK124" i="4"/>
  <c r="FA124" i="4"/>
  <c r="FQ124" i="4"/>
  <c r="GG124" i="4"/>
  <c r="GW124" i="4"/>
  <c r="HM124" i="4"/>
  <c r="IC124" i="4"/>
  <c r="IS124" i="4"/>
  <c r="JI124" i="4"/>
  <c r="JY124" i="4"/>
  <c r="Q124" i="4"/>
  <c r="AG124" i="4"/>
  <c r="AW124" i="4"/>
  <c r="BM124" i="4"/>
  <c r="CC124" i="4"/>
  <c r="CS124" i="4"/>
  <c r="DI124" i="4"/>
  <c r="DY124" i="4"/>
  <c r="EO124" i="4"/>
  <c r="FE124" i="4"/>
  <c r="FU124" i="4"/>
  <c r="GK124" i="4"/>
  <c r="HA124" i="4"/>
  <c r="HQ124" i="4"/>
  <c r="IG124" i="4"/>
  <c r="IW124" i="4"/>
  <c r="JM124" i="4"/>
  <c r="KC124" i="4"/>
  <c r="AD124" i="4"/>
  <c r="AY124" i="4"/>
  <c r="BS124" i="4"/>
  <c r="CP124" i="4"/>
  <c r="DK124" i="4"/>
  <c r="EE124" i="4"/>
  <c r="FB124" i="4"/>
  <c r="FW124" i="4"/>
  <c r="GQ124" i="4"/>
  <c r="HN124" i="4"/>
  <c r="II124" i="4"/>
  <c r="JC124" i="4"/>
  <c r="JZ124" i="4"/>
  <c r="AE124" i="4"/>
  <c r="AZ124" i="4"/>
  <c r="BT124" i="4"/>
  <c r="CQ124" i="4"/>
  <c r="DL124" i="4"/>
  <c r="EF124" i="4"/>
  <c r="FC124" i="4"/>
  <c r="FX124" i="4"/>
  <c r="GR124" i="4"/>
  <c r="HO124" i="4"/>
  <c r="IJ124" i="4"/>
  <c r="JD124" i="4"/>
  <c r="KA124" i="4"/>
  <c r="I124" i="4"/>
  <c r="AF124" i="4"/>
  <c r="BA124" i="4"/>
  <c r="BU124" i="4"/>
  <c r="CR124" i="4"/>
  <c r="DM124" i="4"/>
  <c r="EG124" i="4"/>
  <c r="FD124" i="4"/>
  <c r="FY124" i="4"/>
  <c r="GS124" i="4"/>
  <c r="HP124" i="4"/>
  <c r="IK124" i="4"/>
  <c r="JE124" i="4"/>
  <c r="KB124" i="4"/>
  <c r="J124" i="4"/>
  <c r="AH124" i="4"/>
  <c r="BB124" i="4"/>
  <c r="BV124" i="4"/>
  <c r="CT124" i="4"/>
  <c r="DN124" i="4"/>
  <c r="EH124" i="4"/>
  <c r="FF124" i="4"/>
  <c r="FZ124" i="4"/>
  <c r="GT124" i="4"/>
  <c r="HR124" i="4"/>
  <c r="IL124" i="4"/>
  <c r="JF124" i="4"/>
  <c r="KD124" i="4"/>
  <c r="P124" i="4"/>
  <c r="AK124" i="4"/>
  <c r="BE124" i="4"/>
  <c r="CB124" i="4"/>
  <c r="CW124" i="4"/>
  <c r="DQ124" i="4"/>
  <c r="EN124" i="4"/>
  <c r="FI124" i="4"/>
  <c r="GC124" i="4"/>
  <c r="GZ124" i="4"/>
  <c r="HU124" i="4"/>
  <c r="IO124" i="4"/>
  <c r="JL124" i="4"/>
  <c r="KG124" i="4"/>
  <c r="Z124" i="4"/>
  <c r="BK124" i="4"/>
  <c r="CK124" i="4"/>
  <c r="DV124" i="4"/>
  <c r="EV124" i="4"/>
  <c r="GD124" i="4"/>
  <c r="HG124" i="4"/>
  <c r="IN124" i="4"/>
  <c r="JR124" i="4"/>
  <c r="AI124" i="4"/>
  <c r="BL124" i="4"/>
  <c r="CL124" i="4"/>
  <c r="DW124" i="4"/>
  <c r="EW124" i="4"/>
  <c r="GH124" i="4"/>
  <c r="HH124" i="4"/>
  <c r="IP124" i="4"/>
  <c r="JS124" i="4"/>
  <c r="AJ124" i="4"/>
  <c r="BN124" i="4"/>
  <c r="CU124" i="4"/>
  <c r="DX124" i="4"/>
  <c r="EX124" i="4"/>
  <c r="GI124" i="4"/>
  <c r="HI124" i="4"/>
  <c r="IT124" i="4"/>
  <c r="JT124" i="4"/>
  <c r="AL124" i="4"/>
  <c r="BO124" i="4"/>
  <c r="CV124" i="4"/>
  <c r="DZ124" i="4"/>
  <c r="FG124" i="4"/>
  <c r="GJ124" i="4"/>
  <c r="HJ124" i="4"/>
  <c r="IU124" i="4"/>
  <c r="JU124" i="4"/>
  <c r="AM124" i="4"/>
  <c r="BP124" i="4"/>
  <c r="CX124" i="4"/>
  <c r="EA124" i="4"/>
  <c r="FH124" i="4"/>
  <c r="GL124" i="4"/>
  <c r="HS124" i="4"/>
  <c r="IV124" i="4"/>
  <c r="JV124" i="4"/>
  <c r="N124" i="4"/>
  <c r="AO124" i="4"/>
  <c r="BR124" i="4"/>
  <c r="CZ124" i="4"/>
  <c r="EC124" i="4"/>
  <c r="FK124" i="4"/>
  <c r="GN124" i="4"/>
  <c r="HV124" i="4"/>
  <c r="IY124" i="4"/>
  <c r="KF124" i="4"/>
  <c r="V124" i="4"/>
  <c r="CA124" i="4"/>
  <c r="DP124" i="4"/>
  <c r="FR124" i="4"/>
  <c r="HT124" i="4"/>
  <c r="JN124" i="4"/>
  <c r="W124" i="4"/>
  <c r="CD124" i="4"/>
  <c r="DR124" i="4"/>
  <c r="FS124" i="4"/>
  <c r="HW124" i="4"/>
  <c r="JO124" i="4"/>
  <c r="X124" i="4"/>
  <c r="CE124" i="4"/>
  <c r="EB124" i="4"/>
  <c r="FT124" i="4"/>
  <c r="HX124" i="4"/>
  <c r="JP124" i="4"/>
  <c r="Y124" i="4"/>
  <c r="CF124" i="4"/>
  <c r="ED124" i="4"/>
  <c r="FV124" i="4"/>
  <c r="HY124" i="4"/>
  <c r="JQ124" i="4"/>
  <c r="AN124" i="4"/>
  <c r="CG124" i="4"/>
  <c r="EL124" i="4"/>
  <c r="GA124" i="4"/>
  <c r="HZ124" i="4"/>
  <c r="KE124" i="4"/>
  <c r="AT124" i="4"/>
  <c r="CI124" i="4"/>
  <c r="EP124" i="4"/>
  <c r="GM124" i="4"/>
  <c r="IE124" i="4"/>
  <c r="KI124" i="4"/>
  <c r="BQ124" i="4"/>
  <c r="ET124" i="4"/>
  <c r="ID124" i="4"/>
  <c r="BZ124" i="4"/>
  <c r="EU124" i="4"/>
  <c r="IF124" i="4"/>
  <c r="CH124" i="4"/>
  <c r="FJ124" i="4"/>
  <c r="IH124" i="4"/>
  <c r="O124" i="4"/>
  <c r="CJ124" i="4"/>
  <c r="FL124" i="4"/>
  <c r="IM124" i="4"/>
  <c r="R124" i="4"/>
  <c r="CY124" i="4"/>
  <c r="FM124" i="4"/>
  <c r="IX124" i="4"/>
  <c r="T124" i="4"/>
  <c r="DB124" i="4"/>
  <c r="GB124" i="4"/>
  <c r="JA124" i="4"/>
  <c r="BF124" i="4"/>
  <c r="GY124" i="4"/>
  <c r="BJ124" i="4"/>
  <c r="HB124" i="4"/>
  <c r="DA124" i="4"/>
  <c r="HC124" i="4"/>
  <c r="DF124" i="4"/>
  <c r="HD124" i="4"/>
  <c r="DG124" i="4"/>
  <c r="HE124" i="4"/>
  <c r="DJ124" i="4"/>
  <c r="IZ124" i="4"/>
  <c r="S124" i="4"/>
  <c r="GP124" i="4"/>
  <c r="U124" i="4"/>
  <c r="GX124" i="4"/>
  <c r="AP124" i="4"/>
  <c r="HF124" i="4"/>
  <c r="AU124" i="4"/>
  <c r="JB124" i="4"/>
  <c r="AV124" i="4"/>
  <c r="JJ124" i="4"/>
  <c r="EM124" i="4"/>
  <c r="BD124" i="4"/>
  <c r="DH124" i="4"/>
  <c r="DO124" i="4"/>
  <c r="EQ124" i="4"/>
  <c r="ER124" i="4"/>
  <c r="AX124" i="4"/>
  <c r="BC124" i="4"/>
  <c r="FN124" i="4"/>
  <c r="ES124" i="4"/>
  <c r="GO124" i="4"/>
  <c r="JK124" i="4"/>
  <c r="KH124" i="4"/>
  <c r="S44" i="4"/>
  <c r="AI44" i="4"/>
  <c r="AY44" i="4"/>
  <c r="BO44" i="4"/>
  <c r="CE44" i="4"/>
  <c r="CU44" i="4"/>
  <c r="DK44" i="4"/>
  <c r="EA44" i="4"/>
  <c r="EQ44" i="4"/>
  <c r="FG44" i="4"/>
  <c r="FW44" i="4"/>
  <c r="GM44" i="4"/>
  <c r="HC44" i="4"/>
  <c r="HS44" i="4"/>
  <c r="II44" i="4"/>
  <c r="IY44" i="4"/>
  <c r="JO44" i="4"/>
  <c r="KE44" i="4"/>
  <c r="P44" i="4"/>
  <c r="AG44" i="4"/>
  <c r="AX44" i="4"/>
  <c r="BP44" i="4"/>
  <c r="CG44" i="4"/>
  <c r="CX44" i="4"/>
  <c r="DO44" i="4"/>
  <c r="EF44" i="4"/>
  <c r="EW44" i="4"/>
  <c r="FN44" i="4"/>
  <c r="GE44" i="4"/>
  <c r="GV44" i="4"/>
  <c r="HM44" i="4"/>
  <c r="ID44" i="4"/>
  <c r="IU44" i="4"/>
  <c r="JL44" i="4"/>
  <c r="KC44" i="4"/>
  <c r="Q44" i="4"/>
  <c r="AH44" i="4"/>
  <c r="AZ44" i="4"/>
  <c r="BQ44" i="4"/>
  <c r="CH44" i="4"/>
  <c r="CY44" i="4"/>
  <c r="DP44" i="4"/>
  <c r="EG44" i="4"/>
  <c r="EX44" i="4"/>
  <c r="FO44" i="4"/>
  <c r="GF44" i="4"/>
  <c r="GW44" i="4"/>
  <c r="HN44" i="4"/>
  <c r="IE44" i="4"/>
  <c r="IV44" i="4"/>
  <c r="JM44" i="4"/>
  <c r="KD44" i="4"/>
  <c r="R44" i="4"/>
  <c r="AJ44" i="4"/>
  <c r="BA44" i="4"/>
  <c r="BR44" i="4"/>
  <c r="CI44" i="4"/>
  <c r="CZ44" i="4"/>
  <c r="DQ44" i="4"/>
  <c r="EH44" i="4"/>
  <c r="EY44" i="4"/>
  <c r="FP44" i="4"/>
  <c r="GG44" i="4"/>
  <c r="GX44" i="4"/>
  <c r="HO44" i="4"/>
  <c r="IF44" i="4"/>
  <c r="IW44" i="4"/>
  <c r="JN44" i="4"/>
  <c r="KF44" i="4"/>
  <c r="W44" i="4"/>
  <c r="AN44" i="4"/>
  <c r="BE44" i="4"/>
  <c r="BV44" i="4"/>
  <c r="CM44" i="4"/>
  <c r="DD44" i="4"/>
  <c r="DU44" i="4"/>
  <c r="EL44" i="4"/>
  <c r="FC44" i="4"/>
  <c r="FT44" i="4"/>
  <c r="GK44" i="4"/>
  <c r="HB44" i="4"/>
  <c r="HT44" i="4"/>
  <c r="IK44" i="4"/>
  <c r="JB44" i="4"/>
  <c r="JS44" i="4"/>
  <c r="L44" i="4"/>
  <c r="AK44" i="4"/>
  <c r="BG44" i="4"/>
  <c r="CB44" i="4"/>
  <c r="DA44" i="4"/>
  <c r="DW44" i="4"/>
  <c r="ES44" i="4"/>
  <c r="FQ44" i="4"/>
  <c r="GN44" i="4"/>
  <c r="HI44" i="4"/>
  <c r="IG44" i="4"/>
  <c r="JD44" i="4"/>
  <c r="JY44" i="4"/>
  <c r="M44" i="4"/>
  <c r="AL44" i="4"/>
  <c r="BH44" i="4"/>
  <c r="CC44" i="4"/>
  <c r="DB44" i="4"/>
  <c r="DX44" i="4"/>
  <c r="ET44" i="4"/>
  <c r="FR44" i="4"/>
  <c r="GO44" i="4"/>
  <c r="HJ44" i="4"/>
  <c r="IH44" i="4"/>
  <c r="JE44" i="4"/>
  <c r="JZ44" i="4"/>
  <c r="N44" i="4"/>
  <c r="AM44" i="4"/>
  <c r="BI44" i="4"/>
  <c r="CD44" i="4"/>
  <c r="DC44" i="4"/>
  <c r="DY44" i="4"/>
  <c r="EU44" i="4"/>
  <c r="FS44" i="4"/>
  <c r="GP44" i="4"/>
  <c r="HK44" i="4"/>
  <c r="IJ44" i="4"/>
  <c r="JF44" i="4"/>
  <c r="KA44" i="4"/>
  <c r="O44" i="4"/>
  <c r="AO44" i="4"/>
  <c r="BJ44" i="4"/>
  <c r="CF44" i="4"/>
  <c r="DE44" i="4"/>
  <c r="DZ44" i="4"/>
  <c r="EV44" i="4"/>
  <c r="FU44" i="4"/>
  <c r="GQ44" i="4"/>
  <c r="HL44" i="4"/>
  <c r="IL44" i="4"/>
  <c r="JG44" i="4"/>
  <c r="KB44" i="4"/>
  <c r="T44" i="4"/>
  <c r="AP44" i="4"/>
  <c r="BK44" i="4"/>
  <c r="CJ44" i="4"/>
  <c r="DF44" i="4"/>
  <c r="EB44" i="4"/>
  <c r="EZ44" i="4"/>
  <c r="FV44" i="4"/>
  <c r="GR44" i="4"/>
  <c r="HP44" i="4"/>
  <c r="IM44" i="4"/>
  <c r="JH44" i="4"/>
  <c r="KG44" i="4"/>
  <c r="V44" i="4"/>
  <c r="AR44" i="4"/>
  <c r="BM44" i="4"/>
  <c r="CL44" i="4"/>
  <c r="DH44" i="4"/>
  <c r="ED44" i="4"/>
  <c r="FB44" i="4"/>
  <c r="FY44" i="4"/>
  <c r="GT44" i="4"/>
  <c r="HR44" i="4"/>
  <c r="IO44" i="4"/>
  <c r="JJ44" i="4"/>
  <c r="KI44" i="4"/>
  <c r="Y44" i="4"/>
  <c r="BD44" i="4"/>
  <c r="CQ44" i="4"/>
  <c r="EC44" i="4"/>
  <c r="FJ44" i="4"/>
  <c r="GY44" i="4"/>
  <c r="IB44" i="4"/>
  <c r="JR44" i="4"/>
  <c r="Z44" i="4"/>
  <c r="BF44" i="4"/>
  <c r="CR44" i="4"/>
  <c r="EE44" i="4"/>
  <c r="FK44" i="4"/>
  <c r="GZ44" i="4"/>
  <c r="IC44" i="4"/>
  <c r="JT44" i="4"/>
  <c r="AA44" i="4"/>
  <c r="BL44" i="4"/>
  <c r="CS44" i="4"/>
  <c r="EI44" i="4"/>
  <c r="FL44" i="4"/>
  <c r="HA44" i="4"/>
  <c r="IN44" i="4"/>
  <c r="JU44" i="4"/>
  <c r="AB44" i="4"/>
  <c r="BN44" i="4"/>
  <c r="CT44" i="4"/>
  <c r="EJ44" i="4"/>
  <c r="FM44" i="4"/>
  <c r="HD44" i="4"/>
  <c r="IP44" i="4"/>
  <c r="JV44" i="4"/>
  <c r="AC44" i="4"/>
  <c r="BS44" i="4"/>
  <c r="CV44" i="4"/>
  <c r="EK44" i="4"/>
  <c r="FX44" i="4"/>
  <c r="HE44" i="4"/>
  <c r="IQ44" i="4"/>
  <c r="JW44" i="4"/>
  <c r="AE44" i="4"/>
  <c r="BU44" i="4"/>
  <c r="DG44" i="4"/>
  <c r="EN44" i="4"/>
  <c r="GA44" i="4"/>
  <c r="HG44" i="4"/>
  <c r="IS44" i="4"/>
  <c r="KH44" i="4"/>
  <c r="AV44" i="4"/>
  <c r="DJ44" i="4"/>
  <c r="FH44" i="4"/>
  <c r="HV44" i="4"/>
  <c r="JX44" i="4"/>
  <c r="AW44" i="4"/>
  <c r="DL44" i="4"/>
  <c r="FI44" i="4"/>
  <c r="HW44" i="4"/>
  <c r="BB44" i="4"/>
  <c r="DM44" i="4"/>
  <c r="FZ44" i="4"/>
  <c r="HX44" i="4"/>
  <c r="BC44" i="4"/>
  <c r="DN44" i="4"/>
  <c r="GB44" i="4"/>
  <c r="HY44" i="4"/>
  <c r="BT44" i="4"/>
  <c r="DR44" i="4"/>
  <c r="GC44" i="4"/>
  <c r="HZ44" i="4"/>
  <c r="J44" i="4"/>
  <c r="BX44" i="4"/>
  <c r="DT44" i="4"/>
  <c r="GH44" i="4"/>
  <c r="IR44" i="4"/>
  <c r="AD44" i="4"/>
  <c r="DS44" i="4"/>
  <c r="HF44" i="4"/>
  <c r="AF44" i="4"/>
  <c r="DV44" i="4"/>
  <c r="HH44" i="4"/>
  <c r="AQ44" i="4"/>
  <c r="EM44" i="4"/>
  <c r="HQ44" i="4"/>
  <c r="AS44" i="4"/>
  <c r="EO44" i="4"/>
  <c r="HU44" i="4"/>
  <c r="AT44" i="4"/>
  <c r="EP44" i="4"/>
  <c r="IA44" i="4"/>
  <c r="BW44" i="4"/>
  <c r="FA44" i="4"/>
  <c r="IX44" i="4"/>
  <c r="U44" i="4"/>
  <c r="GD44" i="4"/>
  <c r="X44" i="4"/>
  <c r="GI44" i="4"/>
  <c r="AU44" i="4"/>
  <c r="GJ44" i="4"/>
  <c r="BY44" i="4"/>
  <c r="GL44" i="4"/>
  <c r="BZ44" i="4"/>
  <c r="GS44" i="4"/>
  <c r="CK44" i="4"/>
  <c r="IT44" i="4"/>
  <c r="CO44" i="4"/>
  <c r="CP44" i="4"/>
  <c r="CW44" i="4"/>
  <c r="DI44" i="4"/>
  <c r="ER44" i="4"/>
  <c r="FE44" i="4"/>
  <c r="GU44" i="4"/>
  <c r="IZ44" i="4"/>
  <c r="JA44" i="4"/>
  <c r="JC44" i="4"/>
  <c r="JI44" i="4"/>
  <c r="JP44" i="4"/>
  <c r="I44" i="4"/>
  <c r="CA44" i="4"/>
  <c r="K44" i="4"/>
  <c r="JQ44" i="4"/>
  <c r="FD44" i="4"/>
  <c r="CN44" i="4"/>
  <c r="FF44" i="4"/>
  <c r="JK44" i="4"/>
  <c r="O97" i="4"/>
  <c r="AE97" i="4"/>
  <c r="AU97" i="4"/>
  <c r="BK97" i="4"/>
  <c r="CA97" i="4"/>
  <c r="CQ97" i="4"/>
  <c r="DG97" i="4"/>
  <c r="DW97" i="4"/>
  <c r="EM97" i="4"/>
  <c r="FC97" i="4"/>
  <c r="FS97" i="4"/>
  <c r="GI97" i="4"/>
  <c r="GY97" i="4"/>
  <c r="HO97" i="4"/>
  <c r="IE97" i="4"/>
  <c r="IU97" i="4"/>
  <c r="JK97" i="4"/>
  <c r="KA97" i="4"/>
  <c r="P97" i="4"/>
  <c r="AF97" i="4"/>
  <c r="AV97" i="4"/>
  <c r="BL97" i="4"/>
  <c r="CB97" i="4"/>
  <c r="CR97" i="4"/>
  <c r="DH97" i="4"/>
  <c r="DX97" i="4"/>
  <c r="EN97" i="4"/>
  <c r="FD97" i="4"/>
  <c r="FT97" i="4"/>
  <c r="GJ97" i="4"/>
  <c r="GZ97" i="4"/>
  <c r="HP97" i="4"/>
  <c r="IF97" i="4"/>
  <c r="IV97" i="4"/>
  <c r="JL97" i="4"/>
  <c r="KB97" i="4"/>
  <c r="Q97" i="4"/>
  <c r="AG97" i="4"/>
  <c r="AW97" i="4"/>
  <c r="BM97" i="4"/>
  <c r="CC97" i="4"/>
  <c r="CS97" i="4"/>
  <c r="DI97" i="4"/>
  <c r="DY97" i="4"/>
  <c r="EO97" i="4"/>
  <c r="FE97" i="4"/>
  <c r="FU97" i="4"/>
  <c r="GK97" i="4"/>
  <c r="HA97" i="4"/>
  <c r="HQ97" i="4"/>
  <c r="IG97" i="4"/>
  <c r="IW97" i="4"/>
  <c r="JM97" i="4"/>
  <c r="KC97" i="4"/>
  <c r="U97" i="4"/>
  <c r="AK97" i="4"/>
  <c r="BA97" i="4"/>
  <c r="BQ97" i="4"/>
  <c r="CG97" i="4"/>
  <c r="CW97" i="4"/>
  <c r="DM97" i="4"/>
  <c r="EC97" i="4"/>
  <c r="ES97" i="4"/>
  <c r="FI97" i="4"/>
  <c r="FY97" i="4"/>
  <c r="GO97" i="4"/>
  <c r="HE97" i="4"/>
  <c r="HU97" i="4"/>
  <c r="IK97" i="4"/>
  <c r="JA97" i="4"/>
  <c r="JQ97" i="4"/>
  <c r="KG97" i="4"/>
  <c r="R97" i="4"/>
  <c r="AM97" i="4"/>
  <c r="BG97" i="4"/>
  <c r="CD97" i="4"/>
  <c r="CY97" i="4"/>
  <c r="DS97" i="4"/>
  <c r="EP97" i="4"/>
  <c r="FK97" i="4"/>
  <c r="GE97" i="4"/>
  <c r="HB97" i="4"/>
  <c r="HW97" i="4"/>
  <c r="IQ97" i="4"/>
  <c r="JN97" i="4"/>
  <c r="KI97" i="4"/>
  <c r="S97" i="4"/>
  <c r="AN97" i="4"/>
  <c r="BH97" i="4"/>
  <c r="CE97" i="4"/>
  <c r="CZ97" i="4"/>
  <c r="DT97" i="4"/>
  <c r="EQ97" i="4"/>
  <c r="FL97" i="4"/>
  <c r="GF97" i="4"/>
  <c r="HC97" i="4"/>
  <c r="HX97" i="4"/>
  <c r="IR97" i="4"/>
  <c r="JO97" i="4"/>
  <c r="T97" i="4"/>
  <c r="AO97" i="4"/>
  <c r="BI97" i="4"/>
  <c r="CF97" i="4"/>
  <c r="DA97" i="4"/>
  <c r="DU97" i="4"/>
  <c r="ER97" i="4"/>
  <c r="FM97" i="4"/>
  <c r="GG97" i="4"/>
  <c r="HD97" i="4"/>
  <c r="HY97" i="4"/>
  <c r="IS97" i="4"/>
  <c r="JP97" i="4"/>
  <c r="V97" i="4"/>
  <c r="AP97" i="4"/>
  <c r="BJ97" i="4"/>
  <c r="CH97" i="4"/>
  <c r="DB97" i="4"/>
  <c r="DV97" i="4"/>
  <c r="ET97" i="4"/>
  <c r="FN97" i="4"/>
  <c r="GH97" i="4"/>
  <c r="HF97" i="4"/>
  <c r="HZ97" i="4"/>
  <c r="IT97" i="4"/>
  <c r="JR97" i="4"/>
  <c r="W97" i="4"/>
  <c r="AQ97" i="4"/>
  <c r="BN97" i="4"/>
  <c r="CI97" i="4"/>
  <c r="DC97" i="4"/>
  <c r="DZ97" i="4"/>
  <c r="EU97" i="4"/>
  <c r="FO97" i="4"/>
  <c r="GL97" i="4"/>
  <c r="HG97" i="4"/>
  <c r="IA97" i="4"/>
  <c r="IX97" i="4"/>
  <c r="JS97" i="4"/>
  <c r="Y97" i="4"/>
  <c r="AS97" i="4"/>
  <c r="BP97" i="4"/>
  <c r="CK97" i="4"/>
  <c r="DE97" i="4"/>
  <c r="EB97" i="4"/>
  <c r="EW97" i="4"/>
  <c r="FQ97" i="4"/>
  <c r="GN97" i="4"/>
  <c r="HI97" i="4"/>
  <c r="IC97" i="4"/>
  <c r="IZ97" i="4"/>
  <c r="JU97" i="4"/>
  <c r="M97" i="4"/>
  <c r="AZ97" i="4"/>
  <c r="CJ97" i="4"/>
  <c r="DO97" i="4"/>
  <c r="EY97" i="4"/>
  <c r="GC97" i="4"/>
  <c r="HM97" i="4"/>
  <c r="IY97" i="4"/>
  <c r="KD97" i="4"/>
  <c r="N97" i="4"/>
  <c r="BB97" i="4"/>
  <c r="CL97" i="4"/>
  <c r="DP97" i="4"/>
  <c r="EZ97" i="4"/>
  <c r="GD97" i="4"/>
  <c r="HN97" i="4"/>
  <c r="JB97" i="4"/>
  <c r="KE97" i="4"/>
  <c r="X97" i="4"/>
  <c r="BC97" i="4"/>
  <c r="CM97" i="4"/>
  <c r="DQ97" i="4"/>
  <c r="FA97" i="4"/>
  <c r="GM97" i="4"/>
  <c r="HR97" i="4"/>
  <c r="JC97" i="4"/>
  <c r="KF97" i="4"/>
  <c r="Z97" i="4"/>
  <c r="BD97" i="4"/>
  <c r="CN97" i="4"/>
  <c r="DR97" i="4"/>
  <c r="FB97" i="4"/>
  <c r="GP97" i="4"/>
  <c r="HS97" i="4"/>
  <c r="JD97" i="4"/>
  <c r="KH97" i="4"/>
  <c r="AA97" i="4"/>
  <c r="BE97" i="4"/>
  <c r="CO97" i="4"/>
  <c r="EA97" i="4"/>
  <c r="FF97" i="4"/>
  <c r="GQ97" i="4"/>
  <c r="HT97" i="4"/>
  <c r="JE97" i="4"/>
  <c r="AC97" i="4"/>
  <c r="BO97" i="4"/>
  <c r="CT97" i="4"/>
  <c r="EE97" i="4"/>
  <c r="FH97" i="4"/>
  <c r="GS97" i="4"/>
  <c r="IB97" i="4"/>
  <c r="JG97" i="4"/>
  <c r="AX97" i="4"/>
  <c r="DD97" i="4"/>
  <c r="FG97" i="4"/>
  <c r="HH97" i="4"/>
  <c r="JI97" i="4"/>
  <c r="AY97" i="4"/>
  <c r="DF97" i="4"/>
  <c r="FJ97" i="4"/>
  <c r="HJ97" i="4"/>
  <c r="JJ97" i="4"/>
  <c r="BF97" i="4"/>
  <c r="DJ97" i="4"/>
  <c r="FP97" i="4"/>
  <c r="HK97" i="4"/>
  <c r="JT97" i="4"/>
  <c r="BR97" i="4"/>
  <c r="DK97" i="4"/>
  <c r="FR97" i="4"/>
  <c r="HL97" i="4"/>
  <c r="JV97" i="4"/>
  <c r="I97" i="4"/>
  <c r="BS97" i="4"/>
  <c r="DL97" i="4"/>
  <c r="FV97" i="4"/>
  <c r="HV97" i="4"/>
  <c r="JW97" i="4"/>
  <c r="K97" i="4"/>
  <c r="BU97" i="4"/>
  <c r="ED97" i="4"/>
  <c r="FX97" i="4"/>
  <c r="IH97" i="4"/>
  <c r="JY97" i="4"/>
  <c r="BW97" i="4"/>
  <c r="EV97" i="4"/>
  <c r="IM97" i="4"/>
  <c r="BX97" i="4"/>
  <c r="EX97" i="4"/>
  <c r="IN97" i="4"/>
  <c r="BY97" i="4"/>
  <c r="FW97" i="4"/>
  <c r="IO97" i="4"/>
  <c r="BZ97" i="4"/>
  <c r="FZ97" i="4"/>
  <c r="IP97" i="4"/>
  <c r="J97" i="4"/>
  <c r="CP97" i="4"/>
  <c r="GA97" i="4"/>
  <c r="JF97" i="4"/>
  <c r="AB97" i="4"/>
  <c r="CV97" i="4"/>
  <c r="GR97" i="4"/>
  <c r="JX97" i="4"/>
  <c r="CU97" i="4"/>
  <c r="ID97" i="4"/>
  <c r="CX97" i="4"/>
  <c r="II97" i="4"/>
  <c r="DN97" i="4"/>
  <c r="IJ97" i="4"/>
  <c r="EF97" i="4"/>
  <c r="IL97" i="4"/>
  <c r="EG97" i="4"/>
  <c r="JH97" i="4"/>
  <c r="L97" i="4"/>
  <c r="EI97" i="4"/>
  <c r="AJ97" i="4"/>
  <c r="JZ97" i="4"/>
  <c r="AL97" i="4"/>
  <c r="AR97" i="4"/>
  <c r="AT97" i="4"/>
  <c r="BT97" i="4"/>
  <c r="EH97" i="4"/>
  <c r="EK97" i="4"/>
  <c r="EL97" i="4"/>
  <c r="GB97" i="4"/>
  <c r="GT97" i="4"/>
  <c r="GU97" i="4"/>
  <c r="BV97" i="4"/>
  <c r="EJ97" i="4"/>
  <c r="GV97" i="4"/>
  <c r="GW97" i="4"/>
  <c r="GX97" i="4"/>
  <c r="AD97" i="4"/>
  <c r="AI97" i="4"/>
  <c r="AH97" i="4"/>
  <c r="X155" i="4"/>
  <c r="AN155" i="4"/>
  <c r="BD155" i="4"/>
  <c r="BT155" i="4"/>
  <c r="CJ155" i="4"/>
  <c r="CZ155" i="4"/>
  <c r="DP155" i="4"/>
  <c r="EF155" i="4"/>
  <c r="EV155" i="4"/>
  <c r="FL155" i="4"/>
  <c r="GB155" i="4"/>
  <c r="GR155" i="4"/>
  <c r="HH155" i="4"/>
  <c r="HX155" i="4"/>
  <c r="IN155" i="4"/>
  <c r="JD155" i="4"/>
  <c r="JT155" i="4"/>
  <c r="I155" i="4"/>
  <c r="Y155" i="4"/>
  <c r="AO155" i="4"/>
  <c r="BE155" i="4"/>
  <c r="BU155" i="4"/>
  <c r="CK155" i="4"/>
  <c r="DA155" i="4"/>
  <c r="DQ155" i="4"/>
  <c r="EG155" i="4"/>
  <c r="EW155" i="4"/>
  <c r="FM155" i="4"/>
  <c r="GC155" i="4"/>
  <c r="GS155" i="4"/>
  <c r="HI155" i="4"/>
  <c r="HY155" i="4"/>
  <c r="IO155" i="4"/>
  <c r="JE155" i="4"/>
  <c r="JU155" i="4"/>
  <c r="J155" i="4"/>
  <c r="Z155" i="4"/>
  <c r="AP155" i="4"/>
  <c r="BF155" i="4"/>
  <c r="BV155" i="4"/>
  <c r="CL155" i="4"/>
  <c r="DB155" i="4"/>
  <c r="DR155" i="4"/>
  <c r="EH155" i="4"/>
  <c r="EX155" i="4"/>
  <c r="FN155" i="4"/>
  <c r="GD155" i="4"/>
  <c r="GT155" i="4"/>
  <c r="HJ155" i="4"/>
  <c r="HZ155" i="4"/>
  <c r="IP155" i="4"/>
  <c r="JF155" i="4"/>
  <c r="JV155" i="4"/>
  <c r="N155" i="4"/>
  <c r="AD155" i="4"/>
  <c r="AT155" i="4"/>
  <c r="BJ155" i="4"/>
  <c r="BZ155" i="4"/>
  <c r="CP155" i="4"/>
  <c r="DF155" i="4"/>
  <c r="DV155" i="4"/>
  <c r="EL155" i="4"/>
  <c r="FB155" i="4"/>
  <c r="FR155" i="4"/>
  <c r="GH155" i="4"/>
  <c r="GX155" i="4"/>
  <c r="HN155" i="4"/>
  <c r="ID155" i="4"/>
  <c r="IT155" i="4"/>
  <c r="JJ155" i="4"/>
  <c r="JZ155" i="4"/>
  <c r="R155" i="4"/>
  <c r="AL155" i="4"/>
  <c r="BI155" i="4"/>
  <c r="CD155" i="4"/>
  <c r="CX155" i="4"/>
  <c r="DU155" i="4"/>
  <c r="EP155" i="4"/>
  <c r="FJ155" i="4"/>
  <c r="GG155" i="4"/>
  <c r="HB155" i="4"/>
  <c r="HV155" i="4"/>
  <c r="IS155" i="4"/>
  <c r="JN155" i="4"/>
  <c r="KH155" i="4"/>
  <c r="S155" i="4"/>
  <c r="AM155" i="4"/>
  <c r="BK155" i="4"/>
  <c r="CE155" i="4"/>
  <c r="CY155" i="4"/>
  <c r="DW155" i="4"/>
  <c r="EQ155" i="4"/>
  <c r="FK155" i="4"/>
  <c r="GI155" i="4"/>
  <c r="HC155" i="4"/>
  <c r="HW155" i="4"/>
  <c r="IU155" i="4"/>
  <c r="JO155" i="4"/>
  <c r="KI155" i="4"/>
  <c r="T155" i="4"/>
  <c r="AQ155" i="4"/>
  <c r="BL155" i="4"/>
  <c r="CF155" i="4"/>
  <c r="DC155" i="4"/>
  <c r="DX155" i="4"/>
  <c r="ER155" i="4"/>
  <c r="FO155" i="4"/>
  <c r="GJ155" i="4"/>
  <c r="HD155" i="4"/>
  <c r="IA155" i="4"/>
  <c r="IV155" i="4"/>
  <c r="JP155" i="4"/>
  <c r="AA155" i="4"/>
  <c r="AV155" i="4"/>
  <c r="BP155" i="4"/>
  <c r="CM155" i="4"/>
  <c r="DH155" i="4"/>
  <c r="EB155" i="4"/>
  <c r="EY155" i="4"/>
  <c r="FT155" i="4"/>
  <c r="GN155" i="4"/>
  <c r="HK155" i="4"/>
  <c r="IF155" i="4"/>
  <c r="IZ155" i="4"/>
  <c r="JW155" i="4"/>
  <c r="AF155" i="4"/>
  <c r="BG155" i="4"/>
  <c r="CI155" i="4"/>
  <c r="DL155" i="4"/>
  <c r="EN155" i="4"/>
  <c r="FS155" i="4"/>
  <c r="GU155" i="4"/>
  <c r="HT155" i="4"/>
  <c r="IY155" i="4"/>
  <c r="KB155" i="4"/>
  <c r="AG155" i="4"/>
  <c r="BH155" i="4"/>
  <c r="CN155" i="4"/>
  <c r="DM155" i="4"/>
  <c r="EO155" i="4"/>
  <c r="FU155" i="4"/>
  <c r="GV155" i="4"/>
  <c r="HU155" i="4"/>
  <c r="JA155" i="4"/>
  <c r="KC155" i="4"/>
  <c r="AH155" i="4"/>
  <c r="BM155" i="4"/>
  <c r="CO155" i="4"/>
  <c r="DN155" i="4"/>
  <c r="ES155" i="4"/>
  <c r="FV155" i="4"/>
  <c r="GW155" i="4"/>
  <c r="IB155" i="4"/>
  <c r="JB155" i="4"/>
  <c r="KD155" i="4"/>
  <c r="AI155" i="4"/>
  <c r="BN155" i="4"/>
  <c r="CQ155" i="4"/>
  <c r="DO155" i="4"/>
  <c r="ET155" i="4"/>
  <c r="FW155" i="4"/>
  <c r="GY155" i="4"/>
  <c r="IC155" i="4"/>
  <c r="JC155" i="4"/>
  <c r="KE155" i="4"/>
  <c r="K155" i="4"/>
  <c r="AJ155" i="4"/>
  <c r="BO155" i="4"/>
  <c r="CR155" i="4"/>
  <c r="DS155" i="4"/>
  <c r="EU155" i="4"/>
  <c r="FX155" i="4"/>
  <c r="GZ155" i="4"/>
  <c r="IE155" i="4"/>
  <c r="JG155" i="4"/>
  <c r="KF155" i="4"/>
  <c r="M155" i="4"/>
  <c r="AR155" i="4"/>
  <c r="BR155" i="4"/>
  <c r="CT155" i="4"/>
  <c r="DY155" i="4"/>
  <c r="FA155" i="4"/>
  <c r="FZ155" i="4"/>
  <c r="HE155" i="4"/>
  <c r="IH155" i="4"/>
  <c r="JI155" i="4"/>
  <c r="U155" i="4"/>
  <c r="BQ155" i="4"/>
  <c r="DG155" i="4"/>
  <c r="FD155" i="4"/>
  <c r="GP155" i="4"/>
  <c r="IL155" i="4"/>
  <c r="KG155" i="4"/>
  <c r="V155" i="4"/>
  <c r="BS155" i="4"/>
  <c r="DI155" i="4"/>
  <c r="FE155" i="4"/>
  <c r="GQ155" i="4"/>
  <c r="IM155" i="4"/>
  <c r="W155" i="4"/>
  <c r="BW155" i="4"/>
  <c r="DJ155" i="4"/>
  <c r="FF155" i="4"/>
  <c r="HA155" i="4"/>
  <c r="IQ155" i="4"/>
  <c r="AB155" i="4"/>
  <c r="BX155" i="4"/>
  <c r="DK155" i="4"/>
  <c r="FG155" i="4"/>
  <c r="HF155" i="4"/>
  <c r="IR155" i="4"/>
  <c r="AC155" i="4"/>
  <c r="BY155" i="4"/>
  <c r="DT155" i="4"/>
  <c r="FH155" i="4"/>
  <c r="HG155" i="4"/>
  <c r="IW155" i="4"/>
  <c r="AK155" i="4"/>
  <c r="CB155" i="4"/>
  <c r="EA155" i="4"/>
  <c r="FP155" i="4"/>
  <c r="HM155" i="4"/>
  <c r="JH155" i="4"/>
  <c r="AZ155" i="4"/>
  <c r="ED155" i="4"/>
  <c r="GM155" i="4"/>
  <c r="JQ155" i="4"/>
  <c r="BA155" i="4"/>
  <c r="EE155" i="4"/>
  <c r="GO155" i="4"/>
  <c r="JR155" i="4"/>
  <c r="BB155" i="4"/>
  <c r="EI155" i="4"/>
  <c r="HL155" i="4"/>
  <c r="JS155" i="4"/>
  <c r="BC155" i="4"/>
  <c r="EJ155" i="4"/>
  <c r="HO155" i="4"/>
  <c r="JX155" i="4"/>
  <c r="CA155" i="4"/>
  <c r="EK155" i="4"/>
  <c r="HP155" i="4"/>
  <c r="JY155" i="4"/>
  <c r="L155" i="4"/>
  <c r="CG155" i="4"/>
  <c r="EZ155" i="4"/>
  <c r="HR155" i="4"/>
  <c r="CV155" i="4"/>
  <c r="HQ155" i="4"/>
  <c r="CW155" i="4"/>
  <c r="HS155" i="4"/>
  <c r="DD155" i="4"/>
  <c r="IG155" i="4"/>
  <c r="O155" i="4"/>
  <c r="DE155" i="4"/>
  <c r="II155" i="4"/>
  <c r="P155" i="4"/>
  <c r="DZ155" i="4"/>
  <c r="IJ155" i="4"/>
  <c r="AX155" i="4"/>
  <c r="GL155" i="4"/>
  <c r="AY155" i="4"/>
  <c r="IK155" i="4"/>
  <c r="CC155" i="4"/>
  <c r="IX155" i="4"/>
  <c r="CH155" i="4"/>
  <c r="JK155" i="4"/>
  <c r="CS155" i="4"/>
  <c r="JL155" i="4"/>
  <c r="FQ155" i="4"/>
  <c r="EM155" i="4"/>
  <c r="FC155" i="4"/>
  <c r="FI155" i="4"/>
  <c r="FY155" i="4"/>
  <c r="GE155" i="4"/>
  <c r="AE155" i="4"/>
  <c r="Q155" i="4"/>
  <c r="AS155" i="4"/>
  <c r="AU155" i="4"/>
  <c r="AW155" i="4"/>
  <c r="CU155" i="4"/>
  <c r="EC155" i="4"/>
  <c r="GA155" i="4"/>
  <c r="GF155" i="4"/>
  <c r="GK155" i="4"/>
  <c r="JM155" i="4"/>
  <c r="KA155" i="4"/>
  <c r="K107" i="4"/>
  <c r="AA107" i="4"/>
  <c r="AQ107" i="4"/>
  <c r="BG107" i="4"/>
  <c r="BW107" i="4"/>
  <c r="CM107" i="4"/>
  <c r="DC107" i="4"/>
  <c r="DS107" i="4"/>
  <c r="EI107" i="4"/>
  <c r="EY107" i="4"/>
  <c r="FO107" i="4"/>
  <c r="GE107" i="4"/>
  <c r="GU107" i="4"/>
  <c r="HK107" i="4"/>
  <c r="IA107" i="4"/>
  <c r="IQ107" i="4"/>
  <c r="JG107" i="4"/>
  <c r="JW107" i="4"/>
  <c r="O107" i="4"/>
  <c r="AE107" i="4"/>
  <c r="AU107" i="4"/>
  <c r="BK107" i="4"/>
  <c r="CA107" i="4"/>
  <c r="CQ107" i="4"/>
  <c r="DG107" i="4"/>
  <c r="DW107" i="4"/>
  <c r="EM107" i="4"/>
  <c r="FC107" i="4"/>
  <c r="FS107" i="4"/>
  <c r="GI107" i="4"/>
  <c r="GY107" i="4"/>
  <c r="HO107" i="4"/>
  <c r="IE107" i="4"/>
  <c r="IU107" i="4"/>
  <c r="JK107" i="4"/>
  <c r="KA107" i="4"/>
  <c r="M107" i="4"/>
  <c r="AF107" i="4"/>
  <c r="AX107" i="4"/>
  <c r="BP107" i="4"/>
  <c r="CH107" i="4"/>
  <c r="CZ107" i="4"/>
  <c r="DR107" i="4"/>
  <c r="EK107" i="4"/>
  <c r="FD107" i="4"/>
  <c r="FV107" i="4"/>
  <c r="GN107" i="4"/>
  <c r="HF107" i="4"/>
  <c r="HX107" i="4"/>
  <c r="IP107" i="4"/>
  <c r="JI107" i="4"/>
  <c r="KB107" i="4"/>
  <c r="N107" i="4"/>
  <c r="AG107" i="4"/>
  <c r="AY107" i="4"/>
  <c r="BQ107" i="4"/>
  <c r="CI107" i="4"/>
  <c r="DA107" i="4"/>
  <c r="DT107" i="4"/>
  <c r="EL107" i="4"/>
  <c r="FE107" i="4"/>
  <c r="FW107" i="4"/>
  <c r="GO107" i="4"/>
  <c r="HG107" i="4"/>
  <c r="HY107" i="4"/>
  <c r="IR107" i="4"/>
  <c r="JJ107" i="4"/>
  <c r="KC107" i="4"/>
  <c r="P107" i="4"/>
  <c r="AH107" i="4"/>
  <c r="AZ107" i="4"/>
  <c r="BR107" i="4"/>
  <c r="CJ107" i="4"/>
  <c r="DB107" i="4"/>
  <c r="DU107" i="4"/>
  <c r="EN107" i="4"/>
  <c r="FF107" i="4"/>
  <c r="FX107" i="4"/>
  <c r="GP107" i="4"/>
  <c r="HH107" i="4"/>
  <c r="HZ107" i="4"/>
  <c r="IS107" i="4"/>
  <c r="JL107" i="4"/>
  <c r="KD107" i="4"/>
  <c r="T107" i="4"/>
  <c r="AL107" i="4"/>
  <c r="BD107" i="4"/>
  <c r="BV107" i="4"/>
  <c r="CO107" i="4"/>
  <c r="DH107" i="4"/>
  <c r="DZ107" i="4"/>
  <c r="ER107" i="4"/>
  <c r="FJ107" i="4"/>
  <c r="GB107" i="4"/>
  <c r="GT107" i="4"/>
  <c r="HM107" i="4"/>
  <c r="IF107" i="4"/>
  <c r="IX107" i="4"/>
  <c r="JP107" i="4"/>
  <c r="KH107" i="4"/>
  <c r="V107" i="4"/>
  <c r="AS107" i="4"/>
  <c r="BS107" i="4"/>
  <c r="CR107" i="4"/>
  <c r="DN107" i="4"/>
  <c r="EO107" i="4"/>
  <c r="FL107" i="4"/>
  <c r="GJ107" i="4"/>
  <c r="HI107" i="4"/>
  <c r="IH107" i="4"/>
  <c r="JD107" i="4"/>
  <c r="KE107" i="4"/>
  <c r="W107" i="4"/>
  <c r="AT107" i="4"/>
  <c r="BT107" i="4"/>
  <c r="CS107" i="4"/>
  <c r="DO107" i="4"/>
  <c r="EP107" i="4"/>
  <c r="FM107" i="4"/>
  <c r="GK107" i="4"/>
  <c r="HJ107" i="4"/>
  <c r="II107" i="4"/>
  <c r="JE107" i="4"/>
  <c r="KF107" i="4"/>
  <c r="X107" i="4"/>
  <c r="AV107" i="4"/>
  <c r="BU107" i="4"/>
  <c r="CT107" i="4"/>
  <c r="DP107" i="4"/>
  <c r="EQ107" i="4"/>
  <c r="FN107" i="4"/>
  <c r="GL107" i="4"/>
  <c r="HL107" i="4"/>
  <c r="IJ107" i="4"/>
  <c r="JF107" i="4"/>
  <c r="KG107" i="4"/>
  <c r="Y107" i="4"/>
  <c r="AW107" i="4"/>
  <c r="BX107" i="4"/>
  <c r="CU107" i="4"/>
  <c r="DQ107" i="4"/>
  <c r="ES107" i="4"/>
  <c r="FP107" i="4"/>
  <c r="GM107" i="4"/>
  <c r="HN107" i="4"/>
  <c r="IK107" i="4"/>
  <c r="JH107" i="4"/>
  <c r="KI107" i="4"/>
  <c r="Z107" i="4"/>
  <c r="BA107" i="4"/>
  <c r="BY107" i="4"/>
  <c r="CV107" i="4"/>
  <c r="DV107" i="4"/>
  <c r="ET107" i="4"/>
  <c r="FQ107" i="4"/>
  <c r="GQ107" i="4"/>
  <c r="HP107" i="4"/>
  <c r="IL107" i="4"/>
  <c r="JM107" i="4"/>
  <c r="AC107" i="4"/>
  <c r="BC107" i="4"/>
  <c r="CB107" i="4"/>
  <c r="CX107" i="4"/>
  <c r="DY107" i="4"/>
  <c r="EV107" i="4"/>
  <c r="FT107" i="4"/>
  <c r="GS107" i="4"/>
  <c r="HR107" i="4"/>
  <c r="IN107" i="4"/>
  <c r="JO107" i="4"/>
  <c r="AP107" i="4"/>
  <c r="CF107" i="4"/>
  <c r="DX107" i="4"/>
  <c r="FG107" i="4"/>
  <c r="GW107" i="4"/>
  <c r="ID107" i="4"/>
  <c r="JT107" i="4"/>
  <c r="I107" i="4"/>
  <c r="AR107" i="4"/>
  <c r="CG107" i="4"/>
  <c r="EA107" i="4"/>
  <c r="FH107" i="4"/>
  <c r="GX107" i="4"/>
  <c r="IG107" i="4"/>
  <c r="JU107" i="4"/>
  <c r="J107" i="4"/>
  <c r="BB107" i="4"/>
  <c r="CK107" i="4"/>
  <c r="EB107" i="4"/>
  <c r="FI107" i="4"/>
  <c r="GZ107" i="4"/>
  <c r="IM107" i="4"/>
  <c r="JV107" i="4"/>
  <c r="L107" i="4"/>
  <c r="BE107" i="4"/>
  <c r="CL107" i="4"/>
  <c r="EC107" i="4"/>
  <c r="FK107" i="4"/>
  <c r="HA107" i="4"/>
  <c r="IO107" i="4"/>
  <c r="JX107" i="4"/>
  <c r="Q107" i="4"/>
  <c r="BF107" i="4"/>
  <c r="CN107" i="4"/>
  <c r="ED107" i="4"/>
  <c r="FR107" i="4"/>
  <c r="HB107" i="4"/>
  <c r="IT107" i="4"/>
  <c r="JY107" i="4"/>
  <c r="S107" i="4"/>
  <c r="BI107" i="4"/>
  <c r="CW107" i="4"/>
  <c r="EF107" i="4"/>
  <c r="FY107" i="4"/>
  <c r="HD107" i="4"/>
  <c r="IW107" i="4"/>
  <c r="AI107" i="4"/>
  <c r="CP107" i="4"/>
  <c r="EX107" i="4"/>
  <c r="HQ107" i="4"/>
  <c r="JR107" i="4"/>
  <c r="AJ107" i="4"/>
  <c r="CY107" i="4"/>
  <c r="EZ107" i="4"/>
  <c r="HS107" i="4"/>
  <c r="JS107" i="4"/>
  <c r="AK107" i="4"/>
  <c r="DD107" i="4"/>
  <c r="FA107" i="4"/>
  <c r="HT107" i="4"/>
  <c r="JZ107" i="4"/>
  <c r="AM107" i="4"/>
  <c r="DE107" i="4"/>
  <c r="FB107" i="4"/>
  <c r="HU107" i="4"/>
  <c r="AN107" i="4"/>
  <c r="DF107" i="4"/>
  <c r="FU107" i="4"/>
  <c r="HV107" i="4"/>
  <c r="BH107" i="4"/>
  <c r="DJ107" i="4"/>
  <c r="GA107" i="4"/>
  <c r="IB107" i="4"/>
  <c r="AB107" i="4"/>
  <c r="EE107" i="4"/>
  <c r="HW107" i="4"/>
  <c r="AD107" i="4"/>
  <c r="EG107" i="4"/>
  <c r="IC107" i="4"/>
  <c r="AO107" i="4"/>
  <c r="EH107" i="4"/>
  <c r="IV107" i="4"/>
  <c r="BJ107" i="4"/>
  <c r="EJ107" i="4"/>
  <c r="IY107" i="4"/>
  <c r="BL107" i="4"/>
  <c r="EU107" i="4"/>
  <c r="IZ107" i="4"/>
  <c r="BN107" i="4"/>
  <c r="FZ107" i="4"/>
  <c r="JB107" i="4"/>
  <c r="CD107" i="4"/>
  <c r="JA107" i="4"/>
  <c r="CE107" i="4"/>
  <c r="JC107" i="4"/>
  <c r="DI107" i="4"/>
  <c r="JN107" i="4"/>
  <c r="DK107" i="4"/>
  <c r="JQ107" i="4"/>
  <c r="DL107" i="4"/>
  <c r="EW107" i="4"/>
  <c r="BM107" i="4"/>
  <c r="BO107" i="4"/>
  <c r="BZ107" i="4"/>
  <c r="CC107" i="4"/>
  <c r="DM107" i="4"/>
  <c r="GR107" i="4"/>
  <c r="GH107" i="4"/>
  <c r="GV107" i="4"/>
  <c r="HC107" i="4"/>
  <c r="HE107" i="4"/>
  <c r="R107" i="4"/>
  <c r="GF107" i="4"/>
  <c r="GG107" i="4"/>
  <c r="U107" i="4"/>
  <c r="GC107" i="4"/>
  <c r="GD107" i="4"/>
  <c r="I75" i="4"/>
  <c r="Y75" i="4"/>
  <c r="AO75" i="4"/>
  <c r="BE75" i="4"/>
  <c r="BU75" i="4"/>
  <c r="CK75" i="4"/>
  <c r="DA75" i="4"/>
  <c r="DQ75" i="4"/>
  <c r="EG75" i="4"/>
  <c r="EW75" i="4"/>
  <c r="FM75" i="4"/>
  <c r="GC75" i="4"/>
  <c r="GS75" i="4"/>
  <c r="HI75" i="4"/>
  <c r="HY75" i="4"/>
  <c r="IO75" i="4"/>
  <c r="JE75" i="4"/>
  <c r="JU75" i="4"/>
  <c r="J75" i="4"/>
  <c r="Z75" i="4"/>
  <c r="AP75" i="4"/>
  <c r="BF75" i="4"/>
  <c r="BV75" i="4"/>
  <c r="CL75" i="4"/>
  <c r="DB75" i="4"/>
  <c r="DR75" i="4"/>
  <c r="EH75" i="4"/>
  <c r="EX75" i="4"/>
  <c r="FN75" i="4"/>
  <c r="GD75" i="4"/>
  <c r="GT75" i="4"/>
  <c r="HJ75" i="4"/>
  <c r="HZ75" i="4"/>
  <c r="IP75" i="4"/>
  <c r="JF75" i="4"/>
  <c r="JV75" i="4"/>
  <c r="K75" i="4"/>
  <c r="AA75" i="4"/>
  <c r="AQ75" i="4"/>
  <c r="BG75" i="4"/>
  <c r="BW75" i="4"/>
  <c r="CM75" i="4"/>
  <c r="DC75" i="4"/>
  <c r="DS75" i="4"/>
  <c r="EI75" i="4"/>
  <c r="EY75" i="4"/>
  <c r="FO75" i="4"/>
  <c r="GE75" i="4"/>
  <c r="GU75" i="4"/>
  <c r="HK75" i="4"/>
  <c r="IA75" i="4"/>
  <c r="IQ75" i="4"/>
  <c r="JG75" i="4"/>
  <c r="JW75" i="4"/>
  <c r="L75" i="4"/>
  <c r="AB75" i="4"/>
  <c r="AR75" i="4"/>
  <c r="BH75" i="4"/>
  <c r="BX75" i="4"/>
  <c r="CN75" i="4"/>
  <c r="DD75" i="4"/>
  <c r="DT75" i="4"/>
  <c r="EJ75" i="4"/>
  <c r="EZ75" i="4"/>
  <c r="FP75" i="4"/>
  <c r="GF75" i="4"/>
  <c r="GV75" i="4"/>
  <c r="HL75" i="4"/>
  <c r="IB75" i="4"/>
  <c r="IR75" i="4"/>
  <c r="JH75" i="4"/>
  <c r="JX75" i="4"/>
  <c r="M75" i="4"/>
  <c r="AC75" i="4"/>
  <c r="AS75" i="4"/>
  <c r="BI75" i="4"/>
  <c r="BY75" i="4"/>
  <c r="CO75" i="4"/>
  <c r="DE75" i="4"/>
  <c r="DU75" i="4"/>
  <c r="EK75" i="4"/>
  <c r="FA75" i="4"/>
  <c r="FQ75" i="4"/>
  <c r="GG75" i="4"/>
  <c r="GW75" i="4"/>
  <c r="HM75" i="4"/>
  <c r="IC75" i="4"/>
  <c r="IS75" i="4"/>
  <c r="JI75" i="4"/>
  <c r="JY75" i="4"/>
  <c r="O75" i="4"/>
  <c r="AE75" i="4"/>
  <c r="AU75" i="4"/>
  <c r="BK75" i="4"/>
  <c r="CA75" i="4"/>
  <c r="CQ75" i="4"/>
  <c r="DG75" i="4"/>
  <c r="DW75" i="4"/>
  <c r="EM75" i="4"/>
  <c r="FC75" i="4"/>
  <c r="FS75" i="4"/>
  <c r="GI75" i="4"/>
  <c r="GY75" i="4"/>
  <c r="HO75" i="4"/>
  <c r="IE75" i="4"/>
  <c r="IU75" i="4"/>
  <c r="JK75" i="4"/>
  <c r="KA75" i="4"/>
  <c r="AD75" i="4"/>
  <c r="BA75" i="4"/>
  <c r="CC75" i="4"/>
  <c r="CY75" i="4"/>
  <c r="EA75" i="4"/>
  <c r="FB75" i="4"/>
  <c r="FY75" i="4"/>
  <c r="HA75" i="4"/>
  <c r="HW75" i="4"/>
  <c r="IY75" i="4"/>
  <c r="JZ75" i="4"/>
  <c r="AF75" i="4"/>
  <c r="BB75" i="4"/>
  <c r="CD75" i="4"/>
  <c r="CZ75" i="4"/>
  <c r="EB75" i="4"/>
  <c r="FD75" i="4"/>
  <c r="FZ75" i="4"/>
  <c r="HB75" i="4"/>
  <c r="HX75" i="4"/>
  <c r="IZ75" i="4"/>
  <c r="KB75" i="4"/>
  <c r="AG75" i="4"/>
  <c r="BC75" i="4"/>
  <c r="CE75" i="4"/>
  <c r="DF75" i="4"/>
  <c r="EC75" i="4"/>
  <c r="FE75" i="4"/>
  <c r="GA75" i="4"/>
  <c r="HC75" i="4"/>
  <c r="ID75" i="4"/>
  <c r="JA75" i="4"/>
  <c r="KC75" i="4"/>
  <c r="AH75" i="4"/>
  <c r="BD75" i="4"/>
  <c r="CF75" i="4"/>
  <c r="DH75" i="4"/>
  <c r="ED75" i="4"/>
  <c r="FF75" i="4"/>
  <c r="GB75" i="4"/>
  <c r="HD75" i="4"/>
  <c r="IF75" i="4"/>
  <c r="JB75" i="4"/>
  <c r="KD75" i="4"/>
  <c r="AI75" i="4"/>
  <c r="BJ75" i="4"/>
  <c r="CG75" i="4"/>
  <c r="DI75" i="4"/>
  <c r="EE75" i="4"/>
  <c r="FG75" i="4"/>
  <c r="GH75" i="4"/>
  <c r="HE75" i="4"/>
  <c r="IG75" i="4"/>
  <c r="JC75" i="4"/>
  <c r="KE75" i="4"/>
  <c r="N75" i="4"/>
  <c r="AK75" i="4"/>
  <c r="BM75" i="4"/>
  <c r="CI75" i="4"/>
  <c r="DK75" i="4"/>
  <c r="EL75" i="4"/>
  <c r="FI75" i="4"/>
  <c r="GK75" i="4"/>
  <c r="HG75" i="4"/>
  <c r="II75" i="4"/>
  <c r="JJ75" i="4"/>
  <c r="KG75" i="4"/>
  <c r="Q75" i="4"/>
  <c r="AY75" i="4"/>
  <c r="CS75" i="4"/>
  <c r="EF75" i="4"/>
  <c r="FU75" i="4"/>
  <c r="HN75" i="4"/>
  <c r="IW75" i="4"/>
  <c r="R75" i="4"/>
  <c r="AZ75" i="4"/>
  <c r="CT75" i="4"/>
  <c r="EN75" i="4"/>
  <c r="FV75" i="4"/>
  <c r="HP75" i="4"/>
  <c r="IX75" i="4"/>
  <c r="S75" i="4"/>
  <c r="BL75" i="4"/>
  <c r="CU75" i="4"/>
  <c r="EO75" i="4"/>
  <c r="FW75" i="4"/>
  <c r="HQ75" i="4"/>
  <c r="JD75" i="4"/>
  <c r="T75" i="4"/>
  <c r="BN75" i="4"/>
  <c r="CV75" i="4"/>
  <c r="EP75" i="4"/>
  <c r="FX75" i="4"/>
  <c r="HR75" i="4"/>
  <c r="JL75" i="4"/>
  <c r="U75" i="4"/>
  <c r="BO75" i="4"/>
  <c r="CW75" i="4"/>
  <c r="EQ75" i="4"/>
  <c r="GJ75" i="4"/>
  <c r="HS75" i="4"/>
  <c r="JM75" i="4"/>
  <c r="W75" i="4"/>
  <c r="BQ75" i="4"/>
  <c r="DJ75" i="4"/>
  <c r="ES75" i="4"/>
  <c r="GM75" i="4"/>
  <c r="HU75" i="4"/>
  <c r="JO75" i="4"/>
  <c r="AW75" i="4"/>
  <c r="DO75" i="4"/>
  <c r="GL75" i="4"/>
  <c r="IM75" i="4"/>
  <c r="AX75" i="4"/>
  <c r="DP75" i="4"/>
  <c r="GN75" i="4"/>
  <c r="IN75" i="4"/>
  <c r="BP75" i="4"/>
  <c r="DV75" i="4"/>
  <c r="GO75" i="4"/>
  <c r="IT75" i="4"/>
  <c r="BR75" i="4"/>
  <c r="DX75" i="4"/>
  <c r="GP75" i="4"/>
  <c r="IV75" i="4"/>
  <c r="BS75" i="4"/>
  <c r="DY75" i="4"/>
  <c r="GQ75" i="4"/>
  <c r="JN75" i="4"/>
  <c r="BZ75" i="4"/>
  <c r="ER75" i="4"/>
  <c r="GX75" i="4"/>
  <c r="JQ75" i="4"/>
  <c r="AT75" i="4"/>
  <c r="FH75" i="4"/>
  <c r="JP75" i="4"/>
  <c r="AV75" i="4"/>
  <c r="FJ75" i="4"/>
  <c r="JR75" i="4"/>
  <c r="BT75" i="4"/>
  <c r="FK75" i="4"/>
  <c r="JS75" i="4"/>
  <c r="CB75" i="4"/>
  <c r="FL75" i="4"/>
  <c r="JT75" i="4"/>
  <c r="CH75" i="4"/>
  <c r="FR75" i="4"/>
  <c r="KF75" i="4"/>
  <c r="CP75" i="4"/>
  <c r="GR75" i="4"/>
  <c r="KI75" i="4"/>
  <c r="CX75" i="4"/>
  <c r="IK75" i="4"/>
  <c r="DL75" i="4"/>
  <c r="IL75" i="4"/>
  <c r="DM75" i="4"/>
  <c r="KH75" i="4"/>
  <c r="DN75" i="4"/>
  <c r="DZ75" i="4"/>
  <c r="EU75" i="4"/>
  <c r="V75" i="4"/>
  <c r="IH75" i="4"/>
  <c r="X75" i="4"/>
  <c r="IJ75" i="4"/>
  <c r="AJ75" i="4"/>
  <c r="AL75" i="4"/>
  <c r="AM75" i="4"/>
  <c r="CJ75" i="4"/>
  <c r="AN75" i="4"/>
  <c r="CR75" i="4"/>
  <c r="ET75" i="4"/>
  <c r="EV75" i="4"/>
  <c r="FT75" i="4"/>
  <c r="HH75" i="4"/>
  <c r="P75" i="4"/>
  <c r="HV75" i="4"/>
  <c r="HF75" i="4"/>
  <c r="HT75" i="4"/>
  <c r="GZ75" i="4"/>
  <c r="W11" i="4"/>
  <c r="AM11" i="4"/>
  <c r="BC11" i="4"/>
  <c r="BS11" i="4"/>
  <c r="CI11" i="4"/>
  <c r="CY11" i="4"/>
  <c r="DO11" i="4"/>
  <c r="EE11" i="4"/>
  <c r="EU11" i="4"/>
  <c r="FK11" i="4"/>
  <c r="GA11" i="4"/>
  <c r="GQ11" i="4"/>
  <c r="HG11" i="4"/>
  <c r="HW11" i="4"/>
  <c r="IM11" i="4"/>
  <c r="JC11" i="4"/>
  <c r="JS11" i="4"/>
  <c r="KI11" i="4"/>
  <c r="X11" i="4"/>
  <c r="AN11" i="4"/>
  <c r="BD11" i="4"/>
  <c r="BT11" i="4"/>
  <c r="CJ11" i="4"/>
  <c r="CZ11" i="4"/>
  <c r="DP11" i="4"/>
  <c r="EF11" i="4"/>
  <c r="EV11" i="4"/>
  <c r="FL11" i="4"/>
  <c r="GB11" i="4"/>
  <c r="GR11" i="4"/>
  <c r="HH11" i="4"/>
  <c r="HX11" i="4"/>
  <c r="IN11" i="4"/>
  <c r="JD11" i="4"/>
  <c r="JT11" i="4"/>
  <c r="I11" i="4"/>
  <c r="Y11" i="4"/>
  <c r="AO11" i="4"/>
  <c r="BE11" i="4"/>
  <c r="BU11" i="4"/>
  <c r="CK11" i="4"/>
  <c r="DA11" i="4"/>
  <c r="DQ11" i="4"/>
  <c r="EG11" i="4"/>
  <c r="EW11" i="4"/>
  <c r="FM11" i="4"/>
  <c r="GC11" i="4"/>
  <c r="GS11" i="4"/>
  <c r="HI11" i="4"/>
  <c r="HY11" i="4"/>
  <c r="IO11" i="4"/>
  <c r="JE11" i="4"/>
  <c r="JU11" i="4"/>
  <c r="K11" i="4"/>
  <c r="AA11" i="4"/>
  <c r="AQ11" i="4"/>
  <c r="BG11" i="4"/>
  <c r="BW11" i="4"/>
  <c r="CM11" i="4"/>
  <c r="DC11" i="4"/>
  <c r="DS11" i="4"/>
  <c r="EI11" i="4"/>
  <c r="EY11" i="4"/>
  <c r="FO11" i="4"/>
  <c r="GE11" i="4"/>
  <c r="GU11" i="4"/>
  <c r="HK11" i="4"/>
  <c r="IA11" i="4"/>
  <c r="IQ11" i="4"/>
  <c r="JG11" i="4"/>
  <c r="JW11" i="4"/>
  <c r="AC11" i="4"/>
  <c r="AW11" i="4"/>
  <c r="BQ11" i="4"/>
  <c r="CO11" i="4"/>
  <c r="DI11" i="4"/>
  <c r="EC11" i="4"/>
  <c r="FA11" i="4"/>
  <c r="FU11" i="4"/>
  <c r="GO11" i="4"/>
  <c r="HM11" i="4"/>
  <c r="IG11" i="4"/>
  <c r="JA11" i="4"/>
  <c r="JY11" i="4"/>
  <c r="AD11" i="4"/>
  <c r="AX11" i="4"/>
  <c r="BR11" i="4"/>
  <c r="CP11" i="4"/>
  <c r="DJ11" i="4"/>
  <c r="ED11" i="4"/>
  <c r="FB11" i="4"/>
  <c r="FV11" i="4"/>
  <c r="GP11" i="4"/>
  <c r="HN11" i="4"/>
  <c r="IH11" i="4"/>
  <c r="JB11" i="4"/>
  <c r="JZ11" i="4"/>
  <c r="J11" i="4"/>
  <c r="AE11" i="4"/>
  <c r="AY11" i="4"/>
  <c r="BV11" i="4"/>
  <c r="CQ11" i="4"/>
  <c r="DK11" i="4"/>
  <c r="EH11" i="4"/>
  <c r="FC11" i="4"/>
  <c r="FW11" i="4"/>
  <c r="GT11" i="4"/>
  <c r="HO11" i="4"/>
  <c r="II11" i="4"/>
  <c r="JF11" i="4"/>
  <c r="KA11" i="4"/>
  <c r="L11" i="4"/>
  <c r="AF11" i="4"/>
  <c r="AZ11" i="4"/>
  <c r="BX11" i="4"/>
  <c r="CR11" i="4"/>
  <c r="DL11" i="4"/>
  <c r="EJ11" i="4"/>
  <c r="FD11" i="4"/>
  <c r="FX11" i="4"/>
  <c r="GV11" i="4"/>
  <c r="HP11" i="4"/>
  <c r="IJ11" i="4"/>
  <c r="JH11" i="4"/>
  <c r="KB11" i="4"/>
  <c r="M11" i="4"/>
  <c r="AG11" i="4"/>
  <c r="BA11" i="4"/>
  <c r="BY11" i="4"/>
  <c r="CS11" i="4"/>
  <c r="DM11" i="4"/>
  <c r="EK11" i="4"/>
  <c r="FE11" i="4"/>
  <c r="FY11" i="4"/>
  <c r="GW11" i="4"/>
  <c r="HQ11" i="4"/>
  <c r="IK11" i="4"/>
  <c r="JI11" i="4"/>
  <c r="KC11" i="4"/>
  <c r="O11" i="4"/>
  <c r="AI11" i="4"/>
  <c r="BF11" i="4"/>
  <c r="CA11" i="4"/>
  <c r="CU11" i="4"/>
  <c r="DR11" i="4"/>
  <c r="EM11" i="4"/>
  <c r="FG11" i="4"/>
  <c r="GD11" i="4"/>
  <c r="GY11" i="4"/>
  <c r="HS11" i="4"/>
  <c r="IP11" i="4"/>
  <c r="JK11" i="4"/>
  <c r="KE11" i="4"/>
  <c r="AP11" i="4"/>
  <c r="BZ11" i="4"/>
  <c r="DE11" i="4"/>
  <c r="EO11" i="4"/>
  <c r="FS11" i="4"/>
  <c r="HC11" i="4"/>
  <c r="IL11" i="4"/>
  <c r="JQ11" i="4"/>
  <c r="AR11" i="4"/>
  <c r="CB11" i="4"/>
  <c r="DF11" i="4"/>
  <c r="EP11" i="4"/>
  <c r="FT11" i="4"/>
  <c r="HD11" i="4"/>
  <c r="IR11" i="4"/>
  <c r="JR11" i="4"/>
  <c r="N11" i="4"/>
  <c r="AS11" i="4"/>
  <c r="CC11" i="4"/>
  <c r="DG11" i="4"/>
  <c r="EQ11" i="4"/>
  <c r="FZ11" i="4"/>
  <c r="HE11" i="4"/>
  <c r="IS11" i="4"/>
  <c r="JV11" i="4"/>
  <c r="P11" i="4"/>
  <c r="AT11" i="4"/>
  <c r="CD11" i="4"/>
  <c r="DH11" i="4"/>
  <c r="ER11" i="4"/>
  <c r="GF11" i="4"/>
  <c r="HF11" i="4"/>
  <c r="IT11" i="4"/>
  <c r="JX11" i="4"/>
  <c r="Q11" i="4"/>
  <c r="AU11" i="4"/>
  <c r="CE11" i="4"/>
  <c r="DN11" i="4"/>
  <c r="ES11" i="4"/>
  <c r="GG11" i="4"/>
  <c r="HJ11" i="4"/>
  <c r="IU11" i="4"/>
  <c r="KD11" i="4"/>
  <c r="S11" i="4"/>
  <c r="BB11" i="4"/>
  <c r="CG11" i="4"/>
  <c r="DU11" i="4"/>
  <c r="EX11" i="4"/>
  <c r="GI11" i="4"/>
  <c r="HR11" i="4"/>
  <c r="IW11" i="4"/>
  <c r="KG11" i="4"/>
  <c r="Z11" i="4"/>
  <c r="CF11" i="4"/>
  <c r="EA11" i="4"/>
  <c r="GK11" i="4"/>
  <c r="IE11" i="4"/>
  <c r="AB11" i="4"/>
  <c r="CH11" i="4"/>
  <c r="EB11" i="4"/>
  <c r="GL11" i="4"/>
  <c r="IF11" i="4"/>
  <c r="AH11" i="4"/>
  <c r="CL11" i="4"/>
  <c r="EL11" i="4"/>
  <c r="GM11" i="4"/>
  <c r="IV11" i="4"/>
  <c r="AJ11" i="4"/>
  <c r="CN11" i="4"/>
  <c r="EN11" i="4"/>
  <c r="GN11" i="4"/>
  <c r="IX11" i="4"/>
  <c r="AK11" i="4"/>
  <c r="CT11" i="4"/>
  <c r="ET11" i="4"/>
  <c r="GX11" i="4"/>
  <c r="IY11" i="4"/>
  <c r="AV11" i="4"/>
  <c r="CW11" i="4"/>
  <c r="FF11" i="4"/>
  <c r="HA11" i="4"/>
  <c r="JJ11" i="4"/>
  <c r="BI11" i="4"/>
  <c r="DY11" i="4"/>
  <c r="HU11" i="4"/>
  <c r="BJ11" i="4"/>
  <c r="DZ11" i="4"/>
  <c r="HV11" i="4"/>
  <c r="BK11" i="4"/>
  <c r="EZ11" i="4"/>
  <c r="HZ11" i="4"/>
  <c r="BL11" i="4"/>
  <c r="FH11" i="4"/>
  <c r="IB11" i="4"/>
  <c r="BM11" i="4"/>
  <c r="FI11" i="4"/>
  <c r="IC11" i="4"/>
  <c r="BO11" i="4"/>
  <c r="FN11" i="4"/>
  <c r="IZ11" i="4"/>
  <c r="DB11" i="4"/>
  <c r="ID11" i="4"/>
  <c r="DD11" i="4"/>
  <c r="JL11" i="4"/>
  <c r="DT11" i="4"/>
  <c r="JM11" i="4"/>
  <c r="DV11" i="4"/>
  <c r="JN11" i="4"/>
  <c r="DW11" i="4"/>
  <c r="JO11" i="4"/>
  <c r="R11" i="4"/>
  <c r="FJ11" i="4"/>
  <c r="KF11" i="4"/>
  <c r="AL11" i="4"/>
  <c r="JP11" i="4"/>
  <c r="BH11" i="4"/>
  <c r="KH11" i="4"/>
  <c r="BN11" i="4"/>
  <c r="BP11" i="4"/>
  <c r="CV11" i="4"/>
  <c r="DX11" i="4"/>
  <c r="CX11" i="4"/>
  <c r="FP11" i="4"/>
  <c r="FQ11" i="4"/>
  <c r="FR11" i="4"/>
  <c r="GH11" i="4"/>
  <c r="GZ11" i="4"/>
  <c r="T11" i="4"/>
  <c r="U11" i="4"/>
  <c r="GJ11" i="4"/>
  <c r="V11" i="4"/>
  <c r="HL11" i="4"/>
  <c r="HT11" i="4"/>
  <c r="HB11" i="4"/>
  <c r="M126" i="4"/>
  <c r="AC126" i="4"/>
  <c r="AS126" i="4"/>
  <c r="BI126" i="4"/>
  <c r="BY126" i="4"/>
  <c r="CO126" i="4"/>
  <c r="DE126" i="4"/>
  <c r="DU126" i="4"/>
  <c r="EK126" i="4"/>
  <c r="FA126" i="4"/>
  <c r="FQ126" i="4"/>
  <c r="GG126" i="4"/>
  <c r="GW126" i="4"/>
  <c r="HM126" i="4"/>
  <c r="IC126" i="4"/>
  <c r="IS126" i="4"/>
  <c r="JI126" i="4"/>
  <c r="JY126" i="4"/>
  <c r="N126" i="4"/>
  <c r="AD126" i="4"/>
  <c r="AT126" i="4"/>
  <c r="BJ126" i="4"/>
  <c r="BZ126" i="4"/>
  <c r="CP126" i="4"/>
  <c r="DF126" i="4"/>
  <c r="DV126" i="4"/>
  <c r="EL126" i="4"/>
  <c r="FB126" i="4"/>
  <c r="FR126" i="4"/>
  <c r="GH126" i="4"/>
  <c r="GX126" i="4"/>
  <c r="HN126" i="4"/>
  <c r="ID126" i="4"/>
  <c r="IT126" i="4"/>
  <c r="JJ126" i="4"/>
  <c r="JZ126" i="4"/>
  <c r="O126" i="4"/>
  <c r="AE126" i="4"/>
  <c r="AU126" i="4"/>
  <c r="BK126" i="4"/>
  <c r="CA126" i="4"/>
  <c r="CQ126" i="4"/>
  <c r="DG126" i="4"/>
  <c r="DW126" i="4"/>
  <c r="EM126" i="4"/>
  <c r="FC126" i="4"/>
  <c r="FS126" i="4"/>
  <c r="GI126" i="4"/>
  <c r="GY126" i="4"/>
  <c r="HO126" i="4"/>
  <c r="IE126" i="4"/>
  <c r="IU126" i="4"/>
  <c r="JK126" i="4"/>
  <c r="KA126" i="4"/>
  <c r="S126" i="4"/>
  <c r="AI126" i="4"/>
  <c r="AY126" i="4"/>
  <c r="BO126" i="4"/>
  <c r="CE126" i="4"/>
  <c r="CU126" i="4"/>
  <c r="DK126" i="4"/>
  <c r="EA126" i="4"/>
  <c r="EQ126" i="4"/>
  <c r="FG126" i="4"/>
  <c r="FW126" i="4"/>
  <c r="GM126" i="4"/>
  <c r="HC126" i="4"/>
  <c r="HS126" i="4"/>
  <c r="II126" i="4"/>
  <c r="IY126" i="4"/>
  <c r="JO126" i="4"/>
  <c r="KE126" i="4"/>
  <c r="I126" i="4"/>
  <c r="AF126" i="4"/>
  <c r="BA126" i="4"/>
  <c r="BU126" i="4"/>
  <c r="CR126" i="4"/>
  <c r="DM126" i="4"/>
  <c r="EG126" i="4"/>
  <c r="FD126" i="4"/>
  <c r="FY126" i="4"/>
  <c r="GS126" i="4"/>
  <c r="HP126" i="4"/>
  <c r="IK126" i="4"/>
  <c r="JE126" i="4"/>
  <c r="KB126" i="4"/>
  <c r="J126" i="4"/>
  <c r="AG126" i="4"/>
  <c r="BB126" i="4"/>
  <c r="BV126" i="4"/>
  <c r="CS126" i="4"/>
  <c r="DN126" i="4"/>
  <c r="EH126" i="4"/>
  <c r="FE126" i="4"/>
  <c r="FZ126" i="4"/>
  <c r="GT126" i="4"/>
  <c r="HQ126" i="4"/>
  <c r="IL126" i="4"/>
  <c r="JF126" i="4"/>
  <c r="KC126" i="4"/>
  <c r="K126" i="4"/>
  <c r="AH126" i="4"/>
  <c r="BC126" i="4"/>
  <c r="BW126" i="4"/>
  <c r="CT126" i="4"/>
  <c r="DO126" i="4"/>
  <c r="EI126" i="4"/>
  <c r="FF126" i="4"/>
  <c r="GA126" i="4"/>
  <c r="GU126" i="4"/>
  <c r="HR126" i="4"/>
  <c r="IM126" i="4"/>
  <c r="JG126" i="4"/>
  <c r="KD126" i="4"/>
  <c r="L126" i="4"/>
  <c r="AJ126" i="4"/>
  <c r="BD126" i="4"/>
  <c r="BX126" i="4"/>
  <c r="CV126" i="4"/>
  <c r="DP126" i="4"/>
  <c r="EJ126" i="4"/>
  <c r="FH126" i="4"/>
  <c r="GB126" i="4"/>
  <c r="GV126" i="4"/>
  <c r="HT126" i="4"/>
  <c r="IN126" i="4"/>
  <c r="JH126" i="4"/>
  <c r="KF126" i="4"/>
  <c r="R126" i="4"/>
  <c r="AM126" i="4"/>
  <c r="BG126" i="4"/>
  <c r="CD126" i="4"/>
  <c r="CY126" i="4"/>
  <c r="DS126" i="4"/>
  <c r="EP126" i="4"/>
  <c r="FK126" i="4"/>
  <c r="GE126" i="4"/>
  <c r="HB126" i="4"/>
  <c r="HW126" i="4"/>
  <c r="IQ126" i="4"/>
  <c r="JN126" i="4"/>
  <c r="KI126" i="4"/>
  <c r="Q126" i="4"/>
  <c r="AR126" i="4"/>
  <c r="CB126" i="4"/>
  <c r="DC126" i="4"/>
  <c r="EF126" i="4"/>
  <c r="FN126" i="4"/>
  <c r="GQ126" i="4"/>
  <c r="HY126" i="4"/>
  <c r="JB126" i="4"/>
  <c r="T126" i="4"/>
  <c r="AV126" i="4"/>
  <c r="CC126" i="4"/>
  <c r="DD126" i="4"/>
  <c r="EN126" i="4"/>
  <c r="FO126" i="4"/>
  <c r="GR126" i="4"/>
  <c r="HZ126" i="4"/>
  <c r="JC126" i="4"/>
  <c r="U126" i="4"/>
  <c r="AW126" i="4"/>
  <c r="CF126" i="4"/>
  <c r="DH126" i="4"/>
  <c r="EO126" i="4"/>
  <c r="FP126" i="4"/>
  <c r="GZ126" i="4"/>
  <c r="IA126" i="4"/>
  <c r="JD126" i="4"/>
  <c r="V126" i="4"/>
  <c r="AX126" i="4"/>
  <c r="CG126" i="4"/>
  <c r="DI126" i="4"/>
  <c r="ER126" i="4"/>
  <c r="FT126" i="4"/>
  <c r="HA126" i="4"/>
  <c r="IB126" i="4"/>
  <c r="JL126" i="4"/>
  <c r="W126" i="4"/>
  <c r="AZ126" i="4"/>
  <c r="CH126" i="4"/>
  <c r="DJ126" i="4"/>
  <c r="ES126" i="4"/>
  <c r="FU126" i="4"/>
  <c r="HD126" i="4"/>
  <c r="IF126" i="4"/>
  <c r="JM126" i="4"/>
  <c r="Y126" i="4"/>
  <c r="BF126" i="4"/>
  <c r="CJ126" i="4"/>
  <c r="DQ126" i="4"/>
  <c r="EU126" i="4"/>
  <c r="FX126" i="4"/>
  <c r="HF126" i="4"/>
  <c r="IH126" i="4"/>
  <c r="JQ126" i="4"/>
  <c r="AP126" i="4"/>
  <c r="CN126" i="4"/>
  <c r="ET126" i="4"/>
  <c r="GL126" i="4"/>
  <c r="IO126" i="4"/>
  <c r="KG126" i="4"/>
  <c r="AQ126" i="4"/>
  <c r="CW126" i="4"/>
  <c r="EV126" i="4"/>
  <c r="GN126" i="4"/>
  <c r="IP126" i="4"/>
  <c r="KH126" i="4"/>
  <c r="BE126" i="4"/>
  <c r="CX126" i="4"/>
  <c r="EW126" i="4"/>
  <c r="GO126" i="4"/>
  <c r="IR126" i="4"/>
  <c r="BH126" i="4"/>
  <c r="CZ126" i="4"/>
  <c r="EX126" i="4"/>
  <c r="GP126" i="4"/>
  <c r="IV126" i="4"/>
  <c r="BL126" i="4"/>
  <c r="DA126" i="4"/>
  <c r="EY126" i="4"/>
  <c r="HE126" i="4"/>
  <c r="IW126" i="4"/>
  <c r="BN126" i="4"/>
  <c r="DL126" i="4"/>
  <c r="FI126" i="4"/>
  <c r="HH126" i="4"/>
  <c r="IZ126" i="4"/>
  <c r="BM126" i="4"/>
  <c r="EB126" i="4"/>
  <c r="HJ126" i="4"/>
  <c r="JW126" i="4"/>
  <c r="BP126" i="4"/>
  <c r="EC126" i="4"/>
  <c r="HK126" i="4"/>
  <c r="JX126" i="4"/>
  <c r="BQ126" i="4"/>
  <c r="ED126" i="4"/>
  <c r="HL126" i="4"/>
  <c r="BR126" i="4"/>
  <c r="EE126" i="4"/>
  <c r="HU126" i="4"/>
  <c r="BS126" i="4"/>
  <c r="EZ126" i="4"/>
  <c r="HV126" i="4"/>
  <c r="CI126" i="4"/>
  <c r="FL126" i="4"/>
  <c r="IG126" i="4"/>
  <c r="X126" i="4"/>
  <c r="DY126" i="4"/>
  <c r="JP126" i="4"/>
  <c r="Z126" i="4"/>
  <c r="DZ126" i="4"/>
  <c r="JR126" i="4"/>
  <c r="AA126" i="4"/>
  <c r="FJ126" i="4"/>
  <c r="JS126" i="4"/>
  <c r="AB126" i="4"/>
  <c r="FM126" i="4"/>
  <c r="JT126" i="4"/>
  <c r="AK126" i="4"/>
  <c r="FV126" i="4"/>
  <c r="JU126" i="4"/>
  <c r="AN126" i="4"/>
  <c r="GD126" i="4"/>
  <c r="AL126" i="4"/>
  <c r="HX126" i="4"/>
  <c r="AO126" i="4"/>
  <c r="IJ126" i="4"/>
  <c r="BT126" i="4"/>
  <c r="IX126" i="4"/>
  <c r="CK126" i="4"/>
  <c r="JA126" i="4"/>
  <c r="CL126" i="4"/>
  <c r="JV126" i="4"/>
  <c r="GC126" i="4"/>
  <c r="DX126" i="4"/>
  <c r="GF126" i="4"/>
  <c r="GJ126" i="4"/>
  <c r="GK126" i="4"/>
  <c r="HG126" i="4"/>
  <c r="P126" i="4"/>
  <c r="DB126" i="4"/>
  <c r="DT126" i="4"/>
  <c r="HI126" i="4"/>
  <c r="CM126" i="4"/>
  <c r="DR126" i="4"/>
  <c r="V10" i="4"/>
  <c r="AL10" i="4"/>
  <c r="BB10" i="4"/>
  <c r="BR10" i="4"/>
  <c r="CH10" i="4"/>
  <c r="CX10" i="4"/>
  <c r="DN10" i="4"/>
  <c r="ED10" i="4"/>
  <c r="ET10" i="4"/>
  <c r="FJ10" i="4"/>
  <c r="FZ10" i="4"/>
  <c r="GP10" i="4"/>
  <c r="HF10" i="4"/>
  <c r="HV10" i="4"/>
  <c r="IL10" i="4"/>
  <c r="JB10" i="4"/>
  <c r="JR10" i="4"/>
  <c r="KH10" i="4"/>
  <c r="W10" i="4"/>
  <c r="AM10" i="4"/>
  <c r="BC10" i="4"/>
  <c r="BS10" i="4"/>
  <c r="CI10" i="4"/>
  <c r="CY10" i="4"/>
  <c r="DO10" i="4"/>
  <c r="EE10" i="4"/>
  <c r="EU10" i="4"/>
  <c r="FK10" i="4"/>
  <c r="GA10" i="4"/>
  <c r="GQ10" i="4"/>
  <c r="HG10" i="4"/>
  <c r="HW10" i="4"/>
  <c r="IM10" i="4"/>
  <c r="JC10" i="4"/>
  <c r="JS10" i="4"/>
  <c r="KI10" i="4"/>
  <c r="X10" i="4"/>
  <c r="AN10" i="4"/>
  <c r="BD10" i="4"/>
  <c r="BT10" i="4"/>
  <c r="CJ10" i="4"/>
  <c r="CZ10" i="4"/>
  <c r="DP10" i="4"/>
  <c r="EF10" i="4"/>
  <c r="EV10" i="4"/>
  <c r="FL10" i="4"/>
  <c r="GB10" i="4"/>
  <c r="GR10" i="4"/>
  <c r="HH10" i="4"/>
  <c r="HX10" i="4"/>
  <c r="IN10" i="4"/>
  <c r="JD10" i="4"/>
  <c r="JT10" i="4"/>
  <c r="J10" i="4"/>
  <c r="Z10" i="4"/>
  <c r="AP10" i="4"/>
  <c r="BF10" i="4"/>
  <c r="BV10" i="4"/>
  <c r="CL10" i="4"/>
  <c r="DB10" i="4"/>
  <c r="DR10" i="4"/>
  <c r="EH10" i="4"/>
  <c r="EX10" i="4"/>
  <c r="FN10" i="4"/>
  <c r="GD10" i="4"/>
  <c r="GT10" i="4"/>
  <c r="HJ10" i="4"/>
  <c r="HZ10" i="4"/>
  <c r="IP10" i="4"/>
  <c r="JF10" i="4"/>
  <c r="JV10" i="4"/>
  <c r="P10" i="4"/>
  <c r="AJ10" i="4"/>
  <c r="BH10" i="4"/>
  <c r="CB10" i="4"/>
  <c r="CV10" i="4"/>
  <c r="DT10" i="4"/>
  <c r="EN10" i="4"/>
  <c r="FH10" i="4"/>
  <c r="GF10" i="4"/>
  <c r="GZ10" i="4"/>
  <c r="HT10" i="4"/>
  <c r="IR10" i="4"/>
  <c r="JL10" i="4"/>
  <c r="KF10" i="4"/>
  <c r="Q10" i="4"/>
  <c r="AK10" i="4"/>
  <c r="BI10" i="4"/>
  <c r="CC10" i="4"/>
  <c r="CW10" i="4"/>
  <c r="DU10" i="4"/>
  <c r="EO10" i="4"/>
  <c r="FI10" i="4"/>
  <c r="GG10" i="4"/>
  <c r="HA10" i="4"/>
  <c r="HU10" i="4"/>
  <c r="IS10" i="4"/>
  <c r="JM10" i="4"/>
  <c r="KG10" i="4"/>
  <c r="R10" i="4"/>
  <c r="AO10" i="4"/>
  <c r="BJ10" i="4"/>
  <c r="CD10" i="4"/>
  <c r="DA10" i="4"/>
  <c r="DV10" i="4"/>
  <c r="EP10" i="4"/>
  <c r="FM10" i="4"/>
  <c r="GH10" i="4"/>
  <c r="HB10" i="4"/>
  <c r="HY10" i="4"/>
  <c r="IT10" i="4"/>
  <c r="JN10" i="4"/>
  <c r="S10" i="4"/>
  <c r="AQ10" i="4"/>
  <c r="BK10" i="4"/>
  <c r="CE10" i="4"/>
  <c r="DC10" i="4"/>
  <c r="DW10" i="4"/>
  <c r="EQ10" i="4"/>
  <c r="FO10" i="4"/>
  <c r="GI10" i="4"/>
  <c r="HC10" i="4"/>
  <c r="IA10" i="4"/>
  <c r="IU10" i="4"/>
  <c r="JO10" i="4"/>
  <c r="T10" i="4"/>
  <c r="AR10" i="4"/>
  <c r="BL10" i="4"/>
  <c r="CF10" i="4"/>
  <c r="DD10" i="4"/>
  <c r="DX10" i="4"/>
  <c r="ER10" i="4"/>
  <c r="FP10" i="4"/>
  <c r="GJ10" i="4"/>
  <c r="HD10" i="4"/>
  <c r="IB10" i="4"/>
  <c r="IV10" i="4"/>
  <c r="JP10" i="4"/>
  <c r="Y10" i="4"/>
  <c r="AT10" i="4"/>
  <c r="BN10" i="4"/>
  <c r="CK10" i="4"/>
  <c r="DF10" i="4"/>
  <c r="DZ10" i="4"/>
  <c r="EW10" i="4"/>
  <c r="FR10" i="4"/>
  <c r="GL10" i="4"/>
  <c r="HI10" i="4"/>
  <c r="ID10" i="4"/>
  <c r="IX10" i="4"/>
  <c r="JU10" i="4"/>
  <c r="U10" i="4"/>
  <c r="AZ10" i="4"/>
  <c r="CN10" i="4"/>
  <c r="DQ10" i="4"/>
  <c r="FB10" i="4"/>
  <c r="GK10" i="4"/>
  <c r="HP10" i="4"/>
  <c r="IZ10" i="4"/>
  <c r="KD10" i="4"/>
  <c r="AA10" i="4"/>
  <c r="BA10" i="4"/>
  <c r="CO10" i="4"/>
  <c r="DS10" i="4"/>
  <c r="FC10" i="4"/>
  <c r="GM10" i="4"/>
  <c r="HQ10" i="4"/>
  <c r="JA10" i="4"/>
  <c r="KE10" i="4"/>
  <c r="AB10" i="4"/>
  <c r="BE10" i="4"/>
  <c r="CP10" i="4"/>
  <c r="DY10" i="4"/>
  <c r="FD10" i="4"/>
  <c r="GN10" i="4"/>
  <c r="HR10" i="4"/>
  <c r="JE10" i="4"/>
  <c r="AC10" i="4"/>
  <c r="BG10" i="4"/>
  <c r="CQ10" i="4"/>
  <c r="EA10" i="4"/>
  <c r="FE10" i="4"/>
  <c r="GO10" i="4"/>
  <c r="HS10" i="4"/>
  <c r="JG10" i="4"/>
  <c r="AD10" i="4"/>
  <c r="BM10" i="4"/>
  <c r="CR10" i="4"/>
  <c r="EB10" i="4"/>
  <c r="FF10" i="4"/>
  <c r="GS10" i="4"/>
  <c r="IC10" i="4"/>
  <c r="JH10" i="4"/>
  <c r="AF10" i="4"/>
  <c r="BP10" i="4"/>
  <c r="CT10" i="4"/>
  <c r="EG10" i="4"/>
  <c r="FQ10" i="4"/>
  <c r="GV10" i="4"/>
  <c r="IF10" i="4"/>
  <c r="JJ10" i="4"/>
  <c r="AS10" i="4"/>
  <c r="CS10" i="4"/>
  <c r="ES10" i="4"/>
  <c r="GX10" i="4"/>
  <c r="IW10" i="4"/>
  <c r="AU10" i="4"/>
  <c r="CU10" i="4"/>
  <c r="EY10" i="4"/>
  <c r="GY10" i="4"/>
  <c r="IY10" i="4"/>
  <c r="AV10" i="4"/>
  <c r="DE10" i="4"/>
  <c r="EZ10" i="4"/>
  <c r="HE10" i="4"/>
  <c r="JI10" i="4"/>
  <c r="AW10" i="4"/>
  <c r="DG10" i="4"/>
  <c r="FA10" i="4"/>
  <c r="HK10" i="4"/>
  <c r="JK10" i="4"/>
  <c r="AX10" i="4"/>
  <c r="DH10" i="4"/>
  <c r="FG10" i="4"/>
  <c r="HL10" i="4"/>
  <c r="JQ10" i="4"/>
  <c r="I10" i="4"/>
  <c r="BO10" i="4"/>
  <c r="DJ10" i="4"/>
  <c r="FT10" i="4"/>
  <c r="HN10" i="4"/>
  <c r="JX10" i="4"/>
  <c r="BX10" i="4"/>
  <c r="FS10" i="4"/>
  <c r="IJ10" i="4"/>
  <c r="BY10" i="4"/>
  <c r="FU10" i="4"/>
  <c r="IK10" i="4"/>
  <c r="BZ10" i="4"/>
  <c r="FV10" i="4"/>
  <c r="IO10" i="4"/>
  <c r="K10" i="4"/>
  <c r="CA10" i="4"/>
  <c r="FW10" i="4"/>
  <c r="IQ10" i="4"/>
  <c r="L10" i="4"/>
  <c r="CG10" i="4"/>
  <c r="FX10" i="4"/>
  <c r="JW10" i="4"/>
  <c r="N10" i="4"/>
  <c r="DI10" i="4"/>
  <c r="GC10" i="4"/>
  <c r="JZ10" i="4"/>
  <c r="DL10" i="4"/>
  <c r="IH10" i="4"/>
  <c r="DM10" i="4"/>
  <c r="II10" i="4"/>
  <c r="EC10" i="4"/>
  <c r="JY10" i="4"/>
  <c r="EI10" i="4"/>
  <c r="KA10" i="4"/>
  <c r="M10" i="4"/>
  <c r="EJ10" i="4"/>
  <c r="KB10" i="4"/>
  <c r="AE10" i="4"/>
  <c r="EL10" i="4"/>
  <c r="CM10" i="4"/>
  <c r="DK10" i="4"/>
  <c r="EK10" i="4"/>
  <c r="EM10" i="4"/>
  <c r="FY10" i="4"/>
  <c r="GU10" i="4"/>
  <c r="AH10" i="4"/>
  <c r="AI10" i="4"/>
  <c r="AY10" i="4"/>
  <c r="BQ10" i="4"/>
  <c r="BU10" i="4"/>
  <c r="GE10" i="4"/>
  <c r="IE10" i="4"/>
  <c r="IG10" i="4"/>
  <c r="KC10" i="4"/>
  <c r="O10" i="4"/>
  <c r="BW10" i="4"/>
  <c r="AG10" i="4"/>
  <c r="GW10" i="4"/>
  <c r="HM10" i="4"/>
  <c r="HO10" i="4"/>
  <c r="W89" i="4"/>
  <c r="AM89" i="4"/>
  <c r="BC89" i="4"/>
  <c r="BS89" i="4"/>
  <c r="CI89" i="4"/>
  <c r="CY89" i="4"/>
  <c r="DO89" i="4"/>
  <c r="EE89" i="4"/>
  <c r="EU89" i="4"/>
  <c r="FK89" i="4"/>
  <c r="GA89" i="4"/>
  <c r="GQ89" i="4"/>
  <c r="HG89" i="4"/>
  <c r="HW89" i="4"/>
  <c r="IM89" i="4"/>
  <c r="JC89" i="4"/>
  <c r="JS89" i="4"/>
  <c r="KI89" i="4"/>
  <c r="X89" i="4"/>
  <c r="AN89" i="4"/>
  <c r="BD89" i="4"/>
  <c r="BT89" i="4"/>
  <c r="CJ89" i="4"/>
  <c r="CZ89" i="4"/>
  <c r="DP89" i="4"/>
  <c r="EF89" i="4"/>
  <c r="EV89" i="4"/>
  <c r="FL89" i="4"/>
  <c r="GB89" i="4"/>
  <c r="GR89" i="4"/>
  <c r="HH89" i="4"/>
  <c r="HX89" i="4"/>
  <c r="IN89" i="4"/>
  <c r="JD89" i="4"/>
  <c r="JT89" i="4"/>
  <c r="I89" i="4"/>
  <c r="Y89" i="4"/>
  <c r="AO89" i="4"/>
  <c r="BE89" i="4"/>
  <c r="BU89" i="4"/>
  <c r="CK89" i="4"/>
  <c r="DA89" i="4"/>
  <c r="DQ89" i="4"/>
  <c r="EG89" i="4"/>
  <c r="EW89" i="4"/>
  <c r="FM89" i="4"/>
  <c r="GC89" i="4"/>
  <c r="GS89" i="4"/>
  <c r="HI89" i="4"/>
  <c r="HY89" i="4"/>
  <c r="IO89" i="4"/>
  <c r="JE89" i="4"/>
  <c r="JU89" i="4"/>
  <c r="M89" i="4"/>
  <c r="AC89" i="4"/>
  <c r="AS89" i="4"/>
  <c r="BI89" i="4"/>
  <c r="BY89" i="4"/>
  <c r="CO89" i="4"/>
  <c r="DE89" i="4"/>
  <c r="DU89" i="4"/>
  <c r="EK89" i="4"/>
  <c r="FA89" i="4"/>
  <c r="FQ89" i="4"/>
  <c r="GG89" i="4"/>
  <c r="GW89" i="4"/>
  <c r="HM89" i="4"/>
  <c r="IC89" i="4"/>
  <c r="IS89" i="4"/>
  <c r="JI89" i="4"/>
  <c r="JY89" i="4"/>
  <c r="J89" i="4"/>
  <c r="AE89" i="4"/>
  <c r="AY89" i="4"/>
  <c r="BV89" i="4"/>
  <c r="CQ89" i="4"/>
  <c r="DK89" i="4"/>
  <c r="EH89" i="4"/>
  <c r="FC89" i="4"/>
  <c r="FW89" i="4"/>
  <c r="GT89" i="4"/>
  <c r="HO89" i="4"/>
  <c r="II89" i="4"/>
  <c r="JF89" i="4"/>
  <c r="KA89" i="4"/>
  <c r="K89" i="4"/>
  <c r="AF89" i="4"/>
  <c r="AZ89" i="4"/>
  <c r="BW89" i="4"/>
  <c r="CR89" i="4"/>
  <c r="DL89" i="4"/>
  <c r="EI89" i="4"/>
  <c r="FD89" i="4"/>
  <c r="FX89" i="4"/>
  <c r="GU89" i="4"/>
  <c r="HP89" i="4"/>
  <c r="IJ89" i="4"/>
  <c r="JG89" i="4"/>
  <c r="KB89" i="4"/>
  <c r="L89" i="4"/>
  <c r="AG89" i="4"/>
  <c r="BA89" i="4"/>
  <c r="BX89" i="4"/>
  <c r="CS89" i="4"/>
  <c r="DM89" i="4"/>
  <c r="EJ89" i="4"/>
  <c r="FE89" i="4"/>
  <c r="FY89" i="4"/>
  <c r="GV89" i="4"/>
  <c r="HQ89" i="4"/>
  <c r="IK89" i="4"/>
  <c r="JH89" i="4"/>
  <c r="KC89" i="4"/>
  <c r="N89" i="4"/>
  <c r="AH89" i="4"/>
  <c r="BB89" i="4"/>
  <c r="BZ89" i="4"/>
  <c r="CT89" i="4"/>
  <c r="DN89" i="4"/>
  <c r="EL89" i="4"/>
  <c r="FF89" i="4"/>
  <c r="FZ89" i="4"/>
  <c r="GX89" i="4"/>
  <c r="HR89" i="4"/>
  <c r="IL89" i="4"/>
  <c r="JJ89" i="4"/>
  <c r="KD89" i="4"/>
  <c r="O89" i="4"/>
  <c r="AI89" i="4"/>
  <c r="BF89" i="4"/>
  <c r="CA89" i="4"/>
  <c r="CU89" i="4"/>
  <c r="DR89" i="4"/>
  <c r="EM89" i="4"/>
  <c r="FG89" i="4"/>
  <c r="GD89" i="4"/>
  <c r="GY89" i="4"/>
  <c r="HS89" i="4"/>
  <c r="IP89" i="4"/>
  <c r="JK89" i="4"/>
  <c r="KE89" i="4"/>
  <c r="Q89" i="4"/>
  <c r="AK89" i="4"/>
  <c r="BH89" i="4"/>
  <c r="CC89" i="4"/>
  <c r="CW89" i="4"/>
  <c r="DT89" i="4"/>
  <c r="EO89" i="4"/>
  <c r="FI89" i="4"/>
  <c r="GF89" i="4"/>
  <c r="HA89" i="4"/>
  <c r="HU89" i="4"/>
  <c r="IR89" i="4"/>
  <c r="JM89" i="4"/>
  <c r="KG89" i="4"/>
  <c r="Z89" i="4"/>
  <c r="BK89" i="4"/>
  <c r="CN89" i="4"/>
  <c r="DY89" i="4"/>
  <c r="FH89" i="4"/>
  <c r="GM89" i="4"/>
  <c r="HZ89" i="4"/>
  <c r="JA89" i="4"/>
  <c r="AA89" i="4"/>
  <c r="BL89" i="4"/>
  <c r="CP89" i="4"/>
  <c r="DZ89" i="4"/>
  <c r="FJ89" i="4"/>
  <c r="GN89" i="4"/>
  <c r="IA89" i="4"/>
  <c r="JB89" i="4"/>
  <c r="AB89" i="4"/>
  <c r="BM89" i="4"/>
  <c r="CV89" i="4"/>
  <c r="EA89" i="4"/>
  <c r="FN89" i="4"/>
  <c r="GO89" i="4"/>
  <c r="IB89" i="4"/>
  <c r="JL89" i="4"/>
  <c r="AD89" i="4"/>
  <c r="BN89" i="4"/>
  <c r="CX89" i="4"/>
  <c r="EB89" i="4"/>
  <c r="FO89" i="4"/>
  <c r="GP89" i="4"/>
  <c r="ID89" i="4"/>
  <c r="JN89" i="4"/>
  <c r="AJ89" i="4"/>
  <c r="BO89" i="4"/>
  <c r="DB89" i="4"/>
  <c r="EC89" i="4"/>
  <c r="FP89" i="4"/>
  <c r="GZ89" i="4"/>
  <c r="IE89" i="4"/>
  <c r="JO89" i="4"/>
  <c r="AP89" i="4"/>
  <c r="BQ89" i="4"/>
  <c r="DD89" i="4"/>
  <c r="EN89" i="4"/>
  <c r="FS89" i="4"/>
  <c r="HC89" i="4"/>
  <c r="IG89" i="4"/>
  <c r="JQ89" i="4"/>
  <c r="AW89" i="4"/>
  <c r="DG89" i="4"/>
  <c r="EZ89" i="4"/>
  <c r="HJ89" i="4"/>
  <c r="JP89" i="4"/>
  <c r="AX89" i="4"/>
  <c r="DH89" i="4"/>
  <c r="FB89" i="4"/>
  <c r="HK89" i="4"/>
  <c r="JR89" i="4"/>
  <c r="BG89" i="4"/>
  <c r="DI89" i="4"/>
  <c r="FR89" i="4"/>
  <c r="HL89" i="4"/>
  <c r="JV89" i="4"/>
  <c r="BJ89" i="4"/>
  <c r="DJ89" i="4"/>
  <c r="FT89" i="4"/>
  <c r="HN89" i="4"/>
  <c r="JW89" i="4"/>
  <c r="P89" i="4"/>
  <c r="BP89" i="4"/>
  <c r="DS89" i="4"/>
  <c r="FU89" i="4"/>
  <c r="HT89" i="4"/>
  <c r="JX89" i="4"/>
  <c r="S89" i="4"/>
  <c r="CB89" i="4"/>
  <c r="DW89" i="4"/>
  <c r="GE89" i="4"/>
  <c r="IF89" i="4"/>
  <c r="KF89" i="4"/>
  <c r="R89" i="4"/>
  <c r="CL89" i="4"/>
  <c r="GI89" i="4"/>
  <c r="IY89" i="4"/>
  <c r="T89" i="4"/>
  <c r="CM89" i="4"/>
  <c r="GJ89" i="4"/>
  <c r="IZ89" i="4"/>
  <c r="U89" i="4"/>
  <c r="DC89" i="4"/>
  <c r="GK89" i="4"/>
  <c r="JZ89" i="4"/>
  <c r="V89" i="4"/>
  <c r="DF89" i="4"/>
  <c r="GL89" i="4"/>
  <c r="KH89" i="4"/>
  <c r="AL89" i="4"/>
  <c r="DV89" i="4"/>
  <c r="HB89" i="4"/>
  <c r="AR89" i="4"/>
  <c r="ED89" i="4"/>
  <c r="HE89" i="4"/>
  <c r="ES89" i="4"/>
  <c r="ET89" i="4"/>
  <c r="AQ89" i="4"/>
  <c r="EX89" i="4"/>
  <c r="AT89" i="4"/>
  <c r="EY89" i="4"/>
  <c r="AU89" i="4"/>
  <c r="FV89" i="4"/>
  <c r="BR89" i="4"/>
  <c r="HD89" i="4"/>
  <c r="CG89" i="4"/>
  <c r="CH89" i="4"/>
  <c r="DX89" i="4"/>
  <c r="EP89" i="4"/>
  <c r="EQ89" i="4"/>
  <c r="GH89" i="4"/>
  <c r="IU89" i="4"/>
  <c r="IV89" i="4"/>
  <c r="IW89" i="4"/>
  <c r="IX89" i="4"/>
  <c r="ER89" i="4"/>
  <c r="CF89" i="4"/>
  <c r="HF89" i="4"/>
  <c r="HV89" i="4"/>
  <c r="IH89" i="4"/>
  <c r="IQ89" i="4"/>
  <c r="AV89" i="4"/>
  <c r="CD89" i="4"/>
  <c r="CE89" i="4"/>
  <c r="IT89" i="4"/>
  <c r="X25" i="4"/>
  <c r="AN25" i="4"/>
  <c r="BD25" i="4"/>
  <c r="BT25" i="4"/>
  <c r="CJ25" i="4"/>
  <c r="CZ25" i="4"/>
  <c r="DP25" i="4"/>
  <c r="EF25" i="4"/>
  <c r="EV25" i="4"/>
  <c r="FL25" i="4"/>
  <c r="GB25" i="4"/>
  <c r="GR25" i="4"/>
  <c r="HH25" i="4"/>
  <c r="HX25" i="4"/>
  <c r="IN25" i="4"/>
  <c r="JD25" i="4"/>
  <c r="JT25" i="4"/>
  <c r="I25" i="4"/>
  <c r="Y25" i="4"/>
  <c r="AO25" i="4"/>
  <c r="BE25" i="4"/>
  <c r="BU25" i="4"/>
  <c r="CK25" i="4"/>
  <c r="DA25" i="4"/>
  <c r="DQ25" i="4"/>
  <c r="EG25" i="4"/>
  <c r="EW25" i="4"/>
  <c r="FM25" i="4"/>
  <c r="GC25" i="4"/>
  <c r="GS25" i="4"/>
  <c r="HI25" i="4"/>
  <c r="HY25" i="4"/>
  <c r="IO25" i="4"/>
  <c r="JE25" i="4"/>
  <c r="JU25" i="4"/>
  <c r="J25" i="4"/>
  <c r="Z25" i="4"/>
  <c r="AP25" i="4"/>
  <c r="BF25" i="4"/>
  <c r="BV25" i="4"/>
  <c r="CL25" i="4"/>
  <c r="DB25" i="4"/>
  <c r="DR25" i="4"/>
  <c r="EH25" i="4"/>
  <c r="EX25" i="4"/>
  <c r="FN25" i="4"/>
  <c r="GD25" i="4"/>
  <c r="GT25" i="4"/>
  <c r="HJ25" i="4"/>
  <c r="HZ25" i="4"/>
  <c r="IP25" i="4"/>
  <c r="JF25" i="4"/>
  <c r="JV25" i="4"/>
  <c r="N25" i="4"/>
  <c r="AD25" i="4"/>
  <c r="AT25" i="4"/>
  <c r="BJ25" i="4"/>
  <c r="BZ25" i="4"/>
  <c r="CP25" i="4"/>
  <c r="DF25" i="4"/>
  <c r="DV25" i="4"/>
  <c r="EL25" i="4"/>
  <c r="FB25" i="4"/>
  <c r="FR25" i="4"/>
  <c r="GH25" i="4"/>
  <c r="GX25" i="4"/>
  <c r="HN25" i="4"/>
  <c r="ID25" i="4"/>
  <c r="IT25" i="4"/>
  <c r="JJ25" i="4"/>
  <c r="JZ25" i="4"/>
  <c r="L25" i="4"/>
  <c r="AG25" i="4"/>
  <c r="BA25" i="4"/>
  <c r="BX25" i="4"/>
  <c r="CS25" i="4"/>
  <c r="DM25" i="4"/>
  <c r="EJ25" i="4"/>
  <c r="FE25" i="4"/>
  <c r="FY25" i="4"/>
  <c r="GV25" i="4"/>
  <c r="HQ25" i="4"/>
  <c r="IK25" i="4"/>
  <c r="JH25" i="4"/>
  <c r="KC25" i="4"/>
  <c r="M25" i="4"/>
  <c r="AH25" i="4"/>
  <c r="BB25" i="4"/>
  <c r="BY25" i="4"/>
  <c r="CT25" i="4"/>
  <c r="DN25" i="4"/>
  <c r="EK25" i="4"/>
  <c r="FF25" i="4"/>
  <c r="FZ25" i="4"/>
  <c r="GW25" i="4"/>
  <c r="HR25" i="4"/>
  <c r="IL25" i="4"/>
  <c r="JI25" i="4"/>
  <c r="KD25" i="4"/>
  <c r="O25" i="4"/>
  <c r="AI25" i="4"/>
  <c r="BC25" i="4"/>
  <c r="CA25" i="4"/>
  <c r="CU25" i="4"/>
  <c r="DO25" i="4"/>
  <c r="EM25" i="4"/>
  <c r="FG25" i="4"/>
  <c r="GA25" i="4"/>
  <c r="GY25" i="4"/>
  <c r="HS25" i="4"/>
  <c r="IM25" i="4"/>
  <c r="JK25" i="4"/>
  <c r="KE25" i="4"/>
  <c r="P25" i="4"/>
  <c r="AJ25" i="4"/>
  <c r="BG25" i="4"/>
  <c r="CB25" i="4"/>
  <c r="CV25" i="4"/>
  <c r="DS25" i="4"/>
  <c r="EN25" i="4"/>
  <c r="FH25" i="4"/>
  <c r="GE25" i="4"/>
  <c r="GZ25" i="4"/>
  <c r="HT25" i="4"/>
  <c r="IQ25" i="4"/>
  <c r="JL25" i="4"/>
  <c r="KF25" i="4"/>
  <c r="S25" i="4"/>
  <c r="AM25" i="4"/>
  <c r="BK25" i="4"/>
  <c r="CE25" i="4"/>
  <c r="CY25" i="4"/>
  <c r="DW25" i="4"/>
  <c r="EQ25" i="4"/>
  <c r="FK25" i="4"/>
  <c r="GI25" i="4"/>
  <c r="HC25" i="4"/>
  <c r="HW25" i="4"/>
  <c r="IU25" i="4"/>
  <c r="JO25" i="4"/>
  <c r="KI25" i="4"/>
  <c r="T25" i="4"/>
  <c r="AW25" i="4"/>
  <c r="CD25" i="4"/>
  <c r="DH25" i="4"/>
  <c r="EO25" i="4"/>
  <c r="FS25" i="4"/>
  <c r="GU25" i="4"/>
  <c r="IC25" i="4"/>
  <c r="JC25" i="4"/>
  <c r="U25" i="4"/>
  <c r="AX25" i="4"/>
  <c r="CF25" i="4"/>
  <c r="DI25" i="4"/>
  <c r="EP25" i="4"/>
  <c r="FT25" i="4"/>
  <c r="HA25" i="4"/>
  <c r="IE25" i="4"/>
  <c r="JG25" i="4"/>
  <c r="V25" i="4"/>
  <c r="AY25" i="4"/>
  <c r="CG25" i="4"/>
  <c r="DJ25" i="4"/>
  <c r="ER25" i="4"/>
  <c r="FU25" i="4"/>
  <c r="HB25" i="4"/>
  <c r="IF25" i="4"/>
  <c r="JM25" i="4"/>
  <c r="W25" i="4"/>
  <c r="AZ25" i="4"/>
  <c r="CH25" i="4"/>
  <c r="DK25" i="4"/>
  <c r="ES25" i="4"/>
  <c r="FV25" i="4"/>
  <c r="HD25" i="4"/>
  <c r="IG25" i="4"/>
  <c r="JN25" i="4"/>
  <c r="AA25" i="4"/>
  <c r="BH25" i="4"/>
  <c r="CI25" i="4"/>
  <c r="DL25" i="4"/>
  <c r="ET25" i="4"/>
  <c r="FW25" i="4"/>
  <c r="HE25" i="4"/>
  <c r="IH25" i="4"/>
  <c r="JP25" i="4"/>
  <c r="AC25" i="4"/>
  <c r="BL25" i="4"/>
  <c r="CN25" i="4"/>
  <c r="DU25" i="4"/>
  <c r="EY25" i="4"/>
  <c r="GF25" i="4"/>
  <c r="HG25" i="4"/>
  <c r="IJ25" i="4"/>
  <c r="JR25" i="4"/>
  <c r="AU25" i="4"/>
  <c r="CW25" i="4"/>
  <c r="EU25" i="4"/>
  <c r="GN25" i="4"/>
  <c r="IS25" i="4"/>
  <c r="KH25" i="4"/>
  <c r="AV25" i="4"/>
  <c r="CX25" i="4"/>
  <c r="EZ25" i="4"/>
  <c r="GO25" i="4"/>
  <c r="IV25" i="4"/>
  <c r="BI25" i="4"/>
  <c r="DC25" i="4"/>
  <c r="FA25" i="4"/>
  <c r="GP25" i="4"/>
  <c r="IW25" i="4"/>
  <c r="BM25" i="4"/>
  <c r="DD25" i="4"/>
  <c r="FC25" i="4"/>
  <c r="GQ25" i="4"/>
  <c r="IX25" i="4"/>
  <c r="BN25" i="4"/>
  <c r="DE25" i="4"/>
  <c r="FD25" i="4"/>
  <c r="HF25" i="4"/>
  <c r="IY25" i="4"/>
  <c r="Q25" i="4"/>
  <c r="BP25" i="4"/>
  <c r="DT25" i="4"/>
  <c r="FJ25" i="4"/>
  <c r="HL25" i="4"/>
  <c r="JA25" i="4"/>
  <c r="BR25" i="4"/>
  <c r="EE25" i="4"/>
  <c r="HU25" i="4"/>
  <c r="BS25" i="4"/>
  <c r="EI25" i="4"/>
  <c r="HV25" i="4"/>
  <c r="BW25" i="4"/>
  <c r="FI25" i="4"/>
  <c r="IA25" i="4"/>
  <c r="CC25" i="4"/>
  <c r="FO25" i="4"/>
  <c r="IB25" i="4"/>
  <c r="K25" i="4"/>
  <c r="CM25" i="4"/>
  <c r="FP25" i="4"/>
  <c r="II25" i="4"/>
  <c r="AB25" i="4"/>
  <c r="CQ25" i="4"/>
  <c r="FX25" i="4"/>
  <c r="IZ25" i="4"/>
  <c r="BO25" i="4"/>
  <c r="GL25" i="4"/>
  <c r="BQ25" i="4"/>
  <c r="GM25" i="4"/>
  <c r="CO25" i="4"/>
  <c r="HK25" i="4"/>
  <c r="CR25" i="4"/>
  <c r="HM25" i="4"/>
  <c r="DG25" i="4"/>
  <c r="HO25" i="4"/>
  <c r="DY25" i="4"/>
  <c r="IR25" i="4"/>
  <c r="DX25" i="4"/>
  <c r="JY25" i="4"/>
  <c r="DZ25" i="4"/>
  <c r="KA25" i="4"/>
  <c r="EA25" i="4"/>
  <c r="KB25" i="4"/>
  <c r="EB25" i="4"/>
  <c r="KG25" i="4"/>
  <c r="EC25" i="4"/>
  <c r="FQ25" i="4"/>
  <c r="HP25" i="4"/>
  <c r="JB25" i="4"/>
  <c r="JQ25" i="4"/>
  <c r="JS25" i="4"/>
  <c r="R25" i="4"/>
  <c r="JW25" i="4"/>
  <c r="AF25" i="4"/>
  <c r="AE25" i="4"/>
  <c r="AL25" i="4"/>
  <c r="AR25" i="4"/>
  <c r="AS25" i="4"/>
  <c r="ED25" i="4"/>
  <c r="GG25" i="4"/>
  <c r="GJ25" i="4"/>
  <c r="JX25" i="4"/>
  <c r="AK25" i="4"/>
  <c r="GK25" i="4"/>
  <c r="AQ25" i="4"/>
  <c r="V153" i="4"/>
  <c r="AL153" i="4"/>
  <c r="BB153" i="4"/>
  <c r="BR153" i="4"/>
  <c r="CH153" i="4"/>
  <c r="CX153" i="4"/>
  <c r="DN153" i="4"/>
  <c r="ED153" i="4"/>
  <c r="ET153" i="4"/>
  <c r="FJ153" i="4"/>
  <c r="FZ153" i="4"/>
  <c r="GP153" i="4"/>
  <c r="HF153" i="4"/>
  <c r="HV153" i="4"/>
  <c r="IL153" i="4"/>
  <c r="JB153" i="4"/>
  <c r="JR153" i="4"/>
  <c r="KH153" i="4"/>
  <c r="W153" i="4"/>
  <c r="AM153" i="4"/>
  <c r="BC153" i="4"/>
  <c r="BS153" i="4"/>
  <c r="CI153" i="4"/>
  <c r="CY153" i="4"/>
  <c r="DO153" i="4"/>
  <c r="EE153" i="4"/>
  <c r="EU153" i="4"/>
  <c r="FK153" i="4"/>
  <c r="GA153" i="4"/>
  <c r="GQ153" i="4"/>
  <c r="HG153" i="4"/>
  <c r="HW153" i="4"/>
  <c r="IM153" i="4"/>
  <c r="JC153" i="4"/>
  <c r="JS153" i="4"/>
  <c r="KI153" i="4"/>
  <c r="X153" i="4"/>
  <c r="AN153" i="4"/>
  <c r="BD153" i="4"/>
  <c r="BT153" i="4"/>
  <c r="CJ153" i="4"/>
  <c r="CZ153" i="4"/>
  <c r="DP153" i="4"/>
  <c r="EF153" i="4"/>
  <c r="EV153" i="4"/>
  <c r="FL153" i="4"/>
  <c r="GB153" i="4"/>
  <c r="GR153" i="4"/>
  <c r="HH153" i="4"/>
  <c r="HX153" i="4"/>
  <c r="IN153" i="4"/>
  <c r="JD153" i="4"/>
  <c r="JT153" i="4"/>
  <c r="L153" i="4"/>
  <c r="AB153" i="4"/>
  <c r="AR153" i="4"/>
  <c r="BH153" i="4"/>
  <c r="BX153" i="4"/>
  <c r="CN153" i="4"/>
  <c r="DD153" i="4"/>
  <c r="DT153" i="4"/>
  <c r="EJ153" i="4"/>
  <c r="EZ153" i="4"/>
  <c r="FP153" i="4"/>
  <c r="GF153" i="4"/>
  <c r="GV153" i="4"/>
  <c r="HL153" i="4"/>
  <c r="IB153" i="4"/>
  <c r="IR153" i="4"/>
  <c r="JH153" i="4"/>
  <c r="JX153" i="4"/>
  <c r="P153" i="4"/>
  <c r="AJ153" i="4"/>
  <c r="BG153" i="4"/>
  <c r="CB153" i="4"/>
  <c r="CV153" i="4"/>
  <c r="DS153" i="4"/>
  <c r="EN153" i="4"/>
  <c r="FH153" i="4"/>
  <c r="GE153" i="4"/>
  <c r="GZ153" i="4"/>
  <c r="HT153" i="4"/>
  <c r="IQ153" i="4"/>
  <c r="JL153" i="4"/>
  <c r="KF153" i="4"/>
  <c r="Q153" i="4"/>
  <c r="AK153" i="4"/>
  <c r="BI153" i="4"/>
  <c r="CC153" i="4"/>
  <c r="CW153" i="4"/>
  <c r="DU153" i="4"/>
  <c r="EO153" i="4"/>
  <c r="FI153" i="4"/>
  <c r="GG153" i="4"/>
  <c r="HA153" i="4"/>
  <c r="HU153" i="4"/>
  <c r="IS153" i="4"/>
  <c r="JM153" i="4"/>
  <c r="KG153" i="4"/>
  <c r="R153" i="4"/>
  <c r="AO153" i="4"/>
  <c r="BJ153" i="4"/>
  <c r="CD153" i="4"/>
  <c r="DA153" i="4"/>
  <c r="DV153" i="4"/>
  <c r="EP153" i="4"/>
  <c r="FM153" i="4"/>
  <c r="GH153" i="4"/>
  <c r="HB153" i="4"/>
  <c r="HY153" i="4"/>
  <c r="IT153" i="4"/>
  <c r="JN153" i="4"/>
  <c r="Y153" i="4"/>
  <c r="AT153" i="4"/>
  <c r="BN153" i="4"/>
  <c r="CK153" i="4"/>
  <c r="DF153" i="4"/>
  <c r="DZ153" i="4"/>
  <c r="EW153" i="4"/>
  <c r="FR153" i="4"/>
  <c r="GL153" i="4"/>
  <c r="HI153" i="4"/>
  <c r="ID153" i="4"/>
  <c r="IX153" i="4"/>
  <c r="JU153" i="4"/>
  <c r="I153" i="4"/>
  <c r="AH153" i="4"/>
  <c r="BM153" i="4"/>
  <c r="CP153" i="4"/>
  <c r="DQ153" i="4"/>
  <c r="ES153" i="4"/>
  <c r="FV153" i="4"/>
  <c r="GX153" i="4"/>
  <c r="IC153" i="4"/>
  <c r="JE153" i="4"/>
  <c r="KD153" i="4"/>
  <c r="J153" i="4"/>
  <c r="AI153" i="4"/>
  <c r="BO153" i="4"/>
  <c r="CQ153" i="4"/>
  <c r="DR153" i="4"/>
  <c r="EX153" i="4"/>
  <c r="FW153" i="4"/>
  <c r="GY153" i="4"/>
  <c r="IE153" i="4"/>
  <c r="JF153" i="4"/>
  <c r="KE153" i="4"/>
  <c r="K153" i="4"/>
  <c r="AP153" i="4"/>
  <c r="BP153" i="4"/>
  <c r="CR153" i="4"/>
  <c r="DW153" i="4"/>
  <c r="EY153" i="4"/>
  <c r="FX153" i="4"/>
  <c r="HC153" i="4"/>
  <c r="IF153" i="4"/>
  <c r="JG153" i="4"/>
  <c r="M153" i="4"/>
  <c r="AQ153" i="4"/>
  <c r="BQ153" i="4"/>
  <c r="CS153" i="4"/>
  <c r="DX153" i="4"/>
  <c r="FA153" i="4"/>
  <c r="FY153" i="4"/>
  <c r="HD153" i="4"/>
  <c r="IG153" i="4"/>
  <c r="JI153" i="4"/>
  <c r="N153" i="4"/>
  <c r="AS153" i="4"/>
  <c r="BU153" i="4"/>
  <c r="CT153" i="4"/>
  <c r="DY153" i="4"/>
  <c r="FB153" i="4"/>
  <c r="GC153" i="4"/>
  <c r="HE153" i="4"/>
  <c r="IH153" i="4"/>
  <c r="JJ153" i="4"/>
  <c r="S153" i="4"/>
  <c r="AV153" i="4"/>
  <c r="BW153" i="4"/>
  <c r="DB153" i="4"/>
  <c r="EB153" i="4"/>
  <c r="FD153" i="4"/>
  <c r="GI153" i="4"/>
  <c r="HK153" i="4"/>
  <c r="IJ153" i="4"/>
  <c r="JO153" i="4"/>
  <c r="AX153" i="4"/>
  <c r="CM153" i="4"/>
  <c r="EI153" i="4"/>
  <c r="GD153" i="4"/>
  <c r="HR153" i="4"/>
  <c r="JQ153" i="4"/>
  <c r="AY153" i="4"/>
  <c r="CO153" i="4"/>
  <c r="EK153" i="4"/>
  <c r="GJ153" i="4"/>
  <c r="HS153" i="4"/>
  <c r="JV153" i="4"/>
  <c r="AZ153" i="4"/>
  <c r="CU153" i="4"/>
  <c r="EL153" i="4"/>
  <c r="GK153" i="4"/>
  <c r="HZ153" i="4"/>
  <c r="JW153" i="4"/>
  <c r="BA153" i="4"/>
  <c r="DC153" i="4"/>
  <c r="EM153" i="4"/>
  <c r="GM153" i="4"/>
  <c r="IA153" i="4"/>
  <c r="JY153" i="4"/>
  <c r="O153" i="4"/>
  <c r="BE153" i="4"/>
  <c r="DE153" i="4"/>
  <c r="EQ153" i="4"/>
  <c r="GN153" i="4"/>
  <c r="II153" i="4"/>
  <c r="JZ153" i="4"/>
  <c r="U153" i="4"/>
  <c r="BK153" i="4"/>
  <c r="DH153" i="4"/>
  <c r="FC153" i="4"/>
  <c r="GS153" i="4"/>
  <c r="IO153" i="4"/>
  <c r="KB153" i="4"/>
  <c r="AU153" i="4"/>
  <c r="DL153" i="4"/>
  <c r="GO153" i="4"/>
  <c r="IZ153" i="4"/>
  <c r="AW153" i="4"/>
  <c r="DM153" i="4"/>
  <c r="GT153" i="4"/>
  <c r="JA153" i="4"/>
  <c r="BF153" i="4"/>
  <c r="EA153" i="4"/>
  <c r="GU153" i="4"/>
  <c r="JK153" i="4"/>
  <c r="BL153" i="4"/>
  <c r="EC153" i="4"/>
  <c r="GW153" i="4"/>
  <c r="JP153" i="4"/>
  <c r="BV153" i="4"/>
  <c r="EG153" i="4"/>
  <c r="HJ153" i="4"/>
  <c r="KA153" i="4"/>
  <c r="BZ153" i="4"/>
  <c r="ER153" i="4"/>
  <c r="HN153" i="4"/>
  <c r="CG153" i="4"/>
  <c r="HM153" i="4"/>
  <c r="CL153" i="4"/>
  <c r="HO153" i="4"/>
  <c r="DG153" i="4"/>
  <c r="HP153" i="4"/>
  <c r="DI153" i="4"/>
  <c r="HQ153" i="4"/>
  <c r="T153" i="4"/>
  <c r="DJ153" i="4"/>
  <c r="IK153" i="4"/>
  <c r="EH153" i="4"/>
  <c r="FE153" i="4"/>
  <c r="FF153" i="4"/>
  <c r="FG153" i="4"/>
  <c r="Z153" i="4"/>
  <c r="FN153" i="4"/>
  <c r="AG153" i="4"/>
  <c r="IP153" i="4"/>
  <c r="FO153" i="4"/>
  <c r="FQ153" i="4"/>
  <c r="FS153" i="4"/>
  <c r="FT153" i="4"/>
  <c r="IU153" i="4"/>
  <c r="AF153" i="4"/>
  <c r="CA153" i="4"/>
  <c r="CE153" i="4"/>
  <c r="CF153" i="4"/>
  <c r="DK153" i="4"/>
  <c r="FU153" i="4"/>
  <c r="IV153" i="4"/>
  <c r="AA153" i="4"/>
  <c r="AC153" i="4"/>
  <c r="AD153" i="4"/>
  <c r="AE153" i="4"/>
  <c r="BY153" i="4"/>
  <c r="KC153" i="4"/>
  <c r="IY153" i="4"/>
  <c r="IW153" i="4"/>
  <c r="N52" i="4"/>
  <c r="AD52" i="4"/>
  <c r="AT52" i="4"/>
  <c r="BJ52" i="4"/>
  <c r="BZ52" i="4"/>
  <c r="CP52" i="4"/>
  <c r="DF52" i="4"/>
  <c r="DV52" i="4"/>
  <c r="EL52" i="4"/>
  <c r="FB52" i="4"/>
  <c r="FR52" i="4"/>
  <c r="GH52" i="4"/>
  <c r="GX52" i="4"/>
  <c r="HN52" i="4"/>
  <c r="ID52" i="4"/>
  <c r="IT52" i="4"/>
  <c r="JJ52" i="4"/>
  <c r="JZ52" i="4"/>
  <c r="O52" i="4"/>
  <c r="AE52" i="4"/>
  <c r="AU52" i="4"/>
  <c r="BK52" i="4"/>
  <c r="CA52" i="4"/>
  <c r="CQ52" i="4"/>
  <c r="DG52" i="4"/>
  <c r="DW52" i="4"/>
  <c r="EM52" i="4"/>
  <c r="FC52" i="4"/>
  <c r="FS52" i="4"/>
  <c r="GI52" i="4"/>
  <c r="GY52" i="4"/>
  <c r="HO52" i="4"/>
  <c r="IE52" i="4"/>
  <c r="IU52" i="4"/>
  <c r="JK52" i="4"/>
  <c r="KA52" i="4"/>
  <c r="P52" i="4"/>
  <c r="AF52" i="4"/>
  <c r="AV52" i="4"/>
  <c r="BL52" i="4"/>
  <c r="CB52" i="4"/>
  <c r="CR52" i="4"/>
  <c r="DH52" i="4"/>
  <c r="DX52" i="4"/>
  <c r="EN52" i="4"/>
  <c r="FD52" i="4"/>
  <c r="FT52" i="4"/>
  <c r="GJ52" i="4"/>
  <c r="GZ52" i="4"/>
  <c r="HP52" i="4"/>
  <c r="IF52" i="4"/>
  <c r="IV52" i="4"/>
  <c r="JL52" i="4"/>
  <c r="KB52" i="4"/>
  <c r="T52" i="4"/>
  <c r="AJ52" i="4"/>
  <c r="AZ52" i="4"/>
  <c r="BP52" i="4"/>
  <c r="CF52" i="4"/>
  <c r="CV52" i="4"/>
  <c r="DL52" i="4"/>
  <c r="EB52" i="4"/>
  <c r="ER52" i="4"/>
  <c r="FH52" i="4"/>
  <c r="FX52" i="4"/>
  <c r="GN52" i="4"/>
  <c r="HD52" i="4"/>
  <c r="HT52" i="4"/>
  <c r="IJ52" i="4"/>
  <c r="IZ52" i="4"/>
  <c r="JP52" i="4"/>
  <c r="KF52" i="4"/>
  <c r="J52" i="4"/>
  <c r="AG52" i="4"/>
  <c r="BB52" i="4"/>
  <c r="BV52" i="4"/>
  <c r="CS52" i="4"/>
  <c r="DN52" i="4"/>
  <c r="EH52" i="4"/>
  <c r="FE52" i="4"/>
  <c r="FZ52" i="4"/>
  <c r="GT52" i="4"/>
  <c r="HQ52" i="4"/>
  <c r="IL52" i="4"/>
  <c r="JF52" i="4"/>
  <c r="KC52" i="4"/>
  <c r="K52" i="4"/>
  <c r="AH52" i="4"/>
  <c r="BC52" i="4"/>
  <c r="BW52" i="4"/>
  <c r="CT52" i="4"/>
  <c r="DO52" i="4"/>
  <c r="EI52" i="4"/>
  <c r="FF52" i="4"/>
  <c r="GA52" i="4"/>
  <c r="GU52" i="4"/>
  <c r="HR52" i="4"/>
  <c r="IM52" i="4"/>
  <c r="JG52" i="4"/>
  <c r="KD52" i="4"/>
  <c r="L52" i="4"/>
  <c r="AI52" i="4"/>
  <c r="BD52" i="4"/>
  <c r="BX52" i="4"/>
  <c r="CU52" i="4"/>
  <c r="DP52" i="4"/>
  <c r="EJ52" i="4"/>
  <c r="FG52" i="4"/>
  <c r="GB52" i="4"/>
  <c r="GV52" i="4"/>
  <c r="HS52" i="4"/>
  <c r="IN52" i="4"/>
  <c r="JH52" i="4"/>
  <c r="KE52" i="4"/>
  <c r="M52" i="4"/>
  <c r="AK52" i="4"/>
  <c r="BE52" i="4"/>
  <c r="BY52" i="4"/>
  <c r="CW52" i="4"/>
  <c r="DQ52" i="4"/>
  <c r="EK52" i="4"/>
  <c r="FI52" i="4"/>
  <c r="GC52" i="4"/>
  <c r="GW52" i="4"/>
  <c r="HU52" i="4"/>
  <c r="IO52" i="4"/>
  <c r="JI52" i="4"/>
  <c r="KG52" i="4"/>
  <c r="Q52" i="4"/>
  <c r="AL52" i="4"/>
  <c r="BF52" i="4"/>
  <c r="CC52" i="4"/>
  <c r="CX52" i="4"/>
  <c r="DR52" i="4"/>
  <c r="EO52" i="4"/>
  <c r="FJ52" i="4"/>
  <c r="GD52" i="4"/>
  <c r="HA52" i="4"/>
  <c r="HV52" i="4"/>
  <c r="IP52" i="4"/>
  <c r="JM52" i="4"/>
  <c r="KH52" i="4"/>
  <c r="S52" i="4"/>
  <c r="AN52" i="4"/>
  <c r="BH52" i="4"/>
  <c r="CE52" i="4"/>
  <c r="CZ52" i="4"/>
  <c r="DT52" i="4"/>
  <c r="EQ52" i="4"/>
  <c r="FL52" i="4"/>
  <c r="GF52" i="4"/>
  <c r="HC52" i="4"/>
  <c r="HX52" i="4"/>
  <c r="IR52" i="4"/>
  <c r="JO52" i="4"/>
  <c r="AB52" i="4"/>
  <c r="BO52" i="4"/>
  <c r="CY52" i="4"/>
  <c r="ED52" i="4"/>
  <c r="FN52" i="4"/>
  <c r="GR52" i="4"/>
  <c r="IB52" i="4"/>
  <c r="JN52" i="4"/>
  <c r="AC52" i="4"/>
  <c r="BQ52" i="4"/>
  <c r="DA52" i="4"/>
  <c r="EE52" i="4"/>
  <c r="FO52" i="4"/>
  <c r="GS52" i="4"/>
  <c r="IC52" i="4"/>
  <c r="JQ52" i="4"/>
  <c r="AM52" i="4"/>
  <c r="BR52" i="4"/>
  <c r="DB52" i="4"/>
  <c r="EF52" i="4"/>
  <c r="FP52" i="4"/>
  <c r="HB52" i="4"/>
  <c r="IG52" i="4"/>
  <c r="JR52" i="4"/>
  <c r="AO52" i="4"/>
  <c r="BS52" i="4"/>
  <c r="DC52" i="4"/>
  <c r="EG52" i="4"/>
  <c r="FQ52" i="4"/>
  <c r="HE52" i="4"/>
  <c r="IH52" i="4"/>
  <c r="JS52" i="4"/>
  <c r="AP52" i="4"/>
  <c r="BT52" i="4"/>
  <c r="DD52" i="4"/>
  <c r="EP52" i="4"/>
  <c r="FU52" i="4"/>
  <c r="HF52" i="4"/>
  <c r="II52" i="4"/>
  <c r="JT52" i="4"/>
  <c r="AR52" i="4"/>
  <c r="CD52" i="4"/>
  <c r="DI52" i="4"/>
  <c r="ET52" i="4"/>
  <c r="FW52" i="4"/>
  <c r="HH52" i="4"/>
  <c r="IQ52" i="4"/>
  <c r="JV52" i="4"/>
  <c r="AW52" i="4"/>
  <c r="CN52" i="4"/>
  <c r="EX52" i="4"/>
  <c r="HG52" i="4"/>
  <c r="JB52" i="4"/>
  <c r="AX52" i="4"/>
  <c r="CO52" i="4"/>
  <c r="EY52" i="4"/>
  <c r="HI52" i="4"/>
  <c r="JC52" i="4"/>
  <c r="AY52" i="4"/>
  <c r="DE52" i="4"/>
  <c r="EZ52" i="4"/>
  <c r="HJ52" i="4"/>
  <c r="JD52" i="4"/>
  <c r="BA52" i="4"/>
  <c r="DJ52" i="4"/>
  <c r="FA52" i="4"/>
  <c r="HK52" i="4"/>
  <c r="JE52" i="4"/>
  <c r="BG52" i="4"/>
  <c r="DK52" i="4"/>
  <c r="FK52" i="4"/>
  <c r="HL52" i="4"/>
  <c r="JU52" i="4"/>
  <c r="R52" i="4"/>
  <c r="BM52" i="4"/>
  <c r="DS52" i="4"/>
  <c r="FV52" i="4"/>
  <c r="HW52" i="4"/>
  <c r="JX52" i="4"/>
  <c r="BI52" i="4"/>
  <c r="ES52" i="4"/>
  <c r="HZ52" i="4"/>
  <c r="BN52" i="4"/>
  <c r="EU52" i="4"/>
  <c r="IA52" i="4"/>
  <c r="BU52" i="4"/>
  <c r="EV52" i="4"/>
  <c r="IK52" i="4"/>
  <c r="CG52" i="4"/>
  <c r="EW52" i="4"/>
  <c r="IS52" i="4"/>
  <c r="CH52" i="4"/>
  <c r="FM52" i="4"/>
  <c r="IW52" i="4"/>
  <c r="I52" i="4"/>
  <c r="CJ52" i="4"/>
  <c r="GE52" i="4"/>
  <c r="IY52" i="4"/>
  <c r="X52" i="4"/>
  <c r="FY52" i="4"/>
  <c r="Y52" i="4"/>
  <c r="GG52" i="4"/>
  <c r="Z52" i="4"/>
  <c r="GK52" i="4"/>
  <c r="AA52" i="4"/>
  <c r="GL52" i="4"/>
  <c r="AQ52" i="4"/>
  <c r="GM52" i="4"/>
  <c r="CI52" i="4"/>
  <c r="GP52" i="4"/>
  <c r="CL52" i="4"/>
  <c r="KI52" i="4"/>
  <c r="CM52" i="4"/>
  <c r="DM52" i="4"/>
  <c r="DU52" i="4"/>
  <c r="DY52" i="4"/>
  <c r="EA52" i="4"/>
  <c r="AS52" i="4"/>
  <c r="CK52" i="4"/>
  <c r="DZ52" i="4"/>
  <c r="EC52" i="4"/>
  <c r="GO52" i="4"/>
  <c r="HM52" i="4"/>
  <c r="U52" i="4"/>
  <c r="V52" i="4"/>
  <c r="GQ52" i="4"/>
  <c r="JW52" i="4"/>
  <c r="JY52" i="4"/>
  <c r="W52" i="4"/>
  <c r="IX52" i="4"/>
  <c r="HY52" i="4"/>
  <c r="JA52" i="4"/>
  <c r="P147" i="4"/>
  <c r="AF147" i="4"/>
  <c r="AV147" i="4"/>
  <c r="BL147" i="4"/>
  <c r="CB147" i="4"/>
  <c r="CR147" i="4"/>
  <c r="DH147" i="4"/>
  <c r="DX147" i="4"/>
  <c r="EN147" i="4"/>
  <c r="FD147" i="4"/>
  <c r="FT147" i="4"/>
  <c r="GJ147" i="4"/>
  <c r="GZ147" i="4"/>
  <c r="HP147" i="4"/>
  <c r="IF147" i="4"/>
  <c r="IV147" i="4"/>
  <c r="JL147" i="4"/>
  <c r="KB147" i="4"/>
  <c r="Q147" i="4"/>
  <c r="AG147" i="4"/>
  <c r="AW147" i="4"/>
  <c r="BM147" i="4"/>
  <c r="CC147" i="4"/>
  <c r="CS147" i="4"/>
  <c r="DI147" i="4"/>
  <c r="DY147" i="4"/>
  <c r="EO147" i="4"/>
  <c r="FE147" i="4"/>
  <c r="FU147" i="4"/>
  <c r="GK147" i="4"/>
  <c r="HA147" i="4"/>
  <c r="HQ147" i="4"/>
  <c r="IG147" i="4"/>
  <c r="IW147" i="4"/>
  <c r="JM147" i="4"/>
  <c r="KC147" i="4"/>
  <c r="R147" i="4"/>
  <c r="AH147" i="4"/>
  <c r="AX147" i="4"/>
  <c r="BN147" i="4"/>
  <c r="CD147" i="4"/>
  <c r="CT147" i="4"/>
  <c r="DJ147" i="4"/>
  <c r="DZ147" i="4"/>
  <c r="EP147" i="4"/>
  <c r="FF147" i="4"/>
  <c r="FV147" i="4"/>
  <c r="GL147" i="4"/>
  <c r="HB147" i="4"/>
  <c r="HR147" i="4"/>
  <c r="IH147" i="4"/>
  <c r="IX147" i="4"/>
  <c r="JN147" i="4"/>
  <c r="KD147" i="4"/>
  <c r="V147" i="4"/>
  <c r="AL147" i="4"/>
  <c r="BB147" i="4"/>
  <c r="BR147" i="4"/>
  <c r="CH147" i="4"/>
  <c r="CX147" i="4"/>
  <c r="DN147" i="4"/>
  <c r="ED147" i="4"/>
  <c r="ET147" i="4"/>
  <c r="FJ147" i="4"/>
  <c r="FZ147" i="4"/>
  <c r="GP147" i="4"/>
  <c r="HF147" i="4"/>
  <c r="HV147" i="4"/>
  <c r="IL147" i="4"/>
  <c r="JB147" i="4"/>
  <c r="JR147" i="4"/>
  <c r="KH147" i="4"/>
  <c r="J147" i="4"/>
  <c r="AD147" i="4"/>
  <c r="BA147" i="4"/>
  <c r="BV147" i="4"/>
  <c r="CP147" i="4"/>
  <c r="DM147" i="4"/>
  <c r="EH147" i="4"/>
  <c r="FB147" i="4"/>
  <c r="FY147" i="4"/>
  <c r="GT147" i="4"/>
  <c r="HN147" i="4"/>
  <c r="IK147" i="4"/>
  <c r="JF147" i="4"/>
  <c r="JZ147" i="4"/>
  <c r="K147" i="4"/>
  <c r="AE147" i="4"/>
  <c r="BC147" i="4"/>
  <c r="BW147" i="4"/>
  <c r="CQ147" i="4"/>
  <c r="DO147" i="4"/>
  <c r="EI147" i="4"/>
  <c r="FC147" i="4"/>
  <c r="GA147" i="4"/>
  <c r="GU147" i="4"/>
  <c r="HO147" i="4"/>
  <c r="IM147" i="4"/>
  <c r="JG147" i="4"/>
  <c r="KA147" i="4"/>
  <c r="L147" i="4"/>
  <c r="AI147" i="4"/>
  <c r="BD147" i="4"/>
  <c r="BX147" i="4"/>
  <c r="CU147" i="4"/>
  <c r="DP147" i="4"/>
  <c r="EJ147" i="4"/>
  <c r="FG147" i="4"/>
  <c r="GB147" i="4"/>
  <c r="GV147" i="4"/>
  <c r="HS147" i="4"/>
  <c r="IN147" i="4"/>
  <c r="JH147" i="4"/>
  <c r="KE147" i="4"/>
  <c r="M147" i="4"/>
  <c r="AJ147" i="4"/>
  <c r="BE147" i="4"/>
  <c r="BY147" i="4"/>
  <c r="CV147" i="4"/>
  <c r="DQ147" i="4"/>
  <c r="EK147" i="4"/>
  <c r="FH147" i="4"/>
  <c r="GC147" i="4"/>
  <c r="GW147" i="4"/>
  <c r="HT147" i="4"/>
  <c r="IO147" i="4"/>
  <c r="JI147" i="4"/>
  <c r="KF147" i="4"/>
  <c r="S147" i="4"/>
  <c r="AN147" i="4"/>
  <c r="BH147" i="4"/>
  <c r="CE147" i="4"/>
  <c r="CZ147" i="4"/>
  <c r="DT147" i="4"/>
  <c r="EQ147" i="4"/>
  <c r="FL147" i="4"/>
  <c r="GF147" i="4"/>
  <c r="HC147" i="4"/>
  <c r="HX147" i="4"/>
  <c r="IR147" i="4"/>
  <c r="JO147" i="4"/>
  <c r="AK147" i="4"/>
  <c r="BO147" i="4"/>
  <c r="CO147" i="4"/>
  <c r="DW147" i="4"/>
  <c r="EZ147" i="4"/>
  <c r="GH147" i="4"/>
  <c r="HK147" i="4"/>
  <c r="IS147" i="4"/>
  <c r="JV147" i="4"/>
  <c r="AM147" i="4"/>
  <c r="BP147" i="4"/>
  <c r="CW147" i="4"/>
  <c r="EA147" i="4"/>
  <c r="FA147" i="4"/>
  <c r="GI147" i="4"/>
  <c r="HL147" i="4"/>
  <c r="IT147" i="4"/>
  <c r="JW147" i="4"/>
  <c r="AO147" i="4"/>
  <c r="BQ147" i="4"/>
  <c r="CY147" i="4"/>
  <c r="EB147" i="4"/>
  <c r="FI147" i="4"/>
  <c r="GM147" i="4"/>
  <c r="HM147" i="4"/>
  <c r="IU147" i="4"/>
  <c r="JX147" i="4"/>
  <c r="AP147" i="4"/>
  <c r="BS147" i="4"/>
  <c r="DA147" i="4"/>
  <c r="EC147" i="4"/>
  <c r="FK147" i="4"/>
  <c r="GN147" i="4"/>
  <c r="HU147" i="4"/>
  <c r="IY147" i="4"/>
  <c r="JY147" i="4"/>
  <c r="I147" i="4"/>
  <c r="AQ147" i="4"/>
  <c r="BT147" i="4"/>
  <c r="DB147" i="4"/>
  <c r="EE147" i="4"/>
  <c r="FM147" i="4"/>
  <c r="GO147" i="4"/>
  <c r="HW147" i="4"/>
  <c r="IZ147" i="4"/>
  <c r="KG147" i="4"/>
  <c r="O147" i="4"/>
  <c r="AS147" i="4"/>
  <c r="BZ147" i="4"/>
  <c r="DD147" i="4"/>
  <c r="EG147" i="4"/>
  <c r="FO147" i="4"/>
  <c r="GR147" i="4"/>
  <c r="HZ147" i="4"/>
  <c r="JC147" i="4"/>
  <c r="Z147" i="4"/>
  <c r="CF147" i="4"/>
  <c r="DU147" i="4"/>
  <c r="FS147" i="4"/>
  <c r="HY147" i="4"/>
  <c r="JQ147" i="4"/>
  <c r="AA147" i="4"/>
  <c r="CG147" i="4"/>
  <c r="DV147" i="4"/>
  <c r="FW147" i="4"/>
  <c r="IA147" i="4"/>
  <c r="JS147" i="4"/>
  <c r="AB147" i="4"/>
  <c r="CI147" i="4"/>
  <c r="EF147" i="4"/>
  <c r="FX147" i="4"/>
  <c r="IB147" i="4"/>
  <c r="JT147" i="4"/>
  <c r="AC147" i="4"/>
  <c r="CJ147" i="4"/>
  <c r="EL147" i="4"/>
  <c r="GD147" i="4"/>
  <c r="IC147" i="4"/>
  <c r="JU147" i="4"/>
  <c r="AR147" i="4"/>
  <c r="CK147" i="4"/>
  <c r="EM147" i="4"/>
  <c r="GE147" i="4"/>
  <c r="ID147" i="4"/>
  <c r="KI147" i="4"/>
  <c r="AU147" i="4"/>
  <c r="CM147" i="4"/>
  <c r="ES147" i="4"/>
  <c r="GQ147" i="4"/>
  <c r="II147" i="4"/>
  <c r="BJ147" i="4"/>
  <c r="EV147" i="4"/>
  <c r="HI147" i="4"/>
  <c r="BK147" i="4"/>
  <c r="EW147" i="4"/>
  <c r="HJ147" i="4"/>
  <c r="BU147" i="4"/>
  <c r="EX147" i="4"/>
  <c r="IE147" i="4"/>
  <c r="CA147" i="4"/>
  <c r="EY147" i="4"/>
  <c r="IJ147" i="4"/>
  <c r="N147" i="4"/>
  <c r="CL147" i="4"/>
  <c r="FN147" i="4"/>
  <c r="IP147" i="4"/>
  <c r="U147" i="4"/>
  <c r="DC147" i="4"/>
  <c r="FQ147" i="4"/>
  <c r="JA147" i="4"/>
  <c r="CN147" i="4"/>
  <c r="HD147" i="4"/>
  <c r="DE147" i="4"/>
  <c r="HE147" i="4"/>
  <c r="DF147" i="4"/>
  <c r="HG147" i="4"/>
  <c r="DG147" i="4"/>
  <c r="HH147" i="4"/>
  <c r="DK147" i="4"/>
  <c r="IQ147" i="4"/>
  <c r="AY147" i="4"/>
  <c r="JD147" i="4"/>
  <c r="AZ147" i="4"/>
  <c r="JE147" i="4"/>
  <c r="BF147" i="4"/>
  <c r="JJ147" i="4"/>
  <c r="BG147" i="4"/>
  <c r="JK147" i="4"/>
  <c r="BI147" i="4"/>
  <c r="JP147" i="4"/>
  <c r="FP147" i="4"/>
  <c r="EU147" i="4"/>
  <c r="FR147" i="4"/>
  <c r="GG147" i="4"/>
  <c r="GS147" i="4"/>
  <c r="GY147" i="4"/>
  <c r="Y147" i="4"/>
  <c r="T147" i="4"/>
  <c r="W147" i="4"/>
  <c r="X147" i="4"/>
  <c r="AT147" i="4"/>
  <c r="DL147" i="4"/>
  <c r="DR147" i="4"/>
  <c r="GX147" i="4"/>
  <c r="DS147" i="4"/>
  <c r="ER147" i="4"/>
  <c r="W24" i="4"/>
  <c r="AM24" i="4"/>
  <c r="BC24" i="4"/>
  <c r="BS24" i="4"/>
  <c r="CI24" i="4"/>
  <c r="CY24" i="4"/>
  <c r="DO24" i="4"/>
  <c r="EE24" i="4"/>
  <c r="EU24" i="4"/>
  <c r="FK24" i="4"/>
  <c r="GA24" i="4"/>
  <c r="GQ24" i="4"/>
  <c r="HG24" i="4"/>
  <c r="HW24" i="4"/>
  <c r="IM24" i="4"/>
  <c r="JC24" i="4"/>
  <c r="JS24" i="4"/>
  <c r="KI24" i="4"/>
  <c r="X24" i="4"/>
  <c r="AN24" i="4"/>
  <c r="BD24" i="4"/>
  <c r="BT24" i="4"/>
  <c r="CJ24" i="4"/>
  <c r="CZ24" i="4"/>
  <c r="DP24" i="4"/>
  <c r="EF24" i="4"/>
  <c r="EV24" i="4"/>
  <c r="FL24" i="4"/>
  <c r="GB24" i="4"/>
  <c r="GR24" i="4"/>
  <c r="HH24" i="4"/>
  <c r="HX24" i="4"/>
  <c r="IN24" i="4"/>
  <c r="JD24" i="4"/>
  <c r="JT24" i="4"/>
  <c r="I24" i="4"/>
  <c r="Y24" i="4"/>
  <c r="AO24" i="4"/>
  <c r="BE24" i="4"/>
  <c r="BU24" i="4"/>
  <c r="CK24" i="4"/>
  <c r="DA24" i="4"/>
  <c r="DQ24" i="4"/>
  <c r="EG24" i="4"/>
  <c r="EW24" i="4"/>
  <c r="FM24" i="4"/>
  <c r="GC24" i="4"/>
  <c r="GS24" i="4"/>
  <c r="HI24" i="4"/>
  <c r="HY24" i="4"/>
  <c r="IO24" i="4"/>
  <c r="JE24" i="4"/>
  <c r="JU24" i="4"/>
  <c r="M24" i="4"/>
  <c r="AC24" i="4"/>
  <c r="AS24" i="4"/>
  <c r="BI24" i="4"/>
  <c r="BY24" i="4"/>
  <c r="CO24" i="4"/>
  <c r="DE24" i="4"/>
  <c r="DU24" i="4"/>
  <c r="EK24" i="4"/>
  <c r="FA24" i="4"/>
  <c r="FQ24" i="4"/>
  <c r="GG24" i="4"/>
  <c r="GW24" i="4"/>
  <c r="HM24" i="4"/>
  <c r="IC24" i="4"/>
  <c r="IS24" i="4"/>
  <c r="JI24" i="4"/>
  <c r="JY24" i="4"/>
  <c r="T24" i="4"/>
  <c r="AQ24" i="4"/>
  <c r="BL24" i="4"/>
  <c r="CF24" i="4"/>
  <c r="DC24" i="4"/>
  <c r="DX24" i="4"/>
  <c r="ER24" i="4"/>
  <c r="FO24" i="4"/>
  <c r="GJ24" i="4"/>
  <c r="HD24" i="4"/>
  <c r="IA24" i="4"/>
  <c r="IV24" i="4"/>
  <c r="JP24" i="4"/>
  <c r="U24" i="4"/>
  <c r="AR24" i="4"/>
  <c r="BM24" i="4"/>
  <c r="CG24" i="4"/>
  <c r="DD24" i="4"/>
  <c r="DY24" i="4"/>
  <c r="ES24" i="4"/>
  <c r="FP24" i="4"/>
  <c r="GK24" i="4"/>
  <c r="HE24" i="4"/>
  <c r="IB24" i="4"/>
  <c r="IW24" i="4"/>
  <c r="JQ24" i="4"/>
  <c r="V24" i="4"/>
  <c r="AT24" i="4"/>
  <c r="BN24" i="4"/>
  <c r="CH24" i="4"/>
  <c r="DF24" i="4"/>
  <c r="DZ24" i="4"/>
  <c r="ET24" i="4"/>
  <c r="FR24" i="4"/>
  <c r="GL24" i="4"/>
  <c r="HF24" i="4"/>
  <c r="ID24" i="4"/>
  <c r="IX24" i="4"/>
  <c r="JR24" i="4"/>
  <c r="Z24" i="4"/>
  <c r="AU24" i="4"/>
  <c r="BO24" i="4"/>
  <c r="CL24" i="4"/>
  <c r="DG24" i="4"/>
  <c r="EA24" i="4"/>
  <c r="EX24" i="4"/>
  <c r="FS24" i="4"/>
  <c r="GM24" i="4"/>
  <c r="HJ24" i="4"/>
  <c r="IE24" i="4"/>
  <c r="IY24" i="4"/>
  <c r="JV24" i="4"/>
  <c r="AA24" i="4"/>
  <c r="AV24" i="4"/>
  <c r="BP24" i="4"/>
  <c r="CM24" i="4"/>
  <c r="DH24" i="4"/>
  <c r="EB24" i="4"/>
  <c r="EY24" i="4"/>
  <c r="FT24" i="4"/>
  <c r="GN24" i="4"/>
  <c r="AD24" i="4"/>
  <c r="AX24" i="4"/>
  <c r="BR24" i="4"/>
  <c r="CP24" i="4"/>
  <c r="DJ24" i="4"/>
  <c r="ED24" i="4"/>
  <c r="FB24" i="4"/>
  <c r="FV24" i="4"/>
  <c r="GP24" i="4"/>
  <c r="HN24" i="4"/>
  <c r="IH24" i="4"/>
  <c r="JB24" i="4"/>
  <c r="JZ24" i="4"/>
  <c r="K24" i="4"/>
  <c r="AL24" i="4"/>
  <c r="BZ24" i="4"/>
  <c r="DI24" i="4"/>
  <c r="EN24" i="4"/>
  <c r="FX24" i="4"/>
  <c r="HB24" i="4"/>
  <c r="IJ24" i="4"/>
  <c r="JM24" i="4"/>
  <c r="L24" i="4"/>
  <c r="AP24" i="4"/>
  <c r="CA24" i="4"/>
  <c r="DK24" i="4"/>
  <c r="EO24" i="4"/>
  <c r="FY24" i="4"/>
  <c r="HC24" i="4"/>
  <c r="IK24" i="4"/>
  <c r="JN24" i="4"/>
  <c r="N24" i="4"/>
  <c r="AW24" i="4"/>
  <c r="CB24" i="4"/>
  <c r="DL24" i="4"/>
  <c r="EP24" i="4"/>
  <c r="FZ24" i="4"/>
  <c r="HK24" i="4"/>
  <c r="IL24" i="4"/>
  <c r="JO24" i="4"/>
  <c r="O24" i="4"/>
  <c r="AY24" i="4"/>
  <c r="CC24" i="4"/>
  <c r="DM24" i="4"/>
  <c r="EQ24" i="4"/>
  <c r="GD24" i="4"/>
  <c r="HL24" i="4"/>
  <c r="IP24" i="4"/>
  <c r="JW24" i="4"/>
  <c r="P24" i="4"/>
  <c r="AZ24" i="4"/>
  <c r="CD24" i="4"/>
  <c r="DN24" i="4"/>
  <c r="EZ24" i="4"/>
  <c r="GE24" i="4"/>
  <c r="HO24" i="4"/>
  <c r="IQ24" i="4"/>
  <c r="JX24" i="4"/>
  <c r="R24" i="4"/>
  <c r="BB24" i="4"/>
  <c r="CN24" i="4"/>
  <c r="DS24" i="4"/>
  <c r="FD24" i="4"/>
  <c r="GH24" i="4"/>
  <c r="HQ24" i="4"/>
  <c r="IT24" i="4"/>
  <c r="KB24" i="4"/>
  <c r="AB24" i="4"/>
  <c r="BW24" i="4"/>
  <c r="EC24" i="4"/>
  <c r="GF24" i="4"/>
  <c r="HZ24" i="4"/>
  <c r="KD24" i="4"/>
  <c r="AE24" i="4"/>
  <c r="BX24" i="4"/>
  <c r="EH24" i="4"/>
  <c r="GI24" i="4"/>
  <c r="IF24" i="4"/>
  <c r="KE24" i="4"/>
  <c r="AF24" i="4"/>
  <c r="CE24" i="4"/>
  <c r="EI24" i="4"/>
  <c r="GO24" i="4"/>
  <c r="IG24" i="4"/>
  <c r="KF24" i="4"/>
  <c r="AG24" i="4"/>
  <c r="CQ24" i="4"/>
  <c r="EJ24" i="4"/>
  <c r="GT24" i="4"/>
  <c r="II24" i="4"/>
  <c r="KG24" i="4"/>
  <c r="AH24" i="4"/>
  <c r="CR24" i="4"/>
  <c r="EL24" i="4"/>
  <c r="GU24" i="4"/>
  <c r="IR24" i="4"/>
  <c r="KH24" i="4"/>
  <c r="AJ24" i="4"/>
  <c r="CT24" i="4"/>
  <c r="FC24" i="4"/>
  <c r="GX24" i="4"/>
  <c r="IZ24" i="4"/>
  <c r="Q24" i="4"/>
  <c r="CX24" i="4"/>
  <c r="GV24" i="4"/>
  <c r="JK24" i="4"/>
  <c r="S24" i="4"/>
  <c r="DB24" i="4"/>
  <c r="GY24" i="4"/>
  <c r="JL24" i="4"/>
  <c r="AI24" i="4"/>
  <c r="DR24" i="4"/>
  <c r="GZ24" i="4"/>
  <c r="KA24" i="4"/>
  <c r="AK24" i="4"/>
  <c r="DT24" i="4"/>
  <c r="HA24" i="4"/>
  <c r="KC24" i="4"/>
  <c r="BA24" i="4"/>
  <c r="DV24" i="4"/>
  <c r="HP24" i="4"/>
  <c r="BG24" i="4"/>
  <c r="EM24" i="4"/>
  <c r="HS24" i="4"/>
  <c r="CS24" i="4"/>
  <c r="HU24" i="4"/>
  <c r="CU24" i="4"/>
  <c r="HV24" i="4"/>
  <c r="CV24" i="4"/>
  <c r="IU24" i="4"/>
  <c r="CW24" i="4"/>
  <c r="JA24" i="4"/>
  <c r="DW24" i="4"/>
  <c r="JF24" i="4"/>
  <c r="FF24" i="4"/>
  <c r="JH24" i="4"/>
  <c r="FJ24" i="4"/>
  <c r="FN24" i="4"/>
  <c r="FU24" i="4"/>
  <c r="FW24" i="4"/>
  <c r="HR24" i="4"/>
  <c r="BF24" i="4"/>
  <c r="JG24" i="4"/>
  <c r="FH24" i="4"/>
  <c r="FI24" i="4"/>
  <c r="HT24" i="4"/>
  <c r="JJ24" i="4"/>
  <c r="BQ24" i="4"/>
  <c r="BV24" i="4"/>
  <c r="FE24" i="4"/>
  <c r="FG24" i="4"/>
  <c r="J24" i="4"/>
  <c r="BH24" i="4"/>
  <c r="BJ24" i="4"/>
  <c r="BK24" i="4"/>
  <c r="Q83" i="4"/>
  <c r="AG83" i="4"/>
  <c r="AW83" i="4"/>
  <c r="BM83" i="4"/>
  <c r="CC83" i="4"/>
  <c r="CS83" i="4"/>
  <c r="DI83" i="4"/>
  <c r="DY83" i="4"/>
  <c r="EO83" i="4"/>
  <c r="FE83" i="4"/>
  <c r="FU83" i="4"/>
  <c r="GK83" i="4"/>
  <c r="HA83" i="4"/>
  <c r="HQ83" i="4"/>
  <c r="IG83" i="4"/>
  <c r="IW83" i="4"/>
  <c r="JM83" i="4"/>
  <c r="KC83" i="4"/>
  <c r="R83" i="4"/>
  <c r="AH83" i="4"/>
  <c r="AX83" i="4"/>
  <c r="BN83" i="4"/>
  <c r="CD83" i="4"/>
  <c r="CT83" i="4"/>
  <c r="DJ83" i="4"/>
  <c r="DZ83" i="4"/>
  <c r="EP83" i="4"/>
  <c r="FF83" i="4"/>
  <c r="FV83" i="4"/>
  <c r="GL83" i="4"/>
  <c r="HB83" i="4"/>
  <c r="HR83" i="4"/>
  <c r="IH83" i="4"/>
  <c r="IX83" i="4"/>
  <c r="JN83" i="4"/>
  <c r="KD83" i="4"/>
  <c r="S83" i="4"/>
  <c r="AI83" i="4"/>
  <c r="AY83" i="4"/>
  <c r="BO83" i="4"/>
  <c r="CE83" i="4"/>
  <c r="CU83" i="4"/>
  <c r="DK83" i="4"/>
  <c r="EA83" i="4"/>
  <c r="EQ83" i="4"/>
  <c r="FG83" i="4"/>
  <c r="FW83" i="4"/>
  <c r="GM83" i="4"/>
  <c r="HC83" i="4"/>
  <c r="HS83" i="4"/>
  <c r="II83" i="4"/>
  <c r="IY83" i="4"/>
  <c r="JO83" i="4"/>
  <c r="KE83" i="4"/>
  <c r="W83" i="4"/>
  <c r="AM83" i="4"/>
  <c r="BC83" i="4"/>
  <c r="BS83" i="4"/>
  <c r="CI83" i="4"/>
  <c r="CY83" i="4"/>
  <c r="DO83" i="4"/>
  <c r="EE83" i="4"/>
  <c r="EU83" i="4"/>
  <c r="FK83" i="4"/>
  <c r="GA83" i="4"/>
  <c r="GQ83" i="4"/>
  <c r="HG83" i="4"/>
  <c r="HW83" i="4"/>
  <c r="IM83" i="4"/>
  <c r="JC83" i="4"/>
  <c r="JS83" i="4"/>
  <c r="KI83" i="4"/>
  <c r="Y83" i="4"/>
  <c r="AS83" i="4"/>
  <c r="BP83" i="4"/>
  <c r="CK83" i="4"/>
  <c r="DE83" i="4"/>
  <c r="EB83" i="4"/>
  <c r="EW83" i="4"/>
  <c r="FQ83" i="4"/>
  <c r="GN83" i="4"/>
  <c r="HI83" i="4"/>
  <c r="IC83" i="4"/>
  <c r="IZ83" i="4"/>
  <c r="JU83" i="4"/>
  <c r="Z83" i="4"/>
  <c r="AT83" i="4"/>
  <c r="BQ83" i="4"/>
  <c r="CL83" i="4"/>
  <c r="DF83" i="4"/>
  <c r="EC83" i="4"/>
  <c r="EX83" i="4"/>
  <c r="FR83" i="4"/>
  <c r="GO83" i="4"/>
  <c r="HJ83" i="4"/>
  <c r="ID83" i="4"/>
  <c r="JA83" i="4"/>
  <c r="JV83" i="4"/>
  <c r="AA83" i="4"/>
  <c r="AU83" i="4"/>
  <c r="BR83" i="4"/>
  <c r="CM83" i="4"/>
  <c r="DG83" i="4"/>
  <c r="ED83" i="4"/>
  <c r="EY83" i="4"/>
  <c r="FS83" i="4"/>
  <c r="GP83" i="4"/>
  <c r="HK83" i="4"/>
  <c r="IE83" i="4"/>
  <c r="JB83" i="4"/>
  <c r="JW83" i="4"/>
  <c r="AB83" i="4"/>
  <c r="AV83" i="4"/>
  <c r="BT83" i="4"/>
  <c r="CN83" i="4"/>
  <c r="DH83" i="4"/>
  <c r="EF83" i="4"/>
  <c r="EZ83" i="4"/>
  <c r="FT83" i="4"/>
  <c r="GR83" i="4"/>
  <c r="HL83" i="4"/>
  <c r="IF83" i="4"/>
  <c r="JD83" i="4"/>
  <c r="JX83" i="4"/>
  <c r="I83" i="4"/>
  <c r="AC83" i="4"/>
  <c r="AZ83" i="4"/>
  <c r="BU83" i="4"/>
  <c r="CO83" i="4"/>
  <c r="DL83" i="4"/>
  <c r="EG83" i="4"/>
  <c r="FA83" i="4"/>
  <c r="FX83" i="4"/>
  <c r="GS83" i="4"/>
  <c r="HM83" i="4"/>
  <c r="IJ83" i="4"/>
  <c r="JE83" i="4"/>
  <c r="JY83" i="4"/>
  <c r="K83" i="4"/>
  <c r="AE83" i="4"/>
  <c r="BB83" i="4"/>
  <c r="BW83" i="4"/>
  <c r="CQ83" i="4"/>
  <c r="DN83" i="4"/>
  <c r="EI83" i="4"/>
  <c r="FC83" i="4"/>
  <c r="FZ83" i="4"/>
  <c r="GU83" i="4"/>
  <c r="HO83" i="4"/>
  <c r="IL83" i="4"/>
  <c r="JG83" i="4"/>
  <c r="KA83" i="4"/>
  <c r="J83" i="4"/>
  <c r="AO83" i="4"/>
  <c r="BY83" i="4"/>
  <c r="DC83" i="4"/>
  <c r="EM83" i="4"/>
  <c r="FY83" i="4"/>
  <c r="HD83" i="4"/>
  <c r="IO83" i="4"/>
  <c r="JR83" i="4"/>
  <c r="L83" i="4"/>
  <c r="AP83" i="4"/>
  <c r="BZ83" i="4"/>
  <c r="DD83" i="4"/>
  <c r="EN83" i="4"/>
  <c r="GB83" i="4"/>
  <c r="HE83" i="4"/>
  <c r="IP83" i="4"/>
  <c r="JT83" i="4"/>
  <c r="M83" i="4"/>
  <c r="AQ83" i="4"/>
  <c r="CA83" i="4"/>
  <c r="DM83" i="4"/>
  <c r="ER83" i="4"/>
  <c r="GC83" i="4"/>
  <c r="HF83" i="4"/>
  <c r="IQ83" i="4"/>
  <c r="JZ83" i="4"/>
  <c r="N83" i="4"/>
  <c r="AR83" i="4"/>
  <c r="CB83" i="4"/>
  <c r="DP83" i="4"/>
  <c r="ES83" i="4"/>
  <c r="GD83" i="4"/>
  <c r="HH83" i="4"/>
  <c r="IR83" i="4"/>
  <c r="KB83" i="4"/>
  <c r="O83" i="4"/>
  <c r="BA83" i="4"/>
  <c r="CF83" i="4"/>
  <c r="DQ83" i="4"/>
  <c r="ET83" i="4"/>
  <c r="GE83" i="4"/>
  <c r="HN83" i="4"/>
  <c r="IS83" i="4"/>
  <c r="KF83" i="4"/>
  <c r="T83" i="4"/>
  <c r="BE83" i="4"/>
  <c r="CH83" i="4"/>
  <c r="DS83" i="4"/>
  <c r="FB83" i="4"/>
  <c r="GG83" i="4"/>
  <c r="HT83" i="4"/>
  <c r="IU83" i="4"/>
  <c r="KH83" i="4"/>
  <c r="AD83" i="4"/>
  <c r="CG83" i="4"/>
  <c r="EH83" i="4"/>
  <c r="GI83" i="4"/>
  <c r="IK83" i="4"/>
  <c r="AF83" i="4"/>
  <c r="CJ83" i="4"/>
  <c r="EJ83" i="4"/>
  <c r="GJ83" i="4"/>
  <c r="IN83" i="4"/>
  <c r="AJ83" i="4"/>
  <c r="CP83" i="4"/>
  <c r="EK83" i="4"/>
  <c r="GT83" i="4"/>
  <c r="IT83" i="4"/>
  <c r="AK83" i="4"/>
  <c r="CR83" i="4"/>
  <c r="EL83" i="4"/>
  <c r="GV83" i="4"/>
  <c r="IV83" i="4"/>
  <c r="AL83" i="4"/>
  <c r="CV83" i="4"/>
  <c r="EV83" i="4"/>
  <c r="GW83" i="4"/>
  <c r="JF83" i="4"/>
  <c r="BD83" i="4"/>
  <c r="CX83" i="4"/>
  <c r="FH83" i="4"/>
  <c r="GY83" i="4"/>
  <c r="JI83" i="4"/>
  <c r="BK83" i="4"/>
  <c r="FJ83" i="4"/>
  <c r="IA83" i="4"/>
  <c r="BL83" i="4"/>
  <c r="FL83" i="4"/>
  <c r="IB83" i="4"/>
  <c r="BV83" i="4"/>
  <c r="FM83" i="4"/>
  <c r="JH83" i="4"/>
  <c r="BX83" i="4"/>
  <c r="FN83" i="4"/>
  <c r="JJ83" i="4"/>
  <c r="CW83" i="4"/>
  <c r="FO83" i="4"/>
  <c r="JK83" i="4"/>
  <c r="P83" i="4"/>
  <c r="DA83" i="4"/>
  <c r="GF83" i="4"/>
  <c r="JP83" i="4"/>
  <c r="BG83" i="4"/>
  <c r="GX83" i="4"/>
  <c r="BH83" i="4"/>
  <c r="GZ83" i="4"/>
  <c r="BI83" i="4"/>
  <c r="HP83" i="4"/>
  <c r="BJ83" i="4"/>
  <c r="HU83" i="4"/>
  <c r="CZ83" i="4"/>
  <c r="HV83" i="4"/>
  <c r="DR83" i="4"/>
  <c r="HY83" i="4"/>
  <c r="V83" i="4"/>
  <c r="JL83" i="4"/>
  <c r="X83" i="4"/>
  <c r="JQ83" i="4"/>
  <c r="AN83" i="4"/>
  <c r="KG83" i="4"/>
  <c r="BF83" i="4"/>
  <c r="DB83" i="4"/>
  <c r="DU83" i="4"/>
  <c r="FP83" i="4"/>
  <c r="GH83" i="4"/>
  <c r="HX83" i="4"/>
  <c r="HZ83" i="4"/>
  <c r="DT83" i="4"/>
  <c r="DW83" i="4"/>
  <c r="DX83" i="4"/>
  <c r="FD83" i="4"/>
  <c r="FI83" i="4"/>
  <c r="U83" i="4"/>
  <c r="DV83" i="4"/>
  <c r="T117" i="4"/>
  <c r="AJ117" i="4"/>
  <c r="AZ117" i="4"/>
  <c r="BP117" i="4"/>
  <c r="CF117" i="4"/>
  <c r="CV117" i="4"/>
  <c r="DL117" i="4"/>
  <c r="EB117" i="4"/>
  <c r="ER117" i="4"/>
  <c r="FH117" i="4"/>
  <c r="FX117" i="4"/>
  <c r="GN117" i="4"/>
  <c r="HD117" i="4"/>
  <c r="HT117" i="4"/>
  <c r="IJ117" i="4"/>
  <c r="IZ117" i="4"/>
  <c r="JP117" i="4"/>
  <c r="KF117" i="4"/>
  <c r="U117" i="4"/>
  <c r="AK117" i="4"/>
  <c r="BA117" i="4"/>
  <c r="BQ117" i="4"/>
  <c r="CG117" i="4"/>
  <c r="CW117" i="4"/>
  <c r="DM117" i="4"/>
  <c r="EC117" i="4"/>
  <c r="ES117" i="4"/>
  <c r="FI117" i="4"/>
  <c r="FY117" i="4"/>
  <c r="GO117" i="4"/>
  <c r="HE117" i="4"/>
  <c r="HU117" i="4"/>
  <c r="IK117" i="4"/>
  <c r="JA117" i="4"/>
  <c r="JQ117" i="4"/>
  <c r="KG117" i="4"/>
  <c r="V117" i="4"/>
  <c r="AL117" i="4"/>
  <c r="BB117" i="4"/>
  <c r="BR117" i="4"/>
  <c r="CH117" i="4"/>
  <c r="CX117" i="4"/>
  <c r="DN117" i="4"/>
  <c r="ED117" i="4"/>
  <c r="ET117" i="4"/>
  <c r="FJ117" i="4"/>
  <c r="FZ117" i="4"/>
  <c r="GP117" i="4"/>
  <c r="HF117" i="4"/>
  <c r="HV117" i="4"/>
  <c r="IL117" i="4"/>
  <c r="JB117" i="4"/>
  <c r="JR117" i="4"/>
  <c r="KH117" i="4"/>
  <c r="J117" i="4"/>
  <c r="Z117" i="4"/>
  <c r="AP117" i="4"/>
  <c r="BF117" i="4"/>
  <c r="BV117" i="4"/>
  <c r="CL117" i="4"/>
  <c r="DB117" i="4"/>
  <c r="DR117" i="4"/>
  <c r="EH117" i="4"/>
  <c r="EX117" i="4"/>
  <c r="FN117" i="4"/>
  <c r="GD117" i="4"/>
  <c r="GT117" i="4"/>
  <c r="HJ117" i="4"/>
  <c r="HZ117" i="4"/>
  <c r="IP117" i="4"/>
  <c r="JF117" i="4"/>
  <c r="JV117" i="4"/>
  <c r="L117" i="4"/>
  <c r="AF117" i="4"/>
  <c r="BC117" i="4"/>
  <c r="BX117" i="4"/>
  <c r="CR117" i="4"/>
  <c r="DO117" i="4"/>
  <c r="EJ117" i="4"/>
  <c r="FD117" i="4"/>
  <c r="GA117" i="4"/>
  <c r="GV117" i="4"/>
  <c r="HP117" i="4"/>
  <c r="IM117" i="4"/>
  <c r="JH117" i="4"/>
  <c r="KB117" i="4"/>
  <c r="M117" i="4"/>
  <c r="AG117" i="4"/>
  <c r="BD117" i="4"/>
  <c r="BY117" i="4"/>
  <c r="CS117" i="4"/>
  <c r="DP117" i="4"/>
  <c r="EK117" i="4"/>
  <c r="FE117" i="4"/>
  <c r="GB117" i="4"/>
  <c r="GW117" i="4"/>
  <c r="HQ117" i="4"/>
  <c r="IN117" i="4"/>
  <c r="JI117" i="4"/>
  <c r="KC117" i="4"/>
  <c r="N117" i="4"/>
  <c r="AH117" i="4"/>
  <c r="BE117" i="4"/>
  <c r="BZ117" i="4"/>
  <c r="CT117" i="4"/>
  <c r="DQ117" i="4"/>
  <c r="EL117" i="4"/>
  <c r="FF117" i="4"/>
  <c r="GC117" i="4"/>
  <c r="GX117" i="4"/>
  <c r="HR117" i="4"/>
  <c r="IO117" i="4"/>
  <c r="JJ117" i="4"/>
  <c r="KD117" i="4"/>
  <c r="O117" i="4"/>
  <c r="AI117" i="4"/>
  <c r="BG117" i="4"/>
  <c r="CA117" i="4"/>
  <c r="CU117" i="4"/>
  <c r="DS117" i="4"/>
  <c r="EM117" i="4"/>
  <c r="FG117" i="4"/>
  <c r="GE117" i="4"/>
  <c r="GY117" i="4"/>
  <c r="HS117" i="4"/>
  <c r="IQ117" i="4"/>
  <c r="JK117" i="4"/>
  <c r="KE117" i="4"/>
  <c r="P117" i="4"/>
  <c r="AM117" i="4"/>
  <c r="BH117" i="4"/>
  <c r="CB117" i="4"/>
  <c r="CY117" i="4"/>
  <c r="DT117" i="4"/>
  <c r="EN117" i="4"/>
  <c r="FK117" i="4"/>
  <c r="GF117" i="4"/>
  <c r="GZ117" i="4"/>
  <c r="HW117" i="4"/>
  <c r="IR117" i="4"/>
  <c r="JL117" i="4"/>
  <c r="KI117" i="4"/>
  <c r="R117" i="4"/>
  <c r="AO117" i="4"/>
  <c r="BJ117" i="4"/>
  <c r="CD117" i="4"/>
  <c r="DA117" i="4"/>
  <c r="DV117" i="4"/>
  <c r="EP117" i="4"/>
  <c r="FM117" i="4"/>
  <c r="GH117" i="4"/>
  <c r="HB117" i="4"/>
  <c r="HY117" i="4"/>
  <c r="IT117" i="4"/>
  <c r="JN117" i="4"/>
  <c r="AR117" i="4"/>
  <c r="BU117" i="4"/>
  <c r="DF117" i="4"/>
  <c r="EO117" i="4"/>
  <c r="FT117" i="4"/>
  <c r="HG117" i="4"/>
  <c r="IH117" i="4"/>
  <c r="JU117" i="4"/>
  <c r="AS117" i="4"/>
  <c r="BW117" i="4"/>
  <c r="DG117" i="4"/>
  <c r="EQ117" i="4"/>
  <c r="FU117" i="4"/>
  <c r="HH117" i="4"/>
  <c r="II117" i="4"/>
  <c r="JW117" i="4"/>
  <c r="I117" i="4"/>
  <c r="AT117" i="4"/>
  <c r="CC117" i="4"/>
  <c r="DH117" i="4"/>
  <c r="EU117" i="4"/>
  <c r="FV117" i="4"/>
  <c r="HI117" i="4"/>
  <c r="IS117" i="4"/>
  <c r="JX117" i="4"/>
  <c r="K117" i="4"/>
  <c r="AU117" i="4"/>
  <c r="CE117" i="4"/>
  <c r="DI117" i="4"/>
  <c r="EV117" i="4"/>
  <c r="FW117" i="4"/>
  <c r="HK117" i="4"/>
  <c r="IU117" i="4"/>
  <c r="JY117" i="4"/>
  <c r="Q117" i="4"/>
  <c r="AV117" i="4"/>
  <c r="CI117" i="4"/>
  <c r="DJ117" i="4"/>
  <c r="EW117" i="4"/>
  <c r="GG117" i="4"/>
  <c r="HL117" i="4"/>
  <c r="IV117" i="4"/>
  <c r="JZ117" i="4"/>
  <c r="W117" i="4"/>
  <c r="AX117" i="4"/>
  <c r="CK117" i="4"/>
  <c r="DU117" i="4"/>
  <c r="EZ117" i="4"/>
  <c r="GJ117" i="4"/>
  <c r="HN117" i="4"/>
  <c r="IX117" i="4"/>
  <c r="BL117" i="4"/>
  <c r="DK117" i="4"/>
  <c r="FP117" i="4"/>
  <c r="HX117" i="4"/>
  <c r="JS117" i="4"/>
  <c r="BM117" i="4"/>
  <c r="DW117" i="4"/>
  <c r="FQ117" i="4"/>
  <c r="IA117" i="4"/>
  <c r="JT117" i="4"/>
  <c r="S117" i="4"/>
  <c r="BN117" i="4"/>
  <c r="DX117" i="4"/>
  <c r="FR117" i="4"/>
  <c r="IB117" i="4"/>
  <c r="KA117" i="4"/>
  <c r="X117" i="4"/>
  <c r="BO117" i="4"/>
  <c r="DY117" i="4"/>
  <c r="FS117" i="4"/>
  <c r="IC117" i="4"/>
  <c r="Y117" i="4"/>
  <c r="BS117" i="4"/>
  <c r="DZ117" i="4"/>
  <c r="GI117" i="4"/>
  <c r="ID117" i="4"/>
  <c r="AB117" i="4"/>
  <c r="CJ117" i="4"/>
  <c r="EE117" i="4"/>
  <c r="GL117" i="4"/>
  <c r="IF117" i="4"/>
  <c r="AN117" i="4"/>
  <c r="EA117" i="4"/>
  <c r="HA117" i="4"/>
  <c r="AQ117" i="4"/>
  <c r="EF117" i="4"/>
  <c r="HC117" i="4"/>
  <c r="AW117" i="4"/>
  <c r="EG117" i="4"/>
  <c r="HM117" i="4"/>
  <c r="AY117" i="4"/>
  <c r="EI117" i="4"/>
  <c r="HO117" i="4"/>
  <c r="BI117" i="4"/>
  <c r="EY117" i="4"/>
  <c r="IE117" i="4"/>
  <c r="BT117" i="4"/>
  <c r="FB117" i="4"/>
  <c r="IW117" i="4"/>
  <c r="AD117" i="4"/>
  <c r="GK117" i="4"/>
  <c r="AE117" i="4"/>
  <c r="GM117" i="4"/>
  <c r="BK117" i="4"/>
  <c r="GQ117" i="4"/>
  <c r="CM117" i="4"/>
  <c r="GR117" i="4"/>
  <c r="CN117" i="4"/>
  <c r="GS117" i="4"/>
  <c r="CP117" i="4"/>
  <c r="IG117" i="4"/>
  <c r="AA117" i="4"/>
  <c r="JE117" i="4"/>
  <c r="AC117" i="4"/>
  <c r="JG117" i="4"/>
  <c r="CO117" i="4"/>
  <c r="JM117" i="4"/>
  <c r="CQ117" i="4"/>
  <c r="JO117" i="4"/>
  <c r="CZ117" i="4"/>
  <c r="FL117" i="4"/>
  <c r="DC117" i="4"/>
  <c r="GU117" i="4"/>
  <c r="FA117" i="4"/>
  <c r="DE117" i="4"/>
  <c r="FC117" i="4"/>
  <c r="FO117" i="4"/>
  <c r="IY117" i="4"/>
  <c r="JC117" i="4"/>
  <c r="JD117" i="4"/>
  <c r="DD117" i="4"/>
  <c r="S85" i="4"/>
  <c r="AI85" i="4"/>
  <c r="AY85" i="4"/>
  <c r="BO85" i="4"/>
  <c r="CE85" i="4"/>
  <c r="CU85" i="4"/>
  <c r="DK85" i="4"/>
  <c r="EA85" i="4"/>
  <c r="EQ85" i="4"/>
  <c r="FG85" i="4"/>
  <c r="FW85" i="4"/>
  <c r="GM85" i="4"/>
  <c r="HC85" i="4"/>
  <c r="HS85" i="4"/>
  <c r="II85" i="4"/>
  <c r="IY85" i="4"/>
  <c r="JO85" i="4"/>
  <c r="KE85" i="4"/>
  <c r="T85" i="4"/>
  <c r="AJ85" i="4"/>
  <c r="AZ85" i="4"/>
  <c r="BP85" i="4"/>
  <c r="CF85" i="4"/>
  <c r="CV85" i="4"/>
  <c r="DL85" i="4"/>
  <c r="EB85" i="4"/>
  <c r="ER85" i="4"/>
  <c r="FH85" i="4"/>
  <c r="FX85" i="4"/>
  <c r="GN85" i="4"/>
  <c r="HD85" i="4"/>
  <c r="HT85" i="4"/>
  <c r="IJ85" i="4"/>
  <c r="IZ85" i="4"/>
  <c r="JP85" i="4"/>
  <c r="KF85" i="4"/>
  <c r="U85" i="4"/>
  <c r="AK85" i="4"/>
  <c r="BA85" i="4"/>
  <c r="BQ85" i="4"/>
  <c r="CG85" i="4"/>
  <c r="CW85" i="4"/>
  <c r="DM85" i="4"/>
  <c r="EC85" i="4"/>
  <c r="ES85" i="4"/>
  <c r="FI85" i="4"/>
  <c r="FY85" i="4"/>
  <c r="GO85" i="4"/>
  <c r="HE85" i="4"/>
  <c r="HU85" i="4"/>
  <c r="IK85" i="4"/>
  <c r="JA85" i="4"/>
  <c r="JQ85" i="4"/>
  <c r="KG85" i="4"/>
  <c r="I85" i="4"/>
  <c r="Y85" i="4"/>
  <c r="AO85" i="4"/>
  <c r="BE85" i="4"/>
  <c r="BU85" i="4"/>
  <c r="CK85" i="4"/>
  <c r="DA85" i="4"/>
  <c r="DQ85" i="4"/>
  <c r="EG85" i="4"/>
  <c r="EW85" i="4"/>
  <c r="FM85" i="4"/>
  <c r="GC85" i="4"/>
  <c r="GS85" i="4"/>
  <c r="HI85" i="4"/>
  <c r="HY85" i="4"/>
  <c r="IO85" i="4"/>
  <c r="JE85" i="4"/>
  <c r="JU85" i="4"/>
  <c r="AA85" i="4"/>
  <c r="AU85" i="4"/>
  <c r="BR85" i="4"/>
  <c r="CM85" i="4"/>
  <c r="DG85" i="4"/>
  <c r="ED85" i="4"/>
  <c r="EY85" i="4"/>
  <c r="FS85" i="4"/>
  <c r="GP85" i="4"/>
  <c r="HK85" i="4"/>
  <c r="IE85" i="4"/>
  <c r="JB85" i="4"/>
  <c r="JW85" i="4"/>
  <c r="AB85" i="4"/>
  <c r="AV85" i="4"/>
  <c r="BS85" i="4"/>
  <c r="CN85" i="4"/>
  <c r="DH85" i="4"/>
  <c r="EE85" i="4"/>
  <c r="EZ85" i="4"/>
  <c r="FT85" i="4"/>
  <c r="GQ85" i="4"/>
  <c r="HL85" i="4"/>
  <c r="IF85" i="4"/>
  <c r="JC85" i="4"/>
  <c r="JX85" i="4"/>
  <c r="AC85" i="4"/>
  <c r="AW85" i="4"/>
  <c r="BT85" i="4"/>
  <c r="CO85" i="4"/>
  <c r="DI85" i="4"/>
  <c r="EF85" i="4"/>
  <c r="FA85" i="4"/>
  <c r="FU85" i="4"/>
  <c r="GR85" i="4"/>
  <c r="HM85" i="4"/>
  <c r="IG85" i="4"/>
  <c r="JD85" i="4"/>
  <c r="JY85" i="4"/>
  <c r="J85" i="4"/>
  <c r="AD85" i="4"/>
  <c r="AX85" i="4"/>
  <c r="BV85" i="4"/>
  <c r="CP85" i="4"/>
  <c r="DJ85" i="4"/>
  <c r="EH85" i="4"/>
  <c r="FB85" i="4"/>
  <c r="FV85" i="4"/>
  <c r="GT85" i="4"/>
  <c r="HN85" i="4"/>
  <c r="IH85" i="4"/>
  <c r="JF85" i="4"/>
  <c r="JZ85" i="4"/>
  <c r="K85" i="4"/>
  <c r="AE85" i="4"/>
  <c r="BB85" i="4"/>
  <c r="BW85" i="4"/>
  <c r="CQ85" i="4"/>
  <c r="DN85" i="4"/>
  <c r="EI85" i="4"/>
  <c r="FC85" i="4"/>
  <c r="FZ85" i="4"/>
  <c r="GU85" i="4"/>
  <c r="HO85" i="4"/>
  <c r="IL85" i="4"/>
  <c r="JG85" i="4"/>
  <c r="KA85" i="4"/>
  <c r="M85" i="4"/>
  <c r="AG85" i="4"/>
  <c r="BD85" i="4"/>
  <c r="BY85" i="4"/>
  <c r="CS85" i="4"/>
  <c r="DP85" i="4"/>
  <c r="EK85" i="4"/>
  <c r="FE85" i="4"/>
  <c r="GB85" i="4"/>
  <c r="GW85" i="4"/>
  <c r="HQ85" i="4"/>
  <c r="IN85" i="4"/>
  <c r="JI85" i="4"/>
  <c r="KC85" i="4"/>
  <c r="O85" i="4"/>
  <c r="AS85" i="4"/>
  <c r="CC85" i="4"/>
  <c r="DO85" i="4"/>
  <c r="ET85" i="4"/>
  <c r="GE85" i="4"/>
  <c r="HH85" i="4"/>
  <c r="IS85" i="4"/>
  <c r="KB85" i="4"/>
  <c r="P85" i="4"/>
  <c r="AT85" i="4"/>
  <c r="CD85" i="4"/>
  <c r="DR85" i="4"/>
  <c r="EU85" i="4"/>
  <c r="GF85" i="4"/>
  <c r="HJ85" i="4"/>
  <c r="IT85" i="4"/>
  <c r="KD85" i="4"/>
  <c r="Q85" i="4"/>
  <c r="BC85" i="4"/>
  <c r="CH85" i="4"/>
  <c r="DS85" i="4"/>
  <c r="EV85" i="4"/>
  <c r="GG85" i="4"/>
  <c r="HP85" i="4"/>
  <c r="IU85" i="4"/>
  <c r="KH85" i="4"/>
  <c r="R85" i="4"/>
  <c r="BF85" i="4"/>
  <c r="CI85" i="4"/>
  <c r="DT85" i="4"/>
  <c r="EX85" i="4"/>
  <c r="GH85" i="4"/>
  <c r="HR85" i="4"/>
  <c r="IV85" i="4"/>
  <c r="KI85" i="4"/>
  <c r="V85" i="4"/>
  <c r="BG85" i="4"/>
  <c r="CJ85" i="4"/>
  <c r="DU85" i="4"/>
  <c r="FD85" i="4"/>
  <c r="GI85" i="4"/>
  <c r="HV85" i="4"/>
  <c r="IW85" i="4"/>
  <c r="X85" i="4"/>
  <c r="BI85" i="4"/>
  <c r="CR85" i="4"/>
  <c r="DW85" i="4"/>
  <c r="FJ85" i="4"/>
  <c r="GK85" i="4"/>
  <c r="HX85" i="4"/>
  <c r="JH85" i="4"/>
  <c r="BH85" i="4"/>
  <c r="DC85" i="4"/>
  <c r="FL85" i="4"/>
  <c r="HF85" i="4"/>
  <c r="JM85" i="4"/>
  <c r="BJ85" i="4"/>
  <c r="DD85" i="4"/>
  <c r="FN85" i="4"/>
  <c r="HG85" i="4"/>
  <c r="JN85" i="4"/>
  <c r="BK85" i="4"/>
  <c r="DE85" i="4"/>
  <c r="FO85" i="4"/>
  <c r="HW85" i="4"/>
  <c r="JR85" i="4"/>
  <c r="BL85" i="4"/>
  <c r="DF85" i="4"/>
  <c r="FP85" i="4"/>
  <c r="HZ85" i="4"/>
  <c r="JS85" i="4"/>
  <c r="L85" i="4"/>
  <c r="BM85" i="4"/>
  <c r="DV85" i="4"/>
  <c r="FQ85" i="4"/>
  <c r="IA85" i="4"/>
  <c r="JT85" i="4"/>
  <c r="W85" i="4"/>
  <c r="BX85" i="4"/>
  <c r="DY85" i="4"/>
  <c r="GA85" i="4"/>
  <c r="IC85" i="4"/>
  <c r="AF85" i="4"/>
  <c r="CZ85" i="4"/>
  <c r="GV85" i="4"/>
  <c r="JV85" i="4"/>
  <c r="AH85" i="4"/>
  <c r="DB85" i="4"/>
  <c r="GX85" i="4"/>
  <c r="AL85" i="4"/>
  <c r="DX85" i="4"/>
  <c r="GY85" i="4"/>
  <c r="AM85" i="4"/>
  <c r="DZ85" i="4"/>
  <c r="GZ85" i="4"/>
  <c r="AN85" i="4"/>
  <c r="EJ85" i="4"/>
  <c r="HA85" i="4"/>
  <c r="AQ85" i="4"/>
  <c r="EM85" i="4"/>
  <c r="IB85" i="4"/>
  <c r="AP85" i="4"/>
  <c r="FR85" i="4"/>
  <c r="AR85" i="4"/>
  <c r="GD85" i="4"/>
  <c r="BN85" i="4"/>
  <c r="GJ85" i="4"/>
  <c r="BZ85" i="4"/>
  <c r="GL85" i="4"/>
  <c r="CA85" i="4"/>
  <c r="HB85" i="4"/>
  <c r="CL85" i="4"/>
  <c r="IM85" i="4"/>
  <c r="EL85" i="4"/>
  <c r="EN85" i="4"/>
  <c r="EO85" i="4"/>
  <c r="EP85" i="4"/>
  <c r="FF85" i="4"/>
  <c r="ID85" i="4"/>
  <c r="N85" i="4"/>
  <c r="Z85" i="4"/>
  <c r="CB85" i="4"/>
  <c r="IQ85" i="4"/>
  <c r="CY85" i="4"/>
  <c r="FK85" i="4"/>
  <c r="IP85" i="4"/>
  <c r="IR85" i="4"/>
  <c r="IX85" i="4"/>
  <c r="JJ85" i="4"/>
  <c r="JL85" i="4"/>
  <c r="CT85" i="4"/>
  <c r="CX85" i="4"/>
  <c r="JK85" i="4"/>
  <c r="T21" i="4"/>
  <c r="AJ21" i="4"/>
  <c r="AZ21" i="4"/>
  <c r="BP21" i="4"/>
  <c r="CF21" i="4"/>
  <c r="CV21" i="4"/>
  <c r="DL21" i="4"/>
  <c r="EB21" i="4"/>
  <c r="ER21" i="4"/>
  <c r="FH21" i="4"/>
  <c r="FX21" i="4"/>
  <c r="GN21" i="4"/>
  <c r="HD21" i="4"/>
  <c r="HT21" i="4"/>
  <c r="IJ21" i="4"/>
  <c r="IZ21" i="4"/>
  <c r="JP21" i="4"/>
  <c r="KF21" i="4"/>
  <c r="U21" i="4"/>
  <c r="AK21" i="4"/>
  <c r="BA21" i="4"/>
  <c r="BQ21" i="4"/>
  <c r="CG21" i="4"/>
  <c r="CW21" i="4"/>
  <c r="DM21" i="4"/>
  <c r="EC21" i="4"/>
  <c r="ES21" i="4"/>
  <c r="FI21" i="4"/>
  <c r="FY21" i="4"/>
  <c r="GO21" i="4"/>
  <c r="HE21" i="4"/>
  <c r="HU21" i="4"/>
  <c r="IK21" i="4"/>
  <c r="JA21" i="4"/>
  <c r="JQ21" i="4"/>
  <c r="KG21" i="4"/>
  <c r="V21" i="4"/>
  <c r="AL21" i="4"/>
  <c r="BB21" i="4"/>
  <c r="BR21" i="4"/>
  <c r="CH21" i="4"/>
  <c r="CX21" i="4"/>
  <c r="DN21" i="4"/>
  <c r="ED21" i="4"/>
  <c r="ET21" i="4"/>
  <c r="FJ21" i="4"/>
  <c r="FZ21" i="4"/>
  <c r="GP21" i="4"/>
  <c r="HF21" i="4"/>
  <c r="HV21" i="4"/>
  <c r="IL21" i="4"/>
  <c r="JB21" i="4"/>
  <c r="JR21" i="4"/>
  <c r="KH21" i="4"/>
  <c r="J21" i="4"/>
  <c r="Z21" i="4"/>
  <c r="AP21" i="4"/>
  <c r="BF21" i="4"/>
  <c r="BV21" i="4"/>
  <c r="CL21" i="4"/>
  <c r="DB21" i="4"/>
  <c r="DR21" i="4"/>
  <c r="EH21" i="4"/>
  <c r="EX21" i="4"/>
  <c r="FN21" i="4"/>
  <c r="GD21" i="4"/>
  <c r="GT21" i="4"/>
  <c r="HJ21" i="4"/>
  <c r="HZ21" i="4"/>
  <c r="IP21" i="4"/>
  <c r="JF21" i="4"/>
  <c r="JV21" i="4"/>
  <c r="AC21" i="4"/>
  <c r="AW21" i="4"/>
  <c r="BT21" i="4"/>
  <c r="CO21" i="4"/>
  <c r="DI21" i="4"/>
  <c r="EF21" i="4"/>
  <c r="FA21" i="4"/>
  <c r="FU21" i="4"/>
  <c r="GR21" i="4"/>
  <c r="HM21" i="4"/>
  <c r="IG21" i="4"/>
  <c r="JD21" i="4"/>
  <c r="JY21" i="4"/>
  <c r="I21" i="4"/>
  <c r="AD21" i="4"/>
  <c r="AX21" i="4"/>
  <c r="BU21" i="4"/>
  <c r="CP21" i="4"/>
  <c r="DJ21" i="4"/>
  <c r="EG21" i="4"/>
  <c r="FB21" i="4"/>
  <c r="FV21" i="4"/>
  <c r="GS21" i="4"/>
  <c r="HN21" i="4"/>
  <c r="IH21" i="4"/>
  <c r="JE21" i="4"/>
  <c r="JZ21" i="4"/>
  <c r="K21" i="4"/>
  <c r="AE21" i="4"/>
  <c r="AY21" i="4"/>
  <c r="BW21" i="4"/>
  <c r="CQ21" i="4"/>
  <c r="DK21" i="4"/>
  <c r="EI21" i="4"/>
  <c r="FC21" i="4"/>
  <c r="FW21" i="4"/>
  <c r="GU21" i="4"/>
  <c r="HO21" i="4"/>
  <c r="II21" i="4"/>
  <c r="JG21" i="4"/>
  <c r="KA21" i="4"/>
  <c r="L21" i="4"/>
  <c r="AF21" i="4"/>
  <c r="BC21" i="4"/>
  <c r="BX21" i="4"/>
  <c r="CR21" i="4"/>
  <c r="DO21" i="4"/>
  <c r="EJ21" i="4"/>
  <c r="FD21" i="4"/>
  <c r="GA21" i="4"/>
  <c r="GV21" i="4"/>
  <c r="HP21" i="4"/>
  <c r="IM21" i="4"/>
  <c r="JH21" i="4"/>
  <c r="KB21" i="4"/>
  <c r="M21" i="4"/>
  <c r="AG21" i="4"/>
  <c r="BD21" i="4"/>
  <c r="BY21" i="4"/>
  <c r="CS21" i="4"/>
  <c r="DP21" i="4"/>
  <c r="EK21" i="4"/>
  <c r="FE21" i="4"/>
  <c r="GB21" i="4"/>
  <c r="GW21" i="4"/>
  <c r="HQ21" i="4"/>
  <c r="IN21" i="4"/>
  <c r="JI21" i="4"/>
  <c r="KC21" i="4"/>
  <c r="O21" i="4"/>
  <c r="AI21" i="4"/>
  <c r="BG21" i="4"/>
  <c r="CA21" i="4"/>
  <c r="CU21" i="4"/>
  <c r="DS21" i="4"/>
  <c r="EM21" i="4"/>
  <c r="FG21" i="4"/>
  <c r="GE21" i="4"/>
  <c r="GY21" i="4"/>
  <c r="HS21" i="4"/>
  <c r="IQ21" i="4"/>
  <c r="JK21" i="4"/>
  <c r="KE21" i="4"/>
  <c r="Q21" i="4"/>
  <c r="AU21" i="4"/>
  <c r="CE21" i="4"/>
  <c r="DQ21" i="4"/>
  <c r="EV21" i="4"/>
  <c r="GG21" i="4"/>
  <c r="HK21" i="4"/>
  <c r="IU21" i="4"/>
  <c r="KD21" i="4"/>
  <c r="R21" i="4"/>
  <c r="AV21" i="4"/>
  <c r="CI21" i="4"/>
  <c r="DT21" i="4"/>
  <c r="EW21" i="4"/>
  <c r="GH21" i="4"/>
  <c r="HL21" i="4"/>
  <c r="IV21" i="4"/>
  <c r="KI21" i="4"/>
  <c r="S21" i="4"/>
  <c r="BE21" i="4"/>
  <c r="CJ21" i="4"/>
  <c r="DU21" i="4"/>
  <c r="EY21" i="4"/>
  <c r="GI21" i="4"/>
  <c r="HR21" i="4"/>
  <c r="IW21" i="4"/>
  <c r="W21" i="4"/>
  <c r="BH21" i="4"/>
  <c r="CK21" i="4"/>
  <c r="DV21" i="4"/>
  <c r="EZ21" i="4"/>
  <c r="GJ21" i="4"/>
  <c r="HW21" i="4"/>
  <c r="IX21" i="4"/>
  <c r="X21" i="4"/>
  <c r="BI21" i="4"/>
  <c r="CM21" i="4"/>
  <c r="DW21" i="4"/>
  <c r="FF21" i="4"/>
  <c r="GK21" i="4"/>
  <c r="HX21" i="4"/>
  <c r="IY21" i="4"/>
  <c r="AA21" i="4"/>
  <c r="BK21" i="4"/>
  <c r="CT21" i="4"/>
  <c r="DY21" i="4"/>
  <c r="FL21" i="4"/>
  <c r="GM21" i="4"/>
  <c r="IA21" i="4"/>
  <c r="JJ21" i="4"/>
  <c r="BM21" i="4"/>
  <c r="DG21" i="4"/>
  <c r="FQ21" i="4"/>
  <c r="HY21" i="4"/>
  <c r="JT21" i="4"/>
  <c r="BN21" i="4"/>
  <c r="DH21" i="4"/>
  <c r="FR21" i="4"/>
  <c r="IB21" i="4"/>
  <c r="JU21" i="4"/>
  <c r="N21" i="4"/>
  <c r="BO21" i="4"/>
  <c r="DX21" i="4"/>
  <c r="FS21" i="4"/>
  <c r="IC21" i="4"/>
  <c r="JW21" i="4"/>
  <c r="P21" i="4"/>
  <c r="BS21" i="4"/>
  <c r="DZ21" i="4"/>
  <c r="FT21" i="4"/>
  <c r="ID21" i="4"/>
  <c r="JX21" i="4"/>
  <c r="Y21" i="4"/>
  <c r="BZ21" i="4"/>
  <c r="EA21" i="4"/>
  <c r="GC21" i="4"/>
  <c r="IE21" i="4"/>
  <c r="AH21" i="4"/>
  <c r="CC21" i="4"/>
  <c r="EL21" i="4"/>
  <c r="GL21" i="4"/>
  <c r="IO21" i="4"/>
  <c r="CZ21" i="4"/>
  <c r="GF21" i="4"/>
  <c r="JM21" i="4"/>
  <c r="DA21" i="4"/>
  <c r="GQ21" i="4"/>
  <c r="JN21" i="4"/>
  <c r="AB21" i="4"/>
  <c r="DC21" i="4"/>
  <c r="GX21" i="4"/>
  <c r="JO21" i="4"/>
  <c r="AM21" i="4"/>
  <c r="DD21" i="4"/>
  <c r="GZ21" i="4"/>
  <c r="JS21" i="4"/>
  <c r="AN21" i="4"/>
  <c r="DE21" i="4"/>
  <c r="HA21" i="4"/>
  <c r="AQ21" i="4"/>
  <c r="EE21" i="4"/>
  <c r="HC21" i="4"/>
  <c r="DF21" i="4"/>
  <c r="IS21" i="4"/>
  <c r="EN21" i="4"/>
  <c r="IT21" i="4"/>
  <c r="EO21" i="4"/>
  <c r="JC21" i="4"/>
  <c r="EP21" i="4"/>
  <c r="JL21" i="4"/>
  <c r="EQ21" i="4"/>
  <c r="AO21" i="4"/>
  <c r="FK21" i="4"/>
  <c r="EU21" i="4"/>
  <c r="FM21" i="4"/>
  <c r="FO21" i="4"/>
  <c r="FP21" i="4"/>
  <c r="HB21" i="4"/>
  <c r="HH21" i="4"/>
  <c r="AR21" i="4"/>
  <c r="AS21" i="4"/>
  <c r="AT21" i="4"/>
  <c r="BJ21" i="4"/>
  <c r="CB21" i="4"/>
  <c r="BL21" i="4"/>
  <c r="IF21" i="4"/>
  <c r="IR21" i="4"/>
  <c r="CN21" i="4"/>
  <c r="CY21" i="4"/>
  <c r="HG21" i="4"/>
  <c r="HI21" i="4"/>
  <c r="CD21" i="4"/>
  <c r="N18" i="4"/>
  <c r="AD18" i="4"/>
  <c r="AT18" i="4"/>
  <c r="BJ18" i="4"/>
  <c r="BZ18" i="4"/>
  <c r="CP18" i="4"/>
  <c r="DF18" i="4"/>
  <c r="DV18" i="4"/>
  <c r="EL18" i="4"/>
  <c r="FB18" i="4"/>
  <c r="O18" i="4"/>
  <c r="AE18" i="4"/>
  <c r="AU18" i="4"/>
  <c r="BK18" i="4"/>
  <c r="CA18" i="4"/>
  <c r="CQ18" i="4"/>
  <c r="DG18" i="4"/>
  <c r="DW18" i="4"/>
  <c r="EM18" i="4"/>
  <c r="FC18" i="4"/>
  <c r="FS18" i="4"/>
  <c r="GI18" i="4"/>
  <c r="GY18" i="4"/>
  <c r="HO18" i="4"/>
  <c r="IE18" i="4"/>
  <c r="IU18" i="4"/>
  <c r="JK18" i="4"/>
  <c r="KA18" i="4"/>
  <c r="R18" i="4"/>
  <c r="AH18" i="4"/>
  <c r="AX18" i="4"/>
  <c r="BN18" i="4"/>
  <c r="CD18" i="4"/>
  <c r="CT18" i="4"/>
  <c r="DJ18" i="4"/>
  <c r="DZ18" i="4"/>
  <c r="EP18" i="4"/>
  <c r="FF18" i="4"/>
  <c r="Z18" i="4"/>
  <c r="AS18" i="4"/>
  <c r="BO18" i="4"/>
  <c r="CH18" i="4"/>
  <c r="DA18" i="4"/>
  <c r="DT18" i="4"/>
  <c r="EO18" i="4"/>
  <c r="FI18" i="4"/>
  <c r="FZ18" i="4"/>
  <c r="GQ18" i="4"/>
  <c r="HH18" i="4"/>
  <c r="HY18" i="4"/>
  <c r="IP18" i="4"/>
  <c r="JG18" i="4"/>
  <c r="JX18" i="4"/>
  <c r="AA18" i="4"/>
  <c r="AV18" i="4"/>
  <c r="BP18" i="4"/>
  <c r="CI18" i="4"/>
  <c r="DB18" i="4"/>
  <c r="DU18" i="4"/>
  <c r="EQ18" i="4"/>
  <c r="FJ18" i="4"/>
  <c r="GA18" i="4"/>
  <c r="GR18" i="4"/>
  <c r="HI18" i="4"/>
  <c r="HZ18" i="4"/>
  <c r="IQ18" i="4"/>
  <c r="JH18" i="4"/>
  <c r="JY18" i="4"/>
  <c r="I18" i="4"/>
  <c r="AB18" i="4"/>
  <c r="AW18" i="4"/>
  <c r="BQ18" i="4"/>
  <c r="CJ18" i="4"/>
  <c r="DC18" i="4"/>
  <c r="DX18" i="4"/>
  <c r="ER18" i="4"/>
  <c r="FK18" i="4"/>
  <c r="GB18" i="4"/>
  <c r="GS18" i="4"/>
  <c r="HJ18" i="4"/>
  <c r="IA18" i="4"/>
  <c r="IR18" i="4"/>
  <c r="JI18" i="4"/>
  <c r="JZ18" i="4"/>
  <c r="J18" i="4"/>
  <c r="M18" i="4"/>
  <c r="AI18" i="4"/>
  <c r="BB18" i="4"/>
  <c r="BU18" i="4"/>
  <c r="CN18" i="4"/>
  <c r="DI18" i="4"/>
  <c r="EC18" i="4"/>
  <c r="EV18" i="4"/>
  <c r="FO18" i="4"/>
  <c r="GF18" i="4"/>
  <c r="GW18" i="4"/>
  <c r="HN18" i="4"/>
  <c r="IF18" i="4"/>
  <c r="IW18" i="4"/>
  <c r="JN18" i="4"/>
  <c r="KE18" i="4"/>
  <c r="AF18" i="4"/>
  <c r="BE18" i="4"/>
  <c r="CE18" i="4"/>
  <c r="DE18" i="4"/>
  <c r="EF18" i="4"/>
  <c r="FE18" i="4"/>
  <c r="GD18" i="4"/>
  <c r="HA18" i="4"/>
  <c r="HV18" i="4"/>
  <c r="IT18" i="4"/>
  <c r="JQ18" i="4"/>
  <c r="AG18" i="4"/>
  <c r="BF18" i="4"/>
  <c r="CF18" i="4"/>
  <c r="DH18" i="4"/>
  <c r="EG18" i="4"/>
  <c r="FG18" i="4"/>
  <c r="GE18" i="4"/>
  <c r="HB18" i="4"/>
  <c r="HW18" i="4"/>
  <c r="IV18" i="4"/>
  <c r="JR18" i="4"/>
  <c r="AJ18" i="4"/>
  <c r="BG18" i="4"/>
  <c r="CG18" i="4"/>
  <c r="DK18" i="4"/>
  <c r="EH18" i="4"/>
  <c r="FH18" i="4"/>
  <c r="GG18" i="4"/>
  <c r="HC18" i="4"/>
  <c r="HX18" i="4"/>
  <c r="IX18" i="4"/>
  <c r="JS18" i="4"/>
  <c r="AK18" i="4"/>
  <c r="BH18" i="4"/>
  <c r="CK18" i="4"/>
  <c r="DL18" i="4"/>
  <c r="EI18" i="4"/>
  <c r="FL18" i="4"/>
  <c r="GH18" i="4"/>
  <c r="HD18" i="4"/>
  <c r="IB18" i="4"/>
  <c r="IY18" i="4"/>
  <c r="JT18" i="4"/>
  <c r="K18" i="4"/>
  <c r="AL18" i="4"/>
  <c r="BI18" i="4"/>
  <c r="CL18" i="4"/>
  <c r="DM18" i="4"/>
  <c r="EJ18" i="4"/>
  <c r="FM18" i="4"/>
  <c r="GJ18" i="4"/>
  <c r="HE18" i="4"/>
  <c r="IC18" i="4"/>
  <c r="IZ18" i="4"/>
  <c r="JU18" i="4"/>
  <c r="P18" i="4"/>
  <c r="AN18" i="4"/>
  <c r="BM18" i="4"/>
  <c r="CO18" i="4"/>
  <c r="DO18" i="4"/>
  <c r="EN18" i="4"/>
  <c r="FP18" i="4"/>
  <c r="GL18" i="4"/>
  <c r="HG18" i="4"/>
  <c r="IG18" i="4"/>
  <c r="JB18" i="4"/>
  <c r="JW18" i="4"/>
  <c r="U18" i="4"/>
  <c r="BL18" i="4"/>
  <c r="CX18" i="4"/>
  <c r="ET18" i="4"/>
  <c r="FY18" i="4"/>
  <c r="HP18" i="4"/>
  <c r="JA18" i="4"/>
  <c r="KH18" i="4"/>
  <c r="V18" i="4"/>
  <c r="BR18" i="4"/>
  <c r="CY18" i="4"/>
  <c r="EU18" i="4"/>
  <c r="GC18" i="4"/>
  <c r="HQ18" i="4"/>
  <c r="JC18" i="4"/>
  <c r="KI18" i="4"/>
  <c r="W18" i="4"/>
  <c r="BS18" i="4"/>
  <c r="CZ18" i="4"/>
  <c r="EW18" i="4"/>
  <c r="GK18" i="4"/>
  <c r="HR18" i="4"/>
  <c r="JD18" i="4"/>
  <c r="X18" i="4"/>
  <c r="BT18" i="4"/>
  <c r="DD18" i="4"/>
  <c r="EX18" i="4"/>
  <c r="GM18" i="4"/>
  <c r="HS18" i="4"/>
  <c r="JE18" i="4"/>
  <c r="Y18" i="4"/>
  <c r="BV18" i="4"/>
  <c r="DN18" i="4"/>
  <c r="EY18" i="4"/>
  <c r="GN18" i="4"/>
  <c r="HT18" i="4"/>
  <c r="JF18" i="4"/>
  <c r="AM18" i="4"/>
  <c r="BX18" i="4"/>
  <c r="DQ18" i="4"/>
  <c r="FA18" i="4"/>
  <c r="GP18" i="4"/>
  <c r="ID18" i="4"/>
  <c r="JL18" i="4"/>
  <c r="AP18" i="4"/>
  <c r="CV18" i="4"/>
  <c r="FR18" i="4"/>
  <c r="HU18" i="4"/>
  <c r="KC18" i="4"/>
  <c r="AQ18" i="4"/>
  <c r="CW18" i="4"/>
  <c r="FT18" i="4"/>
  <c r="IH18" i="4"/>
  <c r="KD18" i="4"/>
  <c r="AR18" i="4"/>
  <c r="DP18" i="4"/>
  <c r="FU18" i="4"/>
  <c r="II18" i="4"/>
  <c r="KF18" i="4"/>
  <c r="AY18" i="4"/>
  <c r="DR18" i="4"/>
  <c r="FV18" i="4"/>
  <c r="IJ18" i="4"/>
  <c r="KG18" i="4"/>
  <c r="AZ18" i="4"/>
  <c r="DS18" i="4"/>
  <c r="FW18" i="4"/>
  <c r="IK18" i="4"/>
  <c r="BC18" i="4"/>
  <c r="EA18" i="4"/>
  <c r="GO18" i="4"/>
  <c r="IM18" i="4"/>
  <c r="L18" i="4"/>
  <c r="DY18" i="4"/>
  <c r="HF18" i="4"/>
  <c r="Q18" i="4"/>
  <c r="EB18" i="4"/>
  <c r="HK18" i="4"/>
  <c r="S18" i="4"/>
  <c r="ED18" i="4"/>
  <c r="HL18" i="4"/>
  <c r="T18" i="4"/>
  <c r="EE18" i="4"/>
  <c r="HM18" i="4"/>
  <c r="AC18" i="4"/>
  <c r="EK18" i="4"/>
  <c r="IL18" i="4"/>
  <c r="BA18" i="4"/>
  <c r="EZ18" i="4"/>
  <c r="IO18" i="4"/>
  <c r="CB18" i="4"/>
  <c r="IN18" i="4"/>
  <c r="CC18" i="4"/>
  <c r="IS18" i="4"/>
  <c r="CM18" i="4"/>
  <c r="JJ18" i="4"/>
  <c r="CR18" i="4"/>
  <c r="JM18" i="4"/>
  <c r="CS18" i="4"/>
  <c r="JO18" i="4"/>
  <c r="ES18" i="4"/>
  <c r="JV18" i="4"/>
  <c r="AO18" i="4"/>
  <c r="BD18" i="4"/>
  <c r="BW18" i="4"/>
  <c r="BY18" i="4"/>
  <c r="CU18" i="4"/>
  <c r="FN18" i="4"/>
  <c r="FD18" i="4"/>
  <c r="FQ18" i="4"/>
  <c r="FX18" i="4"/>
  <c r="GU18" i="4"/>
  <c r="GT18" i="4"/>
  <c r="GV18" i="4"/>
  <c r="GX18" i="4"/>
  <c r="JP18" i="4"/>
  <c r="GZ18" i="4"/>
  <c r="KB18" i="4"/>
  <c r="T4" i="4"/>
  <c r="AJ4" i="4"/>
  <c r="AZ4" i="4"/>
  <c r="BP4" i="4"/>
  <c r="CF4" i="4"/>
  <c r="CV4" i="4"/>
  <c r="DL4" i="4"/>
  <c r="EB4" i="4"/>
  <c r="ER4" i="4"/>
  <c r="FH4" i="4"/>
  <c r="FX4" i="4"/>
  <c r="GN4" i="4"/>
  <c r="HD4" i="4"/>
  <c r="V4" i="4"/>
  <c r="AL4" i="4"/>
  <c r="BB4" i="4"/>
  <c r="P4" i="4"/>
  <c r="AH4" i="4"/>
  <c r="BA4" i="4"/>
  <c r="BS4" i="4"/>
  <c r="CJ4" i="4"/>
  <c r="DA4" i="4"/>
  <c r="DR4" i="4"/>
  <c r="EI4" i="4"/>
  <c r="EZ4" i="4"/>
  <c r="FQ4" i="4"/>
  <c r="GH4" i="4"/>
  <c r="GY4" i="4"/>
  <c r="HP4" i="4"/>
  <c r="IF4" i="4"/>
  <c r="IV4" i="4"/>
  <c r="JL4" i="4"/>
  <c r="KB4" i="4"/>
  <c r="Q4" i="4"/>
  <c r="AI4" i="4"/>
  <c r="BC4" i="4"/>
  <c r="BT4" i="4"/>
  <c r="CK4" i="4"/>
  <c r="DB4" i="4"/>
  <c r="DS4" i="4"/>
  <c r="EJ4" i="4"/>
  <c r="FA4" i="4"/>
  <c r="FR4" i="4"/>
  <c r="GI4" i="4"/>
  <c r="GZ4" i="4"/>
  <c r="HQ4" i="4"/>
  <c r="IG4" i="4"/>
  <c r="IW4" i="4"/>
  <c r="JM4" i="4"/>
  <c r="KC4" i="4"/>
  <c r="R4" i="4"/>
  <c r="AK4" i="4"/>
  <c r="BD4" i="4"/>
  <c r="BU4" i="4"/>
  <c r="CL4" i="4"/>
  <c r="DC4" i="4"/>
  <c r="DT4" i="4"/>
  <c r="EK4" i="4"/>
  <c r="FB4" i="4"/>
  <c r="FS4" i="4"/>
  <c r="GJ4" i="4"/>
  <c r="HA4" i="4"/>
  <c r="HR4" i="4"/>
  <c r="IH4" i="4"/>
  <c r="IX4" i="4"/>
  <c r="JN4" i="4"/>
  <c r="KD4" i="4"/>
  <c r="S4" i="4"/>
  <c r="AM4" i="4"/>
  <c r="BE4" i="4"/>
  <c r="BV4" i="4"/>
  <c r="CM4" i="4"/>
  <c r="DD4" i="4"/>
  <c r="DU4" i="4"/>
  <c r="EL4" i="4"/>
  <c r="FC4" i="4"/>
  <c r="FT4" i="4"/>
  <c r="GK4" i="4"/>
  <c r="HB4" i="4"/>
  <c r="HS4" i="4"/>
  <c r="II4" i="4"/>
  <c r="IY4" i="4"/>
  <c r="JO4" i="4"/>
  <c r="KE4" i="4"/>
  <c r="U4" i="4"/>
  <c r="AN4" i="4"/>
  <c r="BF4" i="4"/>
  <c r="BW4" i="4"/>
  <c r="CN4" i="4"/>
  <c r="DE4" i="4"/>
  <c r="DV4" i="4"/>
  <c r="EM4" i="4"/>
  <c r="FD4" i="4"/>
  <c r="FU4" i="4"/>
  <c r="GL4" i="4"/>
  <c r="HC4" i="4"/>
  <c r="HT4" i="4"/>
  <c r="IJ4" i="4"/>
  <c r="IZ4" i="4"/>
  <c r="JP4" i="4"/>
  <c r="KF4" i="4"/>
  <c r="K4" i="4"/>
  <c r="AO4" i="4"/>
  <c r="BL4" i="4"/>
  <c r="CI4" i="4"/>
  <c r="DJ4" i="4"/>
  <c r="EG4" i="4"/>
  <c r="FI4" i="4"/>
  <c r="GE4" i="4"/>
  <c r="HG4" i="4"/>
  <c r="IB4" i="4"/>
  <c r="JB4" i="4"/>
  <c r="JW4" i="4"/>
  <c r="L4" i="4"/>
  <c r="AP4" i="4"/>
  <c r="BM4" i="4"/>
  <c r="CO4" i="4"/>
  <c r="DK4" i="4"/>
  <c r="EH4" i="4"/>
  <c r="FJ4" i="4"/>
  <c r="GF4" i="4"/>
  <c r="HH4" i="4"/>
  <c r="IC4" i="4"/>
  <c r="JC4" i="4"/>
  <c r="JX4" i="4"/>
  <c r="M4" i="4"/>
  <c r="AQ4" i="4"/>
  <c r="BN4" i="4"/>
  <c r="CP4" i="4"/>
  <c r="DM4" i="4"/>
  <c r="EN4" i="4"/>
  <c r="FK4" i="4"/>
  <c r="GG4" i="4"/>
  <c r="HI4" i="4"/>
  <c r="ID4" i="4"/>
  <c r="JD4" i="4"/>
  <c r="JY4" i="4"/>
  <c r="N4" i="4"/>
  <c r="AR4" i="4"/>
  <c r="BO4" i="4"/>
  <c r="CQ4" i="4"/>
  <c r="DN4" i="4"/>
  <c r="EO4" i="4"/>
  <c r="FL4" i="4"/>
  <c r="GM4" i="4"/>
  <c r="HJ4" i="4"/>
  <c r="IE4" i="4"/>
  <c r="JE4" i="4"/>
  <c r="JZ4" i="4"/>
  <c r="O4" i="4"/>
  <c r="AS4" i="4"/>
  <c r="BQ4" i="4"/>
  <c r="CR4" i="4"/>
  <c r="DO4" i="4"/>
  <c r="EP4" i="4"/>
  <c r="FM4" i="4"/>
  <c r="GO4" i="4"/>
  <c r="HK4" i="4"/>
  <c r="IK4" i="4"/>
  <c r="JF4" i="4"/>
  <c r="KA4" i="4"/>
  <c r="X4" i="4"/>
  <c r="AU4" i="4"/>
  <c r="BX4" i="4"/>
  <c r="CT4" i="4"/>
  <c r="DQ4" i="4"/>
  <c r="ES4" i="4"/>
  <c r="FO4" i="4"/>
  <c r="GQ4" i="4"/>
  <c r="HM4" i="4"/>
  <c r="IM4" i="4"/>
  <c r="JH4" i="4"/>
  <c r="KH4" i="4"/>
  <c r="AB4" i="4"/>
  <c r="BR4" i="4"/>
  <c r="DF4" i="4"/>
  <c r="EU4" i="4"/>
  <c r="GC4" i="4"/>
  <c r="HV4" i="4"/>
  <c r="JG4" i="4"/>
  <c r="AC4" i="4"/>
  <c r="BY4" i="4"/>
  <c r="DG4" i="4"/>
  <c r="EV4" i="4"/>
  <c r="GD4" i="4"/>
  <c r="HW4" i="4"/>
  <c r="JI4" i="4"/>
  <c r="AD4" i="4"/>
  <c r="BZ4" i="4"/>
  <c r="DH4" i="4"/>
  <c r="EW4" i="4"/>
  <c r="GP4" i="4"/>
  <c r="HX4" i="4"/>
  <c r="JJ4" i="4"/>
  <c r="AE4" i="4"/>
  <c r="CA4" i="4"/>
  <c r="DI4" i="4"/>
  <c r="EX4" i="4"/>
  <c r="GR4" i="4"/>
  <c r="HY4" i="4"/>
  <c r="JK4" i="4"/>
  <c r="AF4" i="4"/>
  <c r="CB4" i="4"/>
  <c r="DP4" i="4"/>
  <c r="EY4" i="4"/>
  <c r="GS4" i="4"/>
  <c r="HZ4" i="4"/>
  <c r="JQ4" i="4"/>
  <c r="AT4" i="4"/>
  <c r="CD4" i="4"/>
  <c r="DX4" i="4"/>
  <c r="FF4" i="4"/>
  <c r="GU4" i="4"/>
  <c r="IL4" i="4"/>
  <c r="JS4" i="4"/>
  <c r="AG4" i="4"/>
  <c r="CW4" i="4"/>
  <c r="FN4" i="4"/>
  <c r="HO4" i="4"/>
  <c r="KG4" i="4"/>
  <c r="AV4" i="4"/>
  <c r="CX4" i="4"/>
  <c r="FP4" i="4"/>
  <c r="HU4" i="4"/>
  <c r="KI4" i="4"/>
  <c r="AW4" i="4"/>
  <c r="CY4" i="4"/>
  <c r="FV4" i="4"/>
  <c r="IA4" i="4"/>
  <c r="AX4" i="4"/>
  <c r="CZ4" i="4"/>
  <c r="FW4" i="4"/>
  <c r="IN4" i="4"/>
  <c r="AY4" i="4"/>
  <c r="DW4" i="4"/>
  <c r="FY4" i="4"/>
  <c r="IO4" i="4"/>
  <c r="BH4" i="4"/>
  <c r="DZ4" i="4"/>
  <c r="GA4" i="4"/>
  <c r="IQ4" i="4"/>
  <c r="CG4" i="4"/>
  <c r="GT4" i="4"/>
  <c r="JU4" i="4"/>
  <c r="CH4" i="4"/>
  <c r="GV4" i="4"/>
  <c r="JV4" i="4"/>
  <c r="CS4" i="4"/>
  <c r="GW4" i="4"/>
  <c r="CU4" i="4"/>
  <c r="GX4" i="4"/>
  <c r="I4" i="4"/>
  <c r="DY4" i="4"/>
  <c r="HE4" i="4"/>
  <c r="W4" i="4"/>
  <c r="EC4" i="4"/>
  <c r="HL4" i="4"/>
  <c r="J4" i="4"/>
  <c r="FE4" i="4"/>
  <c r="Y4" i="4"/>
  <c r="FG4" i="4"/>
  <c r="Z4" i="4"/>
  <c r="FZ4" i="4"/>
  <c r="AA4" i="4"/>
  <c r="GB4" i="4"/>
  <c r="BG4" i="4"/>
  <c r="HF4" i="4"/>
  <c r="BJ4" i="4"/>
  <c r="IP4" i="4"/>
  <c r="EE4" i="4"/>
  <c r="EF4" i="4"/>
  <c r="EQ4" i="4"/>
  <c r="ET4" i="4"/>
  <c r="HN4" i="4"/>
  <c r="IS4" i="4"/>
  <c r="IR4" i="4"/>
  <c r="IT4" i="4"/>
  <c r="IU4" i="4"/>
  <c r="JA4" i="4"/>
  <c r="JR4" i="4"/>
  <c r="CC4" i="4"/>
  <c r="CE4" i="4"/>
  <c r="EA4" i="4"/>
  <c r="ED4" i="4"/>
  <c r="JT4" i="4"/>
  <c r="BI4" i="4"/>
  <c r="BK4" i="4"/>
  <c r="S111" i="4"/>
  <c r="AI111" i="4"/>
  <c r="AY111" i="4"/>
  <c r="BO111" i="4"/>
  <c r="CE111" i="4"/>
  <c r="CU111" i="4"/>
  <c r="DK111" i="4"/>
  <c r="EA111" i="4"/>
  <c r="EQ111" i="4"/>
  <c r="FG111" i="4"/>
  <c r="FW111" i="4"/>
  <c r="GM111" i="4"/>
  <c r="HC111" i="4"/>
  <c r="HS111" i="4"/>
  <c r="II111" i="4"/>
  <c r="IY111" i="4"/>
  <c r="JO111" i="4"/>
  <c r="KE111" i="4"/>
  <c r="N111" i="4"/>
  <c r="AE111" i="4"/>
  <c r="AV111" i="4"/>
  <c r="BM111" i="4"/>
  <c r="CD111" i="4"/>
  <c r="CV111" i="4"/>
  <c r="DM111" i="4"/>
  <c r="ED111" i="4"/>
  <c r="EU111" i="4"/>
  <c r="FL111" i="4"/>
  <c r="GC111" i="4"/>
  <c r="GT111" i="4"/>
  <c r="HK111" i="4"/>
  <c r="IB111" i="4"/>
  <c r="IS111" i="4"/>
  <c r="JJ111" i="4"/>
  <c r="KA111" i="4"/>
  <c r="O111" i="4"/>
  <c r="AF111" i="4"/>
  <c r="AW111" i="4"/>
  <c r="BN111" i="4"/>
  <c r="CF111" i="4"/>
  <c r="CW111" i="4"/>
  <c r="DN111" i="4"/>
  <c r="EE111" i="4"/>
  <c r="EV111" i="4"/>
  <c r="FM111" i="4"/>
  <c r="GD111" i="4"/>
  <c r="GU111" i="4"/>
  <c r="HL111" i="4"/>
  <c r="IC111" i="4"/>
  <c r="IT111" i="4"/>
  <c r="JK111" i="4"/>
  <c r="KB111" i="4"/>
  <c r="P111" i="4"/>
  <c r="AG111" i="4"/>
  <c r="AX111" i="4"/>
  <c r="BP111" i="4"/>
  <c r="CG111" i="4"/>
  <c r="CX111" i="4"/>
  <c r="DO111" i="4"/>
  <c r="EF111" i="4"/>
  <c r="EW111" i="4"/>
  <c r="FN111" i="4"/>
  <c r="GE111" i="4"/>
  <c r="GV111" i="4"/>
  <c r="HM111" i="4"/>
  <c r="ID111" i="4"/>
  <c r="IU111" i="4"/>
  <c r="JL111" i="4"/>
  <c r="KC111" i="4"/>
  <c r="U111" i="4"/>
  <c r="AL111" i="4"/>
  <c r="BC111" i="4"/>
  <c r="BT111" i="4"/>
  <c r="CK111" i="4"/>
  <c r="DB111" i="4"/>
  <c r="DS111" i="4"/>
  <c r="EJ111" i="4"/>
  <c r="FA111" i="4"/>
  <c r="FR111" i="4"/>
  <c r="GI111" i="4"/>
  <c r="GZ111" i="4"/>
  <c r="HQ111" i="4"/>
  <c r="IH111" i="4"/>
  <c r="IZ111" i="4"/>
  <c r="JQ111" i="4"/>
  <c r="KH111" i="4"/>
  <c r="W111" i="4"/>
  <c r="AR111" i="4"/>
  <c r="BQ111" i="4"/>
  <c r="CM111" i="4"/>
  <c r="DH111" i="4"/>
  <c r="EG111" i="4"/>
  <c r="FC111" i="4"/>
  <c r="FY111" i="4"/>
  <c r="GW111" i="4"/>
  <c r="HT111" i="4"/>
  <c r="IO111" i="4"/>
  <c r="JM111" i="4"/>
  <c r="X111" i="4"/>
  <c r="AS111" i="4"/>
  <c r="BR111" i="4"/>
  <c r="CN111" i="4"/>
  <c r="DI111" i="4"/>
  <c r="EH111" i="4"/>
  <c r="FD111" i="4"/>
  <c r="FZ111" i="4"/>
  <c r="GX111" i="4"/>
  <c r="HU111" i="4"/>
  <c r="IP111" i="4"/>
  <c r="JN111" i="4"/>
  <c r="Y111" i="4"/>
  <c r="AT111" i="4"/>
  <c r="BS111" i="4"/>
  <c r="CO111" i="4"/>
  <c r="DJ111" i="4"/>
  <c r="EI111" i="4"/>
  <c r="FE111" i="4"/>
  <c r="GA111" i="4"/>
  <c r="GY111" i="4"/>
  <c r="HV111" i="4"/>
  <c r="IQ111" i="4"/>
  <c r="JP111" i="4"/>
  <c r="Z111" i="4"/>
  <c r="AU111" i="4"/>
  <c r="BU111" i="4"/>
  <c r="CP111" i="4"/>
  <c r="DL111" i="4"/>
  <c r="EK111" i="4"/>
  <c r="FF111" i="4"/>
  <c r="GB111" i="4"/>
  <c r="HA111" i="4"/>
  <c r="HW111" i="4"/>
  <c r="IR111" i="4"/>
  <c r="JR111" i="4"/>
  <c r="AA111" i="4"/>
  <c r="AZ111" i="4"/>
  <c r="BV111" i="4"/>
  <c r="CQ111" i="4"/>
  <c r="DP111" i="4"/>
  <c r="EL111" i="4"/>
  <c r="FH111" i="4"/>
  <c r="GF111" i="4"/>
  <c r="HB111" i="4"/>
  <c r="HX111" i="4"/>
  <c r="IV111" i="4"/>
  <c r="JS111" i="4"/>
  <c r="AC111" i="4"/>
  <c r="BB111" i="4"/>
  <c r="BX111" i="4"/>
  <c r="CS111" i="4"/>
  <c r="DR111" i="4"/>
  <c r="EN111" i="4"/>
  <c r="FJ111" i="4"/>
  <c r="GH111" i="4"/>
  <c r="HE111" i="4"/>
  <c r="HZ111" i="4"/>
  <c r="IX111" i="4"/>
  <c r="JU111" i="4"/>
  <c r="J111" i="4"/>
  <c r="AP111" i="4"/>
  <c r="CB111" i="4"/>
  <c r="DQ111" i="4"/>
  <c r="EX111" i="4"/>
  <c r="GK111" i="4"/>
  <c r="HP111" i="4"/>
  <c r="JD111" i="4"/>
  <c r="K111" i="4"/>
  <c r="AQ111" i="4"/>
  <c r="CC111" i="4"/>
  <c r="DT111" i="4"/>
  <c r="EY111" i="4"/>
  <c r="GL111" i="4"/>
  <c r="HR111" i="4"/>
  <c r="JE111" i="4"/>
  <c r="L111" i="4"/>
  <c r="BA111" i="4"/>
  <c r="CH111" i="4"/>
  <c r="DU111" i="4"/>
  <c r="EZ111" i="4"/>
  <c r="GN111" i="4"/>
  <c r="HY111" i="4"/>
  <c r="JF111" i="4"/>
  <c r="M111" i="4"/>
  <c r="BD111" i="4"/>
  <c r="CI111" i="4"/>
  <c r="DV111" i="4"/>
  <c r="FB111" i="4"/>
  <c r="GO111" i="4"/>
  <c r="IA111" i="4"/>
  <c r="JG111" i="4"/>
  <c r="Q111" i="4"/>
  <c r="BE111" i="4"/>
  <c r="CJ111" i="4"/>
  <c r="DW111" i="4"/>
  <c r="FI111" i="4"/>
  <c r="GP111" i="4"/>
  <c r="IE111" i="4"/>
  <c r="JH111" i="4"/>
  <c r="T111" i="4"/>
  <c r="BG111" i="4"/>
  <c r="CR111" i="4"/>
  <c r="DY111" i="4"/>
  <c r="FO111" i="4"/>
  <c r="GR111" i="4"/>
  <c r="IG111" i="4"/>
  <c r="JT111" i="4"/>
  <c r="AN111" i="4"/>
  <c r="DA111" i="4"/>
  <c r="FK111" i="4"/>
  <c r="HI111" i="4"/>
  <c r="JW111" i="4"/>
  <c r="AO111" i="4"/>
  <c r="DC111" i="4"/>
  <c r="FP111" i="4"/>
  <c r="HJ111" i="4"/>
  <c r="JX111" i="4"/>
  <c r="BF111" i="4"/>
  <c r="DD111" i="4"/>
  <c r="FQ111" i="4"/>
  <c r="HN111" i="4"/>
  <c r="JY111" i="4"/>
  <c r="BH111" i="4"/>
  <c r="DE111" i="4"/>
  <c r="FS111" i="4"/>
  <c r="HO111" i="4"/>
  <c r="JZ111" i="4"/>
  <c r="BI111" i="4"/>
  <c r="DF111" i="4"/>
  <c r="FT111" i="4"/>
  <c r="IF111" i="4"/>
  <c r="KD111" i="4"/>
  <c r="BK111" i="4"/>
  <c r="DX111" i="4"/>
  <c r="FV111" i="4"/>
  <c r="IK111" i="4"/>
  <c r="KG111" i="4"/>
  <c r="BJ111" i="4"/>
  <c r="EP111" i="4"/>
  <c r="IM111" i="4"/>
  <c r="BL111" i="4"/>
  <c r="ER111" i="4"/>
  <c r="IN111" i="4"/>
  <c r="BW111" i="4"/>
  <c r="ES111" i="4"/>
  <c r="IW111" i="4"/>
  <c r="BY111" i="4"/>
  <c r="ET111" i="4"/>
  <c r="JA111" i="4"/>
  <c r="BZ111" i="4"/>
  <c r="FU111" i="4"/>
  <c r="JB111" i="4"/>
  <c r="CL111" i="4"/>
  <c r="GG111" i="4"/>
  <c r="JI111" i="4"/>
  <c r="AH111" i="4"/>
  <c r="GQ111" i="4"/>
  <c r="AJ111" i="4"/>
  <c r="GS111" i="4"/>
  <c r="AK111" i="4"/>
  <c r="HD111" i="4"/>
  <c r="AM111" i="4"/>
  <c r="HF111" i="4"/>
  <c r="CA111" i="4"/>
  <c r="HG111" i="4"/>
  <c r="CY111" i="4"/>
  <c r="IJ111" i="4"/>
  <c r="EM111" i="4"/>
  <c r="EO111" i="4"/>
  <c r="FX111" i="4"/>
  <c r="GJ111" i="4"/>
  <c r="HH111" i="4"/>
  <c r="CT111" i="4"/>
  <c r="JV111" i="4"/>
  <c r="KF111" i="4"/>
  <c r="KI111" i="4"/>
  <c r="I111" i="4"/>
  <c r="DG111" i="4"/>
  <c r="CZ111" i="4"/>
  <c r="V111" i="4"/>
  <c r="AB111" i="4"/>
  <c r="AD111" i="4"/>
  <c r="DZ111" i="4"/>
  <c r="EB111" i="4"/>
  <c r="EC111" i="4"/>
  <c r="R111" i="4"/>
  <c r="IL111" i="4"/>
  <c r="JC111" i="4"/>
  <c r="O81" i="4"/>
  <c r="AE81" i="4"/>
  <c r="AU81" i="4"/>
  <c r="BK81" i="4"/>
  <c r="CA81" i="4"/>
  <c r="CQ81" i="4"/>
  <c r="DG81" i="4"/>
  <c r="DW81" i="4"/>
  <c r="EM81" i="4"/>
  <c r="FC81" i="4"/>
  <c r="FS81" i="4"/>
  <c r="GI81" i="4"/>
  <c r="GY81" i="4"/>
  <c r="HO81" i="4"/>
  <c r="IE81" i="4"/>
  <c r="IU81" i="4"/>
  <c r="JK81" i="4"/>
  <c r="KA81" i="4"/>
  <c r="P81" i="4"/>
  <c r="AF81" i="4"/>
  <c r="AV81" i="4"/>
  <c r="BL81" i="4"/>
  <c r="CB81" i="4"/>
  <c r="CR81" i="4"/>
  <c r="DH81" i="4"/>
  <c r="DX81" i="4"/>
  <c r="EN81" i="4"/>
  <c r="FD81" i="4"/>
  <c r="FT81" i="4"/>
  <c r="GJ81" i="4"/>
  <c r="GZ81" i="4"/>
  <c r="HP81" i="4"/>
  <c r="IF81" i="4"/>
  <c r="IV81" i="4"/>
  <c r="JL81" i="4"/>
  <c r="KB81" i="4"/>
  <c r="Q81" i="4"/>
  <c r="AG81" i="4"/>
  <c r="AW81" i="4"/>
  <c r="BM81" i="4"/>
  <c r="CC81" i="4"/>
  <c r="CS81" i="4"/>
  <c r="DI81" i="4"/>
  <c r="DY81" i="4"/>
  <c r="EO81" i="4"/>
  <c r="FE81" i="4"/>
  <c r="FU81" i="4"/>
  <c r="GK81" i="4"/>
  <c r="HA81" i="4"/>
  <c r="HQ81" i="4"/>
  <c r="IG81" i="4"/>
  <c r="IW81" i="4"/>
  <c r="JM81" i="4"/>
  <c r="KC81" i="4"/>
  <c r="R81" i="4"/>
  <c r="AH81" i="4"/>
  <c r="AX81" i="4"/>
  <c r="BN81" i="4"/>
  <c r="CD81" i="4"/>
  <c r="CT81" i="4"/>
  <c r="DJ81" i="4"/>
  <c r="DZ81" i="4"/>
  <c r="EP81" i="4"/>
  <c r="FF81" i="4"/>
  <c r="FV81" i="4"/>
  <c r="GL81" i="4"/>
  <c r="HB81" i="4"/>
  <c r="HR81" i="4"/>
  <c r="IH81" i="4"/>
  <c r="IX81" i="4"/>
  <c r="JN81" i="4"/>
  <c r="KD81" i="4"/>
  <c r="U81" i="4"/>
  <c r="AK81" i="4"/>
  <c r="BA81" i="4"/>
  <c r="BQ81" i="4"/>
  <c r="CG81" i="4"/>
  <c r="CW81" i="4"/>
  <c r="DM81" i="4"/>
  <c r="EC81" i="4"/>
  <c r="ES81" i="4"/>
  <c r="FI81" i="4"/>
  <c r="FY81" i="4"/>
  <c r="GO81" i="4"/>
  <c r="HE81" i="4"/>
  <c r="HU81" i="4"/>
  <c r="IK81" i="4"/>
  <c r="JA81" i="4"/>
  <c r="JQ81" i="4"/>
  <c r="KG81" i="4"/>
  <c r="Y81" i="4"/>
  <c r="AT81" i="4"/>
  <c r="BT81" i="4"/>
  <c r="CO81" i="4"/>
  <c r="DO81" i="4"/>
  <c r="EJ81" i="4"/>
  <c r="FJ81" i="4"/>
  <c r="GE81" i="4"/>
  <c r="HD81" i="4"/>
  <c r="HZ81" i="4"/>
  <c r="IY81" i="4"/>
  <c r="JU81" i="4"/>
  <c r="Z81" i="4"/>
  <c r="AY81" i="4"/>
  <c r="BU81" i="4"/>
  <c r="CP81" i="4"/>
  <c r="DP81" i="4"/>
  <c r="EK81" i="4"/>
  <c r="FK81" i="4"/>
  <c r="GF81" i="4"/>
  <c r="HF81" i="4"/>
  <c r="IA81" i="4"/>
  <c r="IZ81" i="4"/>
  <c r="JV81" i="4"/>
  <c r="AA81" i="4"/>
  <c r="AZ81" i="4"/>
  <c r="BV81" i="4"/>
  <c r="CU81" i="4"/>
  <c r="DQ81" i="4"/>
  <c r="EL81" i="4"/>
  <c r="FL81" i="4"/>
  <c r="GG81" i="4"/>
  <c r="HG81" i="4"/>
  <c r="IB81" i="4"/>
  <c r="JB81" i="4"/>
  <c r="JW81" i="4"/>
  <c r="AB81" i="4"/>
  <c r="BB81" i="4"/>
  <c r="BW81" i="4"/>
  <c r="CV81" i="4"/>
  <c r="DR81" i="4"/>
  <c r="EQ81" i="4"/>
  <c r="FM81" i="4"/>
  <c r="GH81" i="4"/>
  <c r="HH81" i="4"/>
  <c r="IC81" i="4"/>
  <c r="JC81" i="4"/>
  <c r="JX81" i="4"/>
  <c r="AC81" i="4"/>
  <c r="BC81" i="4"/>
  <c r="BX81" i="4"/>
  <c r="CX81" i="4"/>
  <c r="DS81" i="4"/>
  <c r="ER81" i="4"/>
  <c r="FN81" i="4"/>
  <c r="GM81" i="4"/>
  <c r="HI81" i="4"/>
  <c r="ID81" i="4"/>
  <c r="JD81" i="4"/>
  <c r="JY81" i="4"/>
  <c r="J81" i="4"/>
  <c r="AI81" i="4"/>
  <c r="BE81" i="4"/>
  <c r="BZ81" i="4"/>
  <c r="CZ81" i="4"/>
  <c r="DU81" i="4"/>
  <c r="EU81" i="4"/>
  <c r="FP81" i="4"/>
  <c r="GP81" i="4"/>
  <c r="HK81" i="4"/>
  <c r="IJ81" i="4"/>
  <c r="JF81" i="4"/>
  <c r="KE81" i="4"/>
  <c r="AD81" i="4"/>
  <c r="BO81" i="4"/>
  <c r="DB81" i="4"/>
  <c r="EH81" i="4"/>
  <c r="FX81" i="4"/>
  <c r="HJ81" i="4"/>
  <c r="IQ81" i="4"/>
  <c r="KH81" i="4"/>
  <c r="AJ81" i="4"/>
  <c r="BP81" i="4"/>
  <c r="DC81" i="4"/>
  <c r="EI81" i="4"/>
  <c r="FZ81" i="4"/>
  <c r="HL81" i="4"/>
  <c r="IR81" i="4"/>
  <c r="KI81" i="4"/>
  <c r="AL81" i="4"/>
  <c r="BR81" i="4"/>
  <c r="DD81" i="4"/>
  <c r="ET81" i="4"/>
  <c r="GA81" i="4"/>
  <c r="HM81" i="4"/>
  <c r="IS81" i="4"/>
  <c r="AM81" i="4"/>
  <c r="BS81" i="4"/>
  <c r="DE81" i="4"/>
  <c r="EV81" i="4"/>
  <c r="GB81" i="4"/>
  <c r="HN81" i="4"/>
  <c r="IT81" i="4"/>
  <c r="AN81" i="4"/>
  <c r="BY81" i="4"/>
  <c r="DF81" i="4"/>
  <c r="EW81" i="4"/>
  <c r="GC81" i="4"/>
  <c r="HS81" i="4"/>
  <c r="JE81" i="4"/>
  <c r="I81" i="4"/>
  <c r="AP81" i="4"/>
  <c r="CF81" i="4"/>
  <c r="DL81" i="4"/>
  <c r="EY81" i="4"/>
  <c r="GN81" i="4"/>
  <c r="HV81" i="4"/>
  <c r="JH81" i="4"/>
  <c r="N81" i="4"/>
  <c r="CE81" i="4"/>
  <c r="ED81" i="4"/>
  <c r="GR81" i="4"/>
  <c r="IO81" i="4"/>
  <c r="S81" i="4"/>
  <c r="CH81" i="4"/>
  <c r="EE81" i="4"/>
  <c r="GS81" i="4"/>
  <c r="IP81" i="4"/>
  <c r="T81" i="4"/>
  <c r="CI81" i="4"/>
  <c r="EF81" i="4"/>
  <c r="GT81" i="4"/>
  <c r="JG81" i="4"/>
  <c r="V81" i="4"/>
  <c r="CJ81" i="4"/>
  <c r="EG81" i="4"/>
  <c r="GU81" i="4"/>
  <c r="JI81" i="4"/>
  <c r="W81" i="4"/>
  <c r="CK81" i="4"/>
  <c r="EX81" i="4"/>
  <c r="GV81" i="4"/>
  <c r="JJ81" i="4"/>
  <c r="AO81" i="4"/>
  <c r="CM81" i="4"/>
  <c r="FA81" i="4"/>
  <c r="GX81" i="4"/>
  <c r="JP81" i="4"/>
  <c r="CL81" i="4"/>
  <c r="FR81" i="4"/>
  <c r="JS81" i="4"/>
  <c r="CN81" i="4"/>
  <c r="FW81" i="4"/>
  <c r="JT81" i="4"/>
  <c r="CY81" i="4"/>
  <c r="GD81" i="4"/>
  <c r="JZ81" i="4"/>
  <c r="K81" i="4"/>
  <c r="DA81" i="4"/>
  <c r="GQ81" i="4"/>
  <c r="KF81" i="4"/>
  <c r="L81" i="4"/>
  <c r="DK81" i="4"/>
  <c r="GW81" i="4"/>
  <c r="X81" i="4"/>
  <c r="DT81" i="4"/>
  <c r="HT81" i="4"/>
  <c r="AR81" i="4"/>
  <c r="FO81" i="4"/>
  <c r="AS81" i="4"/>
  <c r="FQ81" i="4"/>
  <c r="BD81" i="4"/>
  <c r="HC81" i="4"/>
  <c r="BF81" i="4"/>
  <c r="HW81" i="4"/>
  <c r="BG81" i="4"/>
  <c r="HX81" i="4"/>
  <c r="BI81" i="4"/>
  <c r="II81" i="4"/>
  <c r="EA81" i="4"/>
  <c r="EB81" i="4"/>
  <c r="EZ81" i="4"/>
  <c r="FB81" i="4"/>
  <c r="FG81" i="4"/>
  <c r="HY81" i="4"/>
  <c r="M81" i="4"/>
  <c r="AQ81" i="4"/>
  <c r="BH81" i="4"/>
  <c r="BJ81" i="4"/>
  <c r="DN81" i="4"/>
  <c r="JO81" i="4"/>
  <c r="DV81" i="4"/>
  <c r="FH81" i="4"/>
  <c r="IL81" i="4"/>
  <c r="IM81" i="4"/>
  <c r="IN81" i="4"/>
  <c r="JR81" i="4"/>
  <c r="I47" i="4"/>
  <c r="Y47" i="4"/>
  <c r="AO47" i="4"/>
  <c r="BE47" i="4"/>
  <c r="BU47" i="4"/>
  <c r="CK47" i="4"/>
  <c r="DA47" i="4"/>
  <c r="DQ47" i="4"/>
  <c r="EG47" i="4"/>
  <c r="EW47" i="4"/>
  <c r="FM47" i="4"/>
  <c r="GC47" i="4"/>
  <c r="GS47" i="4"/>
  <c r="HI47" i="4"/>
  <c r="HY47" i="4"/>
  <c r="IO47" i="4"/>
  <c r="JE47" i="4"/>
  <c r="JU47" i="4"/>
  <c r="J47" i="4"/>
  <c r="Z47" i="4"/>
  <c r="AP47" i="4"/>
  <c r="BF47" i="4"/>
  <c r="BV47" i="4"/>
  <c r="CL47" i="4"/>
  <c r="DB47" i="4"/>
  <c r="DR47" i="4"/>
  <c r="EH47" i="4"/>
  <c r="EX47" i="4"/>
  <c r="FN47" i="4"/>
  <c r="GD47" i="4"/>
  <c r="GT47" i="4"/>
  <c r="HJ47" i="4"/>
  <c r="HZ47" i="4"/>
  <c r="IP47" i="4"/>
  <c r="JF47" i="4"/>
  <c r="JV47" i="4"/>
  <c r="K47" i="4"/>
  <c r="AA47" i="4"/>
  <c r="AQ47" i="4"/>
  <c r="BG47" i="4"/>
  <c r="BW47" i="4"/>
  <c r="CM47" i="4"/>
  <c r="DC47" i="4"/>
  <c r="DS47" i="4"/>
  <c r="EI47" i="4"/>
  <c r="EY47" i="4"/>
  <c r="FO47" i="4"/>
  <c r="GE47" i="4"/>
  <c r="GU47" i="4"/>
  <c r="HK47" i="4"/>
  <c r="IA47" i="4"/>
  <c r="IQ47" i="4"/>
  <c r="JG47" i="4"/>
  <c r="JW47" i="4"/>
  <c r="O47" i="4"/>
  <c r="AE47" i="4"/>
  <c r="AU47" i="4"/>
  <c r="BK47" i="4"/>
  <c r="CA47" i="4"/>
  <c r="CQ47" i="4"/>
  <c r="DG47" i="4"/>
  <c r="DW47" i="4"/>
  <c r="EM47" i="4"/>
  <c r="FC47" i="4"/>
  <c r="FS47" i="4"/>
  <c r="GI47" i="4"/>
  <c r="GY47" i="4"/>
  <c r="HO47" i="4"/>
  <c r="IE47" i="4"/>
  <c r="IU47" i="4"/>
  <c r="JK47" i="4"/>
  <c r="KA47" i="4"/>
  <c r="Q47" i="4"/>
  <c r="AK47" i="4"/>
  <c r="BH47" i="4"/>
  <c r="CC47" i="4"/>
  <c r="CW47" i="4"/>
  <c r="DT47" i="4"/>
  <c r="EO47" i="4"/>
  <c r="FI47" i="4"/>
  <c r="GF47" i="4"/>
  <c r="HA47" i="4"/>
  <c r="HU47" i="4"/>
  <c r="IR47" i="4"/>
  <c r="JM47" i="4"/>
  <c r="KG47" i="4"/>
  <c r="R47" i="4"/>
  <c r="AL47" i="4"/>
  <c r="BI47" i="4"/>
  <c r="CD47" i="4"/>
  <c r="CX47" i="4"/>
  <c r="DU47" i="4"/>
  <c r="EP47" i="4"/>
  <c r="FJ47" i="4"/>
  <c r="GG47" i="4"/>
  <c r="HB47" i="4"/>
  <c r="HV47" i="4"/>
  <c r="IS47" i="4"/>
  <c r="JN47" i="4"/>
  <c r="KH47" i="4"/>
  <c r="S47" i="4"/>
  <c r="AM47" i="4"/>
  <c r="BJ47" i="4"/>
  <c r="CE47" i="4"/>
  <c r="CY47" i="4"/>
  <c r="DV47" i="4"/>
  <c r="EQ47" i="4"/>
  <c r="FK47" i="4"/>
  <c r="GH47" i="4"/>
  <c r="HC47" i="4"/>
  <c r="HW47" i="4"/>
  <c r="IT47" i="4"/>
  <c r="JO47" i="4"/>
  <c r="KI47" i="4"/>
  <c r="T47" i="4"/>
  <c r="AN47" i="4"/>
  <c r="BL47" i="4"/>
  <c r="CF47" i="4"/>
  <c r="CZ47" i="4"/>
  <c r="DX47" i="4"/>
  <c r="ER47" i="4"/>
  <c r="FL47" i="4"/>
  <c r="GJ47" i="4"/>
  <c r="HD47" i="4"/>
  <c r="HX47" i="4"/>
  <c r="IV47" i="4"/>
  <c r="JP47" i="4"/>
  <c r="U47" i="4"/>
  <c r="AR47" i="4"/>
  <c r="BM47" i="4"/>
  <c r="CG47" i="4"/>
  <c r="DD47" i="4"/>
  <c r="DY47" i="4"/>
  <c r="ES47" i="4"/>
  <c r="FP47" i="4"/>
  <c r="GK47" i="4"/>
  <c r="HE47" i="4"/>
  <c r="IB47" i="4"/>
  <c r="IW47" i="4"/>
  <c r="JQ47" i="4"/>
  <c r="W47" i="4"/>
  <c r="AT47" i="4"/>
  <c r="BO47" i="4"/>
  <c r="CI47" i="4"/>
  <c r="DF47" i="4"/>
  <c r="EA47" i="4"/>
  <c r="EU47" i="4"/>
  <c r="FR47" i="4"/>
  <c r="GM47" i="4"/>
  <c r="HG47" i="4"/>
  <c r="ID47" i="4"/>
  <c r="IY47" i="4"/>
  <c r="JS47" i="4"/>
  <c r="AG47" i="4"/>
  <c r="BQ47" i="4"/>
  <c r="CU47" i="4"/>
  <c r="EE47" i="4"/>
  <c r="FQ47" i="4"/>
  <c r="GV47" i="4"/>
  <c r="IG47" i="4"/>
  <c r="JJ47" i="4"/>
  <c r="AH47" i="4"/>
  <c r="BR47" i="4"/>
  <c r="CV47" i="4"/>
  <c r="EF47" i="4"/>
  <c r="FT47" i="4"/>
  <c r="GW47" i="4"/>
  <c r="IH47" i="4"/>
  <c r="JL47" i="4"/>
  <c r="AI47" i="4"/>
  <c r="BS47" i="4"/>
  <c r="DE47" i="4"/>
  <c r="EJ47" i="4"/>
  <c r="FU47" i="4"/>
  <c r="GX47" i="4"/>
  <c r="II47" i="4"/>
  <c r="JR47" i="4"/>
  <c r="AJ47" i="4"/>
  <c r="BT47" i="4"/>
  <c r="DH47" i="4"/>
  <c r="EK47" i="4"/>
  <c r="FV47" i="4"/>
  <c r="GZ47" i="4"/>
  <c r="IJ47" i="4"/>
  <c r="JT47" i="4"/>
  <c r="AS47" i="4"/>
  <c r="BX47" i="4"/>
  <c r="DI47" i="4"/>
  <c r="EL47" i="4"/>
  <c r="FW47" i="4"/>
  <c r="HF47" i="4"/>
  <c r="IK47" i="4"/>
  <c r="JX47" i="4"/>
  <c r="L47" i="4"/>
  <c r="AW47" i="4"/>
  <c r="BZ47" i="4"/>
  <c r="DK47" i="4"/>
  <c r="ET47" i="4"/>
  <c r="FY47" i="4"/>
  <c r="HL47" i="4"/>
  <c r="IM47" i="4"/>
  <c r="JZ47" i="4"/>
  <c r="BC47" i="4"/>
  <c r="DM47" i="4"/>
  <c r="FG47" i="4"/>
  <c r="HQ47" i="4"/>
  <c r="JY47" i="4"/>
  <c r="M47" i="4"/>
  <c r="BD47" i="4"/>
  <c r="DN47" i="4"/>
  <c r="FH47" i="4"/>
  <c r="HR47" i="4"/>
  <c r="KB47" i="4"/>
  <c r="N47" i="4"/>
  <c r="BN47" i="4"/>
  <c r="DO47" i="4"/>
  <c r="FX47" i="4"/>
  <c r="HS47" i="4"/>
  <c r="KC47" i="4"/>
  <c r="P47" i="4"/>
  <c r="BP47" i="4"/>
  <c r="DP47" i="4"/>
  <c r="FZ47" i="4"/>
  <c r="HT47" i="4"/>
  <c r="KD47" i="4"/>
  <c r="V47" i="4"/>
  <c r="BY47" i="4"/>
  <c r="DZ47" i="4"/>
  <c r="GA47" i="4"/>
  <c r="IC47" i="4"/>
  <c r="KE47" i="4"/>
  <c r="AB47" i="4"/>
  <c r="CH47" i="4"/>
  <c r="EC47" i="4"/>
  <c r="GL47" i="4"/>
  <c r="IL47" i="4"/>
  <c r="CP47" i="4"/>
  <c r="GB47" i="4"/>
  <c r="JC47" i="4"/>
  <c r="CR47" i="4"/>
  <c r="GN47" i="4"/>
  <c r="JD47" i="4"/>
  <c r="X47" i="4"/>
  <c r="CS47" i="4"/>
  <c r="GO47" i="4"/>
  <c r="JH47" i="4"/>
  <c r="AC47" i="4"/>
  <c r="CT47" i="4"/>
  <c r="GP47" i="4"/>
  <c r="JI47" i="4"/>
  <c r="AD47" i="4"/>
  <c r="DJ47" i="4"/>
  <c r="GQ47" i="4"/>
  <c r="KF47" i="4"/>
  <c r="AV47" i="4"/>
  <c r="EB47" i="4"/>
  <c r="HH47" i="4"/>
  <c r="BA47" i="4"/>
  <c r="GR47" i="4"/>
  <c r="BB47" i="4"/>
  <c r="HM47" i="4"/>
  <c r="CB47" i="4"/>
  <c r="HN47" i="4"/>
  <c r="CJ47" i="4"/>
  <c r="HP47" i="4"/>
  <c r="CN47" i="4"/>
  <c r="IF47" i="4"/>
  <c r="DL47" i="4"/>
  <c r="IX47" i="4"/>
  <c r="FB47" i="4"/>
  <c r="FD47" i="4"/>
  <c r="FE47" i="4"/>
  <c r="FF47" i="4"/>
  <c r="IN47" i="4"/>
  <c r="AF47" i="4"/>
  <c r="JA47" i="4"/>
  <c r="CO47" i="4"/>
  <c r="ED47" i="4"/>
  <c r="EN47" i="4"/>
  <c r="EV47" i="4"/>
  <c r="EZ47" i="4"/>
  <c r="IZ47" i="4"/>
  <c r="AX47" i="4"/>
  <c r="AY47" i="4"/>
  <c r="FA47" i="4"/>
  <c r="AZ47" i="4"/>
  <c r="JB47" i="4"/>
  <c r="M17" i="4"/>
  <c r="AC17" i="4"/>
  <c r="AS17" i="4"/>
  <c r="BI17" i="4"/>
  <c r="BY17" i="4"/>
  <c r="CO17" i="4"/>
  <c r="DE17" i="4"/>
  <c r="DU17" i="4"/>
  <c r="EK17" i="4"/>
  <c r="FA17" i="4"/>
  <c r="FQ17" i="4"/>
  <c r="GG17" i="4"/>
  <c r="GW17" i="4"/>
  <c r="HM17" i="4"/>
  <c r="IC17" i="4"/>
  <c r="IS17" i="4"/>
  <c r="JI17" i="4"/>
  <c r="JY17" i="4"/>
  <c r="N17" i="4"/>
  <c r="AD17" i="4"/>
  <c r="AT17" i="4"/>
  <c r="BJ17" i="4"/>
  <c r="BZ17" i="4"/>
  <c r="CP17" i="4"/>
  <c r="DF17" i="4"/>
  <c r="DV17" i="4"/>
  <c r="EL17" i="4"/>
  <c r="FB17" i="4"/>
  <c r="FR17" i="4"/>
  <c r="GH17" i="4"/>
  <c r="GX17" i="4"/>
  <c r="HN17" i="4"/>
  <c r="ID17" i="4"/>
  <c r="IT17" i="4"/>
  <c r="JJ17" i="4"/>
  <c r="JZ17" i="4"/>
  <c r="Q17" i="4"/>
  <c r="AG17" i="4"/>
  <c r="AW17" i="4"/>
  <c r="BM17" i="4"/>
  <c r="CC17" i="4"/>
  <c r="CS17" i="4"/>
  <c r="DI17" i="4"/>
  <c r="DY17" i="4"/>
  <c r="EO17" i="4"/>
  <c r="FE17" i="4"/>
  <c r="FU17" i="4"/>
  <c r="GK17" i="4"/>
  <c r="HA17" i="4"/>
  <c r="HQ17" i="4"/>
  <c r="IG17" i="4"/>
  <c r="IW17" i="4"/>
  <c r="JM17" i="4"/>
  <c r="KC17" i="4"/>
  <c r="S17" i="4"/>
  <c r="AL17" i="4"/>
  <c r="BE17" i="4"/>
  <c r="BX17" i="4"/>
  <c r="CT17" i="4"/>
  <c r="DM17" i="4"/>
  <c r="EF17" i="4"/>
  <c r="EY17" i="4"/>
  <c r="FT17" i="4"/>
  <c r="GN17" i="4"/>
  <c r="HG17" i="4"/>
  <c r="HZ17" i="4"/>
  <c r="IU17" i="4"/>
  <c r="JO17" i="4"/>
  <c r="KH17" i="4"/>
  <c r="T17" i="4"/>
  <c r="AM17" i="4"/>
  <c r="BF17" i="4"/>
  <c r="CA17" i="4"/>
  <c r="CU17" i="4"/>
  <c r="DN17" i="4"/>
  <c r="EG17" i="4"/>
  <c r="EZ17" i="4"/>
  <c r="FV17" i="4"/>
  <c r="GO17" i="4"/>
  <c r="HH17" i="4"/>
  <c r="IA17" i="4"/>
  <c r="IV17" i="4"/>
  <c r="JP17" i="4"/>
  <c r="KI17" i="4"/>
  <c r="U17" i="4"/>
  <c r="AN17" i="4"/>
  <c r="BG17" i="4"/>
  <c r="CB17" i="4"/>
  <c r="CV17" i="4"/>
  <c r="DO17" i="4"/>
  <c r="EH17" i="4"/>
  <c r="FC17" i="4"/>
  <c r="FW17" i="4"/>
  <c r="GP17" i="4"/>
  <c r="HI17" i="4"/>
  <c r="IB17" i="4"/>
  <c r="IX17" i="4"/>
  <c r="JQ17" i="4"/>
  <c r="V17" i="4"/>
  <c r="AO17" i="4"/>
  <c r="BH17" i="4"/>
  <c r="CD17" i="4"/>
  <c r="CW17" i="4"/>
  <c r="DP17" i="4"/>
  <c r="EI17" i="4"/>
  <c r="FD17" i="4"/>
  <c r="FX17" i="4"/>
  <c r="GQ17" i="4"/>
  <c r="HJ17" i="4"/>
  <c r="IE17" i="4"/>
  <c r="IY17" i="4"/>
  <c r="JR17" i="4"/>
  <c r="Y17" i="4"/>
  <c r="AR17" i="4"/>
  <c r="BN17" i="4"/>
  <c r="CG17" i="4"/>
  <c r="CZ17" i="4"/>
  <c r="DS17" i="4"/>
  <c r="EN17" i="4"/>
  <c r="FH17" i="4"/>
  <c r="GA17" i="4"/>
  <c r="GT17" i="4"/>
  <c r="HO17" i="4"/>
  <c r="II17" i="4"/>
  <c r="JB17" i="4"/>
  <c r="JU17" i="4"/>
  <c r="AF17" i="4"/>
  <c r="BK17" i="4"/>
  <c r="CK17" i="4"/>
  <c r="DL17" i="4"/>
  <c r="ER17" i="4"/>
  <c r="FP17" i="4"/>
  <c r="GV17" i="4"/>
  <c r="HW17" i="4"/>
  <c r="JC17" i="4"/>
  <c r="KD17" i="4"/>
  <c r="AH17" i="4"/>
  <c r="BL17" i="4"/>
  <c r="CL17" i="4"/>
  <c r="DQ17" i="4"/>
  <c r="ES17" i="4"/>
  <c r="FS17" i="4"/>
  <c r="GY17" i="4"/>
  <c r="HX17" i="4"/>
  <c r="JD17" i="4"/>
  <c r="KE17" i="4"/>
  <c r="AI17" i="4"/>
  <c r="BO17" i="4"/>
  <c r="CM17" i="4"/>
  <c r="DR17" i="4"/>
  <c r="ET17" i="4"/>
  <c r="FY17" i="4"/>
  <c r="GZ17" i="4"/>
  <c r="HY17" i="4"/>
  <c r="JE17" i="4"/>
  <c r="KF17" i="4"/>
  <c r="I17" i="4"/>
  <c r="AJ17" i="4"/>
  <c r="BP17" i="4"/>
  <c r="CN17" i="4"/>
  <c r="DT17" i="4"/>
  <c r="EU17" i="4"/>
  <c r="FZ17" i="4"/>
  <c r="HB17" i="4"/>
  <c r="IF17" i="4"/>
  <c r="JF17" i="4"/>
  <c r="KG17" i="4"/>
  <c r="J17" i="4"/>
  <c r="AK17" i="4"/>
  <c r="BQ17" i="4"/>
  <c r="CQ17" i="4"/>
  <c r="DW17" i="4"/>
  <c r="EV17" i="4"/>
  <c r="GB17" i="4"/>
  <c r="HC17" i="4"/>
  <c r="IH17" i="4"/>
  <c r="JG17" i="4"/>
  <c r="L17" i="4"/>
  <c r="AQ17" i="4"/>
  <c r="BS17" i="4"/>
  <c r="CX17" i="4"/>
  <c r="DZ17" i="4"/>
  <c r="EX17" i="4"/>
  <c r="GD17" i="4"/>
  <c r="HE17" i="4"/>
  <c r="IK17" i="4"/>
  <c r="JK17" i="4"/>
  <c r="AB17" i="4"/>
  <c r="BW17" i="4"/>
  <c r="DX17" i="4"/>
  <c r="FL17" i="4"/>
  <c r="HK17" i="4"/>
  <c r="IZ17" i="4"/>
  <c r="AE17" i="4"/>
  <c r="CE17" i="4"/>
  <c r="EA17" i="4"/>
  <c r="FM17" i="4"/>
  <c r="HL17" i="4"/>
  <c r="JA17" i="4"/>
  <c r="AP17" i="4"/>
  <c r="CF17" i="4"/>
  <c r="EB17" i="4"/>
  <c r="FN17" i="4"/>
  <c r="HP17" i="4"/>
  <c r="JH17" i="4"/>
  <c r="AU17" i="4"/>
  <c r="CH17" i="4"/>
  <c r="EC17" i="4"/>
  <c r="FO17" i="4"/>
  <c r="HR17" i="4"/>
  <c r="JL17" i="4"/>
  <c r="AV17" i="4"/>
  <c r="CI17" i="4"/>
  <c r="ED17" i="4"/>
  <c r="GC17" i="4"/>
  <c r="HS17" i="4"/>
  <c r="JN17" i="4"/>
  <c r="AY17" i="4"/>
  <c r="CR17" i="4"/>
  <c r="EJ17" i="4"/>
  <c r="GF17" i="4"/>
  <c r="HU17" i="4"/>
  <c r="JT17" i="4"/>
  <c r="Z17" i="4"/>
  <c r="DC17" i="4"/>
  <c r="GE17" i="4"/>
  <c r="IO17" i="4"/>
  <c r="AA17" i="4"/>
  <c r="DD17" i="4"/>
  <c r="GI17" i="4"/>
  <c r="IP17" i="4"/>
  <c r="AX17" i="4"/>
  <c r="DG17" i="4"/>
  <c r="GJ17" i="4"/>
  <c r="IQ17" i="4"/>
  <c r="AZ17" i="4"/>
  <c r="DH17" i="4"/>
  <c r="GL17" i="4"/>
  <c r="IR17" i="4"/>
  <c r="BA17" i="4"/>
  <c r="DJ17" i="4"/>
  <c r="GM17" i="4"/>
  <c r="JS17" i="4"/>
  <c r="BC17" i="4"/>
  <c r="EE17" i="4"/>
  <c r="GS17" i="4"/>
  <c r="JW17" i="4"/>
  <c r="BR17" i="4"/>
  <c r="FJ17" i="4"/>
  <c r="BT17" i="4"/>
  <c r="FK17" i="4"/>
  <c r="BU17" i="4"/>
  <c r="GR17" i="4"/>
  <c r="BV17" i="4"/>
  <c r="GU17" i="4"/>
  <c r="CJ17" i="4"/>
  <c r="HD17" i="4"/>
  <c r="DA17" i="4"/>
  <c r="HT17" i="4"/>
  <c r="K17" i="4"/>
  <c r="FG17" i="4"/>
  <c r="O17" i="4"/>
  <c r="FI17" i="4"/>
  <c r="P17" i="4"/>
  <c r="HF17" i="4"/>
  <c r="R17" i="4"/>
  <c r="HV17" i="4"/>
  <c r="W17" i="4"/>
  <c r="IJ17" i="4"/>
  <c r="BB17" i="4"/>
  <c r="IM17" i="4"/>
  <c r="X17" i="4"/>
  <c r="BD17" i="4"/>
  <c r="CY17" i="4"/>
  <c r="DB17" i="4"/>
  <c r="DK17" i="4"/>
  <c r="EP17" i="4"/>
  <c r="KA17" i="4"/>
  <c r="KB17" i="4"/>
  <c r="JV17" i="4"/>
  <c r="JX17" i="4"/>
  <c r="IL17" i="4"/>
  <c r="IN17" i="4"/>
  <c r="EM17" i="4"/>
  <c r="EW17" i="4"/>
  <c r="FF17" i="4"/>
  <c r="EQ17" i="4"/>
  <c r="K28" i="4"/>
  <c r="AA28" i="4"/>
  <c r="AQ28" i="4"/>
  <c r="BG28" i="4"/>
  <c r="BW28" i="4"/>
  <c r="CM28" i="4"/>
  <c r="DC28" i="4"/>
  <c r="DS28" i="4"/>
  <c r="EI28" i="4"/>
  <c r="EY28" i="4"/>
  <c r="FO28" i="4"/>
  <c r="GE28" i="4"/>
  <c r="GU28" i="4"/>
  <c r="HK28" i="4"/>
  <c r="IA28" i="4"/>
  <c r="IQ28" i="4"/>
  <c r="JG28" i="4"/>
  <c r="JW28" i="4"/>
  <c r="L28" i="4"/>
  <c r="AB28" i="4"/>
  <c r="AR28" i="4"/>
  <c r="M28" i="4"/>
  <c r="AC28" i="4"/>
  <c r="AS28" i="4"/>
  <c r="BI28" i="4"/>
  <c r="BY28" i="4"/>
  <c r="CO28" i="4"/>
  <c r="DE28" i="4"/>
  <c r="DU28" i="4"/>
  <c r="EK28" i="4"/>
  <c r="FA28" i="4"/>
  <c r="FQ28" i="4"/>
  <c r="GG28" i="4"/>
  <c r="GW28" i="4"/>
  <c r="HM28" i="4"/>
  <c r="IC28" i="4"/>
  <c r="IS28" i="4"/>
  <c r="JI28" i="4"/>
  <c r="JY28" i="4"/>
  <c r="Q28" i="4"/>
  <c r="X28" i="4"/>
  <c r="AT28" i="4"/>
  <c r="BL28" i="4"/>
  <c r="CD28" i="4"/>
  <c r="CV28" i="4"/>
  <c r="DN28" i="4"/>
  <c r="EF28" i="4"/>
  <c r="EX28" i="4"/>
  <c r="FR28" i="4"/>
  <c r="GJ28" i="4"/>
  <c r="HB28" i="4"/>
  <c r="HT28" i="4"/>
  <c r="IL28" i="4"/>
  <c r="JD28" i="4"/>
  <c r="JV28" i="4"/>
  <c r="Y28" i="4"/>
  <c r="AU28" i="4"/>
  <c r="BM28" i="4"/>
  <c r="CE28" i="4"/>
  <c r="CW28" i="4"/>
  <c r="DO28" i="4"/>
  <c r="EG28" i="4"/>
  <c r="EZ28" i="4"/>
  <c r="FS28" i="4"/>
  <c r="GK28" i="4"/>
  <c r="HC28" i="4"/>
  <c r="HU28" i="4"/>
  <c r="IM28" i="4"/>
  <c r="JE28" i="4"/>
  <c r="JX28" i="4"/>
  <c r="Z28" i="4"/>
  <c r="AV28" i="4"/>
  <c r="BN28" i="4"/>
  <c r="CF28" i="4"/>
  <c r="CX28" i="4"/>
  <c r="DP28" i="4"/>
  <c r="EH28" i="4"/>
  <c r="FB28" i="4"/>
  <c r="FT28" i="4"/>
  <c r="GL28" i="4"/>
  <c r="HD28" i="4"/>
  <c r="HV28" i="4"/>
  <c r="IN28" i="4"/>
  <c r="JF28" i="4"/>
  <c r="JZ28" i="4"/>
  <c r="J28" i="4"/>
  <c r="AG28" i="4"/>
  <c r="AZ28" i="4"/>
  <c r="BR28" i="4"/>
  <c r="CJ28" i="4"/>
  <c r="DB28" i="4"/>
  <c r="DV28" i="4"/>
  <c r="EN28" i="4"/>
  <c r="FF28" i="4"/>
  <c r="FX28" i="4"/>
  <c r="GP28" i="4"/>
  <c r="HH28" i="4"/>
  <c r="HZ28" i="4"/>
  <c r="IT28" i="4"/>
  <c r="JL28" i="4"/>
  <c r="KD28" i="4"/>
  <c r="AH28" i="4"/>
  <c r="BE28" i="4"/>
  <c r="CC28" i="4"/>
  <c r="DD28" i="4"/>
  <c r="EA28" i="4"/>
  <c r="EW28" i="4"/>
  <c r="FY28" i="4"/>
  <c r="GV28" i="4"/>
  <c r="HS28" i="4"/>
  <c r="IU28" i="4"/>
  <c r="JQ28" i="4"/>
  <c r="AI28" i="4"/>
  <c r="BF28" i="4"/>
  <c r="CG28" i="4"/>
  <c r="DF28" i="4"/>
  <c r="EB28" i="4"/>
  <c r="FC28" i="4"/>
  <c r="FZ28" i="4"/>
  <c r="GX28" i="4"/>
  <c r="HW28" i="4"/>
  <c r="IV28" i="4"/>
  <c r="JR28" i="4"/>
  <c r="AJ28" i="4"/>
  <c r="BH28" i="4"/>
  <c r="CH28" i="4"/>
  <c r="DG28" i="4"/>
  <c r="EC28" i="4"/>
  <c r="FD28" i="4"/>
  <c r="GA28" i="4"/>
  <c r="GY28" i="4"/>
  <c r="HX28" i="4"/>
  <c r="IW28" i="4"/>
  <c r="JS28" i="4"/>
  <c r="I28" i="4"/>
  <c r="AK28" i="4"/>
  <c r="BJ28" i="4"/>
  <c r="CI28" i="4"/>
  <c r="DH28" i="4"/>
  <c r="ED28" i="4"/>
  <c r="FE28" i="4"/>
  <c r="GB28" i="4"/>
  <c r="GZ28" i="4"/>
  <c r="HY28" i="4"/>
  <c r="IX28" i="4"/>
  <c r="JT28" i="4"/>
  <c r="N28" i="4"/>
  <c r="AL28" i="4"/>
  <c r="BK28" i="4"/>
  <c r="CK28" i="4"/>
  <c r="DI28" i="4"/>
  <c r="EE28" i="4"/>
  <c r="FG28" i="4"/>
  <c r="GC28" i="4"/>
  <c r="HA28" i="4"/>
  <c r="IB28" i="4"/>
  <c r="IY28" i="4"/>
  <c r="JU28" i="4"/>
  <c r="P28" i="4"/>
  <c r="AN28" i="4"/>
  <c r="BP28" i="4"/>
  <c r="CN28" i="4"/>
  <c r="DK28" i="4"/>
  <c r="EL28" i="4"/>
  <c r="FI28" i="4"/>
  <c r="GF28" i="4"/>
  <c r="HF28" i="4"/>
  <c r="IE28" i="4"/>
  <c r="JA28" i="4"/>
  <c r="KB28" i="4"/>
  <c r="O28" i="4"/>
  <c r="BA28" i="4"/>
  <c r="CQ28" i="4"/>
  <c r="DY28" i="4"/>
  <c r="FM28" i="4"/>
  <c r="HE28" i="4"/>
  <c r="IK28" i="4"/>
  <c r="KE28" i="4"/>
  <c r="R28" i="4"/>
  <c r="BB28" i="4"/>
  <c r="CR28" i="4"/>
  <c r="DZ28" i="4"/>
  <c r="FN28" i="4"/>
  <c r="HG28" i="4"/>
  <c r="IO28" i="4"/>
  <c r="KF28" i="4"/>
  <c r="S28" i="4"/>
  <c r="BC28" i="4"/>
  <c r="CS28" i="4"/>
  <c r="EJ28" i="4"/>
  <c r="FP28" i="4"/>
  <c r="HI28" i="4"/>
  <c r="IP28" i="4"/>
  <c r="KG28" i="4"/>
  <c r="T28" i="4"/>
  <c r="BD28" i="4"/>
  <c r="CT28" i="4"/>
  <c r="EM28" i="4"/>
  <c r="FU28" i="4"/>
  <c r="HJ28" i="4"/>
  <c r="IR28" i="4"/>
  <c r="KH28" i="4"/>
  <c r="U28" i="4"/>
  <c r="BO28" i="4"/>
  <c r="CU28" i="4"/>
  <c r="EO28" i="4"/>
  <c r="FV28" i="4"/>
  <c r="HL28" i="4"/>
  <c r="IZ28" i="4"/>
  <c r="KI28" i="4"/>
  <c r="W28" i="4"/>
  <c r="BS28" i="4"/>
  <c r="CZ28" i="4"/>
  <c r="EQ28" i="4"/>
  <c r="GD28" i="4"/>
  <c r="HO28" i="4"/>
  <c r="JC28" i="4"/>
  <c r="AX28" i="4"/>
  <c r="DM28" i="4"/>
  <c r="FW28" i="4"/>
  <c r="IG28" i="4"/>
  <c r="AY28" i="4"/>
  <c r="DQ28" i="4"/>
  <c r="GH28" i="4"/>
  <c r="IH28" i="4"/>
  <c r="BQ28" i="4"/>
  <c r="DR28" i="4"/>
  <c r="GI28" i="4"/>
  <c r="II28" i="4"/>
  <c r="BT28" i="4"/>
  <c r="DT28" i="4"/>
  <c r="GM28" i="4"/>
  <c r="IJ28" i="4"/>
  <c r="BU28" i="4"/>
  <c r="DW28" i="4"/>
  <c r="GN28" i="4"/>
  <c r="JB28" i="4"/>
  <c r="BX28" i="4"/>
  <c r="EP28" i="4"/>
  <c r="GQ28" i="4"/>
  <c r="JJ28" i="4"/>
  <c r="BV28" i="4"/>
  <c r="FH28" i="4"/>
  <c r="JM28" i="4"/>
  <c r="BZ28" i="4"/>
  <c r="FJ28" i="4"/>
  <c r="JN28" i="4"/>
  <c r="CA28" i="4"/>
  <c r="FK28" i="4"/>
  <c r="JO28" i="4"/>
  <c r="CB28" i="4"/>
  <c r="FL28" i="4"/>
  <c r="JP28" i="4"/>
  <c r="CL28" i="4"/>
  <c r="GO28" i="4"/>
  <c r="KA28" i="4"/>
  <c r="CY28" i="4"/>
  <c r="GS28" i="4"/>
  <c r="AE28" i="4"/>
  <c r="GR28" i="4"/>
  <c r="AF28" i="4"/>
  <c r="GT28" i="4"/>
  <c r="AM28" i="4"/>
  <c r="HN28" i="4"/>
  <c r="AO28" i="4"/>
  <c r="HP28" i="4"/>
  <c r="AP28" i="4"/>
  <c r="HQ28" i="4"/>
  <c r="CP28" i="4"/>
  <c r="ID28" i="4"/>
  <c r="JH28" i="4"/>
  <c r="JK28" i="4"/>
  <c r="V28" i="4"/>
  <c r="KC28" i="4"/>
  <c r="AD28" i="4"/>
  <c r="AW28" i="4"/>
  <c r="DJ28" i="4"/>
  <c r="DA28" i="4"/>
  <c r="DL28" i="4"/>
  <c r="DX28" i="4"/>
  <c r="ES28" i="4"/>
  <c r="ER28" i="4"/>
  <c r="ET28" i="4"/>
  <c r="EU28" i="4"/>
  <c r="HR28" i="4"/>
  <c r="EV28" i="4"/>
  <c r="IF28" i="4"/>
  <c r="T133" i="4"/>
  <c r="AJ133" i="4"/>
  <c r="AZ133" i="4"/>
  <c r="BP133" i="4"/>
  <c r="CF133" i="4"/>
  <c r="CV133" i="4"/>
  <c r="DL133" i="4"/>
  <c r="EB133" i="4"/>
  <c r="ER133" i="4"/>
  <c r="FH133" i="4"/>
  <c r="FX133" i="4"/>
  <c r="GN133" i="4"/>
  <c r="HD133" i="4"/>
  <c r="HT133" i="4"/>
  <c r="IJ133" i="4"/>
  <c r="IZ133" i="4"/>
  <c r="JP133" i="4"/>
  <c r="J133" i="4"/>
  <c r="Z133" i="4"/>
  <c r="AP133" i="4"/>
  <c r="BF133" i="4"/>
  <c r="BV133" i="4"/>
  <c r="CL133" i="4"/>
  <c r="DB133" i="4"/>
  <c r="DR133" i="4"/>
  <c r="EH133" i="4"/>
  <c r="EX133" i="4"/>
  <c r="FN133" i="4"/>
  <c r="GD133" i="4"/>
  <c r="GT133" i="4"/>
  <c r="HJ133" i="4"/>
  <c r="HZ133" i="4"/>
  <c r="IP133" i="4"/>
  <c r="JF133" i="4"/>
  <c r="JV133" i="4"/>
  <c r="O133" i="4"/>
  <c r="AG133" i="4"/>
  <c r="AY133" i="4"/>
  <c r="BR133" i="4"/>
  <c r="CJ133" i="4"/>
  <c r="DC133" i="4"/>
  <c r="DU133" i="4"/>
  <c r="EM133" i="4"/>
  <c r="FE133" i="4"/>
  <c r="FW133" i="4"/>
  <c r="GP133" i="4"/>
  <c r="HH133" i="4"/>
  <c r="IA133" i="4"/>
  <c r="IS133" i="4"/>
  <c r="JK133" i="4"/>
  <c r="KC133" i="4"/>
  <c r="P133" i="4"/>
  <c r="AH133" i="4"/>
  <c r="BA133" i="4"/>
  <c r="BS133" i="4"/>
  <c r="CK133" i="4"/>
  <c r="DD133" i="4"/>
  <c r="DV133" i="4"/>
  <c r="EN133" i="4"/>
  <c r="FF133" i="4"/>
  <c r="FY133" i="4"/>
  <c r="GQ133" i="4"/>
  <c r="HI133" i="4"/>
  <c r="IB133" i="4"/>
  <c r="IT133" i="4"/>
  <c r="JL133" i="4"/>
  <c r="KD133" i="4"/>
  <c r="Q133" i="4"/>
  <c r="AI133" i="4"/>
  <c r="BB133" i="4"/>
  <c r="BT133" i="4"/>
  <c r="CM133" i="4"/>
  <c r="DE133" i="4"/>
  <c r="DW133" i="4"/>
  <c r="EO133" i="4"/>
  <c r="FG133" i="4"/>
  <c r="FZ133" i="4"/>
  <c r="GR133" i="4"/>
  <c r="HK133" i="4"/>
  <c r="IC133" i="4"/>
  <c r="IU133" i="4"/>
  <c r="JM133" i="4"/>
  <c r="KE133" i="4"/>
  <c r="V133" i="4"/>
  <c r="AN133" i="4"/>
  <c r="BG133" i="4"/>
  <c r="BY133" i="4"/>
  <c r="CQ133" i="4"/>
  <c r="DI133" i="4"/>
  <c r="EA133" i="4"/>
  <c r="ET133" i="4"/>
  <c r="FL133" i="4"/>
  <c r="GE133" i="4"/>
  <c r="GW133" i="4"/>
  <c r="HO133" i="4"/>
  <c r="IG133" i="4"/>
  <c r="IY133" i="4"/>
  <c r="JR133" i="4"/>
  <c r="KI133" i="4"/>
  <c r="AA133" i="4"/>
  <c r="AW133" i="4"/>
  <c r="BX133" i="4"/>
  <c r="CU133" i="4"/>
  <c r="DS133" i="4"/>
  <c r="ES133" i="4"/>
  <c r="FQ133" i="4"/>
  <c r="GM133" i="4"/>
  <c r="HN133" i="4"/>
  <c r="IL133" i="4"/>
  <c r="JI133" i="4"/>
  <c r="KH133" i="4"/>
  <c r="AB133" i="4"/>
  <c r="AX133" i="4"/>
  <c r="BZ133" i="4"/>
  <c r="CW133" i="4"/>
  <c r="DT133" i="4"/>
  <c r="EU133" i="4"/>
  <c r="FR133" i="4"/>
  <c r="GO133" i="4"/>
  <c r="HP133" i="4"/>
  <c r="IM133" i="4"/>
  <c r="JJ133" i="4"/>
  <c r="AC133" i="4"/>
  <c r="BC133" i="4"/>
  <c r="CA133" i="4"/>
  <c r="CX133" i="4"/>
  <c r="DX133" i="4"/>
  <c r="EV133" i="4"/>
  <c r="FS133" i="4"/>
  <c r="GS133" i="4"/>
  <c r="HQ133" i="4"/>
  <c r="IN133" i="4"/>
  <c r="JN133" i="4"/>
  <c r="AD133" i="4"/>
  <c r="BD133" i="4"/>
  <c r="CB133" i="4"/>
  <c r="CY133" i="4"/>
  <c r="DY133" i="4"/>
  <c r="EW133" i="4"/>
  <c r="FT133" i="4"/>
  <c r="GU133" i="4"/>
  <c r="HR133" i="4"/>
  <c r="IO133" i="4"/>
  <c r="JO133" i="4"/>
  <c r="AE133" i="4"/>
  <c r="BE133" i="4"/>
  <c r="CC133" i="4"/>
  <c r="CZ133" i="4"/>
  <c r="DZ133" i="4"/>
  <c r="EY133" i="4"/>
  <c r="FU133" i="4"/>
  <c r="GV133" i="4"/>
  <c r="HS133" i="4"/>
  <c r="IQ133" i="4"/>
  <c r="JQ133" i="4"/>
  <c r="K133" i="4"/>
  <c r="AK133" i="4"/>
  <c r="BI133" i="4"/>
  <c r="CE133" i="4"/>
  <c r="DF133" i="4"/>
  <c r="ED133" i="4"/>
  <c r="FA133" i="4"/>
  <c r="GA133" i="4"/>
  <c r="GY133" i="4"/>
  <c r="HV133" i="4"/>
  <c r="IV133" i="4"/>
  <c r="JT133" i="4"/>
  <c r="U133" i="4"/>
  <c r="BK133" i="4"/>
  <c r="CS133" i="4"/>
  <c r="EI133" i="4"/>
  <c r="FV133" i="4"/>
  <c r="HF133" i="4"/>
  <c r="IX133" i="4"/>
  <c r="KF133" i="4"/>
  <c r="W133" i="4"/>
  <c r="BL133" i="4"/>
  <c r="CT133" i="4"/>
  <c r="EJ133" i="4"/>
  <c r="GB133" i="4"/>
  <c r="HG133" i="4"/>
  <c r="JA133" i="4"/>
  <c r="KG133" i="4"/>
  <c r="X133" i="4"/>
  <c r="BM133" i="4"/>
  <c r="DA133" i="4"/>
  <c r="EK133" i="4"/>
  <c r="GC133" i="4"/>
  <c r="HL133" i="4"/>
  <c r="JB133" i="4"/>
  <c r="Y133" i="4"/>
  <c r="BN133" i="4"/>
  <c r="DG133" i="4"/>
  <c r="EL133" i="4"/>
  <c r="GF133" i="4"/>
  <c r="HM133" i="4"/>
  <c r="JC133" i="4"/>
  <c r="AF133" i="4"/>
  <c r="BO133" i="4"/>
  <c r="DH133" i="4"/>
  <c r="EP133" i="4"/>
  <c r="GG133" i="4"/>
  <c r="HU133" i="4"/>
  <c r="JD133" i="4"/>
  <c r="AM133" i="4"/>
  <c r="BU133" i="4"/>
  <c r="DK133" i="4"/>
  <c r="EZ133" i="4"/>
  <c r="GI133" i="4"/>
  <c r="HX133" i="4"/>
  <c r="JG133" i="4"/>
  <c r="AL133" i="4"/>
  <c r="CN133" i="4"/>
  <c r="FC133" i="4"/>
  <c r="HC133" i="4"/>
  <c r="JW133" i="4"/>
  <c r="AO133" i="4"/>
  <c r="CO133" i="4"/>
  <c r="FD133" i="4"/>
  <c r="HE133" i="4"/>
  <c r="JX133" i="4"/>
  <c r="AQ133" i="4"/>
  <c r="CP133" i="4"/>
  <c r="FI133" i="4"/>
  <c r="HW133" i="4"/>
  <c r="JY133" i="4"/>
  <c r="AR133" i="4"/>
  <c r="CR133" i="4"/>
  <c r="FJ133" i="4"/>
  <c r="HY133" i="4"/>
  <c r="JZ133" i="4"/>
  <c r="AS133" i="4"/>
  <c r="DJ133" i="4"/>
  <c r="FK133" i="4"/>
  <c r="ID133" i="4"/>
  <c r="KA133" i="4"/>
  <c r="AU133" i="4"/>
  <c r="DN133" i="4"/>
  <c r="FO133" i="4"/>
  <c r="IF133" i="4"/>
  <c r="M133" i="4"/>
  <c r="DP133" i="4"/>
  <c r="HA133" i="4"/>
  <c r="N133" i="4"/>
  <c r="DQ133" i="4"/>
  <c r="HB133" i="4"/>
  <c r="R133" i="4"/>
  <c r="EC133" i="4"/>
  <c r="IE133" i="4"/>
  <c r="S133" i="4"/>
  <c r="EE133" i="4"/>
  <c r="IH133" i="4"/>
  <c r="AT133" i="4"/>
  <c r="EF133" i="4"/>
  <c r="II133" i="4"/>
  <c r="BH133" i="4"/>
  <c r="EQ133" i="4"/>
  <c r="IR133" i="4"/>
  <c r="BQ133" i="4"/>
  <c r="GX133" i="4"/>
  <c r="BW133" i="4"/>
  <c r="GZ133" i="4"/>
  <c r="CD133" i="4"/>
  <c r="IK133" i="4"/>
  <c r="CG133" i="4"/>
  <c r="IW133" i="4"/>
  <c r="CH133" i="4"/>
  <c r="JE133" i="4"/>
  <c r="FM133" i="4"/>
  <c r="I133" i="4"/>
  <c r="JU133" i="4"/>
  <c r="L133" i="4"/>
  <c r="KB133" i="4"/>
  <c r="AV133" i="4"/>
  <c r="BJ133" i="4"/>
  <c r="CI133" i="4"/>
  <c r="GH133" i="4"/>
  <c r="EG133" i="4"/>
  <c r="FB133" i="4"/>
  <c r="FP133" i="4"/>
  <c r="GJ133" i="4"/>
  <c r="GL133" i="4"/>
  <c r="GK133" i="4"/>
  <c r="JH133" i="4"/>
  <c r="JS133" i="4"/>
  <c r="DM133" i="4"/>
  <c r="DO133" i="4"/>
  <c r="O53" i="4"/>
  <c r="AE53" i="4"/>
  <c r="AU53" i="4"/>
  <c r="BK53" i="4"/>
  <c r="CA53" i="4"/>
  <c r="CQ53" i="4"/>
  <c r="DG53" i="4"/>
  <c r="DW53" i="4"/>
  <c r="EM53" i="4"/>
  <c r="FC53" i="4"/>
  <c r="FS53" i="4"/>
  <c r="GI53" i="4"/>
  <c r="GY53" i="4"/>
  <c r="HO53" i="4"/>
  <c r="IE53" i="4"/>
  <c r="IU53" i="4"/>
  <c r="JK53" i="4"/>
  <c r="KA53" i="4"/>
  <c r="P53" i="4"/>
  <c r="AF53" i="4"/>
  <c r="AV53" i="4"/>
  <c r="BL53" i="4"/>
  <c r="CB53" i="4"/>
  <c r="CR53" i="4"/>
  <c r="DH53" i="4"/>
  <c r="DX53" i="4"/>
  <c r="EN53" i="4"/>
  <c r="FD53" i="4"/>
  <c r="FT53" i="4"/>
  <c r="GJ53" i="4"/>
  <c r="GZ53" i="4"/>
  <c r="HP53" i="4"/>
  <c r="IF53" i="4"/>
  <c r="IV53" i="4"/>
  <c r="JL53" i="4"/>
  <c r="KB53" i="4"/>
  <c r="Q53" i="4"/>
  <c r="AG53" i="4"/>
  <c r="AW53" i="4"/>
  <c r="BM53" i="4"/>
  <c r="CC53" i="4"/>
  <c r="CS53" i="4"/>
  <c r="DI53" i="4"/>
  <c r="DY53" i="4"/>
  <c r="EO53" i="4"/>
  <c r="FE53" i="4"/>
  <c r="FU53" i="4"/>
  <c r="GK53" i="4"/>
  <c r="HA53" i="4"/>
  <c r="HQ53" i="4"/>
  <c r="IG53" i="4"/>
  <c r="IW53" i="4"/>
  <c r="JM53" i="4"/>
  <c r="KC53" i="4"/>
  <c r="U53" i="4"/>
  <c r="AK53" i="4"/>
  <c r="BA53" i="4"/>
  <c r="BQ53" i="4"/>
  <c r="CG53" i="4"/>
  <c r="CW53" i="4"/>
  <c r="DM53" i="4"/>
  <c r="EC53" i="4"/>
  <c r="ES53" i="4"/>
  <c r="FI53" i="4"/>
  <c r="FY53" i="4"/>
  <c r="GO53" i="4"/>
  <c r="HE53" i="4"/>
  <c r="HU53" i="4"/>
  <c r="IK53" i="4"/>
  <c r="JA53" i="4"/>
  <c r="JQ53" i="4"/>
  <c r="KG53" i="4"/>
  <c r="W53" i="4"/>
  <c r="AQ53" i="4"/>
  <c r="BN53" i="4"/>
  <c r="CI53" i="4"/>
  <c r="DC53" i="4"/>
  <c r="DZ53" i="4"/>
  <c r="EU53" i="4"/>
  <c r="FO53" i="4"/>
  <c r="GL53" i="4"/>
  <c r="HG53" i="4"/>
  <c r="IA53" i="4"/>
  <c r="IX53" i="4"/>
  <c r="JS53" i="4"/>
  <c r="X53" i="4"/>
  <c r="AR53" i="4"/>
  <c r="BO53" i="4"/>
  <c r="CJ53" i="4"/>
  <c r="DD53" i="4"/>
  <c r="EA53" i="4"/>
  <c r="EV53" i="4"/>
  <c r="FP53" i="4"/>
  <c r="GM53" i="4"/>
  <c r="HH53" i="4"/>
  <c r="IB53" i="4"/>
  <c r="IY53" i="4"/>
  <c r="JT53" i="4"/>
  <c r="Y53" i="4"/>
  <c r="AS53" i="4"/>
  <c r="BP53" i="4"/>
  <c r="CK53" i="4"/>
  <c r="DE53" i="4"/>
  <c r="EB53" i="4"/>
  <c r="EW53" i="4"/>
  <c r="FQ53" i="4"/>
  <c r="GN53" i="4"/>
  <c r="HI53" i="4"/>
  <c r="IC53" i="4"/>
  <c r="IZ53" i="4"/>
  <c r="JU53" i="4"/>
  <c r="Z53" i="4"/>
  <c r="AT53" i="4"/>
  <c r="BR53" i="4"/>
  <c r="CL53" i="4"/>
  <c r="DF53" i="4"/>
  <c r="ED53" i="4"/>
  <c r="EX53" i="4"/>
  <c r="FR53" i="4"/>
  <c r="GP53" i="4"/>
  <c r="HJ53" i="4"/>
  <c r="ID53" i="4"/>
  <c r="JB53" i="4"/>
  <c r="JV53" i="4"/>
  <c r="AA53" i="4"/>
  <c r="AX53" i="4"/>
  <c r="BS53" i="4"/>
  <c r="CM53" i="4"/>
  <c r="DJ53" i="4"/>
  <c r="EE53" i="4"/>
  <c r="EY53" i="4"/>
  <c r="I53" i="4"/>
  <c r="AC53" i="4"/>
  <c r="AZ53" i="4"/>
  <c r="BU53" i="4"/>
  <c r="CO53" i="4"/>
  <c r="DL53" i="4"/>
  <c r="EG53" i="4"/>
  <c r="FA53" i="4"/>
  <c r="FX53" i="4"/>
  <c r="GS53" i="4"/>
  <c r="HM53" i="4"/>
  <c r="IJ53" i="4"/>
  <c r="JE53" i="4"/>
  <c r="JY53" i="4"/>
  <c r="R53" i="4"/>
  <c r="BC53" i="4"/>
  <c r="CF53" i="4"/>
  <c r="DQ53" i="4"/>
  <c r="EZ53" i="4"/>
  <c r="GD53" i="4"/>
  <c r="HK53" i="4"/>
  <c r="IO53" i="4"/>
  <c r="JR53" i="4"/>
  <c r="S53" i="4"/>
  <c r="BD53" i="4"/>
  <c r="CH53" i="4"/>
  <c r="DR53" i="4"/>
  <c r="FB53" i="4"/>
  <c r="GE53" i="4"/>
  <c r="HL53" i="4"/>
  <c r="IP53" i="4"/>
  <c r="JW53" i="4"/>
  <c r="T53" i="4"/>
  <c r="BE53" i="4"/>
  <c r="CN53" i="4"/>
  <c r="DS53" i="4"/>
  <c r="FF53" i="4"/>
  <c r="GF53" i="4"/>
  <c r="HN53" i="4"/>
  <c r="IQ53" i="4"/>
  <c r="JX53" i="4"/>
  <c r="V53" i="4"/>
  <c r="BF53" i="4"/>
  <c r="CP53" i="4"/>
  <c r="DT53" i="4"/>
  <c r="FG53" i="4"/>
  <c r="GG53" i="4"/>
  <c r="HR53" i="4"/>
  <c r="IR53" i="4"/>
  <c r="JZ53" i="4"/>
  <c r="AB53" i="4"/>
  <c r="BG53" i="4"/>
  <c r="CT53" i="4"/>
  <c r="DU53" i="4"/>
  <c r="FH53" i="4"/>
  <c r="GH53" i="4"/>
  <c r="HS53" i="4"/>
  <c r="IS53" i="4"/>
  <c r="KD53" i="4"/>
  <c r="AH53" i="4"/>
  <c r="BI53" i="4"/>
  <c r="CV53" i="4"/>
  <c r="EF53" i="4"/>
  <c r="FK53" i="4"/>
  <c r="GR53" i="4"/>
  <c r="HV53" i="4"/>
  <c r="JC53" i="4"/>
  <c r="KF53" i="4"/>
  <c r="AJ53" i="4"/>
  <c r="CD53" i="4"/>
  <c r="EK53" i="4"/>
  <c r="GQ53" i="4"/>
  <c r="II53" i="4"/>
  <c r="KI53" i="4"/>
  <c r="AL53" i="4"/>
  <c r="CE53" i="4"/>
  <c r="EL53" i="4"/>
  <c r="GT53" i="4"/>
  <c r="IL53" i="4"/>
  <c r="AM53" i="4"/>
  <c r="CU53" i="4"/>
  <c r="EP53" i="4"/>
  <c r="GU53" i="4"/>
  <c r="IM53" i="4"/>
  <c r="AN53" i="4"/>
  <c r="CX53" i="4"/>
  <c r="EQ53" i="4"/>
  <c r="GV53" i="4"/>
  <c r="IN53" i="4"/>
  <c r="AO53" i="4"/>
  <c r="CY53" i="4"/>
  <c r="ER53" i="4"/>
  <c r="GW53" i="4"/>
  <c r="IT53" i="4"/>
  <c r="AY53" i="4"/>
  <c r="DA53" i="4"/>
  <c r="FJ53" i="4"/>
  <c r="HB53" i="4"/>
  <c r="JF53" i="4"/>
  <c r="AD53" i="4"/>
  <c r="DO53" i="4"/>
  <c r="GX53" i="4"/>
  <c r="JO53" i="4"/>
  <c r="AI53" i="4"/>
  <c r="DP53" i="4"/>
  <c r="HC53" i="4"/>
  <c r="JP53" i="4"/>
  <c r="AP53" i="4"/>
  <c r="DV53" i="4"/>
  <c r="HD53" i="4"/>
  <c r="KE53" i="4"/>
  <c r="BB53" i="4"/>
  <c r="EH53" i="4"/>
  <c r="HF53" i="4"/>
  <c r="KH53" i="4"/>
  <c r="BH53" i="4"/>
  <c r="EI53" i="4"/>
  <c r="HT53" i="4"/>
  <c r="BT53" i="4"/>
  <c r="ET53" i="4"/>
  <c r="HX53" i="4"/>
  <c r="K53" i="4"/>
  <c r="FM53" i="4"/>
  <c r="JJ53" i="4"/>
  <c r="L53" i="4"/>
  <c r="FN53" i="4"/>
  <c r="JN53" i="4"/>
  <c r="M53" i="4"/>
  <c r="FV53" i="4"/>
  <c r="N53" i="4"/>
  <c r="FW53" i="4"/>
  <c r="BJ53" i="4"/>
  <c r="FZ53" i="4"/>
  <c r="BW53" i="4"/>
  <c r="GB53" i="4"/>
  <c r="HZ53" i="4"/>
  <c r="J53" i="4"/>
  <c r="IH53" i="4"/>
  <c r="BV53" i="4"/>
  <c r="JD53" i="4"/>
  <c r="BX53" i="4"/>
  <c r="JG53" i="4"/>
  <c r="BY53" i="4"/>
  <c r="JH53" i="4"/>
  <c r="CZ53" i="4"/>
  <c r="EJ53" i="4"/>
  <c r="FL53" i="4"/>
  <c r="GA53" i="4"/>
  <c r="GC53" i="4"/>
  <c r="HW53" i="4"/>
  <c r="JI53" i="4"/>
  <c r="HY53" i="4"/>
  <c r="BZ53" i="4"/>
  <c r="DB53" i="4"/>
  <c r="DK53" i="4"/>
  <c r="DN53" i="4"/>
  <c r="N137" i="4"/>
  <c r="AD137" i="4"/>
  <c r="AT137" i="4"/>
  <c r="BJ137" i="4"/>
  <c r="BZ137" i="4"/>
  <c r="CP137" i="4"/>
  <c r="DF137" i="4"/>
  <c r="DV137" i="4"/>
  <c r="EL137" i="4"/>
  <c r="FB137" i="4"/>
  <c r="FR137" i="4"/>
  <c r="GH137" i="4"/>
  <c r="GX137" i="4"/>
  <c r="HN137" i="4"/>
  <c r="ID137" i="4"/>
  <c r="IT137" i="4"/>
  <c r="JJ137" i="4"/>
  <c r="JZ137" i="4"/>
  <c r="K137" i="4"/>
  <c r="AB137" i="4"/>
  <c r="AS137" i="4"/>
  <c r="BK137" i="4"/>
  <c r="CB137" i="4"/>
  <c r="CS137" i="4"/>
  <c r="DJ137" i="4"/>
  <c r="EA137" i="4"/>
  <c r="ER137" i="4"/>
  <c r="FI137" i="4"/>
  <c r="FZ137" i="4"/>
  <c r="GQ137" i="4"/>
  <c r="HH137" i="4"/>
  <c r="HY137" i="4"/>
  <c r="IP137" i="4"/>
  <c r="JG137" i="4"/>
  <c r="JX137" i="4"/>
  <c r="L137" i="4"/>
  <c r="AC137" i="4"/>
  <c r="AU137" i="4"/>
  <c r="BL137" i="4"/>
  <c r="CC137" i="4"/>
  <c r="CT137" i="4"/>
  <c r="DK137" i="4"/>
  <c r="EB137" i="4"/>
  <c r="ES137" i="4"/>
  <c r="FJ137" i="4"/>
  <c r="GA137" i="4"/>
  <c r="GR137" i="4"/>
  <c r="HI137" i="4"/>
  <c r="HZ137" i="4"/>
  <c r="IQ137" i="4"/>
  <c r="JH137" i="4"/>
  <c r="JY137" i="4"/>
  <c r="M137" i="4"/>
  <c r="AE137" i="4"/>
  <c r="AV137" i="4"/>
  <c r="BM137" i="4"/>
  <c r="CD137" i="4"/>
  <c r="CU137" i="4"/>
  <c r="DL137" i="4"/>
  <c r="EC137" i="4"/>
  <c r="ET137" i="4"/>
  <c r="FK137" i="4"/>
  <c r="GB137" i="4"/>
  <c r="GS137" i="4"/>
  <c r="HJ137" i="4"/>
  <c r="IA137" i="4"/>
  <c r="IR137" i="4"/>
  <c r="JI137" i="4"/>
  <c r="KA137" i="4"/>
  <c r="R137" i="4"/>
  <c r="AI137" i="4"/>
  <c r="AZ137" i="4"/>
  <c r="BQ137" i="4"/>
  <c r="CH137" i="4"/>
  <c r="CY137" i="4"/>
  <c r="DP137" i="4"/>
  <c r="EG137" i="4"/>
  <c r="EX137" i="4"/>
  <c r="FO137" i="4"/>
  <c r="GF137" i="4"/>
  <c r="GW137" i="4"/>
  <c r="HO137" i="4"/>
  <c r="IF137" i="4"/>
  <c r="IW137" i="4"/>
  <c r="JN137" i="4"/>
  <c r="KE137" i="4"/>
  <c r="I137" i="4"/>
  <c r="AH137" i="4"/>
  <c r="BD137" i="4"/>
  <c r="BY137" i="4"/>
  <c r="CX137" i="4"/>
  <c r="DT137" i="4"/>
  <c r="EP137" i="4"/>
  <c r="FN137" i="4"/>
  <c r="GK137" i="4"/>
  <c r="HF137" i="4"/>
  <c r="IE137" i="4"/>
  <c r="JA137" i="4"/>
  <c r="JV137" i="4"/>
  <c r="J137" i="4"/>
  <c r="AJ137" i="4"/>
  <c r="BE137" i="4"/>
  <c r="CA137" i="4"/>
  <c r="CZ137" i="4"/>
  <c r="DU137" i="4"/>
  <c r="EQ137" i="4"/>
  <c r="FP137" i="4"/>
  <c r="GL137" i="4"/>
  <c r="HG137" i="4"/>
  <c r="IG137" i="4"/>
  <c r="JB137" i="4"/>
  <c r="JW137" i="4"/>
  <c r="O137" i="4"/>
  <c r="AK137" i="4"/>
  <c r="BF137" i="4"/>
  <c r="CE137" i="4"/>
  <c r="DA137" i="4"/>
  <c r="DW137" i="4"/>
  <c r="EU137" i="4"/>
  <c r="FQ137" i="4"/>
  <c r="GM137" i="4"/>
  <c r="HK137" i="4"/>
  <c r="IH137" i="4"/>
  <c r="JC137" i="4"/>
  <c r="KB137" i="4"/>
  <c r="P137" i="4"/>
  <c r="AL137" i="4"/>
  <c r="BG137" i="4"/>
  <c r="CF137" i="4"/>
  <c r="DB137" i="4"/>
  <c r="DX137" i="4"/>
  <c r="EV137" i="4"/>
  <c r="FS137" i="4"/>
  <c r="GN137" i="4"/>
  <c r="HL137" i="4"/>
  <c r="II137" i="4"/>
  <c r="JD137" i="4"/>
  <c r="KC137" i="4"/>
  <c r="Q137" i="4"/>
  <c r="AM137" i="4"/>
  <c r="BH137" i="4"/>
  <c r="CG137" i="4"/>
  <c r="DC137" i="4"/>
  <c r="DY137" i="4"/>
  <c r="EW137" i="4"/>
  <c r="FT137" i="4"/>
  <c r="GO137" i="4"/>
  <c r="HM137" i="4"/>
  <c r="IJ137" i="4"/>
  <c r="JE137" i="4"/>
  <c r="KD137" i="4"/>
  <c r="T137" i="4"/>
  <c r="AO137" i="4"/>
  <c r="BN137" i="4"/>
  <c r="CJ137" i="4"/>
  <c r="DE137" i="4"/>
  <c r="ED137" i="4"/>
  <c r="EZ137" i="4"/>
  <c r="FV137" i="4"/>
  <c r="GT137" i="4"/>
  <c r="HQ137" i="4"/>
  <c r="IL137" i="4"/>
  <c r="JK137" i="4"/>
  <c r="KG137" i="4"/>
  <c r="V137" i="4"/>
  <c r="BB137" i="4"/>
  <c r="CN137" i="4"/>
  <c r="DZ137" i="4"/>
  <c r="FG137" i="4"/>
  <c r="GV137" i="4"/>
  <c r="IB137" i="4"/>
  <c r="JP137" i="4"/>
  <c r="W137" i="4"/>
  <c r="BC137" i="4"/>
  <c r="CO137" i="4"/>
  <c r="EE137" i="4"/>
  <c r="FH137" i="4"/>
  <c r="GY137" i="4"/>
  <c r="IC137" i="4"/>
  <c r="JQ137" i="4"/>
  <c r="X137" i="4"/>
  <c r="BI137" i="4"/>
  <c r="CQ137" i="4"/>
  <c r="EF137" i="4"/>
  <c r="FL137" i="4"/>
  <c r="GZ137" i="4"/>
  <c r="IK137" i="4"/>
  <c r="JR137" i="4"/>
  <c r="Y137" i="4"/>
  <c r="BO137" i="4"/>
  <c r="CR137" i="4"/>
  <c r="EH137" i="4"/>
  <c r="FM137" i="4"/>
  <c r="HA137" i="4"/>
  <c r="IM137" i="4"/>
  <c r="JS137" i="4"/>
  <c r="Z137" i="4"/>
  <c r="BP137" i="4"/>
  <c r="CV137" i="4"/>
  <c r="EI137" i="4"/>
  <c r="FU137" i="4"/>
  <c r="HB137" i="4"/>
  <c r="IN137" i="4"/>
  <c r="JT137" i="4"/>
  <c r="AF137" i="4"/>
  <c r="BS137" i="4"/>
  <c r="DD137" i="4"/>
  <c r="EK137" i="4"/>
  <c r="FX137" i="4"/>
  <c r="HD137" i="4"/>
  <c r="IS137" i="4"/>
  <c r="KF137" i="4"/>
  <c r="BR137" i="4"/>
  <c r="DO137" i="4"/>
  <c r="GC137" i="4"/>
  <c r="HW137" i="4"/>
  <c r="BT137" i="4"/>
  <c r="DQ137" i="4"/>
  <c r="GD137" i="4"/>
  <c r="HX137" i="4"/>
  <c r="BU137" i="4"/>
  <c r="DR137" i="4"/>
  <c r="GE137" i="4"/>
  <c r="IO137" i="4"/>
  <c r="BV137" i="4"/>
  <c r="DS137" i="4"/>
  <c r="GG137" i="4"/>
  <c r="IU137" i="4"/>
  <c r="S137" i="4"/>
  <c r="BW137" i="4"/>
  <c r="EJ137" i="4"/>
  <c r="GI137" i="4"/>
  <c r="IV137" i="4"/>
  <c r="AA137" i="4"/>
  <c r="CI137" i="4"/>
  <c r="EN137" i="4"/>
  <c r="GP137" i="4"/>
  <c r="IY137" i="4"/>
  <c r="CW137" i="4"/>
  <c r="GJ137" i="4"/>
  <c r="JU137" i="4"/>
  <c r="DG137" i="4"/>
  <c r="GU137" i="4"/>
  <c r="KH137" i="4"/>
  <c r="U137" i="4"/>
  <c r="DH137" i="4"/>
  <c r="HC137" i="4"/>
  <c r="KI137" i="4"/>
  <c r="AG137" i="4"/>
  <c r="DI137" i="4"/>
  <c r="HE137" i="4"/>
  <c r="AN137" i="4"/>
  <c r="DM137" i="4"/>
  <c r="HP137" i="4"/>
  <c r="AQ137" i="4"/>
  <c r="EM137" i="4"/>
  <c r="HS137" i="4"/>
  <c r="DN137" i="4"/>
  <c r="JF137" i="4"/>
  <c r="EO137" i="4"/>
  <c r="JL137" i="4"/>
  <c r="EY137" i="4"/>
  <c r="JM137" i="4"/>
  <c r="FA137" i="4"/>
  <c r="JO137" i="4"/>
  <c r="FC137" i="4"/>
  <c r="AR137" i="4"/>
  <c r="HU137" i="4"/>
  <c r="AW137" i="4"/>
  <c r="HV137" i="4"/>
  <c r="AX137" i="4"/>
  <c r="IX137" i="4"/>
  <c r="AY137" i="4"/>
  <c r="IZ137" i="4"/>
  <c r="BA137" i="4"/>
  <c r="FE137" i="4"/>
  <c r="BX137" i="4"/>
  <c r="CK137" i="4"/>
  <c r="CL137" i="4"/>
  <c r="CM137" i="4"/>
  <c r="FF137" i="4"/>
  <c r="FY137" i="4"/>
  <c r="HR137" i="4"/>
  <c r="HT137" i="4"/>
  <c r="AP137" i="4"/>
  <c r="FD137" i="4"/>
  <c r="FW137" i="4"/>
  <c r="M136" i="4"/>
  <c r="AC136" i="4"/>
  <c r="AS136" i="4"/>
  <c r="BI136" i="4"/>
  <c r="BY136" i="4"/>
  <c r="CO136" i="4"/>
  <c r="DE136" i="4"/>
  <c r="DU136" i="4"/>
  <c r="EK136" i="4"/>
  <c r="FA136" i="4"/>
  <c r="FQ136" i="4"/>
  <c r="GG136" i="4"/>
  <c r="GW136" i="4"/>
  <c r="HM136" i="4"/>
  <c r="IC136" i="4"/>
  <c r="IS136" i="4"/>
  <c r="JI136" i="4"/>
  <c r="JY136" i="4"/>
  <c r="Y136" i="4"/>
  <c r="AP136" i="4"/>
  <c r="BG136" i="4"/>
  <c r="BX136" i="4"/>
  <c r="CP136" i="4"/>
  <c r="DG136" i="4"/>
  <c r="DX136" i="4"/>
  <c r="EO136" i="4"/>
  <c r="FF136" i="4"/>
  <c r="FW136" i="4"/>
  <c r="GN136" i="4"/>
  <c r="HE136" i="4"/>
  <c r="HV136" i="4"/>
  <c r="IM136" i="4"/>
  <c r="JD136" i="4"/>
  <c r="JU136" i="4"/>
  <c r="I136" i="4"/>
  <c r="Z136" i="4"/>
  <c r="AQ136" i="4"/>
  <c r="BH136" i="4"/>
  <c r="BZ136" i="4"/>
  <c r="CQ136" i="4"/>
  <c r="DH136" i="4"/>
  <c r="DY136" i="4"/>
  <c r="EP136" i="4"/>
  <c r="FG136" i="4"/>
  <c r="FX136" i="4"/>
  <c r="GO136" i="4"/>
  <c r="HF136" i="4"/>
  <c r="HW136" i="4"/>
  <c r="IN136" i="4"/>
  <c r="JE136" i="4"/>
  <c r="JV136" i="4"/>
  <c r="J136" i="4"/>
  <c r="AA136" i="4"/>
  <c r="AR136" i="4"/>
  <c r="BJ136" i="4"/>
  <c r="CA136" i="4"/>
  <c r="CR136" i="4"/>
  <c r="DI136" i="4"/>
  <c r="DZ136" i="4"/>
  <c r="EQ136" i="4"/>
  <c r="FH136" i="4"/>
  <c r="FY136" i="4"/>
  <c r="GP136" i="4"/>
  <c r="HG136" i="4"/>
  <c r="HX136" i="4"/>
  <c r="IO136" i="4"/>
  <c r="JF136" i="4"/>
  <c r="JW136" i="4"/>
  <c r="O136" i="4"/>
  <c r="AF136" i="4"/>
  <c r="AW136" i="4"/>
  <c r="BN136" i="4"/>
  <c r="CE136" i="4"/>
  <c r="CV136" i="4"/>
  <c r="DM136" i="4"/>
  <c r="ED136" i="4"/>
  <c r="EU136" i="4"/>
  <c r="FL136" i="4"/>
  <c r="GC136" i="4"/>
  <c r="GT136" i="4"/>
  <c r="HK136" i="4"/>
  <c r="IB136" i="4"/>
  <c r="IT136" i="4"/>
  <c r="JK136" i="4"/>
  <c r="KB136" i="4"/>
  <c r="W136" i="4"/>
  <c r="AV136" i="4"/>
  <c r="BR136" i="4"/>
  <c r="CM136" i="4"/>
  <c r="DL136" i="4"/>
  <c r="EH136" i="4"/>
  <c r="FD136" i="4"/>
  <c r="GB136" i="4"/>
  <c r="GY136" i="4"/>
  <c r="HT136" i="4"/>
  <c r="IR136" i="4"/>
  <c r="JO136" i="4"/>
  <c r="X136" i="4"/>
  <c r="AX136" i="4"/>
  <c r="BS136" i="4"/>
  <c r="CN136" i="4"/>
  <c r="DN136" i="4"/>
  <c r="EI136" i="4"/>
  <c r="FE136" i="4"/>
  <c r="GD136" i="4"/>
  <c r="GZ136" i="4"/>
  <c r="HU136" i="4"/>
  <c r="IU136" i="4"/>
  <c r="JP136" i="4"/>
  <c r="AB136" i="4"/>
  <c r="AY136" i="4"/>
  <c r="BT136" i="4"/>
  <c r="CS136" i="4"/>
  <c r="DO136" i="4"/>
  <c r="EJ136" i="4"/>
  <c r="FI136" i="4"/>
  <c r="GE136" i="4"/>
  <c r="HA136" i="4"/>
  <c r="HY136" i="4"/>
  <c r="IV136" i="4"/>
  <c r="JQ136" i="4"/>
  <c r="AD136" i="4"/>
  <c r="AZ136" i="4"/>
  <c r="BU136" i="4"/>
  <c r="CT136" i="4"/>
  <c r="DP136" i="4"/>
  <c r="EL136" i="4"/>
  <c r="FJ136" i="4"/>
  <c r="GF136" i="4"/>
  <c r="HB136" i="4"/>
  <c r="HZ136" i="4"/>
  <c r="IW136" i="4"/>
  <c r="JR136" i="4"/>
  <c r="AE136" i="4"/>
  <c r="BA136" i="4"/>
  <c r="BV136" i="4"/>
  <c r="CU136" i="4"/>
  <c r="DQ136" i="4"/>
  <c r="EM136" i="4"/>
  <c r="FK136" i="4"/>
  <c r="GH136" i="4"/>
  <c r="HC136" i="4"/>
  <c r="IA136" i="4"/>
  <c r="IX136" i="4"/>
  <c r="JS136" i="4"/>
  <c r="K136" i="4"/>
  <c r="AH136" i="4"/>
  <c r="BC136" i="4"/>
  <c r="CB136" i="4"/>
  <c r="CX136" i="4"/>
  <c r="DS136" i="4"/>
  <c r="ER136" i="4"/>
  <c r="FN136" i="4"/>
  <c r="GJ136" i="4"/>
  <c r="HH136" i="4"/>
  <c r="IE136" i="4"/>
  <c r="IZ136" i="4"/>
  <c r="JX136" i="4"/>
  <c r="Q136" i="4"/>
  <c r="BB136" i="4"/>
  <c r="CI136" i="4"/>
  <c r="DV136" i="4"/>
  <c r="FB136" i="4"/>
  <c r="GQ136" i="4"/>
  <c r="ID136" i="4"/>
  <c r="JJ136" i="4"/>
  <c r="R136" i="4"/>
  <c r="BD136" i="4"/>
  <c r="CJ136" i="4"/>
  <c r="DW136" i="4"/>
  <c r="FC136" i="4"/>
  <c r="GR136" i="4"/>
  <c r="IF136" i="4"/>
  <c r="JL136" i="4"/>
  <c r="S136" i="4"/>
  <c r="BE136" i="4"/>
  <c r="CK136" i="4"/>
  <c r="EA136" i="4"/>
  <c r="FM136" i="4"/>
  <c r="GS136" i="4"/>
  <c r="IG136" i="4"/>
  <c r="JM136" i="4"/>
  <c r="T136" i="4"/>
  <c r="BF136" i="4"/>
  <c r="CL136" i="4"/>
  <c r="EB136" i="4"/>
  <c r="FO136" i="4"/>
  <c r="GU136" i="4"/>
  <c r="IH136" i="4"/>
  <c r="JN136" i="4"/>
  <c r="U136" i="4"/>
  <c r="BK136" i="4"/>
  <c r="CW136" i="4"/>
  <c r="EC136" i="4"/>
  <c r="FP136" i="4"/>
  <c r="GV136" i="4"/>
  <c r="II136" i="4"/>
  <c r="JT136" i="4"/>
  <c r="AG136" i="4"/>
  <c r="BM136" i="4"/>
  <c r="CZ136" i="4"/>
  <c r="EF136" i="4"/>
  <c r="FS136" i="4"/>
  <c r="HD136" i="4"/>
  <c r="IK136" i="4"/>
  <c r="KA136" i="4"/>
  <c r="BL136" i="4"/>
  <c r="DJ136" i="4"/>
  <c r="FU136" i="4"/>
  <c r="HR136" i="4"/>
  <c r="KF136" i="4"/>
  <c r="BO136" i="4"/>
  <c r="DK136" i="4"/>
  <c r="FV136" i="4"/>
  <c r="HS136" i="4"/>
  <c r="KG136" i="4"/>
  <c r="BP136" i="4"/>
  <c r="DR136" i="4"/>
  <c r="FZ136" i="4"/>
  <c r="IJ136" i="4"/>
  <c r="KH136" i="4"/>
  <c r="L136" i="4"/>
  <c r="BQ136" i="4"/>
  <c r="DT136" i="4"/>
  <c r="GA136" i="4"/>
  <c r="IL136" i="4"/>
  <c r="KI136" i="4"/>
  <c r="N136" i="4"/>
  <c r="BW136" i="4"/>
  <c r="EE136" i="4"/>
  <c r="GI136" i="4"/>
  <c r="IP136" i="4"/>
  <c r="V136" i="4"/>
  <c r="CD136" i="4"/>
  <c r="EN136" i="4"/>
  <c r="GL136" i="4"/>
  <c r="IY136" i="4"/>
  <c r="P136" i="4"/>
  <c r="DB136" i="4"/>
  <c r="GX136" i="4"/>
  <c r="KD136" i="4"/>
  <c r="AI136" i="4"/>
  <c r="DC136" i="4"/>
  <c r="HI136" i="4"/>
  <c r="KE136" i="4"/>
  <c r="AJ136" i="4"/>
  <c r="DD136" i="4"/>
  <c r="HJ136" i="4"/>
  <c r="AK136" i="4"/>
  <c r="DF136" i="4"/>
  <c r="HL136" i="4"/>
  <c r="AL136" i="4"/>
  <c r="EG136" i="4"/>
  <c r="HN136" i="4"/>
  <c r="AN136" i="4"/>
  <c r="ET136" i="4"/>
  <c r="HP136" i="4"/>
  <c r="CY136" i="4"/>
  <c r="JB136" i="4"/>
  <c r="DA136" i="4"/>
  <c r="JC136" i="4"/>
  <c r="ES136" i="4"/>
  <c r="JG136" i="4"/>
  <c r="EV136" i="4"/>
  <c r="JH136" i="4"/>
  <c r="EW136" i="4"/>
  <c r="JZ136" i="4"/>
  <c r="CF136" i="4"/>
  <c r="CG136" i="4"/>
  <c r="CH136" i="4"/>
  <c r="EX136" i="4"/>
  <c r="EY136" i="4"/>
  <c r="HO136" i="4"/>
  <c r="AM136" i="4"/>
  <c r="AO136" i="4"/>
  <c r="AT136" i="4"/>
  <c r="CC136" i="4"/>
  <c r="GM136" i="4"/>
  <c r="AU136" i="4"/>
  <c r="EZ136" i="4"/>
  <c r="FR136" i="4"/>
  <c r="FT136" i="4"/>
  <c r="GK136" i="4"/>
  <c r="HQ136" i="4"/>
  <c r="IQ136" i="4"/>
  <c r="JA136" i="4"/>
  <c r="KC136" i="4"/>
  <c r="Q3" i="4"/>
  <c r="AG3" i="4"/>
  <c r="AW3" i="4"/>
  <c r="BM3" i="4"/>
  <c r="CC3" i="4"/>
  <c r="CS3" i="4"/>
  <c r="DI3" i="4"/>
  <c r="DY3" i="4"/>
  <c r="EO3" i="4"/>
  <c r="FE3" i="4"/>
  <c r="FU3" i="4"/>
  <c r="GK3" i="4"/>
  <c r="HA3" i="4"/>
  <c r="HQ3" i="4"/>
  <c r="R3" i="4"/>
  <c r="AH3" i="4"/>
  <c r="AX3" i="4"/>
  <c r="BN3" i="4"/>
  <c r="CD3" i="4"/>
  <c r="CT3" i="4"/>
  <c r="DJ3" i="4"/>
  <c r="DZ3" i="4"/>
  <c r="EP3" i="4"/>
  <c r="FF3" i="4"/>
  <c r="FV3" i="4"/>
  <c r="GL3" i="4"/>
  <c r="HB3" i="4"/>
  <c r="HR3" i="4"/>
  <c r="IH3" i="4"/>
  <c r="IX3" i="4"/>
  <c r="JN3" i="4"/>
  <c r="S3" i="4"/>
  <c r="AI3" i="4"/>
  <c r="AY3" i="4"/>
  <c r="BO3" i="4"/>
  <c r="CE3" i="4"/>
  <c r="CU3" i="4"/>
  <c r="DK3" i="4"/>
  <c r="EA3" i="4"/>
  <c r="EQ3" i="4"/>
  <c r="FG3" i="4"/>
  <c r="FW3" i="4"/>
  <c r="GM3" i="4"/>
  <c r="HC3" i="4"/>
  <c r="HS3" i="4"/>
  <c r="II3" i="4"/>
  <c r="IY3" i="4"/>
  <c r="JO3" i="4"/>
  <c r="KE3" i="4"/>
  <c r="U3" i="4"/>
  <c r="AK3" i="4"/>
  <c r="BA3" i="4"/>
  <c r="BQ3" i="4"/>
  <c r="CG3" i="4"/>
  <c r="CW3" i="4"/>
  <c r="DM3" i="4"/>
  <c r="EC3" i="4"/>
  <c r="ES3" i="4"/>
  <c r="FI3" i="4"/>
  <c r="FY3" i="4"/>
  <c r="GO3" i="4"/>
  <c r="HE3" i="4"/>
  <c r="HU3" i="4"/>
  <c r="IK3" i="4"/>
  <c r="JA3" i="4"/>
  <c r="JQ3" i="4"/>
  <c r="KG3" i="4"/>
  <c r="L3" i="4"/>
  <c r="AF3" i="4"/>
  <c r="BD3" i="4"/>
  <c r="BX3" i="4"/>
  <c r="CR3" i="4"/>
  <c r="DP3" i="4"/>
  <c r="EJ3" i="4"/>
  <c r="FD3" i="4"/>
  <c r="GB3" i="4"/>
  <c r="GV3" i="4"/>
  <c r="HP3" i="4"/>
  <c r="IM3" i="4"/>
  <c r="JF3" i="4"/>
  <c r="JY3" i="4"/>
  <c r="M3" i="4"/>
  <c r="AJ3" i="4"/>
  <c r="BE3" i="4"/>
  <c r="BY3" i="4"/>
  <c r="CV3" i="4"/>
  <c r="DQ3" i="4"/>
  <c r="EK3" i="4"/>
  <c r="FH3" i="4"/>
  <c r="GC3" i="4"/>
  <c r="GW3" i="4"/>
  <c r="HT3" i="4"/>
  <c r="IN3" i="4"/>
  <c r="JG3" i="4"/>
  <c r="JZ3" i="4"/>
  <c r="N3" i="4"/>
  <c r="AL3" i="4"/>
  <c r="BF3" i="4"/>
  <c r="BZ3" i="4"/>
  <c r="CX3" i="4"/>
  <c r="DR3" i="4"/>
  <c r="EL3" i="4"/>
  <c r="FJ3" i="4"/>
  <c r="GD3" i="4"/>
  <c r="GX3" i="4"/>
  <c r="HV3" i="4"/>
  <c r="IO3" i="4"/>
  <c r="JH3" i="4"/>
  <c r="KA3" i="4"/>
  <c r="O3" i="4"/>
  <c r="AM3" i="4"/>
  <c r="BG3" i="4"/>
  <c r="CA3" i="4"/>
  <c r="CY3" i="4"/>
  <c r="DS3" i="4"/>
  <c r="EM3" i="4"/>
  <c r="FK3" i="4"/>
  <c r="GE3" i="4"/>
  <c r="GY3" i="4"/>
  <c r="HW3" i="4"/>
  <c r="IP3" i="4"/>
  <c r="JI3" i="4"/>
  <c r="KB3" i="4"/>
  <c r="P3" i="4"/>
  <c r="AN3" i="4"/>
  <c r="BH3" i="4"/>
  <c r="CB3" i="4"/>
  <c r="CZ3" i="4"/>
  <c r="DT3" i="4"/>
  <c r="EN3" i="4"/>
  <c r="FL3" i="4"/>
  <c r="GF3" i="4"/>
  <c r="GZ3" i="4"/>
  <c r="HX3" i="4"/>
  <c r="IQ3" i="4"/>
  <c r="JJ3" i="4"/>
  <c r="KC3" i="4"/>
  <c r="Z3" i="4"/>
  <c r="BC3" i="4"/>
  <c r="CK3" i="4"/>
  <c r="DN3" i="4"/>
  <c r="EV3" i="4"/>
  <c r="FX3" i="4"/>
  <c r="HG3" i="4"/>
  <c r="IF3" i="4"/>
  <c r="JL3" i="4"/>
  <c r="AA3" i="4"/>
  <c r="BI3" i="4"/>
  <c r="CL3" i="4"/>
  <c r="DO3" i="4"/>
  <c r="EW3" i="4"/>
  <c r="FZ3" i="4"/>
  <c r="HH3" i="4"/>
  <c r="IG3" i="4"/>
  <c r="JM3" i="4"/>
  <c r="AB3" i="4"/>
  <c r="BJ3" i="4"/>
  <c r="CM3" i="4"/>
  <c r="DU3" i="4"/>
  <c r="EX3" i="4"/>
  <c r="GA3" i="4"/>
  <c r="HI3" i="4"/>
  <c r="IJ3" i="4"/>
  <c r="JP3" i="4"/>
  <c r="AC3" i="4"/>
  <c r="BK3" i="4"/>
  <c r="CN3" i="4"/>
  <c r="DV3" i="4"/>
  <c r="EY3" i="4"/>
  <c r="GG3" i="4"/>
  <c r="HJ3" i="4"/>
  <c r="IL3" i="4"/>
  <c r="JR3" i="4"/>
  <c r="AD3" i="4"/>
  <c r="BL3" i="4"/>
  <c r="CO3" i="4"/>
  <c r="DW3" i="4"/>
  <c r="EZ3" i="4"/>
  <c r="GH3" i="4"/>
  <c r="HK3" i="4"/>
  <c r="IR3" i="4"/>
  <c r="JS3" i="4"/>
  <c r="AO3" i="4"/>
  <c r="BR3" i="4"/>
  <c r="CQ3" i="4"/>
  <c r="EB3" i="4"/>
  <c r="FB3" i="4"/>
  <c r="GJ3" i="4"/>
  <c r="HM3" i="4"/>
  <c r="IT3" i="4"/>
  <c r="JU3" i="4"/>
  <c r="X3" i="4"/>
  <c r="BV3" i="4"/>
  <c r="DX3" i="4"/>
  <c r="FQ3" i="4"/>
  <c r="HO3" i="4"/>
  <c r="JE3" i="4"/>
  <c r="Y3" i="4"/>
  <c r="BW3" i="4"/>
  <c r="ED3" i="4"/>
  <c r="FR3" i="4"/>
  <c r="HY3" i="4"/>
  <c r="JK3" i="4"/>
  <c r="AE3" i="4"/>
  <c r="CF3" i="4"/>
  <c r="EE3" i="4"/>
  <c r="FS3" i="4"/>
  <c r="HZ3" i="4"/>
  <c r="JT3" i="4"/>
  <c r="AP3" i="4"/>
  <c r="CH3" i="4"/>
  <c r="EF3" i="4"/>
  <c r="FT3" i="4"/>
  <c r="IA3" i="4"/>
  <c r="JV3" i="4"/>
  <c r="AQ3" i="4"/>
  <c r="CI3" i="4"/>
  <c r="EG3" i="4"/>
  <c r="GI3" i="4"/>
  <c r="IB3" i="4"/>
  <c r="JW3" i="4"/>
  <c r="AS3" i="4"/>
  <c r="CP3" i="4"/>
  <c r="EI3" i="4"/>
  <c r="GP3" i="4"/>
  <c r="ID3" i="4"/>
  <c r="KD3" i="4"/>
  <c r="K3" i="4"/>
  <c r="DB3" i="4"/>
  <c r="FO3" i="4"/>
  <c r="IV3" i="4"/>
  <c r="T3" i="4"/>
  <c r="DC3" i="4"/>
  <c r="FP3" i="4"/>
  <c r="IW3" i="4"/>
  <c r="V3" i="4"/>
  <c r="DD3" i="4"/>
  <c r="GN3" i="4"/>
  <c r="IZ3" i="4"/>
  <c r="W3" i="4"/>
  <c r="DE3" i="4"/>
  <c r="GQ3" i="4"/>
  <c r="JB3" i="4"/>
  <c r="AR3" i="4"/>
  <c r="DF3" i="4"/>
  <c r="GR3" i="4"/>
  <c r="JC3" i="4"/>
  <c r="AU3" i="4"/>
  <c r="DH3" i="4"/>
  <c r="GT3" i="4"/>
  <c r="JX3" i="4"/>
  <c r="I3" i="4"/>
  <c r="ET3" i="4"/>
  <c r="JD3" i="4"/>
  <c r="J3" i="4"/>
  <c r="EU3" i="4"/>
  <c r="KF3" i="4"/>
  <c r="AT3" i="4"/>
  <c r="FA3" i="4"/>
  <c r="KH3" i="4"/>
  <c r="AV3" i="4"/>
  <c r="FC3" i="4"/>
  <c r="KI3" i="4"/>
  <c r="AZ3" i="4"/>
  <c r="FM3" i="4"/>
  <c r="BP3" i="4"/>
  <c r="GS3" i="4"/>
  <c r="CJ3" i="4"/>
  <c r="DA3" i="4"/>
  <c r="DG3" i="4"/>
  <c r="DL3" i="4"/>
  <c r="EH3" i="4"/>
  <c r="FN3" i="4"/>
  <c r="ER3" i="4"/>
  <c r="GU3" i="4"/>
  <c r="HD3" i="4"/>
  <c r="HF3" i="4"/>
  <c r="HL3" i="4"/>
  <c r="IC3" i="4"/>
  <c r="BB3" i="4"/>
  <c r="BS3" i="4"/>
  <c r="BT3" i="4"/>
  <c r="HN3" i="4"/>
  <c r="BU3" i="4"/>
  <c r="IS3" i="4"/>
  <c r="IU3" i="4"/>
  <c r="IE3" i="4"/>
  <c r="T112" i="4"/>
  <c r="AJ112" i="4"/>
  <c r="AZ112" i="4"/>
  <c r="BP112" i="4"/>
  <c r="CF112" i="4"/>
  <c r="CV112" i="4"/>
  <c r="DL112" i="4"/>
  <c r="EB112" i="4"/>
  <c r="ER112" i="4"/>
  <c r="FH112" i="4"/>
  <c r="FX112" i="4"/>
  <c r="GN112" i="4"/>
  <c r="HD112" i="4"/>
  <c r="HT112" i="4"/>
  <c r="IJ112" i="4"/>
  <c r="IZ112" i="4"/>
  <c r="JP112" i="4"/>
  <c r="KF112" i="4"/>
  <c r="Q112" i="4"/>
  <c r="AH112" i="4"/>
  <c r="AY112" i="4"/>
  <c r="BQ112" i="4"/>
  <c r="CH112" i="4"/>
  <c r="CY112" i="4"/>
  <c r="DP112" i="4"/>
  <c r="EG112" i="4"/>
  <c r="EX112" i="4"/>
  <c r="FO112" i="4"/>
  <c r="GF112" i="4"/>
  <c r="GW112" i="4"/>
  <c r="HN112" i="4"/>
  <c r="IE112" i="4"/>
  <c r="IV112" i="4"/>
  <c r="JM112" i="4"/>
  <c r="KD112" i="4"/>
  <c r="R112" i="4"/>
  <c r="AI112" i="4"/>
  <c r="BA112" i="4"/>
  <c r="BR112" i="4"/>
  <c r="CI112" i="4"/>
  <c r="CZ112" i="4"/>
  <c r="DQ112" i="4"/>
  <c r="EH112" i="4"/>
  <c r="EY112" i="4"/>
  <c r="FP112" i="4"/>
  <c r="GG112" i="4"/>
  <c r="GX112" i="4"/>
  <c r="HO112" i="4"/>
  <c r="IF112" i="4"/>
  <c r="IW112" i="4"/>
  <c r="JN112" i="4"/>
  <c r="KE112" i="4"/>
  <c r="S112" i="4"/>
  <c r="AK112" i="4"/>
  <c r="BB112" i="4"/>
  <c r="BS112" i="4"/>
  <c r="CJ112" i="4"/>
  <c r="DA112" i="4"/>
  <c r="DR112" i="4"/>
  <c r="EI112" i="4"/>
  <c r="EZ112" i="4"/>
  <c r="FQ112" i="4"/>
  <c r="GH112" i="4"/>
  <c r="GY112" i="4"/>
  <c r="HP112" i="4"/>
  <c r="IG112" i="4"/>
  <c r="IX112" i="4"/>
  <c r="JO112" i="4"/>
  <c r="KG112" i="4"/>
  <c r="X112" i="4"/>
  <c r="AO112" i="4"/>
  <c r="BF112" i="4"/>
  <c r="BW112" i="4"/>
  <c r="CN112" i="4"/>
  <c r="DE112" i="4"/>
  <c r="DV112" i="4"/>
  <c r="EM112" i="4"/>
  <c r="FD112" i="4"/>
  <c r="FU112" i="4"/>
  <c r="GL112" i="4"/>
  <c r="HC112" i="4"/>
  <c r="HU112" i="4"/>
  <c r="IL112" i="4"/>
  <c r="JC112" i="4"/>
  <c r="JT112" i="4"/>
  <c r="I112" i="4"/>
  <c r="AD112" i="4"/>
  <c r="BC112" i="4"/>
  <c r="BY112" i="4"/>
  <c r="CT112" i="4"/>
  <c r="DS112" i="4"/>
  <c r="EO112" i="4"/>
  <c r="FK112" i="4"/>
  <c r="GI112" i="4"/>
  <c r="HF112" i="4"/>
  <c r="IA112" i="4"/>
  <c r="IY112" i="4"/>
  <c r="JV112" i="4"/>
  <c r="J112" i="4"/>
  <c r="AE112" i="4"/>
  <c r="BD112" i="4"/>
  <c r="BZ112" i="4"/>
  <c r="CU112" i="4"/>
  <c r="DT112" i="4"/>
  <c r="EP112" i="4"/>
  <c r="FL112" i="4"/>
  <c r="GJ112" i="4"/>
  <c r="HG112" i="4"/>
  <c r="IB112" i="4"/>
  <c r="JA112" i="4"/>
  <c r="JW112" i="4"/>
  <c r="K112" i="4"/>
  <c r="AF112" i="4"/>
  <c r="BE112" i="4"/>
  <c r="CA112" i="4"/>
  <c r="CW112" i="4"/>
  <c r="DU112" i="4"/>
  <c r="EQ112" i="4"/>
  <c r="FM112" i="4"/>
  <c r="GK112" i="4"/>
  <c r="HH112" i="4"/>
  <c r="IC112" i="4"/>
  <c r="JB112" i="4"/>
  <c r="JX112" i="4"/>
  <c r="L112" i="4"/>
  <c r="AG112" i="4"/>
  <c r="BG112" i="4"/>
  <c r="CB112" i="4"/>
  <c r="CX112" i="4"/>
  <c r="DW112" i="4"/>
  <c r="ES112" i="4"/>
  <c r="FN112" i="4"/>
  <c r="GM112" i="4"/>
  <c r="HI112" i="4"/>
  <c r="ID112" i="4"/>
  <c r="JD112" i="4"/>
  <c r="JY112" i="4"/>
  <c r="M112" i="4"/>
  <c r="AL112" i="4"/>
  <c r="BH112" i="4"/>
  <c r="CC112" i="4"/>
  <c r="DB112" i="4"/>
  <c r="DX112" i="4"/>
  <c r="ET112" i="4"/>
  <c r="FR112" i="4"/>
  <c r="GO112" i="4"/>
  <c r="HJ112" i="4"/>
  <c r="IH112" i="4"/>
  <c r="JE112" i="4"/>
  <c r="JZ112" i="4"/>
  <c r="O112" i="4"/>
  <c r="AN112" i="4"/>
  <c r="BJ112" i="4"/>
  <c r="CE112" i="4"/>
  <c r="DD112" i="4"/>
  <c r="DZ112" i="4"/>
  <c r="EV112" i="4"/>
  <c r="FT112" i="4"/>
  <c r="GQ112" i="4"/>
  <c r="HL112" i="4"/>
  <c r="IK112" i="4"/>
  <c r="JG112" i="4"/>
  <c r="KB112" i="4"/>
  <c r="N112" i="4"/>
  <c r="AU112" i="4"/>
  <c r="CK112" i="4"/>
  <c r="DN112" i="4"/>
  <c r="FC112" i="4"/>
  <c r="GP112" i="4"/>
  <c r="HW112" i="4"/>
  <c r="JI112" i="4"/>
  <c r="P112" i="4"/>
  <c r="AV112" i="4"/>
  <c r="CL112" i="4"/>
  <c r="DO112" i="4"/>
  <c r="FE112" i="4"/>
  <c r="GR112" i="4"/>
  <c r="HX112" i="4"/>
  <c r="JJ112" i="4"/>
  <c r="U112" i="4"/>
  <c r="AW112" i="4"/>
  <c r="CM112" i="4"/>
  <c r="DY112" i="4"/>
  <c r="FF112" i="4"/>
  <c r="GS112" i="4"/>
  <c r="HY112" i="4"/>
  <c r="JK112" i="4"/>
  <c r="V112" i="4"/>
  <c r="AX112" i="4"/>
  <c r="CO112" i="4"/>
  <c r="EA112" i="4"/>
  <c r="FG112" i="4"/>
  <c r="GT112" i="4"/>
  <c r="HZ112" i="4"/>
  <c r="JL112" i="4"/>
  <c r="W112" i="4"/>
  <c r="BI112" i="4"/>
  <c r="CP112" i="4"/>
  <c r="EC112" i="4"/>
  <c r="FI112" i="4"/>
  <c r="GU112" i="4"/>
  <c r="II112" i="4"/>
  <c r="JQ112" i="4"/>
  <c r="Z112" i="4"/>
  <c r="BL112" i="4"/>
  <c r="CR112" i="4"/>
  <c r="EE112" i="4"/>
  <c r="FS112" i="4"/>
  <c r="GZ112" i="4"/>
  <c r="IN112" i="4"/>
  <c r="JS112" i="4"/>
  <c r="AS112" i="4"/>
  <c r="DG112" i="4"/>
  <c r="FJ112" i="4"/>
  <c r="HQ112" i="4"/>
  <c r="KA112" i="4"/>
  <c r="AT112" i="4"/>
  <c r="DH112" i="4"/>
  <c r="FV112" i="4"/>
  <c r="HR112" i="4"/>
  <c r="KC112" i="4"/>
  <c r="BK112" i="4"/>
  <c r="DI112" i="4"/>
  <c r="FW112" i="4"/>
  <c r="HS112" i="4"/>
  <c r="KH112" i="4"/>
  <c r="BM112" i="4"/>
  <c r="DJ112" i="4"/>
  <c r="FY112" i="4"/>
  <c r="HV112" i="4"/>
  <c r="KI112" i="4"/>
  <c r="BN112" i="4"/>
  <c r="DK112" i="4"/>
  <c r="FZ112" i="4"/>
  <c r="IM112" i="4"/>
  <c r="BT112" i="4"/>
  <c r="ED112" i="4"/>
  <c r="GB112" i="4"/>
  <c r="IP112" i="4"/>
  <c r="AQ112" i="4"/>
  <c r="EL112" i="4"/>
  <c r="IO112" i="4"/>
  <c r="AR112" i="4"/>
  <c r="EN112" i="4"/>
  <c r="IQ112" i="4"/>
  <c r="BO112" i="4"/>
  <c r="EU112" i="4"/>
  <c r="IR112" i="4"/>
  <c r="BU112" i="4"/>
  <c r="EW112" i="4"/>
  <c r="IS112" i="4"/>
  <c r="BV112" i="4"/>
  <c r="FA112" i="4"/>
  <c r="IT112" i="4"/>
  <c r="CD112" i="4"/>
  <c r="GA112" i="4"/>
  <c r="JF112" i="4"/>
  <c r="AM112" i="4"/>
  <c r="GV112" i="4"/>
  <c r="AP112" i="4"/>
  <c r="HA112" i="4"/>
  <c r="BX112" i="4"/>
  <c r="HB112" i="4"/>
  <c r="CG112" i="4"/>
  <c r="HE112" i="4"/>
  <c r="CQ112" i="4"/>
  <c r="HK112" i="4"/>
  <c r="DC112" i="4"/>
  <c r="IU112" i="4"/>
  <c r="DM112" i="4"/>
  <c r="EF112" i="4"/>
  <c r="EJ112" i="4"/>
  <c r="EK112" i="4"/>
  <c r="FB112" i="4"/>
  <c r="Y112" i="4"/>
  <c r="JR112" i="4"/>
  <c r="AA112" i="4"/>
  <c r="AB112" i="4"/>
  <c r="GE112" i="4"/>
  <c r="AC112" i="4"/>
  <c r="CS112" i="4"/>
  <c r="DF112" i="4"/>
  <c r="GC112" i="4"/>
  <c r="HM112" i="4"/>
  <c r="GD112" i="4"/>
  <c r="JH112" i="4"/>
  <c r="JU112" i="4"/>
  <c r="O32" i="4"/>
  <c r="AE32" i="4"/>
  <c r="AU32" i="4"/>
  <c r="BK32" i="4"/>
  <c r="CA32" i="4"/>
  <c r="CQ32" i="4"/>
  <c r="DG32" i="4"/>
  <c r="DW32" i="4"/>
  <c r="EM32" i="4"/>
  <c r="FC32" i="4"/>
  <c r="FS32" i="4"/>
  <c r="GI32" i="4"/>
  <c r="GY32" i="4"/>
  <c r="HO32" i="4"/>
  <c r="IE32" i="4"/>
  <c r="IU32" i="4"/>
  <c r="JK32" i="4"/>
  <c r="KA32" i="4"/>
  <c r="M32" i="4"/>
  <c r="AD32" i="4"/>
  <c r="AV32" i="4"/>
  <c r="BM32" i="4"/>
  <c r="CD32" i="4"/>
  <c r="CU32" i="4"/>
  <c r="DL32" i="4"/>
  <c r="EC32" i="4"/>
  <c r="ET32" i="4"/>
  <c r="FK32" i="4"/>
  <c r="GB32" i="4"/>
  <c r="GS32" i="4"/>
  <c r="HJ32" i="4"/>
  <c r="IA32" i="4"/>
  <c r="IR32" i="4"/>
  <c r="JI32" i="4"/>
  <c r="JZ32" i="4"/>
  <c r="N32" i="4"/>
  <c r="AF32" i="4"/>
  <c r="AW32" i="4"/>
  <c r="BN32" i="4"/>
  <c r="CE32" i="4"/>
  <c r="CV32" i="4"/>
  <c r="DM32" i="4"/>
  <c r="ED32" i="4"/>
  <c r="EU32" i="4"/>
  <c r="FL32" i="4"/>
  <c r="GC32" i="4"/>
  <c r="GT32" i="4"/>
  <c r="HK32" i="4"/>
  <c r="IB32" i="4"/>
  <c r="IS32" i="4"/>
  <c r="JJ32" i="4"/>
  <c r="KB32" i="4"/>
  <c r="P32" i="4"/>
  <c r="AG32" i="4"/>
  <c r="AX32" i="4"/>
  <c r="BO32" i="4"/>
  <c r="CF32" i="4"/>
  <c r="CW32" i="4"/>
  <c r="DN32" i="4"/>
  <c r="EE32" i="4"/>
  <c r="EV32" i="4"/>
  <c r="FM32" i="4"/>
  <c r="GD32" i="4"/>
  <c r="GU32" i="4"/>
  <c r="HL32" i="4"/>
  <c r="IC32" i="4"/>
  <c r="IT32" i="4"/>
  <c r="JL32" i="4"/>
  <c r="KC32" i="4"/>
  <c r="T32" i="4"/>
  <c r="AK32" i="4"/>
  <c r="BB32" i="4"/>
  <c r="BS32" i="4"/>
  <c r="CJ32" i="4"/>
  <c r="DA32" i="4"/>
  <c r="DR32" i="4"/>
  <c r="EI32" i="4"/>
  <c r="EZ32" i="4"/>
  <c r="FQ32" i="4"/>
  <c r="GH32" i="4"/>
  <c r="GZ32" i="4"/>
  <c r="HQ32" i="4"/>
  <c r="IH32" i="4"/>
  <c r="IY32" i="4"/>
  <c r="JP32" i="4"/>
  <c r="KG32" i="4"/>
  <c r="U32" i="4"/>
  <c r="AP32" i="4"/>
  <c r="BL32" i="4"/>
  <c r="CK32" i="4"/>
  <c r="DF32" i="4"/>
  <c r="EB32" i="4"/>
  <c r="FA32" i="4"/>
  <c r="FW32" i="4"/>
  <c r="GR32" i="4"/>
  <c r="HR32" i="4"/>
  <c r="IM32" i="4"/>
  <c r="JH32" i="4"/>
  <c r="KH32" i="4"/>
  <c r="V32" i="4"/>
  <c r="AQ32" i="4"/>
  <c r="BP32" i="4"/>
  <c r="CL32" i="4"/>
  <c r="DH32" i="4"/>
  <c r="EF32" i="4"/>
  <c r="FB32" i="4"/>
  <c r="FX32" i="4"/>
  <c r="GV32" i="4"/>
  <c r="HS32" i="4"/>
  <c r="IN32" i="4"/>
  <c r="JM32" i="4"/>
  <c r="KI32" i="4"/>
  <c r="W32" i="4"/>
  <c r="AR32" i="4"/>
  <c r="BQ32" i="4"/>
  <c r="CM32" i="4"/>
  <c r="DI32" i="4"/>
  <c r="EG32" i="4"/>
  <c r="FD32" i="4"/>
  <c r="FY32" i="4"/>
  <c r="GW32" i="4"/>
  <c r="HT32" i="4"/>
  <c r="IO32" i="4"/>
  <c r="JN32" i="4"/>
  <c r="X32" i="4"/>
  <c r="AS32" i="4"/>
  <c r="BR32" i="4"/>
  <c r="CN32" i="4"/>
  <c r="DJ32" i="4"/>
  <c r="EH32" i="4"/>
  <c r="FE32" i="4"/>
  <c r="FZ32" i="4"/>
  <c r="GX32" i="4"/>
  <c r="HU32" i="4"/>
  <c r="IP32" i="4"/>
  <c r="JO32" i="4"/>
  <c r="Y32" i="4"/>
  <c r="AT32" i="4"/>
  <c r="BT32" i="4"/>
  <c r="CO32" i="4"/>
  <c r="DK32" i="4"/>
  <c r="EJ32" i="4"/>
  <c r="FF32" i="4"/>
  <c r="GA32" i="4"/>
  <c r="HA32" i="4"/>
  <c r="HV32" i="4"/>
  <c r="IQ32" i="4"/>
  <c r="JQ32" i="4"/>
  <c r="AA32" i="4"/>
  <c r="AZ32" i="4"/>
  <c r="BV32" i="4"/>
  <c r="CR32" i="4"/>
  <c r="DP32" i="4"/>
  <c r="EL32" i="4"/>
  <c r="FH32" i="4"/>
  <c r="GF32" i="4"/>
  <c r="HC32" i="4"/>
  <c r="HX32" i="4"/>
  <c r="IW32" i="4"/>
  <c r="JS32" i="4"/>
  <c r="AL32" i="4"/>
  <c r="BX32" i="4"/>
  <c r="DD32" i="4"/>
  <c r="EQ32" i="4"/>
  <c r="GE32" i="4"/>
  <c r="HI32" i="4"/>
  <c r="IZ32" i="4"/>
  <c r="KE32" i="4"/>
  <c r="AM32" i="4"/>
  <c r="BY32" i="4"/>
  <c r="DE32" i="4"/>
  <c r="ER32" i="4"/>
  <c r="GG32" i="4"/>
  <c r="HM32" i="4"/>
  <c r="JA32" i="4"/>
  <c r="KF32" i="4"/>
  <c r="AN32" i="4"/>
  <c r="BZ32" i="4"/>
  <c r="DO32" i="4"/>
  <c r="ES32" i="4"/>
  <c r="GJ32" i="4"/>
  <c r="HN32" i="4"/>
  <c r="JB32" i="4"/>
  <c r="I32" i="4"/>
  <c r="AO32" i="4"/>
  <c r="CB32" i="4"/>
  <c r="DQ32" i="4"/>
  <c r="EW32" i="4"/>
  <c r="GK32" i="4"/>
  <c r="HP32" i="4"/>
  <c r="JC32" i="4"/>
  <c r="J32" i="4"/>
  <c r="AY32" i="4"/>
  <c r="CC32" i="4"/>
  <c r="DS32" i="4"/>
  <c r="EX32" i="4"/>
  <c r="GL32" i="4"/>
  <c r="HW32" i="4"/>
  <c r="JD32" i="4"/>
  <c r="L32" i="4"/>
  <c r="BC32" i="4"/>
  <c r="CH32" i="4"/>
  <c r="DU32" i="4"/>
  <c r="FG32" i="4"/>
  <c r="GN32" i="4"/>
  <c r="HZ32" i="4"/>
  <c r="JF32" i="4"/>
  <c r="BE32" i="4"/>
  <c r="DB32" i="4"/>
  <c r="FO32" i="4"/>
  <c r="HY32" i="4"/>
  <c r="JW32" i="4"/>
  <c r="BF32" i="4"/>
  <c r="DC32" i="4"/>
  <c r="FP32" i="4"/>
  <c r="ID32" i="4"/>
  <c r="JX32" i="4"/>
  <c r="BG32" i="4"/>
  <c r="DT32" i="4"/>
  <c r="FR32" i="4"/>
  <c r="IF32" i="4"/>
  <c r="JY32" i="4"/>
  <c r="BH32" i="4"/>
  <c r="DV32" i="4"/>
  <c r="FT32" i="4"/>
  <c r="IG32" i="4"/>
  <c r="KD32" i="4"/>
  <c r="K32" i="4"/>
  <c r="BI32" i="4"/>
  <c r="DX32" i="4"/>
  <c r="FU32" i="4"/>
  <c r="II32" i="4"/>
  <c r="R32" i="4"/>
  <c r="BU32" i="4"/>
  <c r="DZ32" i="4"/>
  <c r="GM32" i="4"/>
  <c r="IK32" i="4"/>
  <c r="CG32" i="4"/>
  <c r="FJ32" i="4"/>
  <c r="JE32" i="4"/>
  <c r="CI32" i="4"/>
  <c r="FN32" i="4"/>
  <c r="JG32" i="4"/>
  <c r="CP32" i="4"/>
  <c r="FV32" i="4"/>
  <c r="JR32" i="4"/>
  <c r="CS32" i="4"/>
  <c r="GO32" i="4"/>
  <c r="JT32" i="4"/>
  <c r="Q32" i="4"/>
  <c r="CT32" i="4"/>
  <c r="GP32" i="4"/>
  <c r="JU32" i="4"/>
  <c r="Z32" i="4"/>
  <c r="CY32" i="4"/>
  <c r="HB32" i="4"/>
  <c r="DY32" i="4"/>
  <c r="IV32" i="4"/>
  <c r="EA32" i="4"/>
  <c r="IX32" i="4"/>
  <c r="EK32" i="4"/>
  <c r="JV32" i="4"/>
  <c r="EN32" i="4"/>
  <c r="S32" i="4"/>
  <c r="EO32" i="4"/>
  <c r="AC32" i="4"/>
  <c r="EY32" i="4"/>
  <c r="BJ32" i="4"/>
  <c r="BW32" i="4"/>
  <c r="CX32" i="4"/>
  <c r="CZ32" i="4"/>
  <c r="EP32" i="4"/>
  <c r="GQ32" i="4"/>
  <c r="AI32" i="4"/>
  <c r="AJ32" i="4"/>
  <c r="BA32" i="4"/>
  <c r="BD32" i="4"/>
  <c r="FI32" i="4"/>
  <c r="HE32" i="4"/>
  <c r="HD32" i="4"/>
  <c r="HF32" i="4"/>
  <c r="HG32" i="4"/>
  <c r="HH32" i="4"/>
  <c r="IJ32" i="4"/>
  <c r="AB32" i="4"/>
  <c r="AH32" i="4"/>
  <c r="IL32" i="4"/>
  <c r="S132" i="4"/>
  <c r="AI132" i="4"/>
  <c r="AY132" i="4"/>
  <c r="BO132" i="4"/>
  <c r="CE132" i="4"/>
  <c r="CU132" i="4"/>
  <c r="DK132" i="4"/>
  <c r="EA132" i="4"/>
  <c r="EQ132" i="4"/>
  <c r="FG132" i="4"/>
  <c r="FW132" i="4"/>
  <c r="GM132" i="4"/>
  <c r="HC132" i="4"/>
  <c r="HS132" i="4"/>
  <c r="II132" i="4"/>
  <c r="IY132" i="4"/>
  <c r="JO132" i="4"/>
  <c r="KE132" i="4"/>
  <c r="I132" i="4"/>
  <c r="Y132" i="4"/>
  <c r="AO132" i="4"/>
  <c r="BE132" i="4"/>
  <c r="BU132" i="4"/>
  <c r="CK132" i="4"/>
  <c r="DA132" i="4"/>
  <c r="DQ132" i="4"/>
  <c r="EG132" i="4"/>
  <c r="EW132" i="4"/>
  <c r="FM132" i="4"/>
  <c r="GC132" i="4"/>
  <c r="GS132" i="4"/>
  <c r="HI132" i="4"/>
  <c r="HY132" i="4"/>
  <c r="IO132" i="4"/>
  <c r="JE132" i="4"/>
  <c r="JU132" i="4"/>
  <c r="J132" i="4"/>
  <c r="AB132" i="4"/>
  <c r="AT132" i="4"/>
  <c r="BL132" i="4"/>
  <c r="CD132" i="4"/>
  <c r="CW132" i="4"/>
  <c r="DO132" i="4"/>
  <c r="EH132" i="4"/>
  <c r="EZ132" i="4"/>
  <c r="FR132" i="4"/>
  <c r="GJ132" i="4"/>
  <c r="HB132" i="4"/>
  <c r="HU132" i="4"/>
  <c r="IM132" i="4"/>
  <c r="JF132" i="4"/>
  <c r="JX132" i="4"/>
  <c r="K132" i="4"/>
  <c r="AC132" i="4"/>
  <c r="AU132" i="4"/>
  <c r="BM132" i="4"/>
  <c r="CF132" i="4"/>
  <c r="CX132" i="4"/>
  <c r="DP132" i="4"/>
  <c r="EI132" i="4"/>
  <c r="FA132" i="4"/>
  <c r="FS132" i="4"/>
  <c r="GK132" i="4"/>
  <c r="HD132" i="4"/>
  <c r="HV132" i="4"/>
  <c r="IN132" i="4"/>
  <c r="JG132" i="4"/>
  <c r="JY132" i="4"/>
  <c r="L132" i="4"/>
  <c r="AD132" i="4"/>
  <c r="AV132" i="4"/>
  <c r="BN132" i="4"/>
  <c r="CG132" i="4"/>
  <c r="CY132" i="4"/>
  <c r="DR132" i="4"/>
  <c r="EJ132" i="4"/>
  <c r="FB132" i="4"/>
  <c r="FT132" i="4"/>
  <c r="GL132" i="4"/>
  <c r="HE132" i="4"/>
  <c r="HW132" i="4"/>
  <c r="IP132" i="4"/>
  <c r="JH132" i="4"/>
  <c r="JZ132" i="4"/>
  <c r="P132" i="4"/>
  <c r="AH132" i="4"/>
  <c r="BA132" i="4"/>
  <c r="BS132" i="4"/>
  <c r="CL132" i="4"/>
  <c r="DD132" i="4"/>
  <c r="DV132" i="4"/>
  <c r="EN132" i="4"/>
  <c r="FF132" i="4"/>
  <c r="FY132" i="4"/>
  <c r="GQ132" i="4"/>
  <c r="HJ132" i="4"/>
  <c r="IB132" i="4"/>
  <c r="IT132" i="4"/>
  <c r="JL132" i="4"/>
  <c r="KD132" i="4"/>
  <c r="U132" i="4"/>
  <c r="AR132" i="4"/>
  <c r="BR132" i="4"/>
  <c r="CP132" i="4"/>
  <c r="DM132" i="4"/>
  <c r="EM132" i="4"/>
  <c r="FK132" i="4"/>
  <c r="GH132" i="4"/>
  <c r="HH132" i="4"/>
  <c r="IF132" i="4"/>
  <c r="JC132" i="4"/>
  <c r="KC132" i="4"/>
  <c r="V132" i="4"/>
  <c r="AS132" i="4"/>
  <c r="BT132" i="4"/>
  <c r="CQ132" i="4"/>
  <c r="DN132" i="4"/>
  <c r="EO132" i="4"/>
  <c r="FL132" i="4"/>
  <c r="GI132" i="4"/>
  <c r="HK132" i="4"/>
  <c r="IG132" i="4"/>
  <c r="JD132" i="4"/>
  <c r="KF132" i="4"/>
  <c r="W132" i="4"/>
  <c r="AW132" i="4"/>
  <c r="BV132" i="4"/>
  <c r="CR132" i="4"/>
  <c r="DS132" i="4"/>
  <c r="EP132" i="4"/>
  <c r="FN132" i="4"/>
  <c r="GN132" i="4"/>
  <c r="HL132" i="4"/>
  <c r="IH132" i="4"/>
  <c r="JI132" i="4"/>
  <c r="KG132" i="4"/>
  <c r="X132" i="4"/>
  <c r="AX132" i="4"/>
  <c r="BW132" i="4"/>
  <c r="CS132" i="4"/>
  <c r="DT132" i="4"/>
  <c r="ER132" i="4"/>
  <c r="FO132" i="4"/>
  <c r="GO132" i="4"/>
  <c r="HM132" i="4"/>
  <c r="IJ132" i="4"/>
  <c r="JJ132" i="4"/>
  <c r="KH132" i="4"/>
  <c r="Z132" i="4"/>
  <c r="AZ132" i="4"/>
  <c r="BX132" i="4"/>
  <c r="CT132" i="4"/>
  <c r="DU132" i="4"/>
  <c r="ES132" i="4"/>
  <c r="FP132" i="4"/>
  <c r="GP132" i="4"/>
  <c r="HN132" i="4"/>
  <c r="IK132" i="4"/>
  <c r="JK132" i="4"/>
  <c r="KI132" i="4"/>
  <c r="AE132" i="4"/>
  <c r="BC132" i="4"/>
  <c r="BZ132" i="4"/>
  <c r="CZ132" i="4"/>
  <c r="DX132" i="4"/>
  <c r="EU132" i="4"/>
  <c r="FU132" i="4"/>
  <c r="GT132" i="4"/>
  <c r="HP132" i="4"/>
  <c r="IQ132" i="4"/>
  <c r="JN132" i="4"/>
  <c r="AK132" i="4"/>
  <c r="BY132" i="4"/>
  <c r="DH132" i="4"/>
  <c r="EX132" i="4"/>
  <c r="GF132" i="4"/>
  <c r="HX132" i="4"/>
  <c r="JM132" i="4"/>
  <c r="AL132" i="4"/>
  <c r="CA132" i="4"/>
  <c r="DI132" i="4"/>
  <c r="EY132" i="4"/>
  <c r="GG132" i="4"/>
  <c r="HZ132" i="4"/>
  <c r="JP132" i="4"/>
  <c r="AM132" i="4"/>
  <c r="CB132" i="4"/>
  <c r="DJ132" i="4"/>
  <c r="FC132" i="4"/>
  <c r="GR132" i="4"/>
  <c r="IA132" i="4"/>
  <c r="JQ132" i="4"/>
  <c r="AN132" i="4"/>
  <c r="CC132" i="4"/>
  <c r="DL132" i="4"/>
  <c r="FD132" i="4"/>
  <c r="GU132" i="4"/>
  <c r="IC132" i="4"/>
  <c r="JR132" i="4"/>
  <c r="AP132" i="4"/>
  <c r="CH132" i="4"/>
  <c r="DW132" i="4"/>
  <c r="FE132" i="4"/>
  <c r="GV132" i="4"/>
  <c r="ID132" i="4"/>
  <c r="JS132" i="4"/>
  <c r="M132" i="4"/>
  <c r="BB132" i="4"/>
  <c r="CJ132" i="4"/>
  <c r="DZ132" i="4"/>
  <c r="FI132" i="4"/>
  <c r="GX132" i="4"/>
  <c r="IL132" i="4"/>
  <c r="JV132" i="4"/>
  <c r="BJ132" i="4"/>
  <c r="EC132" i="4"/>
  <c r="GD132" i="4"/>
  <c r="IV132" i="4"/>
  <c r="N132" i="4"/>
  <c r="BK132" i="4"/>
  <c r="ED132" i="4"/>
  <c r="GE132" i="4"/>
  <c r="IW132" i="4"/>
  <c r="O132" i="4"/>
  <c r="BP132" i="4"/>
  <c r="EE132" i="4"/>
  <c r="GW132" i="4"/>
  <c r="IX132" i="4"/>
  <c r="Q132" i="4"/>
  <c r="BQ132" i="4"/>
  <c r="EF132" i="4"/>
  <c r="GY132" i="4"/>
  <c r="IZ132" i="4"/>
  <c r="R132" i="4"/>
  <c r="CI132" i="4"/>
  <c r="EK132" i="4"/>
  <c r="GZ132" i="4"/>
  <c r="JA132" i="4"/>
  <c r="AA132" i="4"/>
  <c r="CN132" i="4"/>
  <c r="ET132" i="4"/>
  <c r="HF132" i="4"/>
  <c r="JT132" i="4"/>
  <c r="DC132" i="4"/>
  <c r="HA132" i="4"/>
  <c r="DE132" i="4"/>
  <c r="HG132" i="4"/>
  <c r="T132" i="4"/>
  <c r="DF132" i="4"/>
  <c r="HO132" i="4"/>
  <c r="AF132" i="4"/>
  <c r="DG132" i="4"/>
  <c r="HQ132" i="4"/>
  <c r="AG132" i="4"/>
  <c r="DY132" i="4"/>
  <c r="HR132" i="4"/>
  <c r="AQ132" i="4"/>
  <c r="EL132" i="4"/>
  <c r="IE132" i="4"/>
  <c r="AJ132" i="4"/>
  <c r="FX132" i="4"/>
  <c r="BD132" i="4"/>
  <c r="FZ132" i="4"/>
  <c r="BF132" i="4"/>
  <c r="GA132" i="4"/>
  <c r="BG132" i="4"/>
  <c r="GB132" i="4"/>
  <c r="BH132" i="4"/>
  <c r="HT132" i="4"/>
  <c r="EB132" i="4"/>
  <c r="KA132" i="4"/>
  <c r="BI132" i="4"/>
  <c r="CM132" i="4"/>
  <c r="CO132" i="4"/>
  <c r="CV132" i="4"/>
  <c r="DB132" i="4"/>
  <c r="IR132" i="4"/>
  <c r="FH132" i="4"/>
  <c r="IU132" i="4"/>
  <c r="FQ132" i="4"/>
  <c r="FV132" i="4"/>
  <c r="IS132" i="4"/>
  <c r="JB132" i="4"/>
  <c r="JW132" i="4"/>
  <c r="KB132" i="4"/>
  <c r="EV132" i="4"/>
  <c r="FJ132" i="4"/>
  <c r="I105" i="4"/>
  <c r="Y105" i="4"/>
  <c r="AO105" i="4"/>
  <c r="BE105" i="4"/>
  <c r="BU105" i="4"/>
  <c r="CK105" i="4"/>
  <c r="DA105" i="4"/>
  <c r="DQ105" i="4"/>
  <c r="EG105" i="4"/>
  <c r="EW105" i="4"/>
  <c r="FM105" i="4"/>
  <c r="GC105" i="4"/>
  <c r="GS105" i="4"/>
  <c r="HI105" i="4"/>
  <c r="HY105" i="4"/>
  <c r="IO105" i="4"/>
  <c r="JE105" i="4"/>
  <c r="JU105" i="4"/>
  <c r="M105" i="4"/>
  <c r="AC105" i="4"/>
  <c r="AS105" i="4"/>
  <c r="BI105" i="4"/>
  <c r="BY105" i="4"/>
  <c r="CO105" i="4"/>
  <c r="DE105" i="4"/>
  <c r="DU105" i="4"/>
  <c r="EK105" i="4"/>
  <c r="FA105" i="4"/>
  <c r="FQ105" i="4"/>
  <c r="GG105" i="4"/>
  <c r="GW105" i="4"/>
  <c r="HM105" i="4"/>
  <c r="IC105" i="4"/>
  <c r="IS105" i="4"/>
  <c r="JI105" i="4"/>
  <c r="JY105" i="4"/>
  <c r="T105" i="4"/>
  <c r="AL105" i="4"/>
  <c r="BD105" i="4"/>
  <c r="BW105" i="4"/>
  <c r="CP105" i="4"/>
  <c r="DH105" i="4"/>
  <c r="DZ105" i="4"/>
  <c r="ER105" i="4"/>
  <c r="FJ105" i="4"/>
  <c r="GB105" i="4"/>
  <c r="GU105" i="4"/>
  <c r="HN105" i="4"/>
  <c r="IF105" i="4"/>
  <c r="IX105" i="4"/>
  <c r="JP105" i="4"/>
  <c r="KH105" i="4"/>
  <c r="U105" i="4"/>
  <c r="AM105" i="4"/>
  <c r="BF105" i="4"/>
  <c r="BX105" i="4"/>
  <c r="CQ105" i="4"/>
  <c r="DI105" i="4"/>
  <c r="EA105" i="4"/>
  <c r="ES105" i="4"/>
  <c r="FK105" i="4"/>
  <c r="GD105" i="4"/>
  <c r="GV105" i="4"/>
  <c r="HO105" i="4"/>
  <c r="IG105" i="4"/>
  <c r="IY105" i="4"/>
  <c r="JQ105" i="4"/>
  <c r="KI105" i="4"/>
  <c r="V105" i="4"/>
  <c r="AN105" i="4"/>
  <c r="BG105" i="4"/>
  <c r="BZ105" i="4"/>
  <c r="CR105" i="4"/>
  <c r="DJ105" i="4"/>
  <c r="EB105" i="4"/>
  <c r="ET105" i="4"/>
  <c r="FL105" i="4"/>
  <c r="GE105" i="4"/>
  <c r="GX105" i="4"/>
  <c r="HP105" i="4"/>
  <c r="IH105" i="4"/>
  <c r="IZ105" i="4"/>
  <c r="JR105" i="4"/>
  <c r="W105" i="4"/>
  <c r="AP105" i="4"/>
  <c r="BH105" i="4"/>
  <c r="CA105" i="4"/>
  <c r="CS105" i="4"/>
  <c r="DK105" i="4"/>
  <c r="EC105" i="4"/>
  <c r="EU105" i="4"/>
  <c r="AA105" i="4"/>
  <c r="AT105" i="4"/>
  <c r="BL105" i="4"/>
  <c r="CD105" i="4"/>
  <c r="CV105" i="4"/>
  <c r="DN105" i="4"/>
  <c r="EF105" i="4"/>
  <c r="EY105" i="4"/>
  <c r="FR105" i="4"/>
  <c r="GJ105" i="4"/>
  <c r="HB105" i="4"/>
  <c r="HT105" i="4"/>
  <c r="IL105" i="4"/>
  <c r="JD105" i="4"/>
  <c r="JW105" i="4"/>
  <c r="X105" i="4"/>
  <c r="AX105" i="4"/>
  <c r="BV105" i="4"/>
  <c r="CY105" i="4"/>
  <c r="DX105" i="4"/>
  <c r="FB105" i="4"/>
  <c r="FX105" i="4"/>
  <c r="GY105" i="4"/>
  <c r="HV105" i="4"/>
  <c r="IT105" i="4"/>
  <c r="JS105" i="4"/>
  <c r="Z105" i="4"/>
  <c r="AY105" i="4"/>
  <c r="CB105" i="4"/>
  <c r="CZ105" i="4"/>
  <c r="DY105" i="4"/>
  <c r="FC105" i="4"/>
  <c r="FY105" i="4"/>
  <c r="GZ105" i="4"/>
  <c r="HW105" i="4"/>
  <c r="IU105" i="4"/>
  <c r="JT105" i="4"/>
  <c r="AB105" i="4"/>
  <c r="AZ105" i="4"/>
  <c r="CC105" i="4"/>
  <c r="DB105" i="4"/>
  <c r="ED105" i="4"/>
  <c r="FD105" i="4"/>
  <c r="FZ105" i="4"/>
  <c r="HA105" i="4"/>
  <c r="HX105" i="4"/>
  <c r="IV105" i="4"/>
  <c r="JV105" i="4"/>
  <c r="AD105" i="4"/>
  <c r="BA105" i="4"/>
  <c r="CE105" i="4"/>
  <c r="DC105" i="4"/>
  <c r="EE105" i="4"/>
  <c r="FE105" i="4"/>
  <c r="GA105" i="4"/>
  <c r="HC105" i="4"/>
  <c r="HZ105" i="4"/>
  <c r="IW105" i="4"/>
  <c r="JX105" i="4"/>
  <c r="AE105" i="4"/>
  <c r="BB105" i="4"/>
  <c r="CF105" i="4"/>
  <c r="DD105" i="4"/>
  <c r="EH105" i="4"/>
  <c r="FF105" i="4"/>
  <c r="GF105" i="4"/>
  <c r="HD105" i="4"/>
  <c r="IA105" i="4"/>
  <c r="JA105" i="4"/>
  <c r="JZ105" i="4"/>
  <c r="AG105" i="4"/>
  <c r="BJ105" i="4"/>
  <c r="CH105" i="4"/>
  <c r="DG105" i="4"/>
  <c r="EJ105" i="4"/>
  <c r="FH105" i="4"/>
  <c r="GI105" i="4"/>
  <c r="HF105" i="4"/>
  <c r="ID105" i="4"/>
  <c r="JC105" i="4"/>
  <c r="KB105" i="4"/>
  <c r="R105" i="4"/>
  <c r="BO105" i="4"/>
  <c r="DF105" i="4"/>
  <c r="EQ105" i="4"/>
  <c r="GL105" i="4"/>
  <c r="HS105" i="4"/>
  <c r="JJ105" i="4"/>
  <c r="S105" i="4"/>
  <c r="BP105" i="4"/>
  <c r="DL105" i="4"/>
  <c r="EV105" i="4"/>
  <c r="GM105" i="4"/>
  <c r="HU105" i="4"/>
  <c r="JK105" i="4"/>
  <c r="AF105" i="4"/>
  <c r="BQ105" i="4"/>
  <c r="DM105" i="4"/>
  <c r="EX105" i="4"/>
  <c r="GN105" i="4"/>
  <c r="IB105" i="4"/>
  <c r="JL105" i="4"/>
  <c r="AH105" i="4"/>
  <c r="BR105" i="4"/>
  <c r="DO105" i="4"/>
  <c r="EZ105" i="4"/>
  <c r="GO105" i="4"/>
  <c r="IE105" i="4"/>
  <c r="JM105" i="4"/>
  <c r="AI105" i="4"/>
  <c r="BS105" i="4"/>
  <c r="DP105" i="4"/>
  <c r="FG105" i="4"/>
  <c r="GP105" i="4"/>
  <c r="II105" i="4"/>
  <c r="JN105" i="4"/>
  <c r="AK105" i="4"/>
  <c r="CG105" i="4"/>
  <c r="DS105" i="4"/>
  <c r="FN105" i="4"/>
  <c r="GR105" i="4"/>
  <c r="IK105" i="4"/>
  <c r="KA105" i="4"/>
  <c r="AJ105" i="4"/>
  <c r="CT105" i="4"/>
  <c r="FP105" i="4"/>
  <c r="HQ105" i="4"/>
  <c r="KF105" i="4"/>
  <c r="AQ105" i="4"/>
  <c r="CU105" i="4"/>
  <c r="FS105" i="4"/>
  <c r="HR105" i="4"/>
  <c r="KG105" i="4"/>
  <c r="AR105" i="4"/>
  <c r="CW105" i="4"/>
  <c r="FT105" i="4"/>
  <c r="IJ105" i="4"/>
  <c r="AU105" i="4"/>
  <c r="CX105" i="4"/>
  <c r="FU105" i="4"/>
  <c r="IM105" i="4"/>
  <c r="AV105" i="4"/>
  <c r="DR105" i="4"/>
  <c r="FV105" i="4"/>
  <c r="IN105" i="4"/>
  <c r="BC105" i="4"/>
  <c r="DV105" i="4"/>
  <c r="GH105" i="4"/>
  <c r="IQ105" i="4"/>
  <c r="CM105" i="4"/>
  <c r="HE105" i="4"/>
  <c r="J105" i="4"/>
  <c r="CN105" i="4"/>
  <c r="HG105" i="4"/>
  <c r="K105" i="4"/>
  <c r="DT105" i="4"/>
  <c r="HH105" i="4"/>
  <c r="L105" i="4"/>
  <c r="DW105" i="4"/>
  <c r="HJ105" i="4"/>
  <c r="N105" i="4"/>
  <c r="EI105" i="4"/>
  <c r="HK105" i="4"/>
  <c r="P105" i="4"/>
  <c r="EM105" i="4"/>
  <c r="IP105" i="4"/>
  <c r="O105" i="4"/>
  <c r="FW105" i="4"/>
  <c r="Q105" i="4"/>
  <c r="GK105" i="4"/>
  <c r="AW105" i="4"/>
  <c r="GQ105" i="4"/>
  <c r="BK105" i="4"/>
  <c r="GT105" i="4"/>
  <c r="BM105" i="4"/>
  <c r="HL105" i="4"/>
  <c r="BT105" i="4"/>
  <c r="JB105" i="4"/>
  <c r="EL105" i="4"/>
  <c r="EN105" i="4"/>
  <c r="EO105" i="4"/>
  <c r="EP105" i="4"/>
  <c r="FI105" i="4"/>
  <c r="JO105" i="4"/>
  <c r="BN105" i="4"/>
  <c r="JF105" i="4"/>
  <c r="CL105" i="4"/>
  <c r="FO105" i="4"/>
  <c r="IR105" i="4"/>
  <c r="JG105" i="4"/>
  <c r="KC105" i="4"/>
  <c r="KE105" i="4"/>
  <c r="CI105" i="4"/>
  <c r="CJ105" i="4"/>
  <c r="KD105" i="4"/>
  <c r="JH105" i="4"/>
  <c r="W73" i="4"/>
  <c r="AM73" i="4"/>
  <c r="BC73" i="4"/>
  <c r="BS73" i="4"/>
  <c r="CI73" i="4"/>
  <c r="CY73" i="4"/>
  <c r="DO73" i="4"/>
  <c r="EE73" i="4"/>
  <c r="EU73" i="4"/>
  <c r="FK73" i="4"/>
  <c r="GA73" i="4"/>
  <c r="GQ73" i="4"/>
  <c r="HG73" i="4"/>
  <c r="HW73" i="4"/>
  <c r="IM73" i="4"/>
  <c r="JC73" i="4"/>
  <c r="JS73" i="4"/>
  <c r="KI73" i="4"/>
  <c r="X73" i="4"/>
  <c r="AN73" i="4"/>
  <c r="BD73" i="4"/>
  <c r="BT73" i="4"/>
  <c r="CJ73" i="4"/>
  <c r="CZ73" i="4"/>
  <c r="DP73" i="4"/>
  <c r="EF73" i="4"/>
  <c r="EV73" i="4"/>
  <c r="FL73" i="4"/>
  <c r="GB73" i="4"/>
  <c r="GR73" i="4"/>
  <c r="HH73" i="4"/>
  <c r="HX73" i="4"/>
  <c r="IN73" i="4"/>
  <c r="JD73" i="4"/>
  <c r="JT73" i="4"/>
  <c r="I73" i="4"/>
  <c r="Y73" i="4"/>
  <c r="AO73" i="4"/>
  <c r="BE73" i="4"/>
  <c r="BU73" i="4"/>
  <c r="CK73" i="4"/>
  <c r="DA73" i="4"/>
  <c r="DQ73" i="4"/>
  <c r="EG73" i="4"/>
  <c r="EW73" i="4"/>
  <c r="FM73" i="4"/>
  <c r="GC73" i="4"/>
  <c r="GS73" i="4"/>
  <c r="HI73" i="4"/>
  <c r="HY73" i="4"/>
  <c r="IO73" i="4"/>
  <c r="JE73" i="4"/>
  <c r="JU73" i="4"/>
  <c r="J73" i="4"/>
  <c r="Z73" i="4"/>
  <c r="AP73" i="4"/>
  <c r="BF73" i="4"/>
  <c r="BV73" i="4"/>
  <c r="CL73" i="4"/>
  <c r="DB73" i="4"/>
  <c r="DR73" i="4"/>
  <c r="EH73" i="4"/>
  <c r="EX73" i="4"/>
  <c r="FN73" i="4"/>
  <c r="GD73" i="4"/>
  <c r="GT73" i="4"/>
  <c r="HJ73" i="4"/>
  <c r="HZ73" i="4"/>
  <c r="IP73" i="4"/>
  <c r="JF73" i="4"/>
  <c r="JV73" i="4"/>
  <c r="K73" i="4"/>
  <c r="AA73" i="4"/>
  <c r="AQ73" i="4"/>
  <c r="BG73" i="4"/>
  <c r="BW73" i="4"/>
  <c r="CM73" i="4"/>
  <c r="DC73" i="4"/>
  <c r="DS73" i="4"/>
  <c r="EI73" i="4"/>
  <c r="EY73" i="4"/>
  <c r="FO73" i="4"/>
  <c r="GE73" i="4"/>
  <c r="GU73" i="4"/>
  <c r="HK73" i="4"/>
  <c r="IA73" i="4"/>
  <c r="IQ73" i="4"/>
  <c r="JG73" i="4"/>
  <c r="JW73" i="4"/>
  <c r="M73" i="4"/>
  <c r="AC73" i="4"/>
  <c r="AS73" i="4"/>
  <c r="BI73" i="4"/>
  <c r="BY73" i="4"/>
  <c r="CO73" i="4"/>
  <c r="DE73" i="4"/>
  <c r="DU73" i="4"/>
  <c r="EK73" i="4"/>
  <c r="FA73" i="4"/>
  <c r="FQ73" i="4"/>
  <c r="GG73" i="4"/>
  <c r="GW73" i="4"/>
  <c r="HM73" i="4"/>
  <c r="IC73" i="4"/>
  <c r="IS73" i="4"/>
  <c r="JI73" i="4"/>
  <c r="JY73" i="4"/>
  <c r="O73" i="4"/>
  <c r="AK73" i="4"/>
  <c r="BM73" i="4"/>
  <c r="CN73" i="4"/>
  <c r="DK73" i="4"/>
  <c r="EM73" i="4"/>
  <c r="FI73" i="4"/>
  <c r="GK73" i="4"/>
  <c r="HL73" i="4"/>
  <c r="II73" i="4"/>
  <c r="JK73" i="4"/>
  <c r="KG73" i="4"/>
  <c r="P73" i="4"/>
  <c r="AL73" i="4"/>
  <c r="BN73" i="4"/>
  <c r="CP73" i="4"/>
  <c r="DL73" i="4"/>
  <c r="EN73" i="4"/>
  <c r="FJ73" i="4"/>
  <c r="GL73" i="4"/>
  <c r="HN73" i="4"/>
  <c r="IJ73" i="4"/>
  <c r="JL73" i="4"/>
  <c r="KH73" i="4"/>
  <c r="Q73" i="4"/>
  <c r="AR73" i="4"/>
  <c r="BO73" i="4"/>
  <c r="CQ73" i="4"/>
  <c r="DM73" i="4"/>
  <c r="EO73" i="4"/>
  <c r="FP73" i="4"/>
  <c r="GM73" i="4"/>
  <c r="HO73" i="4"/>
  <c r="IK73" i="4"/>
  <c r="JM73" i="4"/>
  <c r="R73" i="4"/>
  <c r="AT73" i="4"/>
  <c r="BP73" i="4"/>
  <c r="CR73" i="4"/>
  <c r="DN73" i="4"/>
  <c r="EP73" i="4"/>
  <c r="FR73" i="4"/>
  <c r="GN73" i="4"/>
  <c r="HP73" i="4"/>
  <c r="IL73" i="4"/>
  <c r="JN73" i="4"/>
  <c r="S73" i="4"/>
  <c r="AU73" i="4"/>
  <c r="BQ73" i="4"/>
  <c r="CS73" i="4"/>
  <c r="DT73" i="4"/>
  <c r="EQ73" i="4"/>
  <c r="FS73" i="4"/>
  <c r="GO73" i="4"/>
  <c r="HQ73" i="4"/>
  <c r="IR73" i="4"/>
  <c r="JO73" i="4"/>
  <c r="U73" i="4"/>
  <c r="AW73" i="4"/>
  <c r="BX73" i="4"/>
  <c r="CU73" i="4"/>
  <c r="DW73" i="4"/>
  <c r="ES73" i="4"/>
  <c r="FU73" i="4"/>
  <c r="GV73" i="4"/>
  <c r="HS73" i="4"/>
  <c r="IU73" i="4"/>
  <c r="JQ73" i="4"/>
  <c r="L73" i="4"/>
  <c r="BA73" i="4"/>
  <c r="CT73" i="4"/>
  <c r="EC73" i="4"/>
  <c r="FW73" i="4"/>
  <c r="HE73" i="4"/>
  <c r="IY73" i="4"/>
  <c r="N73" i="4"/>
  <c r="BB73" i="4"/>
  <c r="CV73" i="4"/>
  <c r="ED73" i="4"/>
  <c r="FX73" i="4"/>
  <c r="HF73" i="4"/>
  <c r="IZ73" i="4"/>
  <c r="T73" i="4"/>
  <c r="BH73" i="4"/>
  <c r="CW73" i="4"/>
  <c r="EJ73" i="4"/>
  <c r="FY73" i="4"/>
  <c r="HR73" i="4"/>
  <c r="JA73" i="4"/>
  <c r="V73" i="4"/>
  <c r="BJ73" i="4"/>
  <c r="CX73" i="4"/>
  <c r="EL73" i="4"/>
  <c r="FZ73" i="4"/>
  <c r="HT73" i="4"/>
  <c r="JB73" i="4"/>
  <c r="AB73" i="4"/>
  <c r="BK73" i="4"/>
  <c r="DD73" i="4"/>
  <c r="ER73" i="4"/>
  <c r="GF73" i="4"/>
  <c r="HU73" i="4"/>
  <c r="JH73" i="4"/>
  <c r="AE73" i="4"/>
  <c r="BR73" i="4"/>
  <c r="DG73" i="4"/>
  <c r="EZ73" i="4"/>
  <c r="GI73" i="4"/>
  <c r="IB73" i="4"/>
  <c r="JP73" i="4"/>
  <c r="AI73" i="4"/>
  <c r="DF73" i="4"/>
  <c r="FG73" i="4"/>
  <c r="IE73" i="4"/>
  <c r="KE73" i="4"/>
  <c r="AJ73" i="4"/>
  <c r="DH73" i="4"/>
  <c r="FH73" i="4"/>
  <c r="IF73" i="4"/>
  <c r="KF73" i="4"/>
  <c r="AV73" i="4"/>
  <c r="DI73" i="4"/>
  <c r="FT73" i="4"/>
  <c r="IG73" i="4"/>
  <c r="AX73" i="4"/>
  <c r="DJ73" i="4"/>
  <c r="FV73" i="4"/>
  <c r="IH73" i="4"/>
  <c r="AY73" i="4"/>
  <c r="DV73" i="4"/>
  <c r="GH73" i="4"/>
  <c r="IT73" i="4"/>
  <c r="BL73" i="4"/>
  <c r="DY73" i="4"/>
  <c r="GP73" i="4"/>
  <c r="IW73" i="4"/>
  <c r="CG73" i="4"/>
  <c r="HA73" i="4"/>
  <c r="CH73" i="4"/>
  <c r="HB73" i="4"/>
  <c r="DX73" i="4"/>
  <c r="HC73" i="4"/>
  <c r="DZ73" i="4"/>
  <c r="HD73" i="4"/>
  <c r="AD73" i="4"/>
  <c r="EA73" i="4"/>
  <c r="HV73" i="4"/>
  <c r="AG73" i="4"/>
  <c r="ET73" i="4"/>
  <c r="IV73" i="4"/>
  <c r="FE73" i="4"/>
  <c r="FF73" i="4"/>
  <c r="AF73" i="4"/>
  <c r="GJ73" i="4"/>
  <c r="AH73" i="4"/>
  <c r="GX73" i="4"/>
  <c r="AZ73" i="4"/>
  <c r="GY73" i="4"/>
  <c r="CA73" i="4"/>
  <c r="ID73" i="4"/>
  <c r="BZ73" i="4"/>
  <c r="KA73" i="4"/>
  <c r="CB73" i="4"/>
  <c r="KB73" i="4"/>
  <c r="CC73" i="4"/>
  <c r="KC73" i="4"/>
  <c r="CD73" i="4"/>
  <c r="KD73" i="4"/>
  <c r="CE73" i="4"/>
  <c r="EB73" i="4"/>
  <c r="GZ73" i="4"/>
  <c r="IX73" i="4"/>
  <c r="JJ73" i="4"/>
  <c r="JR73" i="4"/>
  <c r="JX73" i="4"/>
  <c r="CF73" i="4"/>
  <c r="FB73" i="4"/>
  <c r="FD73" i="4"/>
  <c r="FC73" i="4"/>
  <c r="JZ73" i="4"/>
  <c r="I40" i="4"/>
  <c r="Y40" i="4"/>
  <c r="AO40" i="4"/>
  <c r="BE40" i="4"/>
  <c r="BU40" i="4"/>
  <c r="CK40" i="4"/>
  <c r="DA40" i="4"/>
  <c r="DQ40" i="4"/>
  <c r="EG40" i="4"/>
  <c r="EW40" i="4"/>
  <c r="FM40" i="4"/>
  <c r="GC40" i="4"/>
  <c r="GS40" i="4"/>
  <c r="HI40" i="4"/>
  <c r="HY40" i="4"/>
  <c r="IO40" i="4"/>
  <c r="JE40" i="4"/>
  <c r="JU40" i="4"/>
  <c r="O40" i="4"/>
  <c r="AE40" i="4"/>
  <c r="AU40" i="4"/>
  <c r="BK40" i="4"/>
  <c r="CA40" i="4"/>
  <c r="CQ40" i="4"/>
  <c r="DG40" i="4"/>
  <c r="DW40" i="4"/>
  <c r="EM40" i="4"/>
  <c r="FC40" i="4"/>
  <c r="FS40" i="4"/>
  <c r="GI40" i="4"/>
  <c r="GY40" i="4"/>
  <c r="HO40" i="4"/>
  <c r="IE40" i="4"/>
  <c r="IU40" i="4"/>
  <c r="JK40" i="4"/>
  <c r="KA40" i="4"/>
  <c r="W40" i="4"/>
  <c r="AP40" i="4"/>
  <c r="BH40" i="4"/>
  <c r="BZ40" i="4"/>
  <c r="CS40" i="4"/>
  <c r="DK40" i="4"/>
  <c r="EC40" i="4"/>
  <c r="EU40" i="4"/>
  <c r="FN40" i="4"/>
  <c r="GF40" i="4"/>
  <c r="GX40" i="4"/>
  <c r="HQ40" i="4"/>
  <c r="II40" i="4"/>
  <c r="JA40" i="4"/>
  <c r="JS40" i="4"/>
  <c r="X40" i="4"/>
  <c r="AQ40" i="4"/>
  <c r="BI40" i="4"/>
  <c r="CB40" i="4"/>
  <c r="CT40" i="4"/>
  <c r="DL40" i="4"/>
  <c r="ED40" i="4"/>
  <c r="EV40" i="4"/>
  <c r="FO40" i="4"/>
  <c r="GG40" i="4"/>
  <c r="GZ40" i="4"/>
  <c r="HR40" i="4"/>
  <c r="IJ40" i="4"/>
  <c r="JB40" i="4"/>
  <c r="JT40" i="4"/>
  <c r="Z40" i="4"/>
  <c r="AR40" i="4"/>
  <c r="BJ40" i="4"/>
  <c r="CC40" i="4"/>
  <c r="CU40" i="4"/>
  <c r="DM40" i="4"/>
  <c r="EE40" i="4"/>
  <c r="EX40" i="4"/>
  <c r="FP40" i="4"/>
  <c r="GH40" i="4"/>
  <c r="HA40" i="4"/>
  <c r="HS40" i="4"/>
  <c r="IK40" i="4"/>
  <c r="JC40" i="4"/>
  <c r="JV40" i="4"/>
  <c r="AA40" i="4"/>
  <c r="AS40" i="4"/>
  <c r="BL40" i="4"/>
  <c r="CD40" i="4"/>
  <c r="CV40" i="4"/>
  <c r="DN40" i="4"/>
  <c r="EF40" i="4"/>
  <c r="EY40" i="4"/>
  <c r="FQ40" i="4"/>
  <c r="GJ40" i="4"/>
  <c r="HB40" i="4"/>
  <c r="HT40" i="4"/>
  <c r="IL40" i="4"/>
  <c r="JD40" i="4"/>
  <c r="JW40" i="4"/>
  <c r="L40" i="4"/>
  <c r="AD40" i="4"/>
  <c r="AW40" i="4"/>
  <c r="BO40" i="4"/>
  <c r="CG40" i="4"/>
  <c r="CY40" i="4"/>
  <c r="DR40" i="4"/>
  <c r="EJ40" i="4"/>
  <c r="FB40" i="4"/>
  <c r="FU40" i="4"/>
  <c r="GM40" i="4"/>
  <c r="HE40" i="4"/>
  <c r="HW40" i="4"/>
  <c r="IP40" i="4"/>
  <c r="JH40" i="4"/>
  <c r="JZ40" i="4"/>
  <c r="V40" i="4"/>
  <c r="AZ40" i="4"/>
  <c r="BX40" i="4"/>
  <c r="DB40" i="4"/>
  <c r="DZ40" i="4"/>
  <c r="FD40" i="4"/>
  <c r="GA40" i="4"/>
  <c r="HD40" i="4"/>
  <c r="IC40" i="4"/>
  <c r="JF40" i="4"/>
  <c r="KE40" i="4"/>
  <c r="AB40" i="4"/>
  <c r="BA40" i="4"/>
  <c r="BY40" i="4"/>
  <c r="DC40" i="4"/>
  <c r="EA40" i="4"/>
  <c r="FE40" i="4"/>
  <c r="GB40" i="4"/>
  <c r="HF40" i="4"/>
  <c r="ID40" i="4"/>
  <c r="JG40" i="4"/>
  <c r="KF40" i="4"/>
  <c r="AC40" i="4"/>
  <c r="BB40" i="4"/>
  <c r="CE40" i="4"/>
  <c r="DD40" i="4"/>
  <c r="EB40" i="4"/>
  <c r="FF40" i="4"/>
  <c r="GD40" i="4"/>
  <c r="HG40" i="4"/>
  <c r="IF40" i="4"/>
  <c r="JI40" i="4"/>
  <c r="KG40" i="4"/>
  <c r="AF40" i="4"/>
  <c r="BC40" i="4"/>
  <c r="CF40" i="4"/>
  <c r="DE40" i="4"/>
  <c r="EH40" i="4"/>
  <c r="FG40" i="4"/>
  <c r="GE40" i="4"/>
  <c r="HH40" i="4"/>
  <c r="IG40" i="4"/>
  <c r="JJ40" i="4"/>
  <c r="KH40" i="4"/>
  <c r="AG40" i="4"/>
  <c r="BD40" i="4"/>
  <c r="CH40" i="4"/>
  <c r="DF40" i="4"/>
  <c r="EI40" i="4"/>
  <c r="FH40" i="4"/>
  <c r="GK40" i="4"/>
  <c r="HJ40" i="4"/>
  <c r="IH40" i="4"/>
  <c r="JL40" i="4"/>
  <c r="KI40" i="4"/>
  <c r="J40" i="4"/>
  <c r="AI40" i="4"/>
  <c r="BG40" i="4"/>
  <c r="CJ40" i="4"/>
  <c r="DI40" i="4"/>
  <c r="EL40" i="4"/>
  <c r="FJ40" i="4"/>
  <c r="GN40" i="4"/>
  <c r="HL40" i="4"/>
  <c r="IN40" i="4"/>
  <c r="JN40" i="4"/>
  <c r="T40" i="4"/>
  <c r="BQ40" i="4"/>
  <c r="DH40" i="4"/>
  <c r="ES40" i="4"/>
  <c r="GP40" i="4"/>
  <c r="IA40" i="4"/>
  <c r="JR40" i="4"/>
  <c r="U40" i="4"/>
  <c r="BR40" i="4"/>
  <c r="DJ40" i="4"/>
  <c r="ET40" i="4"/>
  <c r="GQ40" i="4"/>
  <c r="IB40" i="4"/>
  <c r="JX40" i="4"/>
  <c r="AH40" i="4"/>
  <c r="BS40" i="4"/>
  <c r="DO40" i="4"/>
  <c r="EZ40" i="4"/>
  <c r="GR40" i="4"/>
  <c r="IM40" i="4"/>
  <c r="JY40" i="4"/>
  <c r="AJ40" i="4"/>
  <c r="BT40" i="4"/>
  <c r="DP40" i="4"/>
  <c r="FA40" i="4"/>
  <c r="GT40" i="4"/>
  <c r="IQ40" i="4"/>
  <c r="KB40" i="4"/>
  <c r="AK40" i="4"/>
  <c r="BV40" i="4"/>
  <c r="DS40" i="4"/>
  <c r="FI40" i="4"/>
  <c r="GU40" i="4"/>
  <c r="IR40" i="4"/>
  <c r="KC40" i="4"/>
  <c r="AM40" i="4"/>
  <c r="CI40" i="4"/>
  <c r="DU40" i="4"/>
  <c r="FL40" i="4"/>
  <c r="GW40" i="4"/>
  <c r="IT40" i="4"/>
  <c r="BN40" i="4"/>
  <c r="EK40" i="4"/>
  <c r="GV40" i="4"/>
  <c r="JM40" i="4"/>
  <c r="K40" i="4"/>
  <c r="BP40" i="4"/>
  <c r="EN40" i="4"/>
  <c r="HC40" i="4"/>
  <c r="JO40" i="4"/>
  <c r="M40" i="4"/>
  <c r="BW40" i="4"/>
  <c r="EO40" i="4"/>
  <c r="HK40" i="4"/>
  <c r="JP40" i="4"/>
  <c r="N40" i="4"/>
  <c r="CL40" i="4"/>
  <c r="EP40" i="4"/>
  <c r="HM40" i="4"/>
  <c r="JQ40" i="4"/>
  <c r="P40" i="4"/>
  <c r="CM40" i="4"/>
  <c r="EQ40" i="4"/>
  <c r="HN40" i="4"/>
  <c r="KD40" i="4"/>
  <c r="R40" i="4"/>
  <c r="CO40" i="4"/>
  <c r="FK40" i="4"/>
  <c r="HU40" i="4"/>
  <c r="BF40" i="4"/>
  <c r="FW40" i="4"/>
  <c r="BM40" i="4"/>
  <c r="FX40" i="4"/>
  <c r="CN40" i="4"/>
  <c r="FY40" i="4"/>
  <c r="CP40" i="4"/>
  <c r="FZ40" i="4"/>
  <c r="CR40" i="4"/>
  <c r="GL40" i="4"/>
  <c r="CX40" i="4"/>
  <c r="HP40" i="4"/>
  <c r="AT40" i="4"/>
  <c r="HX40" i="4"/>
  <c r="AV40" i="4"/>
  <c r="HZ40" i="4"/>
  <c r="AX40" i="4"/>
  <c r="IS40" i="4"/>
  <c r="AY40" i="4"/>
  <c r="IV40" i="4"/>
  <c r="CW40" i="4"/>
  <c r="IW40" i="4"/>
  <c r="DT40" i="4"/>
  <c r="IY40" i="4"/>
  <c r="GO40" i="4"/>
  <c r="HV40" i="4"/>
  <c r="IX40" i="4"/>
  <c r="IZ40" i="4"/>
  <c r="Q40" i="4"/>
  <c r="AL40" i="4"/>
  <c r="DX40" i="4"/>
  <c r="DY40" i="4"/>
  <c r="ER40" i="4"/>
  <c r="FR40" i="4"/>
  <c r="FT40" i="4"/>
  <c r="S40" i="4"/>
  <c r="AN40" i="4"/>
  <c r="CZ40" i="4"/>
  <c r="DV40" i="4"/>
  <c r="FV40" i="4"/>
  <c r="P2" i="4"/>
  <c r="AF2" i="4"/>
  <c r="AV2" i="4"/>
  <c r="BL2" i="4"/>
  <c r="CB2" i="4"/>
  <c r="CR2" i="4"/>
  <c r="DH2" i="4"/>
  <c r="DX2" i="4"/>
  <c r="EN2" i="4"/>
  <c r="FD2" i="4"/>
  <c r="FT2" i="4"/>
  <c r="GJ2" i="4"/>
  <c r="GZ2" i="4"/>
  <c r="HP2" i="4"/>
  <c r="IF2" i="4"/>
  <c r="IV2" i="4"/>
  <c r="JL2" i="4"/>
  <c r="KB2" i="4"/>
  <c r="Q2" i="4"/>
  <c r="AG2" i="4"/>
  <c r="AW2" i="4"/>
  <c r="BM2" i="4"/>
  <c r="CC2" i="4"/>
  <c r="CS2" i="4"/>
  <c r="DI2" i="4"/>
  <c r="DY2" i="4"/>
  <c r="EO2" i="4"/>
  <c r="FE2" i="4"/>
  <c r="FU2" i="4"/>
  <c r="GK2" i="4"/>
  <c r="HA2" i="4"/>
  <c r="HQ2" i="4"/>
  <c r="IG2" i="4"/>
  <c r="IW2" i="4"/>
  <c r="JM2" i="4"/>
  <c r="KC2" i="4"/>
  <c r="R2" i="4"/>
  <c r="AH2" i="4"/>
  <c r="AX2" i="4"/>
  <c r="BN2" i="4"/>
  <c r="CD2" i="4"/>
  <c r="CT2" i="4"/>
  <c r="DJ2" i="4"/>
  <c r="DZ2" i="4"/>
  <c r="EP2" i="4"/>
  <c r="FF2" i="4"/>
  <c r="FV2" i="4"/>
  <c r="GL2" i="4"/>
  <c r="HB2" i="4"/>
  <c r="HR2" i="4"/>
  <c r="IH2" i="4"/>
  <c r="IX2" i="4"/>
  <c r="JN2" i="4"/>
  <c r="KD2" i="4"/>
  <c r="T2" i="4"/>
  <c r="AJ2" i="4"/>
  <c r="AZ2" i="4"/>
  <c r="BP2" i="4"/>
  <c r="CF2" i="4"/>
  <c r="CV2" i="4"/>
  <c r="DL2" i="4"/>
  <c r="EB2" i="4"/>
  <c r="ER2" i="4"/>
  <c r="FH2" i="4"/>
  <c r="FX2" i="4"/>
  <c r="GN2" i="4"/>
  <c r="HD2" i="4"/>
  <c r="HT2" i="4"/>
  <c r="IJ2" i="4"/>
  <c r="IZ2" i="4"/>
  <c r="JP2" i="4"/>
  <c r="KF2" i="4"/>
  <c r="W2" i="4"/>
  <c r="AQ2" i="4"/>
  <c r="BK2" i="4"/>
  <c r="CI2" i="4"/>
  <c r="DC2" i="4"/>
  <c r="DW2" i="4"/>
  <c r="EU2" i="4"/>
  <c r="FO2" i="4"/>
  <c r="GI2" i="4"/>
  <c r="HG2" i="4"/>
  <c r="IA2" i="4"/>
  <c r="IU2" i="4"/>
  <c r="JS2" i="4"/>
  <c r="X2" i="4"/>
  <c r="AR2" i="4"/>
  <c r="BO2" i="4"/>
  <c r="CJ2" i="4"/>
  <c r="DD2" i="4"/>
  <c r="EA2" i="4"/>
  <c r="EV2" i="4"/>
  <c r="FP2" i="4"/>
  <c r="GM2" i="4"/>
  <c r="HH2" i="4"/>
  <c r="IB2" i="4"/>
  <c r="IY2" i="4"/>
  <c r="JT2" i="4"/>
  <c r="Y2" i="4"/>
  <c r="AS2" i="4"/>
  <c r="BQ2" i="4"/>
  <c r="CK2" i="4"/>
  <c r="DE2" i="4"/>
  <c r="EC2" i="4"/>
  <c r="EW2" i="4"/>
  <c r="FQ2" i="4"/>
  <c r="GO2" i="4"/>
  <c r="HI2" i="4"/>
  <c r="IC2" i="4"/>
  <c r="JA2" i="4"/>
  <c r="JU2" i="4"/>
  <c r="Z2" i="4"/>
  <c r="AT2" i="4"/>
  <c r="BR2" i="4"/>
  <c r="CL2" i="4"/>
  <c r="DF2" i="4"/>
  <c r="ED2" i="4"/>
  <c r="EX2" i="4"/>
  <c r="FR2" i="4"/>
  <c r="GP2" i="4"/>
  <c r="HJ2" i="4"/>
  <c r="ID2" i="4"/>
  <c r="JB2" i="4"/>
  <c r="JV2" i="4"/>
  <c r="AA2" i="4"/>
  <c r="AU2" i="4"/>
  <c r="BS2" i="4"/>
  <c r="CM2" i="4"/>
  <c r="DG2" i="4"/>
  <c r="EE2" i="4"/>
  <c r="EY2" i="4"/>
  <c r="FS2" i="4"/>
  <c r="GQ2" i="4"/>
  <c r="HK2" i="4"/>
  <c r="IE2" i="4"/>
  <c r="JC2" i="4"/>
  <c r="JW2" i="4"/>
  <c r="AI2" i="4"/>
  <c r="BI2" i="4"/>
  <c r="CQ2" i="4"/>
  <c r="DT2" i="4"/>
  <c r="FB2" i="4"/>
  <c r="GE2" i="4"/>
  <c r="HM2" i="4"/>
  <c r="IP2" i="4"/>
  <c r="JX2" i="4"/>
  <c r="AK2" i="4"/>
  <c r="BJ2" i="4"/>
  <c r="CU2" i="4"/>
  <c r="DU2" i="4"/>
  <c r="FC2" i="4"/>
  <c r="GF2" i="4"/>
  <c r="HN2" i="4"/>
  <c r="IQ2" i="4"/>
  <c r="JY2" i="4"/>
  <c r="I2" i="4"/>
  <c r="AL2" i="4"/>
  <c r="BT2" i="4"/>
  <c r="CW2" i="4"/>
  <c r="DV2" i="4"/>
  <c r="FG2" i="4"/>
  <c r="GG2" i="4"/>
  <c r="HO2" i="4"/>
  <c r="IR2" i="4"/>
  <c r="JZ2" i="4"/>
  <c r="J2" i="4"/>
  <c r="AM2" i="4"/>
  <c r="BU2" i="4"/>
  <c r="CX2" i="4"/>
  <c r="EF2" i="4"/>
  <c r="FI2" i="4"/>
  <c r="GH2" i="4"/>
  <c r="HS2" i="4"/>
  <c r="IS2" i="4"/>
  <c r="KA2" i="4"/>
  <c r="K2" i="4"/>
  <c r="AN2" i="4"/>
  <c r="BV2" i="4"/>
  <c r="CY2" i="4"/>
  <c r="EG2" i="4"/>
  <c r="FJ2" i="4"/>
  <c r="GR2" i="4"/>
  <c r="HU2" i="4"/>
  <c r="IT2" i="4"/>
  <c r="KE2" i="4"/>
  <c r="M2" i="4"/>
  <c r="AP2" i="4"/>
  <c r="BX2" i="4"/>
  <c r="DA2" i="4"/>
  <c r="EI2" i="4"/>
  <c r="FL2" i="4"/>
  <c r="GT2" i="4"/>
  <c r="HW2" i="4"/>
  <c r="JE2" i="4"/>
  <c r="KH2" i="4"/>
  <c r="O2" i="4"/>
  <c r="BG2" i="4"/>
  <c r="DN2" i="4"/>
  <c r="FK2" i="4"/>
  <c r="HC2" i="4"/>
  <c r="JG2" i="4"/>
  <c r="S2" i="4"/>
  <c r="BH2" i="4"/>
  <c r="DO2" i="4"/>
  <c r="FM2" i="4"/>
  <c r="HE2" i="4"/>
  <c r="JH2" i="4"/>
  <c r="U2" i="4"/>
  <c r="BW2" i="4"/>
  <c r="DP2" i="4"/>
  <c r="FN2" i="4"/>
  <c r="HF2" i="4"/>
  <c r="JI2" i="4"/>
  <c r="V2" i="4"/>
  <c r="BY2" i="4"/>
  <c r="DQ2" i="4"/>
  <c r="FW2" i="4"/>
  <c r="HL2" i="4"/>
  <c r="JJ2" i="4"/>
  <c r="AB2" i="4"/>
  <c r="BZ2" i="4"/>
  <c r="DR2" i="4"/>
  <c r="FY2" i="4"/>
  <c r="HV2" i="4"/>
  <c r="JK2" i="4"/>
  <c r="AD2" i="4"/>
  <c r="CE2" i="4"/>
  <c r="EH2" i="4"/>
  <c r="GA2" i="4"/>
  <c r="HY2" i="4"/>
  <c r="JQ2" i="4"/>
  <c r="BE2" i="4"/>
  <c r="EM2" i="4"/>
  <c r="HX2" i="4"/>
  <c r="BF2" i="4"/>
  <c r="EQ2" i="4"/>
  <c r="HZ2" i="4"/>
  <c r="CA2" i="4"/>
  <c r="ES2" i="4"/>
  <c r="II2" i="4"/>
  <c r="CG2" i="4"/>
  <c r="ET2" i="4"/>
  <c r="IK2" i="4"/>
  <c r="CH2" i="4"/>
  <c r="EZ2" i="4"/>
  <c r="IL2" i="4"/>
  <c r="L2" i="4"/>
  <c r="CO2" i="4"/>
  <c r="FZ2" i="4"/>
  <c r="IN2" i="4"/>
  <c r="BA2" i="4"/>
  <c r="GC2" i="4"/>
  <c r="BB2" i="4"/>
  <c r="GD2" i="4"/>
  <c r="BC2" i="4"/>
  <c r="GS2" i="4"/>
  <c r="BD2" i="4"/>
  <c r="GU2" i="4"/>
  <c r="CN2" i="4"/>
  <c r="GV2" i="4"/>
  <c r="CZ2" i="4"/>
  <c r="GX2" i="4"/>
  <c r="FA2" i="4"/>
  <c r="GB2" i="4"/>
  <c r="GW2" i="4"/>
  <c r="N2" i="4"/>
  <c r="GY2" i="4"/>
  <c r="AC2" i="4"/>
  <c r="IM2" i="4"/>
  <c r="AO2" i="4"/>
  <c r="JD2" i="4"/>
  <c r="DK2" i="4"/>
  <c r="DM2" i="4"/>
  <c r="DS2" i="4"/>
  <c r="EJ2" i="4"/>
  <c r="EK2" i="4"/>
  <c r="IO2" i="4"/>
  <c r="KG2" i="4"/>
  <c r="KI2" i="4"/>
  <c r="AE2" i="4"/>
  <c r="AY2" i="4"/>
  <c r="CP2" i="4"/>
  <c r="EL2" i="4"/>
  <c r="DB2" i="4"/>
  <c r="JF2" i="4"/>
  <c r="JO2" i="4"/>
  <c r="JR2" i="4"/>
  <c r="P129" i="4"/>
  <c r="AF129" i="4"/>
  <c r="AV129" i="4"/>
  <c r="BL129" i="4"/>
  <c r="CB129" i="4"/>
  <c r="CR129" i="4"/>
  <c r="DH129" i="4"/>
  <c r="DX129" i="4"/>
  <c r="EN129" i="4"/>
  <c r="FD129" i="4"/>
  <c r="FT129" i="4"/>
  <c r="GJ129" i="4"/>
  <c r="GZ129" i="4"/>
  <c r="HP129" i="4"/>
  <c r="IF129" i="4"/>
  <c r="IV129" i="4"/>
  <c r="JL129" i="4"/>
  <c r="KB129" i="4"/>
  <c r="V129" i="4"/>
  <c r="AL129" i="4"/>
  <c r="BB129" i="4"/>
  <c r="BR129" i="4"/>
  <c r="CH129" i="4"/>
  <c r="CX129" i="4"/>
  <c r="DN129" i="4"/>
  <c r="ED129" i="4"/>
  <c r="ET129" i="4"/>
  <c r="FJ129" i="4"/>
  <c r="FZ129" i="4"/>
  <c r="GP129" i="4"/>
  <c r="HF129" i="4"/>
  <c r="HV129" i="4"/>
  <c r="IL129" i="4"/>
  <c r="JB129" i="4"/>
  <c r="JR129" i="4"/>
  <c r="KH129" i="4"/>
  <c r="K129" i="4"/>
  <c r="AC129" i="4"/>
  <c r="AU129" i="4"/>
  <c r="BN129" i="4"/>
  <c r="CF129" i="4"/>
  <c r="CY129" i="4"/>
  <c r="DQ129" i="4"/>
  <c r="EI129" i="4"/>
  <c r="FA129" i="4"/>
  <c r="FS129" i="4"/>
  <c r="GL129" i="4"/>
  <c r="HD129" i="4"/>
  <c r="HW129" i="4"/>
  <c r="IO129" i="4"/>
  <c r="JG129" i="4"/>
  <c r="JY129" i="4"/>
  <c r="L129" i="4"/>
  <c r="AD129" i="4"/>
  <c r="AW129" i="4"/>
  <c r="BO129" i="4"/>
  <c r="CG129" i="4"/>
  <c r="CZ129" i="4"/>
  <c r="DR129" i="4"/>
  <c r="EJ129" i="4"/>
  <c r="FB129" i="4"/>
  <c r="FU129" i="4"/>
  <c r="GM129" i="4"/>
  <c r="HE129" i="4"/>
  <c r="HX129" i="4"/>
  <c r="IP129" i="4"/>
  <c r="JH129" i="4"/>
  <c r="JZ129" i="4"/>
  <c r="M129" i="4"/>
  <c r="AE129" i="4"/>
  <c r="AX129" i="4"/>
  <c r="BP129" i="4"/>
  <c r="CI129" i="4"/>
  <c r="DA129" i="4"/>
  <c r="DS129" i="4"/>
  <c r="EK129" i="4"/>
  <c r="FC129" i="4"/>
  <c r="FV129" i="4"/>
  <c r="GN129" i="4"/>
  <c r="HG129" i="4"/>
  <c r="HY129" i="4"/>
  <c r="IQ129" i="4"/>
  <c r="JI129" i="4"/>
  <c r="KA129" i="4"/>
  <c r="R129" i="4"/>
  <c r="AJ129" i="4"/>
  <c r="BC129" i="4"/>
  <c r="BU129" i="4"/>
  <c r="CM129" i="4"/>
  <c r="DE129" i="4"/>
  <c r="DW129" i="4"/>
  <c r="EP129" i="4"/>
  <c r="FH129" i="4"/>
  <c r="GA129" i="4"/>
  <c r="GS129" i="4"/>
  <c r="HK129" i="4"/>
  <c r="IC129" i="4"/>
  <c r="IU129" i="4"/>
  <c r="JN129" i="4"/>
  <c r="KF129" i="4"/>
  <c r="AA129" i="4"/>
  <c r="BA129" i="4"/>
  <c r="BY129" i="4"/>
  <c r="CV129" i="4"/>
  <c r="DV129" i="4"/>
  <c r="EU129" i="4"/>
  <c r="FQ129" i="4"/>
  <c r="GR129" i="4"/>
  <c r="HO129" i="4"/>
  <c r="IM129" i="4"/>
  <c r="JM129" i="4"/>
  <c r="AB129" i="4"/>
  <c r="BD129" i="4"/>
  <c r="BZ129" i="4"/>
  <c r="CW129" i="4"/>
  <c r="DY129" i="4"/>
  <c r="EV129" i="4"/>
  <c r="FR129" i="4"/>
  <c r="GT129" i="4"/>
  <c r="HQ129" i="4"/>
  <c r="IN129" i="4"/>
  <c r="JO129" i="4"/>
  <c r="AG129" i="4"/>
  <c r="BE129" i="4"/>
  <c r="CA129" i="4"/>
  <c r="DB129" i="4"/>
  <c r="DZ129" i="4"/>
  <c r="EW129" i="4"/>
  <c r="FW129" i="4"/>
  <c r="GU129" i="4"/>
  <c r="HR129" i="4"/>
  <c r="IR129" i="4"/>
  <c r="JP129" i="4"/>
  <c r="AH129" i="4"/>
  <c r="BF129" i="4"/>
  <c r="CC129" i="4"/>
  <c r="DC129" i="4"/>
  <c r="EA129" i="4"/>
  <c r="EX129" i="4"/>
  <c r="FX129" i="4"/>
  <c r="GV129" i="4"/>
  <c r="HS129" i="4"/>
  <c r="IS129" i="4"/>
  <c r="JQ129" i="4"/>
  <c r="I129" i="4"/>
  <c r="AI129" i="4"/>
  <c r="BG129" i="4"/>
  <c r="CD129" i="4"/>
  <c r="DD129" i="4"/>
  <c r="EB129" i="4"/>
  <c r="EY129" i="4"/>
  <c r="FY129" i="4"/>
  <c r="GW129" i="4"/>
  <c r="HT129" i="4"/>
  <c r="IT129" i="4"/>
  <c r="JS129" i="4"/>
  <c r="N129" i="4"/>
  <c r="AM129" i="4"/>
  <c r="BI129" i="4"/>
  <c r="CJ129" i="4"/>
  <c r="DG129" i="4"/>
  <c r="EE129" i="4"/>
  <c r="FE129" i="4"/>
  <c r="GC129" i="4"/>
  <c r="GY129" i="4"/>
  <c r="HZ129" i="4"/>
  <c r="IX129" i="4"/>
  <c r="JU129" i="4"/>
  <c r="AO129" i="4"/>
  <c r="BW129" i="4"/>
  <c r="DL129" i="4"/>
  <c r="EZ129" i="4"/>
  <c r="GI129" i="4"/>
  <c r="IB129" i="4"/>
  <c r="JJ129" i="4"/>
  <c r="AP129" i="4"/>
  <c r="BX129" i="4"/>
  <c r="DM129" i="4"/>
  <c r="FF129" i="4"/>
  <c r="GK129" i="4"/>
  <c r="ID129" i="4"/>
  <c r="JK129" i="4"/>
  <c r="AQ129" i="4"/>
  <c r="CE129" i="4"/>
  <c r="DO129" i="4"/>
  <c r="FG129" i="4"/>
  <c r="GO129" i="4"/>
  <c r="IE129" i="4"/>
  <c r="JT129" i="4"/>
  <c r="AR129" i="4"/>
  <c r="CK129" i="4"/>
  <c r="DP129" i="4"/>
  <c r="FI129" i="4"/>
  <c r="GQ129" i="4"/>
  <c r="IG129" i="4"/>
  <c r="JV129" i="4"/>
  <c r="J129" i="4"/>
  <c r="AS129" i="4"/>
  <c r="CL129" i="4"/>
  <c r="DT129" i="4"/>
  <c r="FK129" i="4"/>
  <c r="GX129" i="4"/>
  <c r="IH129" i="4"/>
  <c r="JW129" i="4"/>
  <c r="Q129" i="4"/>
  <c r="AY129" i="4"/>
  <c r="CO129" i="4"/>
  <c r="EC129" i="4"/>
  <c r="FM129" i="4"/>
  <c r="HB129" i="4"/>
  <c r="IJ129" i="4"/>
  <c r="KC129" i="4"/>
  <c r="BH129" i="4"/>
  <c r="DJ129" i="4"/>
  <c r="GB129" i="4"/>
  <c r="II129" i="4"/>
  <c r="BJ129" i="4"/>
  <c r="DK129" i="4"/>
  <c r="GD129" i="4"/>
  <c r="IK129" i="4"/>
  <c r="BK129" i="4"/>
  <c r="DU129" i="4"/>
  <c r="GE129" i="4"/>
  <c r="IW129" i="4"/>
  <c r="BM129" i="4"/>
  <c r="EF129" i="4"/>
  <c r="GF129" i="4"/>
  <c r="IY129" i="4"/>
  <c r="O129" i="4"/>
  <c r="BQ129" i="4"/>
  <c r="EG129" i="4"/>
  <c r="GG129" i="4"/>
  <c r="IZ129" i="4"/>
  <c r="T129" i="4"/>
  <c r="BT129" i="4"/>
  <c r="EL129" i="4"/>
  <c r="HA129" i="4"/>
  <c r="JC129" i="4"/>
  <c r="BS129" i="4"/>
  <c r="FL129" i="4"/>
  <c r="JE129" i="4"/>
  <c r="BV129" i="4"/>
  <c r="FN129" i="4"/>
  <c r="JF129" i="4"/>
  <c r="CN129" i="4"/>
  <c r="FO129" i="4"/>
  <c r="JX129" i="4"/>
  <c r="CP129" i="4"/>
  <c r="FP129" i="4"/>
  <c r="KD129" i="4"/>
  <c r="CQ129" i="4"/>
  <c r="GH129" i="4"/>
  <c r="KE129" i="4"/>
  <c r="S129" i="4"/>
  <c r="CT129" i="4"/>
  <c r="HH129" i="4"/>
  <c r="KI129" i="4"/>
  <c r="CS129" i="4"/>
  <c r="HU129" i="4"/>
  <c r="CU129" i="4"/>
  <c r="IA129" i="4"/>
  <c r="DF129" i="4"/>
  <c r="JA129" i="4"/>
  <c r="DI129" i="4"/>
  <c r="JD129" i="4"/>
  <c r="EH129" i="4"/>
  <c r="KG129" i="4"/>
  <c r="Y129" i="4"/>
  <c r="HC129" i="4"/>
  <c r="EQ129" i="4"/>
  <c r="ER129" i="4"/>
  <c r="ES129" i="4"/>
  <c r="HI129" i="4"/>
  <c r="HJ129" i="4"/>
  <c r="AK129" i="4"/>
  <c r="Z129" i="4"/>
  <c r="AN129" i="4"/>
  <c r="AT129" i="4"/>
  <c r="AZ129" i="4"/>
  <c r="EO129" i="4"/>
  <c r="W129" i="4"/>
  <c r="X129" i="4"/>
  <c r="EM129" i="4"/>
  <c r="HL129" i="4"/>
  <c r="HM129" i="4"/>
  <c r="HN129" i="4"/>
  <c r="U129" i="4"/>
  <c r="L108" i="4"/>
  <c r="AB108" i="4"/>
  <c r="AR108" i="4"/>
  <c r="BH108" i="4"/>
  <c r="BX108" i="4"/>
  <c r="CN108" i="4"/>
  <c r="DD108" i="4"/>
  <c r="DT108" i="4"/>
  <c r="EJ108" i="4"/>
  <c r="EZ108" i="4"/>
  <c r="FP108" i="4"/>
  <c r="GF108" i="4"/>
  <c r="GV108" i="4"/>
  <c r="HL108" i="4"/>
  <c r="IB108" i="4"/>
  <c r="IR108" i="4"/>
  <c r="JH108" i="4"/>
  <c r="JX108" i="4"/>
  <c r="P108" i="4"/>
  <c r="AF108" i="4"/>
  <c r="AV108" i="4"/>
  <c r="BL108" i="4"/>
  <c r="CB108" i="4"/>
  <c r="CR108" i="4"/>
  <c r="DH108" i="4"/>
  <c r="DX108" i="4"/>
  <c r="EN108" i="4"/>
  <c r="FD108" i="4"/>
  <c r="FT108" i="4"/>
  <c r="GJ108" i="4"/>
  <c r="GZ108" i="4"/>
  <c r="HP108" i="4"/>
  <c r="IF108" i="4"/>
  <c r="IV108" i="4"/>
  <c r="JL108" i="4"/>
  <c r="KB108" i="4"/>
  <c r="S108" i="4"/>
  <c r="AK108" i="4"/>
  <c r="BC108" i="4"/>
  <c r="BU108" i="4"/>
  <c r="CM108" i="4"/>
  <c r="DF108" i="4"/>
  <c r="DY108" i="4"/>
  <c r="EQ108" i="4"/>
  <c r="FI108" i="4"/>
  <c r="GA108" i="4"/>
  <c r="GS108" i="4"/>
  <c r="HK108" i="4"/>
  <c r="ID108" i="4"/>
  <c r="IW108" i="4"/>
  <c r="JO108" i="4"/>
  <c r="KG108" i="4"/>
  <c r="T108" i="4"/>
  <c r="AL108" i="4"/>
  <c r="BD108" i="4"/>
  <c r="BV108" i="4"/>
  <c r="CO108" i="4"/>
  <c r="DG108" i="4"/>
  <c r="DZ108" i="4"/>
  <c r="ER108" i="4"/>
  <c r="FJ108" i="4"/>
  <c r="GB108" i="4"/>
  <c r="GT108" i="4"/>
  <c r="HM108" i="4"/>
  <c r="IE108" i="4"/>
  <c r="IX108" i="4"/>
  <c r="JP108" i="4"/>
  <c r="KH108" i="4"/>
  <c r="U108" i="4"/>
  <c r="AM108" i="4"/>
  <c r="BE108" i="4"/>
  <c r="BW108" i="4"/>
  <c r="CP108" i="4"/>
  <c r="DI108" i="4"/>
  <c r="EA108" i="4"/>
  <c r="ES108" i="4"/>
  <c r="FK108" i="4"/>
  <c r="GC108" i="4"/>
  <c r="GU108" i="4"/>
  <c r="HN108" i="4"/>
  <c r="IG108" i="4"/>
  <c r="IY108" i="4"/>
  <c r="JQ108" i="4"/>
  <c r="KI108" i="4"/>
  <c r="Y108" i="4"/>
  <c r="AQ108" i="4"/>
  <c r="BJ108" i="4"/>
  <c r="CC108" i="4"/>
  <c r="CU108" i="4"/>
  <c r="DM108" i="4"/>
  <c r="EE108" i="4"/>
  <c r="EW108" i="4"/>
  <c r="FO108" i="4"/>
  <c r="GH108" i="4"/>
  <c r="HA108" i="4"/>
  <c r="HS108" i="4"/>
  <c r="IK108" i="4"/>
  <c r="JC108" i="4"/>
  <c r="JU108" i="4"/>
  <c r="AA108" i="4"/>
  <c r="AY108" i="4"/>
  <c r="BY108" i="4"/>
  <c r="CW108" i="4"/>
  <c r="DS108" i="4"/>
  <c r="ET108" i="4"/>
  <c r="FR108" i="4"/>
  <c r="GO108" i="4"/>
  <c r="HO108" i="4"/>
  <c r="IM108" i="4"/>
  <c r="JJ108" i="4"/>
  <c r="AC108" i="4"/>
  <c r="AZ108" i="4"/>
  <c r="BZ108" i="4"/>
  <c r="CX108" i="4"/>
  <c r="DU108" i="4"/>
  <c r="EU108" i="4"/>
  <c r="FS108" i="4"/>
  <c r="GP108" i="4"/>
  <c r="HQ108" i="4"/>
  <c r="IN108" i="4"/>
  <c r="JK108" i="4"/>
  <c r="AD108" i="4"/>
  <c r="BA108" i="4"/>
  <c r="CA108" i="4"/>
  <c r="CY108" i="4"/>
  <c r="DV108" i="4"/>
  <c r="EV108" i="4"/>
  <c r="FU108" i="4"/>
  <c r="GQ108" i="4"/>
  <c r="HR108" i="4"/>
  <c r="IO108" i="4"/>
  <c r="JM108" i="4"/>
  <c r="AE108" i="4"/>
  <c r="BB108" i="4"/>
  <c r="CD108" i="4"/>
  <c r="CZ108" i="4"/>
  <c r="DW108" i="4"/>
  <c r="EX108" i="4"/>
  <c r="FV108" i="4"/>
  <c r="GR108" i="4"/>
  <c r="HT108" i="4"/>
  <c r="IP108" i="4"/>
  <c r="JN108" i="4"/>
  <c r="I108" i="4"/>
  <c r="AG108" i="4"/>
  <c r="BF108" i="4"/>
  <c r="CE108" i="4"/>
  <c r="DA108" i="4"/>
  <c r="EB108" i="4"/>
  <c r="EY108" i="4"/>
  <c r="FW108" i="4"/>
  <c r="GW108" i="4"/>
  <c r="HU108" i="4"/>
  <c r="IQ108" i="4"/>
  <c r="JR108" i="4"/>
  <c r="K108" i="4"/>
  <c r="AI108" i="4"/>
  <c r="BI108" i="4"/>
  <c r="CG108" i="4"/>
  <c r="DC108" i="4"/>
  <c r="ED108" i="4"/>
  <c r="FB108" i="4"/>
  <c r="FY108" i="4"/>
  <c r="GY108" i="4"/>
  <c r="HW108" i="4"/>
  <c r="IT108" i="4"/>
  <c r="JT108" i="4"/>
  <c r="AH108" i="4"/>
  <c r="BQ108" i="4"/>
  <c r="DJ108" i="4"/>
  <c r="EO108" i="4"/>
  <c r="GG108" i="4"/>
  <c r="HV108" i="4"/>
  <c r="JE108" i="4"/>
  <c r="AJ108" i="4"/>
  <c r="BR108" i="4"/>
  <c r="DK108" i="4"/>
  <c r="EP108" i="4"/>
  <c r="GI108" i="4"/>
  <c r="HX108" i="4"/>
  <c r="JF108" i="4"/>
  <c r="AN108" i="4"/>
  <c r="BS108" i="4"/>
  <c r="DL108" i="4"/>
  <c r="FA108" i="4"/>
  <c r="GK108" i="4"/>
  <c r="HY108" i="4"/>
  <c r="JG108" i="4"/>
  <c r="AO108" i="4"/>
  <c r="BT108" i="4"/>
  <c r="DN108" i="4"/>
  <c r="FC108" i="4"/>
  <c r="GL108" i="4"/>
  <c r="HZ108" i="4"/>
  <c r="JI108" i="4"/>
  <c r="AP108" i="4"/>
  <c r="CF108" i="4"/>
  <c r="DO108" i="4"/>
  <c r="FE108" i="4"/>
  <c r="GM108" i="4"/>
  <c r="IA108" i="4"/>
  <c r="JS108" i="4"/>
  <c r="J108" i="4"/>
  <c r="AT108" i="4"/>
  <c r="CI108" i="4"/>
  <c r="DQ108" i="4"/>
  <c r="FG108" i="4"/>
  <c r="GX108" i="4"/>
  <c r="IH108" i="4"/>
  <c r="JW108" i="4"/>
  <c r="BG108" i="4"/>
  <c r="DP108" i="4"/>
  <c r="FX108" i="4"/>
  <c r="IJ108" i="4"/>
  <c r="BK108" i="4"/>
  <c r="DR108" i="4"/>
  <c r="FZ108" i="4"/>
  <c r="IL108" i="4"/>
  <c r="BM108" i="4"/>
  <c r="EC108" i="4"/>
  <c r="GD108" i="4"/>
  <c r="IS108" i="4"/>
  <c r="M108" i="4"/>
  <c r="BN108" i="4"/>
  <c r="EF108" i="4"/>
  <c r="GE108" i="4"/>
  <c r="IU108" i="4"/>
  <c r="N108" i="4"/>
  <c r="BO108" i="4"/>
  <c r="EG108" i="4"/>
  <c r="GN108" i="4"/>
  <c r="IZ108" i="4"/>
  <c r="Q108" i="4"/>
  <c r="CH108" i="4"/>
  <c r="EI108" i="4"/>
  <c r="HC108" i="4"/>
  <c r="JB108" i="4"/>
  <c r="AS108" i="4"/>
  <c r="EL108" i="4"/>
  <c r="IC108" i="4"/>
  <c r="AU108" i="4"/>
  <c r="EM108" i="4"/>
  <c r="II108" i="4"/>
  <c r="AW108" i="4"/>
  <c r="FF108" i="4"/>
  <c r="JA108" i="4"/>
  <c r="AX108" i="4"/>
  <c r="FH108" i="4"/>
  <c r="JD108" i="4"/>
  <c r="BP108" i="4"/>
  <c r="FL108" i="4"/>
  <c r="JV108" i="4"/>
  <c r="CK108" i="4"/>
  <c r="FN108" i="4"/>
  <c r="JZ108" i="4"/>
  <c r="DB108" i="4"/>
  <c r="KC108" i="4"/>
  <c r="DE108" i="4"/>
  <c r="KD108" i="4"/>
  <c r="EH108" i="4"/>
  <c r="KE108" i="4"/>
  <c r="EK108" i="4"/>
  <c r="KF108" i="4"/>
  <c r="O108" i="4"/>
  <c r="FM108" i="4"/>
  <c r="V108" i="4"/>
  <c r="HB108" i="4"/>
  <c r="X108" i="4"/>
  <c r="JY108" i="4"/>
  <c r="Z108" i="4"/>
  <c r="KA108" i="4"/>
  <c r="CJ108" i="4"/>
  <c r="CL108" i="4"/>
  <c r="CQ108" i="4"/>
  <c r="HE108" i="4"/>
  <c r="R108" i="4"/>
  <c r="HD108" i="4"/>
  <c r="W108" i="4"/>
  <c r="CS108" i="4"/>
  <c r="CV108" i="4"/>
  <c r="HI108" i="4"/>
  <c r="CT108" i="4"/>
  <c r="FQ108" i="4"/>
  <c r="HH108" i="4"/>
  <c r="HJ108" i="4"/>
  <c r="HF108" i="4"/>
  <c r="HG108" i="4"/>
  <c r="S66" i="4"/>
  <c r="AI66" i="4"/>
  <c r="AY66" i="4"/>
  <c r="BO66" i="4"/>
  <c r="CE66" i="4"/>
  <c r="CU66" i="4"/>
  <c r="DK66" i="4"/>
  <c r="EA66" i="4"/>
  <c r="EQ66" i="4"/>
  <c r="FG66" i="4"/>
  <c r="FW66" i="4"/>
  <c r="GM66" i="4"/>
  <c r="HC66" i="4"/>
  <c r="HS66" i="4"/>
  <c r="II66" i="4"/>
  <c r="IY66" i="4"/>
  <c r="JO66" i="4"/>
  <c r="KE66" i="4"/>
  <c r="T66" i="4"/>
  <c r="AJ66" i="4"/>
  <c r="AZ66" i="4"/>
  <c r="BP66" i="4"/>
  <c r="CF66" i="4"/>
  <c r="CV66" i="4"/>
  <c r="DL66" i="4"/>
  <c r="EB66" i="4"/>
  <c r="ER66" i="4"/>
  <c r="FH66" i="4"/>
  <c r="FX66" i="4"/>
  <c r="GN66" i="4"/>
  <c r="HD66" i="4"/>
  <c r="HT66" i="4"/>
  <c r="IJ66" i="4"/>
  <c r="IZ66" i="4"/>
  <c r="JP66" i="4"/>
  <c r="KF66" i="4"/>
  <c r="U66" i="4"/>
  <c r="AK66" i="4"/>
  <c r="BA66" i="4"/>
  <c r="BQ66" i="4"/>
  <c r="CG66" i="4"/>
  <c r="CW66" i="4"/>
  <c r="DM66" i="4"/>
  <c r="EC66" i="4"/>
  <c r="ES66" i="4"/>
  <c r="FI66" i="4"/>
  <c r="FY66" i="4"/>
  <c r="GO66" i="4"/>
  <c r="HE66" i="4"/>
  <c r="HU66" i="4"/>
  <c r="IK66" i="4"/>
  <c r="JA66" i="4"/>
  <c r="JQ66" i="4"/>
  <c r="KG66" i="4"/>
  <c r="I66" i="4"/>
  <c r="Y66" i="4"/>
  <c r="AO66" i="4"/>
  <c r="BE66" i="4"/>
  <c r="BU66" i="4"/>
  <c r="CK66" i="4"/>
  <c r="DA66" i="4"/>
  <c r="DQ66" i="4"/>
  <c r="EG66" i="4"/>
  <c r="EW66" i="4"/>
  <c r="FM66" i="4"/>
  <c r="GC66" i="4"/>
  <c r="GS66" i="4"/>
  <c r="HI66" i="4"/>
  <c r="HY66" i="4"/>
  <c r="IO66" i="4"/>
  <c r="JE66" i="4"/>
  <c r="JU66" i="4"/>
  <c r="P66" i="4"/>
  <c r="AM66" i="4"/>
  <c r="BH66" i="4"/>
  <c r="CB66" i="4"/>
  <c r="CY66" i="4"/>
  <c r="DT66" i="4"/>
  <c r="EN66" i="4"/>
  <c r="FK66" i="4"/>
  <c r="GF66" i="4"/>
  <c r="GZ66" i="4"/>
  <c r="HW66" i="4"/>
  <c r="IR66" i="4"/>
  <c r="JL66" i="4"/>
  <c r="KI66" i="4"/>
  <c r="Q66" i="4"/>
  <c r="AN66" i="4"/>
  <c r="BI66" i="4"/>
  <c r="CC66" i="4"/>
  <c r="CZ66" i="4"/>
  <c r="DU66" i="4"/>
  <c r="EO66" i="4"/>
  <c r="FL66" i="4"/>
  <c r="GG66" i="4"/>
  <c r="HA66" i="4"/>
  <c r="HX66" i="4"/>
  <c r="IS66" i="4"/>
  <c r="JM66" i="4"/>
  <c r="R66" i="4"/>
  <c r="AP66" i="4"/>
  <c r="BJ66" i="4"/>
  <c r="CD66" i="4"/>
  <c r="DB66" i="4"/>
  <c r="DV66" i="4"/>
  <c r="EP66" i="4"/>
  <c r="FN66" i="4"/>
  <c r="GH66" i="4"/>
  <c r="HB66" i="4"/>
  <c r="HZ66" i="4"/>
  <c r="IT66" i="4"/>
  <c r="JN66" i="4"/>
  <c r="V66" i="4"/>
  <c r="AQ66" i="4"/>
  <c r="BK66" i="4"/>
  <c r="CH66" i="4"/>
  <c r="DC66" i="4"/>
  <c r="DW66" i="4"/>
  <c r="ET66" i="4"/>
  <c r="FO66" i="4"/>
  <c r="GI66" i="4"/>
  <c r="HF66" i="4"/>
  <c r="IA66" i="4"/>
  <c r="IU66" i="4"/>
  <c r="JR66" i="4"/>
  <c r="W66" i="4"/>
  <c r="AR66" i="4"/>
  <c r="BL66" i="4"/>
  <c r="CI66" i="4"/>
  <c r="DD66" i="4"/>
  <c r="DX66" i="4"/>
  <c r="EU66" i="4"/>
  <c r="FP66" i="4"/>
  <c r="GJ66" i="4"/>
  <c r="HG66" i="4"/>
  <c r="IB66" i="4"/>
  <c r="IV66" i="4"/>
  <c r="JS66" i="4"/>
  <c r="Z66" i="4"/>
  <c r="AT66" i="4"/>
  <c r="BN66" i="4"/>
  <c r="CL66" i="4"/>
  <c r="DF66" i="4"/>
  <c r="DZ66" i="4"/>
  <c r="EX66" i="4"/>
  <c r="FR66" i="4"/>
  <c r="GL66" i="4"/>
  <c r="HJ66" i="4"/>
  <c r="ID66" i="4"/>
  <c r="IX66" i="4"/>
  <c r="JV66" i="4"/>
  <c r="AH66" i="4"/>
  <c r="BV66" i="4"/>
  <c r="DE66" i="4"/>
  <c r="EJ66" i="4"/>
  <c r="FT66" i="4"/>
  <c r="GX66" i="4"/>
  <c r="IH66" i="4"/>
  <c r="JT66" i="4"/>
  <c r="AL66" i="4"/>
  <c r="BW66" i="4"/>
  <c r="DG66" i="4"/>
  <c r="EK66" i="4"/>
  <c r="FU66" i="4"/>
  <c r="GY66" i="4"/>
  <c r="IL66" i="4"/>
  <c r="JW66" i="4"/>
  <c r="J66" i="4"/>
  <c r="AS66" i="4"/>
  <c r="BX66" i="4"/>
  <c r="DH66" i="4"/>
  <c r="EL66" i="4"/>
  <c r="FV66" i="4"/>
  <c r="HH66" i="4"/>
  <c r="IM66" i="4"/>
  <c r="JX66" i="4"/>
  <c r="K66" i="4"/>
  <c r="AU66" i="4"/>
  <c r="BY66" i="4"/>
  <c r="DI66" i="4"/>
  <c r="EM66" i="4"/>
  <c r="FZ66" i="4"/>
  <c r="HK66" i="4"/>
  <c r="IN66" i="4"/>
  <c r="JY66" i="4"/>
  <c r="L66" i="4"/>
  <c r="AV66" i="4"/>
  <c r="BZ66" i="4"/>
  <c r="DJ66" i="4"/>
  <c r="EV66" i="4"/>
  <c r="GA66" i="4"/>
  <c r="HL66" i="4"/>
  <c r="IP66" i="4"/>
  <c r="JZ66" i="4"/>
  <c r="N66" i="4"/>
  <c r="AX66" i="4"/>
  <c r="CJ66" i="4"/>
  <c r="DO66" i="4"/>
  <c r="EZ66" i="4"/>
  <c r="GD66" i="4"/>
  <c r="HN66" i="4"/>
  <c r="IW66" i="4"/>
  <c r="KB66" i="4"/>
  <c r="AF66" i="4"/>
  <c r="CP66" i="4"/>
  <c r="EY66" i="4"/>
  <c r="GT66" i="4"/>
  <c r="JC66" i="4"/>
  <c r="AG66" i="4"/>
  <c r="CQ66" i="4"/>
  <c r="FA66" i="4"/>
  <c r="GU66" i="4"/>
  <c r="JD66" i="4"/>
  <c r="AW66" i="4"/>
  <c r="CR66" i="4"/>
  <c r="FB66" i="4"/>
  <c r="GV66" i="4"/>
  <c r="JF66" i="4"/>
  <c r="BB66" i="4"/>
  <c r="CS66" i="4"/>
  <c r="FC66" i="4"/>
  <c r="GW66" i="4"/>
  <c r="JG66" i="4"/>
  <c r="BC66" i="4"/>
  <c r="CT66" i="4"/>
  <c r="FD66" i="4"/>
  <c r="HM66" i="4"/>
  <c r="JH66" i="4"/>
  <c r="BF66" i="4"/>
  <c r="DN66" i="4"/>
  <c r="FF66" i="4"/>
  <c r="HP66" i="4"/>
  <c r="JJ66" i="4"/>
  <c r="BS66" i="4"/>
  <c r="FE66" i="4"/>
  <c r="IF66" i="4"/>
  <c r="BT66" i="4"/>
  <c r="FJ66" i="4"/>
  <c r="IG66" i="4"/>
  <c r="CA66" i="4"/>
  <c r="FQ66" i="4"/>
  <c r="IQ66" i="4"/>
  <c r="CM66" i="4"/>
  <c r="FS66" i="4"/>
  <c r="JB66" i="4"/>
  <c r="M66" i="4"/>
  <c r="CN66" i="4"/>
  <c r="GB66" i="4"/>
  <c r="JI66" i="4"/>
  <c r="X66" i="4"/>
  <c r="CX66" i="4"/>
  <c r="GK66" i="4"/>
  <c r="KA66" i="4"/>
  <c r="DR66" i="4"/>
  <c r="IC66" i="4"/>
  <c r="DS66" i="4"/>
  <c r="IE66" i="4"/>
  <c r="DY66" i="4"/>
  <c r="JK66" i="4"/>
  <c r="ED66" i="4"/>
  <c r="KC66" i="4"/>
  <c r="O66" i="4"/>
  <c r="EE66" i="4"/>
  <c r="KD66" i="4"/>
  <c r="AB66" i="4"/>
  <c r="EH66" i="4"/>
  <c r="GQ66" i="4"/>
  <c r="GR66" i="4"/>
  <c r="AA66" i="4"/>
  <c r="HO66" i="4"/>
  <c r="AC66" i="4"/>
  <c r="HQ66" i="4"/>
  <c r="AD66" i="4"/>
  <c r="HR66" i="4"/>
  <c r="BD66" i="4"/>
  <c r="KH66" i="4"/>
  <c r="CO66" i="4"/>
  <c r="DP66" i="4"/>
  <c r="EF66" i="4"/>
  <c r="EI66" i="4"/>
  <c r="GE66" i="4"/>
  <c r="HV66" i="4"/>
  <c r="GP66" i="4"/>
  <c r="AE66" i="4"/>
  <c r="BG66" i="4"/>
  <c r="BM66" i="4"/>
  <c r="BR66" i="4"/>
  <c r="J123" i="4"/>
  <c r="Z123" i="4"/>
  <c r="AP123" i="4"/>
  <c r="BF123" i="4"/>
  <c r="BV123" i="4"/>
  <c r="CL123" i="4"/>
  <c r="DB123" i="4"/>
  <c r="DR123" i="4"/>
  <c r="EH123" i="4"/>
  <c r="EX123" i="4"/>
  <c r="FN123" i="4"/>
  <c r="GD123" i="4"/>
  <c r="GT123" i="4"/>
  <c r="HJ123" i="4"/>
  <c r="HZ123" i="4"/>
  <c r="IP123" i="4"/>
  <c r="JF123" i="4"/>
  <c r="JV123" i="4"/>
  <c r="K123" i="4"/>
  <c r="AA123" i="4"/>
  <c r="AQ123" i="4"/>
  <c r="BG123" i="4"/>
  <c r="BW123" i="4"/>
  <c r="CM123" i="4"/>
  <c r="DC123" i="4"/>
  <c r="DS123" i="4"/>
  <c r="EI123" i="4"/>
  <c r="EY123" i="4"/>
  <c r="FO123" i="4"/>
  <c r="GE123" i="4"/>
  <c r="GU123" i="4"/>
  <c r="HK123" i="4"/>
  <c r="IA123" i="4"/>
  <c r="IQ123" i="4"/>
  <c r="JG123" i="4"/>
  <c r="JW123" i="4"/>
  <c r="L123" i="4"/>
  <c r="AB123" i="4"/>
  <c r="AR123" i="4"/>
  <c r="BH123" i="4"/>
  <c r="BX123" i="4"/>
  <c r="CN123" i="4"/>
  <c r="DD123" i="4"/>
  <c r="DT123" i="4"/>
  <c r="EJ123" i="4"/>
  <c r="EZ123" i="4"/>
  <c r="FP123" i="4"/>
  <c r="GF123" i="4"/>
  <c r="GV123" i="4"/>
  <c r="HL123" i="4"/>
  <c r="IB123" i="4"/>
  <c r="IR123" i="4"/>
  <c r="JH123" i="4"/>
  <c r="JX123" i="4"/>
  <c r="P123" i="4"/>
  <c r="AF123" i="4"/>
  <c r="AV123" i="4"/>
  <c r="BL123" i="4"/>
  <c r="CB123" i="4"/>
  <c r="CR123" i="4"/>
  <c r="DH123" i="4"/>
  <c r="DX123" i="4"/>
  <c r="EN123" i="4"/>
  <c r="FD123" i="4"/>
  <c r="FT123" i="4"/>
  <c r="GJ123" i="4"/>
  <c r="GZ123" i="4"/>
  <c r="HP123" i="4"/>
  <c r="IF123" i="4"/>
  <c r="IV123" i="4"/>
  <c r="JL123" i="4"/>
  <c r="KB123" i="4"/>
  <c r="R123" i="4"/>
  <c r="AL123" i="4"/>
  <c r="BI123" i="4"/>
  <c r="CD123" i="4"/>
  <c r="CX123" i="4"/>
  <c r="DU123" i="4"/>
  <c r="EP123" i="4"/>
  <c r="FJ123" i="4"/>
  <c r="GG123" i="4"/>
  <c r="HB123" i="4"/>
  <c r="HV123" i="4"/>
  <c r="IS123" i="4"/>
  <c r="JN123" i="4"/>
  <c r="KH123" i="4"/>
  <c r="S123" i="4"/>
  <c r="AM123" i="4"/>
  <c r="BJ123" i="4"/>
  <c r="CE123" i="4"/>
  <c r="CY123" i="4"/>
  <c r="DV123" i="4"/>
  <c r="EQ123" i="4"/>
  <c r="FK123" i="4"/>
  <c r="GH123" i="4"/>
  <c r="HC123" i="4"/>
  <c r="HW123" i="4"/>
  <c r="IT123" i="4"/>
  <c r="JO123" i="4"/>
  <c r="KI123" i="4"/>
  <c r="T123" i="4"/>
  <c r="AN123" i="4"/>
  <c r="BK123" i="4"/>
  <c r="CF123" i="4"/>
  <c r="CZ123" i="4"/>
  <c r="DW123" i="4"/>
  <c r="ER123" i="4"/>
  <c r="FL123" i="4"/>
  <c r="GI123" i="4"/>
  <c r="HD123" i="4"/>
  <c r="HX123" i="4"/>
  <c r="IU123" i="4"/>
  <c r="JP123" i="4"/>
  <c r="U123" i="4"/>
  <c r="AO123" i="4"/>
  <c r="BM123" i="4"/>
  <c r="CG123" i="4"/>
  <c r="DA123" i="4"/>
  <c r="DY123" i="4"/>
  <c r="ES123" i="4"/>
  <c r="FM123" i="4"/>
  <c r="GK123" i="4"/>
  <c r="HE123" i="4"/>
  <c r="HY123" i="4"/>
  <c r="IW123" i="4"/>
  <c r="JQ123" i="4"/>
  <c r="X123" i="4"/>
  <c r="AU123" i="4"/>
  <c r="BP123" i="4"/>
  <c r="CJ123" i="4"/>
  <c r="DG123" i="4"/>
  <c r="EB123" i="4"/>
  <c r="EV123" i="4"/>
  <c r="FS123" i="4"/>
  <c r="GN123" i="4"/>
  <c r="HH123" i="4"/>
  <c r="IE123" i="4"/>
  <c r="IZ123" i="4"/>
  <c r="JT123" i="4"/>
  <c r="AJ123" i="4"/>
  <c r="BR123" i="4"/>
  <c r="CU123" i="4"/>
  <c r="EC123" i="4"/>
  <c r="FF123" i="4"/>
  <c r="GM123" i="4"/>
  <c r="HQ123" i="4"/>
  <c r="IX123" i="4"/>
  <c r="KA123" i="4"/>
  <c r="AK123" i="4"/>
  <c r="BS123" i="4"/>
  <c r="CV123" i="4"/>
  <c r="ED123" i="4"/>
  <c r="FG123" i="4"/>
  <c r="GO123" i="4"/>
  <c r="HR123" i="4"/>
  <c r="IY123" i="4"/>
  <c r="KC123" i="4"/>
  <c r="I123" i="4"/>
  <c r="AS123" i="4"/>
  <c r="BT123" i="4"/>
  <c r="CW123" i="4"/>
  <c r="EE123" i="4"/>
  <c r="FH123" i="4"/>
  <c r="GP123" i="4"/>
  <c r="HS123" i="4"/>
  <c r="JA123" i="4"/>
  <c r="KD123" i="4"/>
  <c r="M123" i="4"/>
  <c r="AT123" i="4"/>
  <c r="BU123" i="4"/>
  <c r="DE123" i="4"/>
  <c r="EF123" i="4"/>
  <c r="FI123" i="4"/>
  <c r="GQ123" i="4"/>
  <c r="HT123" i="4"/>
  <c r="JB123" i="4"/>
  <c r="KE123" i="4"/>
  <c r="N123" i="4"/>
  <c r="AW123" i="4"/>
  <c r="BY123" i="4"/>
  <c r="DF123" i="4"/>
  <c r="EG123" i="4"/>
  <c r="FQ123" i="4"/>
  <c r="GR123" i="4"/>
  <c r="HU123" i="4"/>
  <c r="JC123" i="4"/>
  <c r="KF123" i="4"/>
  <c r="Q123" i="4"/>
  <c r="AY123" i="4"/>
  <c r="CA123" i="4"/>
  <c r="DJ123" i="4"/>
  <c r="EL123" i="4"/>
  <c r="FU123" i="4"/>
  <c r="GW123" i="4"/>
  <c r="ID123" i="4"/>
  <c r="JE123" i="4"/>
  <c r="O123" i="4"/>
  <c r="BE123" i="4"/>
  <c r="DL123" i="4"/>
  <c r="FC123" i="4"/>
  <c r="HF123" i="4"/>
  <c r="JD123" i="4"/>
  <c r="V123" i="4"/>
  <c r="BN123" i="4"/>
  <c r="DM123" i="4"/>
  <c r="FE123" i="4"/>
  <c r="HG123" i="4"/>
  <c r="JI123" i="4"/>
  <c r="W123" i="4"/>
  <c r="BO123" i="4"/>
  <c r="DN123" i="4"/>
  <c r="FR123" i="4"/>
  <c r="HI123" i="4"/>
  <c r="JJ123" i="4"/>
  <c r="Y123" i="4"/>
  <c r="BQ123" i="4"/>
  <c r="DO123" i="4"/>
  <c r="FV123" i="4"/>
  <c r="HM123" i="4"/>
  <c r="JK123" i="4"/>
  <c r="AC123" i="4"/>
  <c r="BZ123" i="4"/>
  <c r="DP123" i="4"/>
  <c r="FW123" i="4"/>
  <c r="HN123" i="4"/>
  <c r="JM123" i="4"/>
  <c r="AE123" i="4"/>
  <c r="CH123" i="4"/>
  <c r="DZ123" i="4"/>
  <c r="FY123" i="4"/>
  <c r="IC123" i="4"/>
  <c r="JS123" i="4"/>
  <c r="AX123" i="4"/>
  <c r="DQ123" i="4"/>
  <c r="GS123" i="4"/>
  <c r="JY123" i="4"/>
  <c r="AZ123" i="4"/>
  <c r="EA123" i="4"/>
  <c r="GX123" i="4"/>
  <c r="JZ123" i="4"/>
  <c r="BA123" i="4"/>
  <c r="EK123" i="4"/>
  <c r="GY123" i="4"/>
  <c r="KG123" i="4"/>
  <c r="BB123" i="4"/>
  <c r="EM123" i="4"/>
  <c r="HA123" i="4"/>
  <c r="BC123" i="4"/>
  <c r="EO123" i="4"/>
  <c r="HO123" i="4"/>
  <c r="CC123" i="4"/>
  <c r="EU123" i="4"/>
  <c r="IH123" i="4"/>
  <c r="CS123" i="4"/>
  <c r="IJ123" i="4"/>
  <c r="CT123" i="4"/>
  <c r="IK123" i="4"/>
  <c r="DI123" i="4"/>
  <c r="IL123" i="4"/>
  <c r="DK123" i="4"/>
  <c r="IM123" i="4"/>
  <c r="ET123" i="4"/>
  <c r="IN123" i="4"/>
  <c r="AD123" i="4"/>
  <c r="FA123" i="4"/>
  <c r="JR123" i="4"/>
  <c r="CK123" i="4"/>
  <c r="CO123" i="4"/>
  <c r="CP123" i="4"/>
  <c r="CQ123" i="4"/>
  <c r="EW123" i="4"/>
  <c r="GC123" i="4"/>
  <c r="AH123" i="4"/>
  <c r="AI123" i="4"/>
  <c r="BD123" i="4"/>
  <c r="CI123" i="4"/>
  <c r="FB123" i="4"/>
  <c r="IG123" i="4"/>
  <c r="IO123" i="4"/>
  <c r="JU123" i="4"/>
  <c r="FX123" i="4"/>
  <c r="GA123" i="4"/>
  <c r="GB123" i="4"/>
  <c r="GL123" i="4"/>
  <c r="II123" i="4"/>
  <c r="AG123" i="4"/>
  <c r="FZ123" i="4"/>
  <c r="K59" i="4"/>
  <c r="AA59" i="4"/>
  <c r="AQ59" i="4"/>
  <c r="BG59" i="4"/>
  <c r="BW59" i="4"/>
  <c r="CM59" i="4"/>
  <c r="DC59" i="4"/>
  <c r="DS59" i="4"/>
  <c r="EI59" i="4"/>
  <c r="EY59" i="4"/>
  <c r="FO59" i="4"/>
  <c r="GE59" i="4"/>
  <c r="GU59" i="4"/>
  <c r="HK59" i="4"/>
  <c r="IA59" i="4"/>
  <c r="IQ59" i="4"/>
  <c r="JG59" i="4"/>
  <c r="JW59" i="4"/>
  <c r="R59" i="4"/>
  <c r="AI59" i="4"/>
  <c r="AZ59" i="4"/>
  <c r="BQ59" i="4"/>
  <c r="CH59" i="4"/>
  <c r="CY59" i="4"/>
  <c r="DP59" i="4"/>
  <c r="EG59" i="4"/>
  <c r="EX59" i="4"/>
  <c r="FP59" i="4"/>
  <c r="GG59" i="4"/>
  <c r="GX59" i="4"/>
  <c r="HO59" i="4"/>
  <c r="IF59" i="4"/>
  <c r="IW59" i="4"/>
  <c r="JN59" i="4"/>
  <c r="KE59" i="4"/>
  <c r="S59" i="4"/>
  <c r="AJ59" i="4"/>
  <c r="BA59" i="4"/>
  <c r="BR59" i="4"/>
  <c r="CI59" i="4"/>
  <c r="CZ59" i="4"/>
  <c r="DQ59" i="4"/>
  <c r="EH59" i="4"/>
  <c r="EZ59" i="4"/>
  <c r="FQ59" i="4"/>
  <c r="GH59" i="4"/>
  <c r="GY59" i="4"/>
  <c r="HP59" i="4"/>
  <c r="IG59" i="4"/>
  <c r="IX59" i="4"/>
  <c r="JO59" i="4"/>
  <c r="KF59" i="4"/>
  <c r="T59" i="4"/>
  <c r="AK59" i="4"/>
  <c r="BB59" i="4"/>
  <c r="BS59" i="4"/>
  <c r="CJ59" i="4"/>
  <c r="DA59" i="4"/>
  <c r="DR59" i="4"/>
  <c r="EJ59" i="4"/>
  <c r="FA59" i="4"/>
  <c r="FR59" i="4"/>
  <c r="GI59" i="4"/>
  <c r="GZ59" i="4"/>
  <c r="HQ59" i="4"/>
  <c r="IH59" i="4"/>
  <c r="IY59" i="4"/>
  <c r="JP59" i="4"/>
  <c r="KG59" i="4"/>
  <c r="X59" i="4"/>
  <c r="AO59" i="4"/>
  <c r="BF59" i="4"/>
  <c r="BX59" i="4"/>
  <c r="CO59" i="4"/>
  <c r="DF59" i="4"/>
  <c r="DW59" i="4"/>
  <c r="EN59" i="4"/>
  <c r="FE59" i="4"/>
  <c r="FV59" i="4"/>
  <c r="GM59" i="4"/>
  <c r="HD59" i="4"/>
  <c r="HU59" i="4"/>
  <c r="IL59" i="4"/>
  <c r="JC59" i="4"/>
  <c r="JT59" i="4"/>
  <c r="V59" i="4"/>
  <c r="AS59" i="4"/>
  <c r="BN59" i="4"/>
  <c r="CL59" i="4"/>
  <c r="DI59" i="4"/>
  <c r="ED59" i="4"/>
  <c r="FC59" i="4"/>
  <c r="FY59" i="4"/>
  <c r="GT59" i="4"/>
  <c r="HS59" i="4"/>
  <c r="IO59" i="4"/>
  <c r="JK59" i="4"/>
  <c r="KI59" i="4"/>
  <c r="W59" i="4"/>
  <c r="AT59" i="4"/>
  <c r="BO59" i="4"/>
  <c r="CN59" i="4"/>
  <c r="DJ59" i="4"/>
  <c r="EE59" i="4"/>
  <c r="FD59" i="4"/>
  <c r="FZ59" i="4"/>
  <c r="GV59" i="4"/>
  <c r="HT59" i="4"/>
  <c r="IP59" i="4"/>
  <c r="JL59" i="4"/>
  <c r="Y59" i="4"/>
  <c r="AU59" i="4"/>
  <c r="BP59" i="4"/>
  <c r="CP59" i="4"/>
  <c r="DK59" i="4"/>
  <c r="EF59" i="4"/>
  <c r="FF59" i="4"/>
  <c r="GA59" i="4"/>
  <c r="GW59" i="4"/>
  <c r="HV59" i="4"/>
  <c r="IR59" i="4"/>
  <c r="JM59" i="4"/>
  <c r="Z59" i="4"/>
  <c r="AV59" i="4"/>
  <c r="BT59" i="4"/>
  <c r="CQ59" i="4"/>
  <c r="DL59" i="4"/>
  <c r="EK59" i="4"/>
  <c r="FG59" i="4"/>
  <c r="GB59" i="4"/>
  <c r="HA59" i="4"/>
  <c r="HW59" i="4"/>
  <c r="IS59" i="4"/>
  <c r="JQ59" i="4"/>
  <c r="AB59" i="4"/>
  <c r="AW59" i="4"/>
  <c r="BU59" i="4"/>
  <c r="CR59" i="4"/>
  <c r="DM59" i="4"/>
  <c r="EL59" i="4"/>
  <c r="FH59" i="4"/>
  <c r="GC59" i="4"/>
  <c r="HB59" i="4"/>
  <c r="HX59" i="4"/>
  <c r="IT59" i="4"/>
  <c r="JR59" i="4"/>
  <c r="AD59" i="4"/>
  <c r="AY59" i="4"/>
  <c r="BY59" i="4"/>
  <c r="CT59" i="4"/>
  <c r="DO59" i="4"/>
  <c r="EO59" i="4"/>
  <c r="FJ59" i="4"/>
  <c r="GF59" i="4"/>
  <c r="HE59" i="4"/>
  <c r="HZ59" i="4"/>
  <c r="IV59" i="4"/>
  <c r="JU59" i="4"/>
  <c r="AC59" i="4"/>
  <c r="BJ59" i="4"/>
  <c r="CV59" i="4"/>
  <c r="EB59" i="4"/>
  <c r="FN59" i="4"/>
  <c r="HC59" i="4"/>
  <c r="IJ59" i="4"/>
  <c r="JX59" i="4"/>
  <c r="AE59" i="4"/>
  <c r="BK59" i="4"/>
  <c r="CW59" i="4"/>
  <c r="EC59" i="4"/>
  <c r="FS59" i="4"/>
  <c r="HF59" i="4"/>
  <c r="IK59" i="4"/>
  <c r="JY59" i="4"/>
  <c r="AF59" i="4"/>
  <c r="BL59" i="4"/>
  <c r="CX59" i="4"/>
  <c r="EM59" i="4"/>
  <c r="FT59" i="4"/>
  <c r="HG59" i="4"/>
  <c r="IM59" i="4"/>
  <c r="JZ59" i="4"/>
  <c r="AG59" i="4"/>
  <c r="BM59" i="4"/>
  <c r="DB59" i="4"/>
  <c r="EP59" i="4"/>
  <c r="FU59" i="4"/>
  <c r="HH59" i="4"/>
  <c r="IN59" i="4"/>
  <c r="KA59" i="4"/>
  <c r="AH59" i="4"/>
  <c r="BV59" i="4"/>
  <c r="DD59" i="4"/>
  <c r="EQ59" i="4"/>
  <c r="FW59" i="4"/>
  <c r="HI59" i="4"/>
  <c r="IU59" i="4"/>
  <c r="KB59" i="4"/>
  <c r="AM59" i="4"/>
  <c r="CA59" i="4"/>
  <c r="DG59" i="4"/>
  <c r="ES59" i="4"/>
  <c r="GD59" i="4"/>
  <c r="HL59" i="4"/>
  <c r="JA59" i="4"/>
  <c r="KD59" i="4"/>
  <c r="AP59" i="4"/>
  <c r="CS59" i="4"/>
  <c r="EW59" i="4"/>
  <c r="HJ59" i="4"/>
  <c r="JI59" i="4"/>
  <c r="AR59" i="4"/>
  <c r="CU59" i="4"/>
  <c r="FB59" i="4"/>
  <c r="HM59" i="4"/>
  <c r="JJ59" i="4"/>
  <c r="AX59" i="4"/>
  <c r="DE59" i="4"/>
  <c r="FI59" i="4"/>
  <c r="HN59" i="4"/>
  <c r="JS59" i="4"/>
  <c r="BC59" i="4"/>
  <c r="DH59" i="4"/>
  <c r="FK59" i="4"/>
  <c r="HR59" i="4"/>
  <c r="JV59" i="4"/>
  <c r="BD59" i="4"/>
  <c r="DN59" i="4"/>
  <c r="FL59" i="4"/>
  <c r="HY59" i="4"/>
  <c r="KC59" i="4"/>
  <c r="J59" i="4"/>
  <c r="BH59" i="4"/>
  <c r="DU59" i="4"/>
  <c r="FX59" i="4"/>
  <c r="IC59" i="4"/>
  <c r="Q59" i="4"/>
  <c r="DX59" i="4"/>
  <c r="GR59" i="4"/>
  <c r="U59" i="4"/>
  <c r="DY59" i="4"/>
  <c r="GS59" i="4"/>
  <c r="AL59" i="4"/>
  <c r="DZ59" i="4"/>
  <c r="IB59" i="4"/>
  <c r="AN59" i="4"/>
  <c r="EA59" i="4"/>
  <c r="ID59" i="4"/>
  <c r="BE59" i="4"/>
  <c r="ER59" i="4"/>
  <c r="IE59" i="4"/>
  <c r="BZ59" i="4"/>
  <c r="EU59" i="4"/>
  <c r="IZ59" i="4"/>
  <c r="DT59" i="4"/>
  <c r="JF59" i="4"/>
  <c r="DV59" i="4"/>
  <c r="JH59" i="4"/>
  <c r="I59" i="4"/>
  <c r="ET59" i="4"/>
  <c r="KH59" i="4"/>
  <c r="L59" i="4"/>
  <c r="EV59" i="4"/>
  <c r="M59" i="4"/>
  <c r="FM59" i="4"/>
  <c r="O59" i="4"/>
  <c r="GK59" i="4"/>
  <c r="GJ59" i="4"/>
  <c r="GL59" i="4"/>
  <c r="GN59" i="4"/>
  <c r="GO59" i="4"/>
  <c r="GP59" i="4"/>
  <c r="N59" i="4"/>
  <c r="II59" i="4"/>
  <c r="P59" i="4"/>
  <c r="BI59" i="4"/>
  <c r="CC59" i="4"/>
  <c r="CB59" i="4"/>
  <c r="GQ59" i="4"/>
  <c r="CF59" i="4"/>
  <c r="CG59" i="4"/>
  <c r="CK59" i="4"/>
  <c r="JB59" i="4"/>
  <c r="JD59" i="4"/>
  <c r="CE59" i="4"/>
  <c r="CD59" i="4"/>
  <c r="JE59" i="4"/>
  <c r="J27" i="4"/>
  <c r="Z27" i="4"/>
  <c r="AP27" i="4"/>
  <c r="BF27" i="4"/>
  <c r="BV27" i="4"/>
  <c r="CL27" i="4"/>
  <c r="DB27" i="4"/>
  <c r="DR27" i="4"/>
  <c r="EH27" i="4"/>
  <c r="EX27" i="4"/>
  <c r="FN27" i="4"/>
  <c r="GD27" i="4"/>
  <c r="GT27" i="4"/>
  <c r="HJ27" i="4"/>
  <c r="HZ27" i="4"/>
  <c r="IP27" i="4"/>
  <c r="JF27" i="4"/>
  <c r="JV27" i="4"/>
  <c r="K27" i="4"/>
  <c r="AA27" i="4"/>
  <c r="AQ27" i="4"/>
  <c r="BG27" i="4"/>
  <c r="BW27" i="4"/>
  <c r="CM27" i="4"/>
  <c r="DC27" i="4"/>
  <c r="DS27" i="4"/>
  <c r="EI27" i="4"/>
  <c r="EY27" i="4"/>
  <c r="FO27" i="4"/>
  <c r="GE27" i="4"/>
  <c r="GU27" i="4"/>
  <c r="HK27" i="4"/>
  <c r="IA27" i="4"/>
  <c r="IQ27" i="4"/>
  <c r="JG27" i="4"/>
  <c r="JW27" i="4"/>
  <c r="L27" i="4"/>
  <c r="AB27" i="4"/>
  <c r="AR27" i="4"/>
  <c r="BH27" i="4"/>
  <c r="BX27" i="4"/>
  <c r="CN27" i="4"/>
  <c r="DD27" i="4"/>
  <c r="DT27" i="4"/>
  <c r="EJ27" i="4"/>
  <c r="EZ27" i="4"/>
  <c r="FP27" i="4"/>
  <c r="GF27" i="4"/>
  <c r="GV27" i="4"/>
  <c r="HL27" i="4"/>
  <c r="IB27" i="4"/>
  <c r="IR27" i="4"/>
  <c r="JH27" i="4"/>
  <c r="JX27" i="4"/>
  <c r="P27" i="4"/>
  <c r="AF27" i="4"/>
  <c r="AV27" i="4"/>
  <c r="BL27" i="4"/>
  <c r="CB27" i="4"/>
  <c r="CR27" i="4"/>
  <c r="DH27" i="4"/>
  <c r="DX27" i="4"/>
  <c r="EN27" i="4"/>
  <c r="FD27" i="4"/>
  <c r="FT27" i="4"/>
  <c r="GJ27" i="4"/>
  <c r="GZ27" i="4"/>
  <c r="HP27" i="4"/>
  <c r="IF27" i="4"/>
  <c r="IV27" i="4"/>
  <c r="JL27" i="4"/>
  <c r="KB27" i="4"/>
  <c r="N27" i="4"/>
  <c r="AI27" i="4"/>
  <c r="BC27" i="4"/>
  <c r="BZ27" i="4"/>
  <c r="CU27" i="4"/>
  <c r="DO27" i="4"/>
  <c r="EL27" i="4"/>
  <c r="FG27" i="4"/>
  <c r="GA27" i="4"/>
  <c r="GX27" i="4"/>
  <c r="HS27" i="4"/>
  <c r="IM27" i="4"/>
  <c r="JJ27" i="4"/>
  <c r="KE27" i="4"/>
  <c r="O27" i="4"/>
  <c r="AJ27" i="4"/>
  <c r="BD27" i="4"/>
  <c r="CA27" i="4"/>
  <c r="CV27" i="4"/>
  <c r="DP27" i="4"/>
  <c r="EM27" i="4"/>
  <c r="FH27" i="4"/>
  <c r="GB27" i="4"/>
  <c r="GY27" i="4"/>
  <c r="HT27" i="4"/>
  <c r="IN27" i="4"/>
  <c r="JK27" i="4"/>
  <c r="KF27" i="4"/>
  <c r="Q27" i="4"/>
  <c r="AK27" i="4"/>
  <c r="BE27" i="4"/>
  <c r="CC27" i="4"/>
  <c r="CW27" i="4"/>
  <c r="DQ27" i="4"/>
  <c r="EO27" i="4"/>
  <c r="FI27" i="4"/>
  <c r="GC27" i="4"/>
  <c r="HA27" i="4"/>
  <c r="HU27" i="4"/>
  <c r="IO27" i="4"/>
  <c r="JM27" i="4"/>
  <c r="KG27" i="4"/>
  <c r="R27" i="4"/>
  <c r="AL27" i="4"/>
  <c r="U27" i="4"/>
  <c r="AO27" i="4"/>
  <c r="BM27" i="4"/>
  <c r="CG27" i="4"/>
  <c r="DA27" i="4"/>
  <c r="DY27" i="4"/>
  <c r="ES27" i="4"/>
  <c r="FM27" i="4"/>
  <c r="GK27" i="4"/>
  <c r="HE27" i="4"/>
  <c r="HY27" i="4"/>
  <c r="IW27" i="4"/>
  <c r="JQ27" i="4"/>
  <c r="AG27" i="4"/>
  <c r="BN27" i="4"/>
  <c r="CO27" i="4"/>
  <c r="DN27" i="4"/>
  <c r="ET27" i="4"/>
  <c r="FV27" i="4"/>
  <c r="GW27" i="4"/>
  <c r="IC27" i="4"/>
  <c r="JB27" i="4"/>
  <c r="KD27" i="4"/>
  <c r="AH27" i="4"/>
  <c r="BO27" i="4"/>
  <c r="CP27" i="4"/>
  <c r="DU27" i="4"/>
  <c r="EU27" i="4"/>
  <c r="FW27" i="4"/>
  <c r="HB27" i="4"/>
  <c r="ID27" i="4"/>
  <c r="JC27" i="4"/>
  <c r="KH27" i="4"/>
  <c r="AM27" i="4"/>
  <c r="BP27" i="4"/>
  <c r="CQ27" i="4"/>
  <c r="DV27" i="4"/>
  <c r="EV27" i="4"/>
  <c r="FX27" i="4"/>
  <c r="HC27" i="4"/>
  <c r="IE27" i="4"/>
  <c r="JD27" i="4"/>
  <c r="KI27" i="4"/>
  <c r="AN27" i="4"/>
  <c r="BQ27" i="4"/>
  <c r="CS27" i="4"/>
  <c r="DW27" i="4"/>
  <c r="EW27" i="4"/>
  <c r="FY27" i="4"/>
  <c r="HD27" i="4"/>
  <c r="IG27" i="4"/>
  <c r="JE27" i="4"/>
  <c r="AS27" i="4"/>
  <c r="BR27" i="4"/>
  <c r="CT27" i="4"/>
  <c r="DZ27" i="4"/>
  <c r="FA27" i="4"/>
  <c r="FZ27" i="4"/>
  <c r="HF27" i="4"/>
  <c r="IH27" i="4"/>
  <c r="JI27" i="4"/>
  <c r="M27" i="4"/>
  <c r="AU27" i="4"/>
  <c r="BT27" i="4"/>
  <c r="CY27" i="4"/>
  <c r="EB27" i="4"/>
  <c r="FC27" i="4"/>
  <c r="GH27" i="4"/>
  <c r="HH27" i="4"/>
  <c r="IJ27" i="4"/>
  <c r="JO27" i="4"/>
  <c r="W27" i="4"/>
  <c r="BS27" i="4"/>
  <c r="DJ27" i="4"/>
  <c r="FF27" i="4"/>
  <c r="GR27" i="4"/>
  <c r="IT27" i="4"/>
  <c r="X27" i="4"/>
  <c r="BU27" i="4"/>
  <c r="DK27" i="4"/>
  <c r="FJ27" i="4"/>
  <c r="GS27" i="4"/>
  <c r="IU27" i="4"/>
  <c r="Y27" i="4"/>
  <c r="BY27" i="4"/>
  <c r="DL27" i="4"/>
  <c r="FK27" i="4"/>
  <c r="HG27" i="4"/>
  <c r="IX27" i="4"/>
  <c r="AC27" i="4"/>
  <c r="CD27" i="4"/>
  <c r="DM27" i="4"/>
  <c r="FL27" i="4"/>
  <c r="HI27" i="4"/>
  <c r="IY27" i="4"/>
  <c r="AD27" i="4"/>
  <c r="CE27" i="4"/>
  <c r="EA27" i="4"/>
  <c r="FQ27" i="4"/>
  <c r="HM27" i="4"/>
  <c r="IZ27" i="4"/>
  <c r="AT27" i="4"/>
  <c r="CH27" i="4"/>
  <c r="ED27" i="4"/>
  <c r="FS27" i="4"/>
  <c r="HO27" i="4"/>
  <c r="JN27" i="4"/>
  <c r="AZ27" i="4"/>
  <c r="EC27" i="4"/>
  <c r="GN27" i="4"/>
  <c r="JR27" i="4"/>
  <c r="BA27" i="4"/>
  <c r="EE27" i="4"/>
  <c r="GO27" i="4"/>
  <c r="JS27" i="4"/>
  <c r="BB27" i="4"/>
  <c r="EF27" i="4"/>
  <c r="GP27" i="4"/>
  <c r="JT27" i="4"/>
  <c r="BI27" i="4"/>
  <c r="EG27" i="4"/>
  <c r="GQ27" i="4"/>
  <c r="JU27" i="4"/>
  <c r="BJ27" i="4"/>
  <c r="EK27" i="4"/>
  <c r="HN27" i="4"/>
  <c r="JY27" i="4"/>
  <c r="CF27" i="4"/>
  <c r="EQ27" i="4"/>
  <c r="HR27" i="4"/>
  <c r="KA27" i="4"/>
  <c r="I27" i="4"/>
  <c r="DG27" i="4"/>
  <c r="II27" i="4"/>
  <c r="S27" i="4"/>
  <c r="DI27" i="4"/>
  <c r="IK27" i="4"/>
  <c r="T27" i="4"/>
  <c r="EP27" i="4"/>
  <c r="IL27" i="4"/>
  <c r="V27" i="4"/>
  <c r="ER27" i="4"/>
  <c r="IS27" i="4"/>
  <c r="AE27" i="4"/>
  <c r="FB27" i="4"/>
  <c r="JA27" i="4"/>
  <c r="AX27" i="4"/>
  <c r="FR27" i="4"/>
  <c r="JZ27" i="4"/>
  <c r="DE27" i="4"/>
  <c r="DF27" i="4"/>
  <c r="FE27" i="4"/>
  <c r="FU27" i="4"/>
  <c r="GG27" i="4"/>
  <c r="GL27" i="4"/>
  <c r="JP27" i="4"/>
  <c r="KC27" i="4"/>
  <c r="AW27" i="4"/>
  <c r="AY27" i="4"/>
  <c r="BK27" i="4"/>
  <c r="CJ27" i="4"/>
  <c r="HW27" i="4"/>
  <c r="HX27" i="4"/>
  <c r="HQ27" i="4"/>
  <c r="HV27" i="4"/>
  <c r="GI27" i="4"/>
  <c r="GM27" i="4"/>
  <c r="CI27" i="4"/>
  <c r="CX27" i="4"/>
  <c r="CZ27" i="4"/>
  <c r="CK27" i="4"/>
  <c r="M30" i="4"/>
  <c r="AC30" i="4"/>
  <c r="AS30" i="4"/>
  <c r="BI30" i="4"/>
  <c r="BY30" i="4"/>
  <c r="CO30" i="4"/>
  <c r="DE30" i="4"/>
  <c r="DU30" i="4"/>
  <c r="EK30" i="4"/>
  <c r="FA30" i="4"/>
  <c r="FQ30" i="4"/>
  <c r="GG30" i="4"/>
  <c r="GW30" i="4"/>
  <c r="HM30" i="4"/>
  <c r="IC30" i="4"/>
  <c r="IS30" i="4"/>
  <c r="JI30" i="4"/>
  <c r="JY30" i="4"/>
  <c r="O30" i="4"/>
  <c r="AE30" i="4"/>
  <c r="AU30" i="4"/>
  <c r="BK30" i="4"/>
  <c r="CA30" i="4"/>
  <c r="T30" i="4"/>
  <c r="AL30" i="4"/>
  <c r="BD30" i="4"/>
  <c r="BV30" i="4"/>
  <c r="CN30" i="4"/>
  <c r="DF30" i="4"/>
  <c r="DW30" i="4"/>
  <c r="EN30" i="4"/>
  <c r="FE30" i="4"/>
  <c r="FV30" i="4"/>
  <c r="GM30" i="4"/>
  <c r="HD30" i="4"/>
  <c r="HU30" i="4"/>
  <c r="IL30" i="4"/>
  <c r="JC30" i="4"/>
  <c r="JT30" i="4"/>
  <c r="U30" i="4"/>
  <c r="AM30" i="4"/>
  <c r="BE30" i="4"/>
  <c r="BW30" i="4"/>
  <c r="CP30" i="4"/>
  <c r="DG30" i="4"/>
  <c r="DX30" i="4"/>
  <c r="EO30" i="4"/>
  <c r="FF30" i="4"/>
  <c r="FW30" i="4"/>
  <c r="GN30" i="4"/>
  <c r="HE30" i="4"/>
  <c r="HV30" i="4"/>
  <c r="IM30" i="4"/>
  <c r="JD30" i="4"/>
  <c r="JU30" i="4"/>
  <c r="V30" i="4"/>
  <c r="AN30" i="4"/>
  <c r="BF30" i="4"/>
  <c r="BX30" i="4"/>
  <c r="CQ30" i="4"/>
  <c r="DH30" i="4"/>
  <c r="DY30" i="4"/>
  <c r="EP30" i="4"/>
  <c r="FG30" i="4"/>
  <c r="FX30" i="4"/>
  <c r="GO30" i="4"/>
  <c r="HF30" i="4"/>
  <c r="HW30" i="4"/>
  <c r="IN30" i="4"/>
  <c r="JE30" i="4"/>
  <c r="JV30" i="4"/>
  <c r="Z30" i="4"/>
  <c r="AR30" i="4"/>
  <c r="BL30" i="4"/>
  <c r="CD30" i="4"/>
  <c r="CU30" i="4"/>
  <c r="DL30" i="4"/>
  <c r="EC30" i="4"/>
  <c r="ET30" i="4"/>
  <c r="FK30" i="4"/>
  <c r="GB30" i="4"/>
  <c r="GS30" i="4"/>
  <c r="HJ30" i="4"/>
  <c r="IA30" i="4"/>
  <c r="IR30" i="4"/>
  <c r="JJ30" i="4"/>
  <c r="KA30" i="4"/>
  <c r="S30" i="4"/>
  <c r="AT30" i="4"/>
  <c r="BQ30" i="4"/>
  <c r="CM30" i="4"/>
  <c r="DM30" i="4"/>
  <c r="EH30" i="4"/>
  <c r="FD30" i="4"/>
  <c r="GC30" i="4"/>
  <c r="GY30" i="4"/>
  <c r="HT30" i="4"/>
  <c r="IT30" i="4"/>
  <c r="JO30" i="4"/>
  <c r="W30" i="4"/>
  <c r="AV30" i="4"/>
  <c r="BR30" i="4"/>
  <c r="CR30" i="4"/>
  <c r="DN30" i="4"/>
  <c r="EI30" i="4"/>
  <c r="FH30" i="4"/>
  <c r="GD30" i="4"/>
  <c r="GZ30" i="4"/>
  <c r="HX30" i="4"/>
  <c r="IU30" i="4"/>
  <c r="JP30" i="4"/>
  <c r="X30" i="4"/>
  <c r="AW30" i="4"/>
  <c r="BS30" i="4"/>
  <c r="CS30" i="4"/>
  <c r="DO30" i="4"/>
  <c r="EJ30" i="4"/>
  <c r="FI30" i="4"/>
  <c r="GE30" i="4"/>
  <c r="HA30" i="4"/>
  <c r="HY30" i="4"/>
  <c r="IV30" i="4"/>
  <c r="JQ30" i="4"/>
  <c r="Y30" i="4"/>
  <c r="AX30" i="4"/>
  <c r="BT30" i="4"/>
  <c r="CT30" i="4"/>
  <c r="DP30" i="4"/>
  <c r="EL30" i="4"/>
  <c r="FJ30" i="4"/>
  <c r="GF30" i="4"/>
  <c r="HB30" i="4"/>
  <c r="HZ30" i="4"/>
  <c r="IW30" i="4"/>
  <c r="JR30" i="4"/>
  <c r="AA30" i="4"/>
  <c r="AY30" i="4"/>
  <c r="BU30" i="4"/>
  <c r="CV30" i="4"/>
  <c r="DQ30" i="4"/>
  <c r="EM30" i="4"/>
  <c r="FL30" i="4"/>
  <c r="GH30" i="4"/>
  <c r="HC30" i="4"/>
  <c r="IB30" i="4"/>
  <c r="IX30" i="4"/>
  <c r="JS30" i="4"/>
  <c r="AD30" i="4"/>
  <c r="BA30" i="4"/>
  <c r="CB30" i="4"/>
  <c r="CX30" i="4"/>
  <c r="DS30" i="4"/>
  <c r="ER30" i="4"/>
  <c r="FN30" i="4"/>
  <c r="GJ30" i="4"/>
  <c r="HH30" i="4"/>
  <c r="IE30" i="4"/>
  <c r="IZ30" i="4"/>
  <c r="JX30" i="4"/>
  <c r="AB30" i="4"/>
  <c r="BM30" i="4"/>
  <c r="CZ30" i="4"/>
  <c r="EF30" i="4"/>
  <c r="FS30" i="4"/>
  <c r="HG30" i="4"/>
  <c r="IK30" i="4"/>
  <c r="KB30" i="4"/>
  <c r="AF30" i="4"/>
  <c r="BN30" i="4"/>
  <c r="DA30" i="4"/>
  <c r="EG30" i="4"/>
  <c r="FT30" i="4"/>
  <c r="HI30" i="4"/>
  <c r="IO30" i="4"/>
  <c r="KC30" i="4"/>
  <c r="AG30" i="4"/>
  <c r="BO30" i="4"/>
  <c r="DB30" i="4"/>
  <c r="EQ30" i="4"/>
  <c r="FU30" i="4"/>
  <c r="HK30" i="4"/>
  <c r="IP30" i="4"/>
  <c r="KD30" i="4"/>
  <c r="AH30" i="4"/>
  <c r="BP30" i="4"/>
  <c r="DC30" i="4"/>
  <c r="ES30" i="4"/>
  <c r="FY30" i="4"/>
  <c r="HL30" i="4"/>
  <c r="IQ30" i="4"/>
  <c r="KE30" i="4"/>
  <c r="AI30" i="4"/>
  <c r="BZ30" i="4"/>
  <c r="DD30" i="4"/>
  <c r="EU30" i="4"/>
  <c r="FZ30" i="4"/>
  <c r="HN30" i="4"/>
  <c r="IY30" i="4"/>
  <c r="KF30" i="4"/>
  <c r="AK30" i="4"/>
  <c r="CE30" i="4"/>
  <c r="DJ30" i="4"/>
  <c r="EW30" i="4"/>
  <c r="GI30" i="4"/>
  <c r="HP30" i="4"/>
  <c r="JB30" i="4"/>
  <c r="KH30" i="4"/>
  <c r="AP30" i="4"/>
  <c r="CW30" i="4"/>
  <c r="FB30" i="4"/>
  <c r="HO30" i="4"/>
  <c r="JM30" i="4"/>
  <c r="AQ30" i="4"/>
  <c r="CY30" i="4"/>
  <c r="FC30" i="4"/>
  <c r="HQ30" i="4"/>
  <c r="JN30" i="4"/>
  <c r="AZ30" i="4"/>
  <c r="DI30" i="4"/>
  <c r="FM30" i="4"/>
  <c r="HR30" i="4"/>
  <c r="JW30" i="4"/>
  <c r="BB30" i="4"/>
  <c r="DK30" i="4"/>
  <c r="FO30" i="4"/>
  <c r="HS30" i="4"/>
  <c r="JZ30" i="4"/>
  <c r="BC30" i="4"/>
  <c r="DR30" i="4"/>
  <c r="FP30" i="4"/>
  <c r="ID30" i="4"/>
  <c r="KG30" i="4"/>
  <c r="I30" i="4"/>
  <c r="BH30" i="4"/>
  <c r="DV30" i="4"/>
  <c r="GA30" i="4"/>
  <c r="IG30" i="4"/>
  <c r="CI30" i="4"/>
  <c r="GL30" i="4"/>
  <c r="JK30" i="4"/>
  <c r="J30" i="4"/>
  <c r="CJ30" i="4"/>
  <c r="GP30" i="4"/>
  <c r="JL30" i="4"/>
  <c r="K30" i="4"/>
  <c r="CK30" i="4"/>
  <c r="GQ30" i="4"/>
  <c r="KI30" i="4"/>
  <c r="L30" i="4"/>
  <c r="CL30" i="4"/>
  <c r="GR30" i="4"/>
  <c r="N30" i="4"/>
  <c r="DT30" i="4"/>
  <c r="GT30" i="4"/>
  <c r="Q30" i="4"/>
  <c r="EA30" i="4"/>
  <c r="GV30" i="4"/>
  <c r="CG30" i="4"/>
  <c r="II30" i="4"/>
  <c r="CH30" i="4"/>
  <c r="IJ30" i="4"/>
  <c r="DZ30" i="4"/>
  <c r="JA30" i="4"/>
  <c r="EB30" i="4"/>
  <c r="JF30" i="4"/>
  <c r="ED30" i="4"/>
  <c r="JG30" i="4"/>
  <c r="EV30" i="4"/>
  <c r="FR30" i="4"/>
  <c r="GK30" i="4"/>
  <c r="GU30" i="4"/>
  <c r="GX30" i="4"/>
  <c r="P30" i="4"/>
  <c r="IF30" i="4"/>
  <c r="AJ30" i="4"/>
  <c r="JH30" i="4"/>
  <c r="IH30" i="4"/>
  <c r="R30" i="4"/>
  <c r="CC30" i="4"/>
  <c r="CF30" i="4"/>
  <c r="EE30" i="4"/>
  <c r="EX30" i="4"/>
  <c r="EY30" i="4"/>
  <c r="AO30" i="4"/>
  <c r="BG30" i="4"/>
  <c r="BJ30" i="4"/>
  <c r="EZ30" i="4"/>
  <c r="X90" i="4"/>
  <c r="AN90" i="4"/>
  <c r="BD90" i="4"/>
  <c r="BT90" i="4"/>
  <c r="CJ90" i="4"/>
  <c r="CZ90" i="4"/>
  <c r="DP90" i="4"/>
  <c r="EF90" i="4"/>
  <c r="EV90" i="4"/>
  <c r="FL90" i="4"/>
  <c r="GB90" i="4"/>
  <c r="GR90" i="4"/>
  <c r="HH90" i="4"/>
  <c r="HX90" i="4"/>
  <c r="IN90" i="4"/>
  <c r="JD90" i="4"/>
  <c r="JT90" i="4"/>
  <c r="I90" i="4"/>
  <c r="Y90" i="4"/>
  <c r="AO90" i="4"/>
  <c r="BE90" i="4"/>
  <c r="BU90" i="4"/>
  <c r="CK90" i="4"/>
  <c r="DA90" i="4"/>
  <c r="DQ90" i="4"/>
  <c r="EG90" i="4"/>
  <c r="EW90" i="4"/>
  <c r="FM90" i="4"/>
  <c r="GC90" i="4"/>
  <c r="GS90" i="4"/>
  <c r="HI90" i="4"/>
  <c r="HY90" i="4"/>
  <c r="IO90" i="4"/>
  <c r="JE90" i="4"/>
  <c r="JU90" i="4"/>
  <c r="J90" i="4"/>
  <c r="Z90" i="4"/>
  <c r="AP90" i="4"/>
  <c r="BF90" i="4"/>
  <c r="BV90" i="4"/>
  <c r="CL90" i="4"/>
  <c r="DB90" i="4"/>
  <c r="DR90" i="4"/>
  <c r="EH90" i="4"/>
  <c r="EX90" i="4"/>
  <c r="FN90" i="4"/>
  <c r="GD90" i="4"/>
  <c r="GT90" i="4"/>
  <c r="HJ90" i="4"/>
  <c r="HZ90" i="4"/>
  <c r="IP90" i="4"/>
  <c r="JF90" i="4"/>
  <c r="JV90" i="4"/>
  <c r="N90" i="4"/>
  <c r="AD90" i="4"/>
  <c r="AT90" i="4"/>
  <c r="BJ90" i="4"/>
  <c r="BZ90" i="4"/>
  <c r="CP90" i="4"/>
  <c r="DF90" i="4"/>
  <c r="DV90" i="4"/>
  <c r="EL90" i="4"/>
  <c r="FB90" i="4"/>
  <c r="FR90" i="4"/>
  <c r="GH90" i="4"/>
  <c r="GX90" i="4"/>
  <c r="HN90" i="4"/>
  <c r="ID90" i="4"/>
  <c r="IT90" i="4"/>
  <c r="JJ90" i="4"/>
  <c r="JZ90" i="4"/>
  <c r="T90" i="4"/>
  <c r="AQ90" i="4"/>
  <c r="BL90" i="4"/>
  <c r="CF90" i="4"/>
  <c r="DC90" i="4"/>
  <c r="DX90" i="4"/>
  <c r="ER90" i="4"/>
  <c r="FO90" i="4"/>
  <c r="GJ90" i="4"/>
  <c r="HD90" i="4"/>
  <c r="IA90" i="4"/>
  <c r="IV90" i="4"/>
  <c r="JP90" i="4"/>
  <c r="U90" i="4"/>
  <c r="AR90" i="4"/>
  <c r="BM90" i="4"/>
  <c r="CG90" i="4"/>
  <c r="DD90" i="4"/>
  <c r="DY90" i="4"/>
  <c r="ES90" i="4"/>
  <c r="FP90" i="4"/>
  <c r="GK90" i="4"/>
  <c r="HE90" i="4"/>
  <c r="IB90" i="4"/>
  <c r="IW90" i="4"/>
  <c r="JQ90" i="4"/>
  <c r="V90" i="4"/>
  <c r="AS90" i="4"/>
  <c r="BN90" i="4"/>
  <c r="CH90" i="4"/>
  <c r="DE90" i="4"/>
  <c r="DZ90" i="4"/>
  <c r="ET90" i="4"/>
  <c r="FQ90" i="4"/>
  <c r="GL90" i="4"/>
  <c r="HF90" i="4"/>
  <c r="IC90" i="4"/>
  <c r="IX90" i="4"/>
  <c r="JR90" i="4"/>
  <c r="W90" i="4"/>
  <c r="AU90" i="4"/>
  <c r="BO90" i="4"/>
  <c r="CI90" i="4"/>
  <c r="DG90" i="4"/>
  <c r="EA90" i="4"/>
  <c r="EU90" i="4"/>
  <c r="FS90" i="4"/>
  <c r="GM90" i="4"/>
  <c r="HG90" i="4"/>
  <c r="IE90" i="4"/>
  <c r="IY90" i="4"/>
  <c r="JS90" i="4"/>
  <c r="AA90" i="4"/>
  <c r="AV90" i="4"/>
  <c r="BP90" i="4"/>
  <c r="CM90" i="4"/>
  <c r="DH90" i="4"/>
  <c r="EB90" i="4"/>
  <c r="EY90" i="4"/>
  <c r="FT90" i="4"/>
  <c r="GN90" i="4"/>
  <c r="HK90" i="4"/>
  <c r="IF90" i="4"/>
  <c r="IZ90" i="4"/>
  <c r="JW90" i="4"/>
  <c r="AC90" i="4"/>
  <c r="AX90" i="4"/>
  <c r="BR90" i="4"/>
  <c r="CO90" i="4"/>
  <c r="DJ90" i="4"/>
  <c r="ED90" i="4"/>
  <c r="FA90" i="4"/>
  <c r="FV90" i="4"/>
  <c r="GP90" i="4"/>
  <c r="HM90" i="4"/>
  <c r="IH90" i="4"/>
  <c r="JB90" i="4"/>
  <c r="JY90" i="4"/>
  <c r="M90" i="4"/>
  <c r="AW90" i="4"/>
  <c r="CB90" i="4"/>
  <c r="DL90" i="4"/>
  <c r="EP90" i="4"/>
  <c r="FZ90" i="4"/>
  <c r="HL90" i="4"/>
  <c r="IQ90" i="4"/>
  <c r="KB90" i="4"/>
  <c r="O90" i="4"/>
  <c r="AY90" i="4"/>
  <c r="CC90" i="4"/>
  <c r="DM90" i="4"/>
  <c r="EQ90" i="4"/>
  <c r="GA90" i="4"/>
  <c r="HO90" i="4"/>
  <c r="IR90" i="4"/>
  <c r="KC90" i="4"/>
  <c r="P90" i="4"/>
  <c r="AZ90" i="4"/>
  <c r="CD90" i="4"/>
  <c r="DN90" i="4"/>
  <c r="EZ90" i="4"/>
  <c r="GE90" i="4"/>
  <c r="HP90" i="4"/>
  <c r="IS90" i="4"/>
  <c r="KD90" i="4"/>
  <c r="Q90" i="4"/>
  <c r="BA90" i="4"/>
  <c r="CE90" i="4"/>
  <c r="DO90" i="4"/>
  <c r="FC90" i="4"/>
  <c r="GF90" i="4"/>
  <c r="HQ90" i="4"/>
  <c r="IU90" i="4"/>
  <c r="KE90" i="4"/>
  <c r="R90" i="4"/>
  <c r="BB90" i="4"/>
  <c r="CN90" i="4"/>
  <c r="DS90" i="4"/>
  <c r="FD90" i="4"/>
  <c r="GG90" i="4"/>
  <c r="HR90" i="4"/>
  <c r="JA90" i="4"/>
  <c r="KF90" i="4"/>
  <c r="AB90" i="4"/>
  <c r="BG90" i="4"/>
  <c r="CR90" i="4"/>
  <c r="DU90" i="4"/>
  <c r="FF90" i="4"/>
  <c r="GO90" i="4"/>
  <c r="HT90" i="4"/>
  <c r="JG90" i="4"/>
  <c r="KH90" i="4"/>
  <c r="AJ90" i="4"/>
  <c r="CT90" i="4"/>
  <c r="EN90" i="4"/>
  <c r="GW90" i="4"/>
  <c r="JC90" i="4"/>
  <c r="AK90" i="4"/>
  <c r="CU90" i="4"/>
  <c r="EO90" i="4"/>
  <c r="GY90" i="4"/>
  <c r="JH90" i="4"/>
  <c r="AL90" i="4"/>
  <c r="CV90" i="4"/>
  <c r="FE90" i="4"/>
  <c r="GZ90" i="4"/>
  <c r="JI90" i="4"/>
  <c r="AM90" i="4"/>
  <c r="CW90" i="4"/>
  <c r="FG90" i="4"/>
  <c r="HA90" i="4"/>
  <c r="JK90" i="4"/>
  <c r="BC90" i="4"/>
  <c r="CX90" i="4"/>
  <c r="FH90" i="4"/>
  <c r="HB90" i="4"/>
  <c r="JL90" i="4"/>
  <c r="BI90" i="4"/>
  <c r="DI90" i="4"/>
  <c r="FJ90" i="4"/>
  <c r="HS90" i="4"/>
  <c r="JN90" i="4"/>
  <c r="BW90" i="4"/>
  <c r="FI90" i="4"/>
  <c r="IJ90" i="4"/>
  <c r="BX90" i="4"/>
  <c r="FK90" i="4"/>
  <c r="IK90" i="4"/>
  <c r="BY90" i="4"/>
  <c r="FU90" i="4"/>
  <c r="IL90" i="4"/>
  <c r="CA90" i="4"/>
  <c r="FW90" i="4"/>
  <c r="IM90" i="4"/>
  <c r="K90" i="4"/>
  <c r="CQ90" i="4"/>
  <c r="FX90" i="4"/>
  <c r="JM90" i="4"/>
  <c r="S90" i="4"/>
  <c r="CY90" i="4"/>
  <c r="GI90" i="4"/>
  <c r="JX90" i="4"/>
  <c r="L90" i="4"/>
  <c r="EI90" i="4"/>
  <c r="KG90" i="4"/>
  <c r="AE90" i="4"/>
  <c r="EJ90" i="4"/>
  <c r="KI90" i="4"/>
  <c r="AF90" i="4"/>
  <c r="EK90" i="4"/>
  <c r="AG90" i="4"/>
  <c r="EM90" i="4"/>
  <c r="AH90" i="4"/>
  <c r="FY90" i="4"/>
  <c r="BH90" i="4"/>
  <c r="GU90" i="4"/>
  <c r="AI90" i="4"/>
  <c r="IG90" i="4"/>
  <c r="BK90" i="4"/>
  <c r="II90" i="4"/>
  <c r="BQ90" i="4"/>
  <c r="JO90" i="4"/>
  <c r="BS90" i="4"/>
  <c r="KA90" i="4"/>
  <c r="CS90" i="4"/>
  <c r="DT90" i="4"/>
  <c r="DK90" i="4"/>
  <c r="HC90" i="4"/>
  <c r="GV90" i="4"/>
  <c r="EC90" i="4"/>
  <c r="EE90" i="4"/>
  <c r="GQ90" i="4"/>
  <c r="HU90" i="4"/>
  <c r="HW90" i="4"/>
  <c r="DW90" i="4"/>
  <c r="HV90" i="4"/>
  <c r="J41" i="4"/>
  <c r="Z41" i="4"/>
  <c r="AP41" i="4"/>
  <c r="BF41" i="4"/>
  <c r="BV41" i="4"/>
  <c r="CL41" i="4"/>
  <c r="DB41" i="4"/>
  <c r="DR41" i="4"/>
  <c r="EH41" i="4"/>
  <c r="EX41" i="4"/>
  <c r="FN41" i="4"/>
  <c r="GD41" i="4"/>
  <c r="GT41" i="4"/>
  <c r="P41" i="4"/>
  <c r="AF41" i="4"/>
  <c r="AV41" i="4"/>
  <c r="BL41" i="4"/>
  <c r="CB41" i="4"/>
  <c r="CR41" i="4"/>
  <c r="DH41" i="4"/>
  <c r="DX41" i="4"/>
  <c r="EN41" i="4"/>
  <c r="FD41" i="4"/>
  <c r="FT41" i="4"/>
  <c r="GJ41" i="4"/>
  <c r="GZ41" i="4"/>
  <c r="HP41" i="4"/>
  <c r="IF41" i="4"/>
  <c r="IV41" i="4"/>
  <c r="JL41" i="4"/>
  <c r="KB41" i="4"/>
  <c r="K41" i="4"/>
  <c r="AC41" i="4"/>
  <c r="AU41" i="4"/>
  <c r="BN41" i="4"/>
  <c r="CF41" i="4"/>
  <c r="CX41" i="4"/>
  <c r="DP41" i="4"/>
  <c r="EI41" i="4"/>
  <c r="FA41" i="4"/>
  <c r="FS41" i="4"/>
  <c r="GL41" i="4"/>
  <c r="HD41" i="4"/>
  <c r="HU41" i="4"/>
  <c r="IL41" i="4"/>
  <c r="JC41" i="4"/>
  <c r="JT41" i="4"/>
  <c r="L41" i="4"/>
  <c r="AD41" i="4"/>
  <c r="AW41" i="4"/>
  <c r="BO41" i="4"/>
  <c r="CG41" i="4"/>
  <c r="CY41" i="4"/>
  <c r="DQ41" i="4"/>
  <c r="EJ41" i="4"/>
  <c r="FB41" i="4"/>
  <c r="FU41" i="4"/>
  <c r="GM41" i="4"/>
  <c r="HE41" i="4"/>
  <c r="HV41" i="4"/>
  <c r="IM41" i="4"/>
  <c r="JD41" i="4"/>
  <c r="JU41" i="4"/>
  <c r="M41" i="4"/>
  <c r="AE41" i="4"/>
  <c r="AX41" i="4"/>
  <c r="BP41" i="4"/>
  <c r="CH41" i="4"/>
  <c r="CZ41" i="4"/>
  <c r="DS41" i="4"/>
  <c r="EK41" i="4"/>
  <c r="FC41" i="4"/>
  <c r="FV41" i="4"/>
  <c r="GN41" i="4"/>
  <c r="HF41" i="4"/>
  <c r="HW41" i="4"/>
  <c r="IN41" i="4"/>
  <c r="JE41" i="4"/>
  <c r="JV41" i="4"/>
  <c r="N41" i="4"/>
  <c r="AG41" i="4"/>
  <c r="AY41" i="4"/>
  <c r="BQ41" i="4"/>
  <c r="CI41" i="4"/>
  <c r="DA41" i="4"/>
  <c r="DT41" i="4"/>
  <c r="EL41" i="4"/>
  <c r="FE41" i="4"/>
  <c r="FW41" i="4"/>
  <c r="GO41" i="4"/>
  <c r="HG41" i="4"/>
  <c r="HX41" i="4"/>
  <c r="IO41" i="4"/>
  <c r="JF41" i="4"/>
  <c r="JW41" i="4"/>
  <c r="R41" i="4"/>
  <c r="AJ41" i="4"/>
  <c r="BB41" i="4"/>
  <c r="BT41" i="4"/>
  <c r="CM41" i="4"/>
  <c r="DE41" i="4"/>
  <c r="DW41" i="4"/>
  <c r="EP41" i="4"/>
  <c r="FH41" i="4"/>
  <c r="FZ41" i="4"/>
  <c r="GR41" i="4"/>
  <c r="HJ41" i="4"/>
  <c r="IA41" i="4"/>
  <c r="IR41" i="4"/>
  <c r="JI41" i="4"/>
  <c r="JZ41" i="4"/>
  <c r="AB41" i="4"/>
  <c r="BE41" i="4"/>
  <c r="CD41" i="4"/>
  <c r="DG41" i="4"/>
  <c r="EE41" i="4"/>
  <c r="FI41" i="4"/>
  <c r="GG41" i="4"/>
  <c r="HI41" i="4"/>
  <c r="IG41" i="4"/>
  <c r="JG41" i="4"/>
  <c r="KE41" i="4"/>
  <c r="AH41" i="4"/>
  <c r="BG41" i="4"/>
  <c r="CE41" i="4"/>
  <c r="DI41" i="4"/>
  <c r="EF41" i="4"/>
  <c r="FJ41" i="4"/>
  <c r="GH41" i="4"/>
  <c r="HK41" i="4"/>
  <c r="IH41" i="4"/>
  <c r="JH41" i="4"/>
  <c r="KF41" i="4"/>
  <c r="AI41" i="4"/>
  <c r="BH41" i="4"/>
  <c r="CJ41" i="4"/>
  <c r="DJ41" i="4"/>
  <c r="EG41" i="4"/>
  <c r="FK41" i="4"/>
  <c r="GI41" i="4"/>
  <c r="HL41" i="4"/>
  <c r="II41" i="4"/>
  <c r="JJ41" i="4"/>
  <c r="KG41" i="4"/>
  <c r="AK41" i="4"/>
  <c r="BI41" i="4"/>
  <c r="CK41" i="4"/>
  <c r="DK41" i="4"/>
  <c r="EM41" i="4"/>
  <c r="FL41" i="4"/>
  <c r="GK41" i="4"/>
  <c r="HM41" i="4"/>
  <c r="IJ41" i="4"/>
  <c r="JK41" i="4"/>
  <c r="KH41" i="4"/>
  <c r="AL41" i="4"/>
  <c r="BJ41" i="4"/>
  <c r="CN41" i="4"/>
  <c r="DL41" i="4"/>
  <c r="EO41" i="4"/>
  <c r="FM41" i="4"/>
  <c r="GP41" i="4"/>
  <c r="HN41" i="4"/>
  <c r="IK41" i="4"/>
  <c r="JM41" i="4"/>
  <c r="KI41" i="4"/>
  <c r="O41" i="4"/>
  <c r="AN41" i="4"/>
  <c r="BM41" i="4"/>
  <c r="CP41" i="4"/>
  <c r="DN41" i="4"/>
  <c r="ER41" i="4"/>
  <c r="FP41" i="4"/>
  <c r="GS41" i="4"/>
  <c r="HQ41" i="4"/>
  <c r="IQ41" i="4"/>
  <c r="JO41" i="4"/>
  <c r="AM41" i="4"/>
  <c r="BY41" i="4"/>
  <c r="DU41" i="4"/>
  <c r="FF41" i="4"/>
  <c r="GX41" i="4"/>
  <c r="IP41" i="4"/>
  <c r="JY41" i="4"/>
  <c r="AO41" i="4"/>
  <c r="BZ41" i="4"/>
  <c r="DV41" i="4"/>
  <c r="FG41" i="4"/>
  <c r="GY41" i="4"/>
  <c r="IS41" i="4"/>
  <c r="KA41" i="4"/>
  <c r="AQ41" i="4"/>
  <c r="CA41" i="4"/>
  <c r="DY41" i="4"/>
  <c r="FO41" i="4"/>
  <c r="HA41" i="4"/>
  <c r="IT41" i="4"/>
  <c r="KC41" i="4"/>
  <c r="AR41" i="4"/>
  <c r="CC41" i="4"/>
  <c r="DZ41" i="4"/>
  <c r="FQ41" i="4"/>
  <c r="HB41" i="4"/>
  <c r="IU41" i="4"/>
  <c r="KD41" i="4"/>
  <c r="AS41" i="4"/>
  <c r="CO41" i="4"/>
  <c r="EA41" i="4"/>
  <c r="FR41" i="4"/>
  <c r="HC41" i="4"/>
  <c r="IW41" i="4"/>
  <c r="I41" i="4"/>
  <c r="AZ41" i="4"/>
  <c r="CS41" i="4"/>
  <c r="EC41" i="4"/>
  <c r="FY41" i="4"/>
  <c r="HO41" i="4"/>
  <c r="IY41" i="4"/>
  <c r="BC41" i="4"/>
  <c r="DM41" i="4"/>
  <c r="GE41" i="4"/>
  <c r="IX41" i="4"/>
  <c r="BD41" i="4"/>
  <c r="DO41" i="4"/>
  <c r="GF41" i="4"/>
  <c r="IZ41" i="4"/>
  <c r="BK41" i="4"/>
  <c r="EB41" i="4"/>
  <c r="GQ41" i="4"/>
  <c r="JA41" i="4"/>
  <c r="BR41" i="4"/>
  <c r="ED41" i="4"/>
  <c r="GU41" i="4"/>
  <c r="JB41" i="4"/>
  <c r="BS41" i="4"/>
  <c r="EQ41" i="4"/>
  <c r="GV41" i="4"/>
  <c r="JN41" i="4"/>
  <c r="S41" i="4"/>
  <c r="BW41" i="4"/>
  <c r="ET41" i="4"/>
  <c r="HH41" i="4"/>
  <c r="JQ41" i="4"/>
  <c r="Q41" i="4"/>
  <c r="CW41" i="4"/>
  <c r="HS41" i="4"/>
  <c r="T41" i="4"/>
  <c r="DC41" i="4"/>
  <c r="HT41" i="4"/>
  <c r="U41" i="4"/>
  <c r="DD41" i="4"/>
  <c r="HY41" i="4"/>
  <c r="V41" i="4"/>
  <c r="DF41" i="4"/>
  <c r="HZ41" i="4"/>
  <c r="W41" i="4"/>
  <c r="ES41" i="4"/>
  <c r="IB41" i="4"/>
  <c r="Y41" i="4"/>
  <c r="EV41" i="4"/>
  <c r="ID41" i="4"/>
  <c r="CU41" i="4"/>
  <c r="JS41" i="4"/>
  <c r="CV41" i="4"/>
  <c r="JX41" i="4"/>
  <c r="EU41" i="4"/>
  <c r="EW41" i="4"/>
  <c r="EY41" i="4"/>
  <c r="FX41" i="4"/>
  <c r="GW41" i="4"/>
  <c r="HR41" i="4"/>
  <c r="IC41" i="4"/>
  <c r="IE41" i="4"/>
  <c r="X41" i="4"/>
  <c r="JP41" i="4"/>
  <c r="AT41" i="4"/>
  <c r="JR41" i="4"/>
  <c r="AA41" i="4"/>
  <c r="CQ41" i="4"/>
  <c r="CT41" i="4"/>
  <c r="EZ41" i="4"/>
  <c r="GA41" i="4"/>
  <c r="GB41" i="4"/>
  <c r="GC41" i="4"/>
  <c r="BA41" i="4"/>
  <c r="BU41" i="4"/>
  <c r="BX41" i="4"/>
  <c r="S116" i="4"/>
  <c r="AI116" i="4"/>
  <c r="AY116" i="4"/>
  <c r="BO116" i="4"/>
  <c r="CE116" i="4"/>
  <c r="CU116" i="4"/>
  <c r="DK116" i="4"/>
  <c r="EA116" i="4"/>
  <c r="EQ116" i="4"/>
  <c r="FG116" i="4"/>
  <c r="FW116" i="4"/>
  <c r="GM116" i="4"/>
  <c r="HC116" i="4"/>
  <c r="HS116" i="4"/>
  <c r="II116" i="4"/>
  <c r="IY116" i="4"/>
  <c r="JO116" i="4"/>
  <c r="KE116" i="4"/>
  <c r="T116" i="4"/>
  <c r="AJ116" i="4"/>
  <c r="AZ116" i="4"/>
  <c r="BP116" i="4"/>
  <c r="CF116" i="4"/>
  <c r="CV116" i="4"/>
  <c r="DL116" i="4"/>
  <c r="EB116" i="4"/>
  <c r="ER116" i="4"/>
  <c r="FH116" i="4"/>
  <c r="FX116" i="4"/>
  <c r="GN116" i="4"/>
  <c r="HD116" i="4"/>
  <c r="HT116" i="4"/>
  <c r="IJ116" i="4"/>
  <c r="IZ116" i="4"/>
  <c r="JP116" i="4"/>
  <c r="KF116" i="4"/>
  <c r="U116" i="4"/>
  <c r="AK116" i="4"/>
  <c r="BA116" i="4"/>
  <c r="BQ116" i="4"/>
  <c r="CG116" i="4"/>
  <c r="CW116" i="4"/>
  <c r="DM116" i="4"/>
  <c r="EC116" i="4"/>
  <c r="ES116" i="4"/>
  <c r="FI116" i="4"/>
  <c r="FY116" i="4"/>
  <c r="GO116" i="4"/>
  <c r="HE116" i="4"/>
  <c r="HU116" i="4"/>
  <c r="IK116" i="4"/>
  <c r="JA116" i="4"/>
  <c r="JQ116" i="4"/>
  <c r="KG116" i="4"/>
  <c r="I116" i="4"/>
  <c r="Y116" i="4"/>
  <c r="AO116" i="4"/>
  <c r="BE116" i="4"/>
  <c r="BU116" i="4"/>
  <c r="CK116" i="4"/>
  <c r="DA116" i="4"/>
  <c r="DQ116" i="4"/>
  <c r="EG116" i="4"/>
  <c r="EW116" i="4"/>
  <c r="FM116" i="4"/>
  <c r="GC116" i="4"/>
  <c r="GS116" i="4"/>
  <c r="HI116" i="4"/>
  <c r="HY116" i="4"/>
  <c r="IO116" i="4"/>
  <c r="JE116" i="4"/>
  <c r="JU116" i="4"/>
  <c r="V116" i="4"/>
  <c r="AQ116" i="4"/>
  <c r="BK116" i="4"/>
  <c r="CH116" i="4"/>
  <c r="DC116" i="4"/>
  <c r="DW116" i="4"/>
  <c r="ET116" i="4"/>
  <c r="FO116" i="4"/>
  <c r="GI116" i="4"/>
  <c r="HF116" i="4"/>
  <c r="IA116" i="4"/>
  <c r="IU116" i="4"/>
  <c r="JR116" i="4"/>
  <c r="W116" i="4"/>
  <c r="AR116" i="4"/>
  <c r="BL116" i="4"/>
  <c r="CI116" i="4"/>
  <c r="DD116" i="4"/>
  <c r="DX116" i="4"/>
  <c r="EU116" i="4"/>
  <c r="FP116" i="4"/>
  <c r="GJ116" i="4"/>
  <c r="HG116" i="4"/>
  <c r="IB116" i="4"/>
  <c r="IV116" i="4"/>
  <c r="JS116" i="4"/>
  <c r="X116" i="4"/>
  <c r="AS116" i="4"/>
  <c r="BM116" i="4"/>
  <c r="CJ116" i="4"/>
  <c r="DE116" i="4"/>
  <c r="DY116" i="4"/>
  <c r="EV116" i="4"/>
  <c r="FQ116" i="4"/>
  <c r="GK116" i="4"/>
  <c r="HH116" i="4"/>
  <c r="IC116" i="4"/>
  <c r="IW116" i="4"/>
  <c r="JT116" i="4"/>
  <c r="Z116" i="4"/>
  <c r="AT116" i="4"/>
  <c r="BN116" i="4"/>
  <c r="CL116" i="4"/>
  <c r="DF116" i="4"/>
  <c r="DZ116" i="4"/>
  <c r="EX116" i="4"/>
  <c r="FR116" i="4"/>
  <c r="GL116" i="4"/>
  <c r="HJ116" i="4"/>
  <c r="ID116" i="4"/>
  <c r="IX116" i="4"/>
  <c r="JV116" i="4"/>
  <c r="AA116" i="4"/>
  <c r="AU116" i="4"/>
  <c r="BR116" i="4"/>
  <c r="CM116" i="4"/>
  <c r="DG116" i="4"/>
  <c r="ED116" i="4"/>
  <c r="EY116" i="4"/>
  <c r="FS116" i="4"/>
  <c r="GP116" i="4"/>
  <c r="HK116" i="4"/>
  <c r="IE116" i="4"/>
  <c r="JB116" i="4"/>
  <c r="JW116" i="4"/>
  <c r="AC116" i="4"/>
  <c r="AW116" i="4"/>
  <c r="BT116" i="4"/>
  <c r="CO116" i="4"/>
  <c r="DI116" i="4"/>
  <c r="EF116" i="4"/>
  <c r="FA116" i="4"/>
  <c r="FU116" i="4"/>
  <c r="GR116" i="4"/>
  <c r="HM116" i="4"/>
  <c r="IG116" i="4"/>
  <c r="JD116" i="4"/>
  <c r="JY116" i="4"/>
  <c r="Q116" i="4"/>
  <c r="BD116" i="4"/>
  <c r="CN116" i="4"/>
  <c r="DS116" i="4"/>
  <c r="FC116" i="4"/>
  <c r="GG116" i="4"/>
  <c r="HQ116" i="4"/>
  <c r="JC116" i="4"/>
  <c r="KH116" i="4"/>
  <c r="R116" i="4"/>
  <c r="BF116" i="4"/>
  <c r="CP116" i="4"/>
  <c r="DT116" i="4"/>
  <c r="FD116" i="4"/>
  <c r="GH116" i="4"/>
  <c r="HR116" i="4"/>
  <c r="JF116" i="4"/>
  <c r="KI116" i="4"/>
  <c r="AB116" i="4"/>
  <c r="BG116" i="4"/>
  <c r="CQ116" i="4"/>
  <c r="DU116" i="4"/>
  <c r="FE116" i="4"/>
  <c r="GQ116" i="4"/>
  <c r="HV116" i="4"/>
  <c r="JG116" i="4"/>
  <c r="AD116" i="4"/>
  <c r="BH116" i="4"/>
  <c r="CR116" i="4"/>
  <c r="DV116" i="4"/>
  <c r="FF116" i="4"/>
  <c r="GT116" i="4"/>
  <c r="HW116" i="4"/>
  <c r="JH116" i="4"/>
  <c r="AE116" i="4"/>
  <c r="BI116" i="4"/>
  <c r="CS116" i="4"/>
  <c r="EE116" i="4"/>
  <c r="FJ116" i="4"/>
  <c r="GU116" i="4"/>
  <c r="HX116" i="4"/>
  <c r="JI116" i="4"/>
  <c r="AG116" i="4"/>
  <c r="BS116" i="4"/>
  <c r="CX116" i="4"/>
  <c r="EI116" i="4"/>
  <c r="FL116" i="4"/>
  <c r="GW116" i="4"/>
  <c r="IF116" i="4"/>
  <c r="JK116" i="4"/>
  <c r="O116" i="4"/>
  <c r="BY116" i="4"/>
  <c r="EH116" i="4"/>
  <c r="GB116" i="4"/>
  <c r="IL116" i="4"/>
  <c r="KC116" i="4"/>
  <c r="P116" i="4"/>
  <c r="BZ116" i="4"/>
  <c r="EJ116" i="4"/>
  <c r="GD116" i="4"/>
  <c r="IM116" i="4"/>
  <c r="KD116" i="4"/>
  <c r="AF116" i="4"/>
  <c r="CA116" i="4"/>
  <c r="EK116" i="4"/>
  <c r="GE116" i="4"/>
  <c r="IN116" i="4"/>
  <c r="AH116" i="4"/>
  <c r="CB116" i="4"/>
  <c r="EL116" i="4"/>
  <c r="GF116" i="4"/>
  <c r="IP116" i="4"/>
  <c r="AL116" i="4"/>
  <c r="CC116" i="4"/>
  <c r="EM116" i="4"/>
  <c r="GV116" i="4"/>
  <c r="IQ116" i="4"/>
  <c r="AN116" i="4"/>
  <c r="CT116" i="4"/>
  <c r="EO116" i="4"/>
  <c r="GY116" i="4"/>
  <c r="IS116" i="4"/>
  <c r="BJ116" i="4"/>
  <c r="EZ116" i="4"/>
  <c r="HZ116" i="4"/>
  <c r="BV116" i="4"/>
  <c r="FB116" i="4"/>
  <c r="IH116" i="4"/>
  <c r="BW116" i="4"/>
  <c r="FK116" i="4"/>
  <c r="IR116" i="4"/>
  <c r="BX116" i="4"/>
  <c r="FN116" i="4"/>
  <c r="IT116" i="4"/>
  <c r="CD116" i="4"/>
  <c r="FT116" i="4"/>
  <c r="JJ116" i="4"/>
  <c r="K116" i="4"/>
  <c r="CZ116" i="4"/>
  <c r="FZ116" i="4"/>
  <c r="JM116" i="4"/>
  <c r="AV116" i="4"/>
  <c r="GX116" i="4"/>
  <c r="AX116" i="4"/>
  <c r="GZ116" i="4"/>
  <c r="BB116" i="4"/>
  <c r="HA116" i="4"/>
  <c r="BC116" i="4"/>
  <c r="HB116" i="4"/>
  <c r="CY116" i="4"/>
  <c r="HL116" i="4"/>
  <c r="DH116" i="4"/>
  <c r="HO116" i="4"/>
  <c r="DN116" i="4"/>
  <c r="DO116" i="4"/>
  <c r="DP116" i="4"/>
  <c r="DR116" i="4"/>
  <c r="EN116" i="4"/>
  <c r="M116" i="4"/>
  <c r="JL116" i="4"/>
  <c r="JX116" i="4"/>
  <c r="JZ116" i="4"/>
  <c r="KA116" i="4"/>
  <c r="J116" i="4"/>
  <c r="KB116" i="4"/>
  <c r="L116" i="4"/>
  <c r="EP116" i="4"/>
  <c r="AP116" i="4"/>
  <c r="DB116" i="4"/>
  <c r="DJ116" i="4"/>
  <c r="FV116" i="4"/>
  <c r="HN116" i="4"/>
  <c r="N116" i="4"/>
  <c r="AM116" i="4"/>
  <c r="GA116" i="4"/>
  <c r="HP116" i="4"/>
  <c r="JN116" i="4"/>
  <c r="P19" i="4"/>
  <c r="AF19" i="4"/>
  <c r="AV19" i="4"/>
  <c r="BL19" i="4"/>
  <c r="CB19" i="4"/>
  <c r="CR19" i="4"/>
  <c r="DH19" i="4"/>
  <c r="DX19" i="4"/>
  <c r="EN19" i="4"/>
  <c r="FD19" i="4"/>
  <c r="FT19" i="4"/>
  <c r="GJ19" i="4"/>
  <c r="GZ19" i="4"/>
  <c r="HP19" i="4"/>
  <c r="IF19" i="4"/>
  <c r="IV19" i="4"/>
  <c r="JL19" i="4"/>
  <c r="KB19" i="4"/>
  <c r="N19" i="4"/>
  <c r="AE19" i="4"/>
  <c r="AW19" i="4"/>
  <c r="BN19" i="4"/>
  <c r="CE19" i="4"/>
  <c r="CV19" i="4"/>
  <c r="DM19" i="4"/>
  <c r="ED19" i="4"/>
  <c r="EU19" i="4"/>
  <c r="FL19" i="4"/>
  <c r="GC19" i="4"/>
  <c r="GT19" i="4"/>
  <c r="HK19" i="4"/>
  <c r="IB19" i="4"/>
  <c r="IS19" i="4"/>
  <c r="JJ19" i="4"/>
  <c r="KA19" i="4"/>
  <c r="O19" i="4"/>
  <c r="AG19" i="4"/>
  <c r="AX19" i="4"/>
  <c r="BO19" i="4"/>
  <c r="CF19" i="4"/>
  <c r="CW19" i="4"/>
  <c r="DN19" i="4"/>
  <c r="EE19" i="4"/>
  <c r="EV19" i="4"/>
  <c r="FM19" i="4"/>
  <c r="GD19" i="4"/>
  <c r="GU19" i="4"/>
  <c r="HL19" i="4"/>
  <c r="IC19" i="4"/>
  <c r="IT19" i="4"/>
  <c r="JK19" i="4"/>
  <c r="KC19" i="4"/>
  <c r="Q19" i="4"/>
  <c r="AH19" i="4"/>
  <c r="AY19" i="4"/>
  <c r="BP19" i="4"/>
  <c r="CG19" i="4"/>
  <c r="CX19" i="4"/>
  <c r="DO19" i="4"/>
  <c r="EF19" i="4"/>
  <c r="EW19" i="4"/>
  <c r="FN19" i="4"/>
  <c r="GE19" i="4"/>
  <c r="GV19" i="4"/>
  <c r="HM19" i="4"/>
  <c r="ID19" i="4"/>
  <c r="IU19" i="4"/>
  <c r="JM19" i="4"/>
  <c r="KD19" i="4"/>
  <c r="U19" i="4"/>
  <c r="AL19" i="4"/>
  <c r="BC19" i="4"/>
  <c r="BT19" i="4"/>
  <c r="CK19" i="4"/>
  <c r="DB19" i="4"/>
  <c r="DS19" i="4"/>
  <c r="EJ19" i="4"/>
  <c r="FA19" i="4"/>
  <c r="FR19" i="4"/>
  <c r="GI19" i="4"/>
  <c r="HA19" i="4"/>
  <c r="HR19" i="4"/>
  <c r="II19" i="4"/>
  <c r="IZ19" i="4"/>
  <c r="JQ19" i="4"/>
  <c r="KH19" i="4"/>
  <c r="K19" i="4"/>
  <c r="AJ19" i="4"/>
  <c r="BF19" i="4"/>
  <c r="CA19" i="4"/>
  <c r="CZ19" i="4"/>
  <c r="DV19" i="4"/>
  <c r="ER19" i="4"/>
  <c r="FP19" i="4"/>
  <c r="GM19" i="4"/>
  <c r="HH19" i="4"/>
  <c r="IG19" i="4"/>
  <c r="JC19" i="4"/>
  <c r="JX19" i="4"/>
  <c r="L19" i="4"/>
  <c r="AK19" i="4"/>
  <c r="BG19" i="4"/>
  <c r="CC19" i="4"/>
  <c r="DA19" i="4"/>
  <c r="DW19" i="4"/>
  <c r="ES19" i="4"/>
  <c r="FQ19" i="4"/>
  <c r="GN19" i="4"/>
  <c r="HI19" i="4"/>
  <c r="IH19" i="4"/>
  <c r="JD19" i="4"/>
  <c r="JY19" i="4"/>
  <c r="M19" i="4"/>
  <c r="AM19" i="4"/>
  <c r="BH19" i="4"/>
  <c r="CD19" i="4"/>
  <c r="DC19" i="4"/>
  <c r="DY19" i="4"/>
  <c r="ET19" i="4"/>
  <c r="FS19" i="4"/>
  <c r="GO19" i="4"/>
  <c r="HJ19" i="4"/>
  <c r="IJ19" i="4"/>
  <c r="JE19" i="4"/>
  <c r="JZ19" i="4"/>
  <c r="R19" i="4"/>
  <c r="AN19" i="4"/>
  <c r="BI19" i="4"/>
  <c r="CH19" i="4"/>
  <c r="DD19" i="4"/>
  <c r="DZ19" i="4"/>
  <c r="EX19" i="4"/>
  <c r="FU19" i="4"/>
  <c r="GP19" i="4"/>
  <c r="HN19" i="4"/>
  <c r="IK19" i="4"/>
  <c r="JF19" i="4"/>
  <c r="KE19" i="4"/>
  <c r="S19" i="4"/>
  <c r="AO19" i="4"/>
  <c r="BJ19" i="4"/>
  <c r="CI19" i="4"/>
  <c r="DE19" i="4"/>
  <c r="EA19" i="4"/>
  <c r="EY19" i="4"/>
  <c r="FV19" i="4"/>
  <c r="GQ19" i="4"/>
  <c r="HO19" i="4"/>
  <c r="IL19" i="4"/>
  <c r="JG19" i="4"/>
  <c r="KF19" i="4"/>
  <c r="V19" i="4"/>
  <c r="AQ19" i="4"/>
  <c r="BM19" i="4"/>
  <c r="CL19" i="4"/>
  <c r="DG19" i="4"/>
  <c r="EC19" i="4"/>
  <c r="FB19" i="4"/>
  <c r="FX19" i="4"/>
  <c r="GS19" i="4"/>
  <c r="HS19" i="4"/>
  <c r="IN19" i="4"/>
  <c r="JI19" i="4"/>
  <c r="KI19" i="4"/>
  <c r="AS19" i="4"/>
  <c r="BY19" i="4"/>
  <c r="DL19" i="4"/>
  <c r="EZ19" i="4"/>
  <c r="GG19" i="4"/>
  <c r="HU19" i="4"/>
  <c r="JA19" i="4"/>
  <c r="AT19" i="4"/>
  <c r="BZ19" i="4"/>
  <c r="DP19" i="4"/>
  <c r="FC19" i="4"/>
  <c r="GH19" i="4"/>
  <c r="HV19" i="4"/>
  <c r="JB19" i="4"/>
  <c r="I19" i="4"/>
  <c r="AU19" i="4"/>
  <c r="CJ19" i="4"/>
  <c r="DQ19" i="4"/>
  <c r="FE19" i="4"/>
  <c r="GK19" i="4"/>
  <c r="HW19" i="4"/>
  <c r="JH19" i="4"/>
  <c r="J19" i="4"/>
  <c r="AZ19" i="4"/>
  <c r="CM19" i="4"/>
  <c r="DR19" i="4"/>
  <c r="FF19" i="4"/>
  <c r="GL19" i="4"/>
  <c r="HX19" i="4"/>
  <c r="JN19" i="4"/>
  <c r="T19" i="4"/>
  <c r="BA19" i="4"/>
  <c r="CN19" i="4"/>
  <c r="DT19" i="4"/>
  <c r="FG19" i="4"/>
  <c r="GR19" i="4"/>
  <c r="HY19" i="4"/>
  <c r="JO19" i="4"/>
  <c r="X19" i="4"/>
  <c r="BD19" i="4"/>
  <c r="CP19" i="4"/>
  <c r="EB19" i="4"/>
  <c r="FI19" i="4"/>
  <c r="GX19" i="4"/>
  <c r="IA19" i="4"/>
  <c r="JR19" i="4"/>
  <c r="BK19" i="4"/>
  <c r="DJ19" i="4"/>
  <c r="FW19" i="4"/>
  <c r="HZ19" i="4"/>
  <c r="KG19" i="4"/>
  <c r="BQ19" i="4"/>
  <c r="DK19" i="4"/>
  <c r="FY19" i="4"/>
  <c r="IE19" i="4"/>
  <c r="BR19" i="4"/>
  <c r="DU19" i="4"/>
  <c r="FZ19" i="4"/>
  <c r="IM19" i="4"/>
  <c r="BS19" i="4"/>
  <c r="EG19" i="4"/>
  <c r="GA19" i="4"/>
  <c r="IO19" i="4"/>
  <c r="W19" i="4"/>
  <c r="BU19" i="4"/>
  <c r="EH19" i="4"/>
  <c r="GB19" i="4"/>
  <c r="IP19" i="4"/>
  <c r="Z19" i="4"/>
  <c r="BW19" i="4"/>
  <c r="EK19" i="4"/>
  <c r="GW19" i="4"/>
  <c r="IR19" i="4"/>
  <c r="AB19" i="4"/>
  <c r="DF19" i="4"/>
  <c r="HD19" i="4"/>
  <c r="AC19" i="4"/>
  <c r="DI19" i="4"/>
  <c r="HE19" i="4"/>
  <c r="AD19" i="4"/>
  <c r="EI19" i="4"/>
  <c r="HF19" i="4"/>
  <c r="AI19" i="4"/>
  <c r="EL19" i="4"/>
  <c r="HG19" i="4"/>
  <c r="AP19" i="4"/>
  <c r="EM19" i="4"/>
  <c r="HQ19" i="4"/>
  <c r="BB19" i="4"/>
  <c r="EP19" i="4"/>
  <c r="IQ19" i="4"/>
  <c r="CS19" i="4"/>
  <c r="IX19" i="4"/>
  <c r="CT19" i="4"/>
  <c r="IY19" i="4"/>
  <c r="CU19" i="4"/>
  <c r="JP19" i="4"/>
  <c r="CY19" i="4"/>
  <c r="JS19" i="4"/>
  <c r="EO19" i="4"/>
  <c r="JT19" i="4"/>
  <c r="FH19" i="4"/>
  <c r="JV19" i="4"/>
  <c r="Y19" i="4"/>
  <c r="HT19" i="4"/>
  <c r="AA19" i="4"/>
  <c r="IW19" i="4"/>
  <c r="AR19" i="4"/>
  <c r="JU19" i="4"/>
  <c r="BE19" i="4"/>
  <c r="JW19" i="4"/>
  <c r="BV19" i="4"/>
  <c r="CO19" i="4"/>
  <c r="FK19" i="4"/>
  <c r="FO19" i="4"/>
  <c r="GF19" i="4"/>
  <c r="GY19" i="4"/>
  <c r="HB19" i="4"/>
  <c r="BX19" i="4"/>
  <c r="CQ19" i="4"/>
  <c r="EQ19" i="4"/>
  <c r="HC19" i="4"/>
  <c r="FJ19" i="4"/>
  <c r="X165" i="4"/>
  <c r="AN165" i="4"/>
  <c r="BD165" i="4"/>
  <c r="BT165" i="4"/>
  <c r="CJ165" i="4"/>
  <c r="CZ165" i="4"/>
  <c r="DP165" i="4"/>
  <c r="EF165" i="4"/>
  <c r="EV165" i="4"/>
  <c r="FL165" i="4"/>
  <c r="GB165" i="4"/>
  <c r="GR165" i="4"/>
  <c r="HH165" i="4"/>
  <c r="HX165" i="4"/>
  <c r="IN165" i="4"/>
  <c r="JD165" i="4"/>
  <c r="JT165" i="4"/>
  <c r="Y165" i="4"/>
  <c r="AP165" i="4"/>
  <c r="BG165" i="4"/>
  <c r="BX165" i="4"/>
  <c r="CO165" i="4"/>
  <c r="DF165" i="4"/>
  <c r="DW165" i="4"/>
  <c r="EN165" i="4"/>
  <c r="FE165" i="4"/>
  <c r="FV165" i="4"/>
  <c r="GM165" i="4"/>
  <c r="HD165" i="4"/>
  <c r="HU165" i="4"/>
  <c r="IL165" i="4"/>
  <c r="JC165" i="4"/>
  <c r="JU165" i="4"/>
  <c r="I165" i="4"/>
  <c r="Z165" i="4"/>
  <c r="AQ165" i="4"/>
  <c r="BH165" i="4"/>
  <c r="BY165" i="4"/>
  <c r="CP165" i="4"/>
  <c r="DG165" i="4"/>
  <c r="DX165" i="4"/>
  <c r="EO165" i="4"/>
  <c r="FF165" i="4"/>
  <c r="FW165" i="4"/>
  <c r="GN165" i="4"/>
  <c r="HE165" i="4"/>
  <c r="HV165" i="4"/>
  <c r="IM165" i="4"/>
  <c r="JE165" i="4"/>
  <c r="JV165" i="4"/>
  <c r="J165" i="4"/>
  <c r="AA165" i="4"/>
  <c r="AR165" i="4"/>
  <c r="BI165" i="4"/>
  <c r="BZ165" i="4"/>
  <c r="CQ165" i="4"/>
  <c r="DH165" i="4"/>
  <c r="DY165" i="4"/>
  <c r="EP165" i="4"/>
  <c r="FG165" i="4"/>
  <c r="FX165" i="4"/>
  <c r="GO165" i="4"/>
  <c r="HF165" i="4"/>
  <c r="HW165" i="4"/>
  <c r="IO165" i="4"/>
  <c r="JF165" i="4"/>
  <c r="JW165" i="4"/>
  <c r="N165" i="4"/>
  <c r="AE165" i="4"/>
  <c r="AV165" i="4"/>
  <c r="BM165" i="4"/>
  <c r="CD165" i="4"/>
  <c r="CU165" i="4"/>
  <c r="DL165" i="4"/>
  <c r="EC165" i="4"/>
  <c r="ET165" i="4"/>
  <c r="FK165" i="4"/>
  <c r="GC165" i="4"/>
  <c r="GT165" i="4"/>
  <c r="HK165" i="4"/>
  <c r="IB165" i="4"/>
  <c r="IS165" i="4"/>
  <c r="JJ165" i="4"/>
  <c r="KA165" i="4"/>
  <c r="R165" i="4"/>
  <c r="AM165" i="4"/>
  <c r="BL165" i="4"/>
  <c r="CH165" i="4"/>
  <c r="DD165" i="4"/>
  <c r="EB165" i="4"/>
  <c r="EY165" i="4"/>
  <c r="FT165" i="4"/>
  <c r="GS165" i="4"/>
  <c r="HO165" i="4"/>
  <c r="IJ165" i="4"/>
  <c r="JI165" i="4"/>
  <c r="KE165" i="4"/>
  <c r="S165" i="4"/>
  <c r="AO165" i="4"/>
  <c r="BN165" i="4"/>
  <c r="CI165" i="4"/>
  <c r="DE165" i="4"/>
  <c r="ED165" i="4"/>
  <c r="EZ165" i="4"/>
  <c r="FU165" i="4"/>
  <c r="GU165" i="4"/>
  <c r="HP165" i="4"/>
  <c r="IK165" i="4"/>
  <c r="JK165" i="4"/>
  <c r="KF165" i="4"/>
  <c r="T165" i="4"/>
  <c r="AS165" i="4"/>
  <c r="BO165" i="4"/>
  <c r="CK165" i="4"/>
  <c r="DI165" i="4"/>
  <c r="EE165" i="4"/>
  <c r="FA165" i="4"/>
  <c r="FY165" i="4"/>
  <c r="GV165" i="4"/>
  <c r="HQ165" i="4"/>
  <c r="IP165" i="4"/>
  <c r="JL165" i="4"/>
  <c r="KG165" i="4"/>
  <c r="U165" i="4"/>
  <c r="AT165" i="4"/>
  <c r="BP165" i="4"/>
  <c r="CL165" i="4"/>
  <c r="DJ165" i="4"/>
  <c r="EG165" i="4"/>
  <c r="FB165" i="4"/>
  <c r="FZ165" i="4"/>
  <c r="GW165" i="4"/>
  <c r="HR165" i="4"/>
  <c r="IQ165" i="4"/>
  <c r="JM165" i="4"/>
  <c r="KH165" i="4"/>
  <c r="V165" i="4"/>
  <c r="AU165" i="4"/>
  <c r="BQ165" i="4"/>
  <c r="CM165" i="4"/>
  <c r="DK165" i="4"/>
  <c r="EH165" i="4"/>
  <c r="FC165" i="4"/>
  <c r="GA165" i="4"/>
  <c r="GX165" i="4"/>
  <c r="HS165" i="4"/>
  <c r="IR165" i="4"/>
  <c r="JN165" i="4"/>
  <c r="KI165" i="4"/>
  <c r="AB165" i="4"/>
  <c r="AX165" i="4"/>
  <c r="BS165" i="4"/>
  <c r="CR165" i="4"/>
  <c r="DN165" i="4"/>
  <c r="EJ165" i="4"/>
  <c r="FH165" i="4"/>
  <c r="GE165" i="4"/>
  <c r="GZ165" i="4"/>
  <c r="HY165" i="4"/>
  <c r="IU165" i="4"/>
  <c r="JP165" i="4"/>
  <c r="AK165" i="4"/>
  <c r="CA165" i="4"/>
  <c r="DM165" i="4"/>
  <c r="ES165" i="4"/>
  <c r="GG165" i="4"/>
  <c r="HM165" i="4"/>
  <c r="IY165" i="4"/>
  <c r="AL165" i="4"/>
  <c r="CB165" i="4"/>
  <c r="DO165" i="4"/>
  <c r="EU165" i="4"/>
  <c r="GH165" i="4"/>
  <c r="HN165" i="4"/>
  <c r="IZ165" i="4"/>
  <c r="K165" i="4"/>
  <c r="AW165" i="4"/>
  <c r="CC165" i="4"/>
  <c r="DQ165" i="4"/>
  <c r="EW165" i="4"/>
  <c r="GI165" i="4"/>
  <c r="HT165" i="4"/>
  <c r="JA165" i="4"/>
  <c r="L165" i="4"/>
  <c r="AY165" i="4"/>
  <c r="CE165" i="4"/>
  <c r="DR165" i="4"/>
  <c r="EX165" i="4"/>
  <c r="GJ165" i="4"/>
  <c r="HZ165" i="4"/>
  <c r="JB165" i="4"/>
  <c r="M165" i="4"/>
  <c r="AZ165" i="4"/>
  <c r="CF165" i="4"/>
  <c r="DS165" i="4"/>
  <c r="FD165" i="4"/>
  <c r="GK165" i="4"/>
  <c r="IA165" i="4"/>
  <c r="JG165" i="4"/>
  <c r="P165" i="4"/>
  <c r="BB165" i="4"/>
  <c r="CN165" i="4"/>
  <c r="DU165" i="4"/>
  <c r="FJ165" i="4"/>
  <c r="GP165" i="4"/>
  <c r="ID165" i="4"/>
  <c r="JO165" i="4"/>
  <c r="BE165" i="4"/>
  <c r="DB165" i="4"/>
  <c r="FP165" i="4"/>
  <c r="IC165" i="4"/>
  <c r="JZ165" i="4"/>
  <c r="BF165" i="4"/>
  <c r="DC165" i="4"/>
  <c r="FQ165" i="4"/>
  <c r="IE165" i="4"/>
  <c r="KB165" i="4"/>
  <c r="BJ165" i="4"/>
  <c r="DT165" i="4"/>
  <c r="FR165" i="4"/>
  <c r="IF165" i="4"/>
  <c r="KC165" i="4"/>
  <c r="BK165" i="4"/>
  <c r="DV165" i="4"/>
  <c r="FS165" i="4"/>
  <c r="IG165" i="4"/>
  <c r="KD165" i="4"/>
  <c r="O165" i="4"/>
  <c r="BR165" i="4"/>
  <c r="DZ165" i="4"/>
  <c r="GD165" i="4"/>
  <c r="IH165" i="4"/>
  <c r="W165" i="4"/>
  <c r="BV165" i="4"/>
  <c r="EI165" i="4"/>
  <c r="GL165" i="4"/>
  <c r="IT165" i="4"/>
  <c r="AD165" i="4"/>
  <c r="CY165" i="4"/>
  <c r="HB165" i="4"/>
  <c r="AF165" i="4"/>
  <c r="DA165" i="4"/>
  <c r="HC165" i="4"/>
  <c r="AG165" i="4"/>
  <c r="EA165" i="4"/>
  <c r="HG165" i="4"/>
  <c r="AH165" i="4"/>
  <c r="EK165" i="4"/>
  <c r="HI165" i="4"/>
  <c r="AI165" i="4"/>
  <c r="EL165" i="4"/>
  <c r="HJ165" i="4"/>
  <c r="CS165" i="4"/>
  <c r="HL165" i="4"/>
  <c r="CT165" i="4"/>
  <c r="II165" i="4"/>
  <c r="CV165" i="4"/>
  <c r="IV165" i="4"/>
  <c r="CW165" i="4"/>
  <c r="IW165" i="4"/>
  <c r="CX165" i="4"/>
  <c r="IX165" i="4"/>
  <c r="AJ165" i="4"/>
  <c r="FN165" i="4"/>
  <c r="JY165" i="4"/>
  <c r="AC165" i="4"/>
  <c r="JH165" i="4"/>
  <c r="BA165" i="4"/>
  <c r="JQ165" i="4"/>
  <c r="BC165" i="4"/>
  <c r="JR165" i="4"/>
  <c r="BU165" i="4"/>
  <c r="JS165" i="4"/>
  <c r="CG165" i="4"/>
  <c r="FM165" i="4"/>
  <c r="BW165" i="4"/>
  <c r="EM165" i="4"/>
  <c r="EQ165" i="4"/>
  <c r="ER165" i="4"/>
  <c r="FI165" i="4"/>
  <c r="FO165" i="4"/>
  <c r="GF165" i="4"/>
  <c r="GQ165" i="4"/>
  <c r="GY165" i="4"/>
  <c r="HA165" i="4"/>
  <c r="JX165" i="4"/>
  <c r="Q165" i="4"/>
  <c r="V69" i="4"/>
  <c r="AL69" i="4"/>
  <c r="BB69" i="4"/>
  <c r="BR69" i="4"/>
  <c r="CH69" i="4"/>
  <c r="CX69" i="4"/>
  <c r="DN69" i="4"/>
  <c r="ED69" i="4"/>
  <c r="ET69" i="4"/>
  <c r="FJ69" i="4"/>
  <c r="FZ69" i="4"/>
  <c r="GP69" i="4"/>
  <c r="HF69" i="4"/>
  <c r="HV69" i="4"/>
  <c r="IL69" i="4"/>
  <c r="JB69" i="4"/>
  <c r="JR69" i="4"/>
  <c r="KH69" i="4"/>
  <c r="W69" i="4"/>
  <c r="AM69" i="4"/>
  <c r="BC69" i="4"/>
  <c r="BS69" i="4"/>
  <c r="CI69" i="4"/>
  <c r="CY69" i="4"/>
  <c r="DO69" i="4"/>
  <c r="EE69" i="4"/>
  <c r="EU69" i="4"/>
  <c r="FK69" i="4"/>
  <c r="GA69" i="4"/>
  <c r="GQ69" i="4"/>
  <c r="HG69" i="4"/>
  <c r="HW69" i="4"/>
  <c r="IM69" i="4"/>
  <c r="JC69" i="4"/>
  <c r="JS69" i="4"/>
  <c r="KI69" i="4"/>
  <c r="X69" i="4"/>
  <c r="AN69" i="4"/>
  <c r="BD69" i="4"/>
  <c r="BT69" i="4"/>
  <c r="CJ69" i="4"/>
  <c r="CZ69" i="4"/>
  <c r="DP69" i="4"/>
  <c r="EF69" i="4"/>
  <c r="EV69" i="4"/>
  <c r="FL69" i="4"/>
  <c r="GB69" i="4"/>
  <c r="GR69" i="4"/>
  <c r="HH69" i="4"/>
  <c r="HX69" i="4"/>
  <c r="IN69" i="4"/>
  <c r="JD69" i="4"/>
  <c r="JT69" i="4"/>
  <c r="L69" i="4"/>
  <c r="AB69" i="4"/>
  <c r="AR69" i="4"/>
  <c r="BH69" i="4"/>
  <c r="BX69" i="4"/>
  <c r="CN69" i="4"/>
  <c r="DD69" i="4"/>
  <c r="DT69" i="4"/>
  <c r="EJ69" i="4"/>
  <c r="EZ69" i="4"/>
  <c r="FP69" i="4"/>
  <c r="GF69" i="4"/>
  <c r="GV69" i="4"/>
  <c r="HL69" i="4"/>
  <c r="IB69" i="4"/>
  <c r="IR69" i="4"/>
  <c r="JH69" i="4"/>
  <c r="JX69" i="4"/>
  <c r="J69" i="4"/>
  <c r="AE69" i="4"/>
  <c r="AY69" i="4"/>
  <c r="BV69" i="4"/>
  <c r="CQ69" i="4"/>
  <c r="DK69" i="4"/>
  <c r="EH69" i="4"/>
  <c r="FC69" i="4"/>
  <c r="FW69" i="4"/>
  <c r="GT69" i="4"/>
  <c r="HO69" i="4"/>
  <c r="II69" i="4"/>
  <c r="JF69" i="4"/>
  <c r="KA69" i="4"/>
  <c r="K69" i="4"/>
  <c r="AF69" i="4"/>
  <c r="AZ69" i="4"/>
  <c r="BW69" i="4"/>
  <c r="CR69" i="4"/>
  <c r="DL69" i="4"/>
  <c r="EI69" i="4"/>
  <c r="FD69" i="4"/>
  <c r="FX69" i="4"/>
  <c r="GU69" i="4"/>
  <c r="HP69" i="4"/>
  <c r="IJ69" i="4"/>
  <c r="JG69" i="4"/>
  <c r="KB69" i="4"/>
  <c r="M69" i="4"/>
  <c r="AG69" i="4"/>
  <c r="BA69" i="4"/>
  <c r="BY69" i="4"/>
  <c r="CS69" i="4"/>
  <c r="DM69" i="4"/>
  <c r="EK69" i="4"/>
  <c r="FE69" i="4"/>
  <c r="FY69" i="4"/>
  <c r="GW69" i="4"/>
  <c r="HQ69" i="4"/>
  <c r="IK69" i="4"/>
  <c r="JI69" i="4"/>
  <c r="KC69" i="4"/>
  <c r="N69" i="4"/>
  <c r="AH69" i="4"/>
  <c r="BE69" i="4"/>
  <c r="BZ69" i="4"/>
  <c r="CT69" i="4"/>
  <c r="DQ69" i="4"/>
  <c r="EL69" i="4"/>
  <c r="FF69" i="4"/>
  <c r="GC69" i="4"/>
  <c r="GX69" i="4"/>
  <c r="HR69" i="4"/>
  <c r="IO69" i="4"/>
  <c r="JJ69" i="4"/>
  <c r="KD69" i="4"/>
  <c r="O69" i="4"/>
  <c r="AI69" i="4"/>
  <c r="BF69" i="4"/>
  <c r="CA69" i="4"/>
  <c r="CU69" i="4"/>
  <c r="DR69" i="4"/>
  <c r="EM69" i="4"/>
  <c r="FG69" i="4"/>
  <c r="GD69" i="4"/>
  <c r="GY69" i="4"/>
  <c r="HS69" i="4"/>
  <c r="IP69" i="4"/>
  <c r="JK69" i="4"/>
  <c r="KE69" i="4"/>
  <c r="Q69" i="4"/>
  <c r="AK69" i="4"/>
  <c r="BI69" i="4"/>
  <c r="CC69" i="4"/>
  <c r="CW69" i="4"/>
  <c r="DU69" i="4"/>
  <c r="EO69" i="4"/>
  <c r="FI69" i="4"/>
  <c r="GG69" i="4"/>
  <c r="HA69" i="4"/>
  <c r="HU69" i="4"/>
  <c r="IS69" i="4"/>
  <c r="JM69" i="4"/>
  <c r="KG69" i="4"/>
  <c r="AC69" i="4"/>
  <c r="BM69" i="4"/>
  <c r="CV69" i="4"/>
  <c r="EA69" i="4"/>
  <c r="FN69" i="4"/>
  <c r="GO69" i="4"/>
  <c r="IC69" i="4"/>
  <c r="JL69" i="4"/>
  <c r="AD69" i="4"/>
  <c r="BN69" i="4"/>
  <c r="DA69" i="4"/>
  <c r="EB69" i="4"/>
  <c r="FO69" i="4"/>
  <c r="GS69" i="4"/>
  <c r="ID69" i="4"/>
  <c r="JN69" i="4"/>
  <c r="AJ69" i="4"/>
  <c r="BO69" i="4"/>
  <c r="DB69" i="4"/>
  <c r="EC69" i="4"/>
  <c r="FQ69" i="4"/>
  <c r="GZ69" i="4"/>
  <c r="IE69" i="4"/>
  <c r="JO69" i="4"/>
  <c r="AO69" i="4"/>
  <c r="BP69" i="4"/>
  <c r="DC69" i="4"/>
  <c r="EG69" i="4"/>
  <c r="FR69" i="4"/>
  <c r="HB69" i="4"/>
  <c r="IF69" i="4"/>
  <c r="JP69" i="4"/>
  <c r="AP69" i="4"/>
  <c r="BQ69" i="4"/>
  <c r="DE69" i="4"/>
  <c r="EN69" i="4"/>
  <c r="FS69" i="4"/>
  <c r="HC69" i="4"/>
  <c r="IG69" i="4"/>
  <c r="JQ69" i="4"/>
  <c r="AS69" i="4"/>
  <c r="CB69" i="4"/>
  <c r="DG69" i="4"/>
  <c r="EQ69" i="4"/>
  <c r="FU69" i="4"/>
  <c r="HE69" i="4"/>
  <c r="IQ69" i="4"/>
  <c r="JV69" i="4"/>
  <c r="AW69" i="4"/>
  <c r="DF69" i="4"/>
  <c r="FA69" i="4"/>
  <c r="HJ69" i="4"/>
  <c r="JA69" i="4"/>
  <c r="AX69" i="4"/>
  <c r="DH69" i="4"/>
  <c r="FB69" i="4"/>
  <c r="HK69" i="4"/>
  <c r="JE69" i="4"/>
  <c r="BG69" i="4"/>
  <c r="DI69" i="4"/>
  <c r="FH69" i="4"/>
  <c r="HM69" i="4"/>
  <c r="JU69" i="4"/>
  <c r="I69" i="4"/>
  <c r="BJ69" i="4"/>
  <c r="DJ69" i="4"/>
  <c r="FM69" i="4"/>
  <c r="HN69" i="4"/>
  <c r="JW69" i="4"/>
  <c r="P69" i="4"/>
  <c r="BK69" i="4"/>
  <c r="DS69" i="4"/>
  <c r="FT69" i="4"/>
  <c r="HT69" i="4"/>
  <c r="JY69" i="4"/>
  <c r="S69" i="4"/>
  <c r="BU69" i="4"/>
  <c r="DW69" i="4"/>
  <c r="GE69" i="4"/>
  <c r="HZ69" i="4"/>
  <c r="KF69" i="4"/>
  <c r="CG69" i="4"/>
  <c r="FV69" i="4"/>
  <c r="IW69" i="4"/>
  <c r="CK69" i="4"/>
  <c r="GH69" i="4"/>
  <c r="IX69" i="4"/>
  <c r="R69" i="4"/>
  <c r="CL69" i="4"/>
  <c r="GI69" i="4"/>
  <c r="IY69" i="4"/>
  <c r="T69" i="4"/>
  <c r="CM69" i="4"/>
  <c r="GJ69" i="4"/>
  <c r="IZ69" i="4"/>
  <c r="U69" i="4"/>
  <c r="CO69" i="4"/>
  <c r="GK69" i="4"/>
  <c r="JZ69" i="4"/>
  <c r="Z69" i="4"/>
  <c r="DV69" i="4"/>
  <c r="GM69" i="4"/>
  <c r="CE69" i="4"/>
  <c r="HY69" i="4"/>
  <c r="CF69" i="4"/>
  <c r="IA69" i="4"/>
  <c r="CP69" i="4"/>
  <c r="IH69" i="4"/>
  <c r="DX69" i="4"/>
  <c r="IT69" i="4"/>
  <c r="DY69" i="4"/>
  <c r="IU69" i="4"/>
  <c r="EP69" i="4"/>
  <c r="Y69" i="4"/>
  <c r="HD69" i="4"/>
  <c r="AA69" i="4"/>
  <c r="HI69" i="4"/>
  <c r="AQ69" i="4"/>
  <c r="IV69" i="4"/>
  <c r="AT69" i="4"/>
  <c r="AU69" i="4"/>
  <c r="BL69" i="4"/>
  <c r="AV69" i="4"/>
  <c r="DZ69" i="4"/>
  <c r="CD69" i="4"/>
  <c r="GL69" i="4"/>
  <c r="ER69" i="4"/>
  <c r="ES69" i="4"/>
  <c r="EW69" i="4"/>
  <c r="EX69" i="4"/>
  <c r="EY69" i="4"/>
  <c r="GN69" i="4"/>
  <c r="Q5" i="4"/>
  <c r="AG5" i="4"/>
  <c r="AW5" i="4"/>
  <c r="BM5" i="4"/>
  <c r="CC5" i="4"/>
  <c r="CS5" i="4"/>
  <c r="DI5" i="4"/>
  <c r="DY5" i="4"/>
  <c r="EO5" i="4"/>
  <c r="FE5" i="4"/>
  <c r="FU5" i="4"/>
  <c r="GK5" i="4"/>
  <c r="HA5" i="4"/>
  <c r="HQ5" i="4"/>
  <c r="IG5" i="4"/>
  <c r="IW5" i="4"/>
  <c r="JM5" i="4"/>
  <c r="KC5" i="4"/>
  <c r="R5" i="4"/>
  <c r="AH5" i="4"/>
  <c r="AX5" i="4"/>
  <c r="BN5" i="4"/>
  <c r="CD5" i="4"/>
  <c r="CT5" i="4"/>
  <c r="DJ5" i="4"/>
  <c r="DZ5" i="4"/>
  <c r="EP5" i="4"/>
  <c r="FF5" i="4"/>
  <c r="FV5" i="4"/>
  <c r="GL5" i="4"/>
  <c r="HB5" i="4"/>
  <c r="HR5" i="4"/>
  <c r="IH5" i="4"/>
  <c r="IX5" i="4"/>
  <c r="JN5" i="4"/>
  <c r="KD5" i="4"/>
  <c r="S5" i="4"/>
  <c r="AI5" i="4"/>
  <c r="AY5" i="4"/>
  <c r="BO5" i="4"/>
  <c r="CE5" i="4"/>
  <c r="CU5" i="4"/>
  <c r="DK5" i="4"/>
  <c r="EA5" i="4"/>
  <c r="EQ5" i="4"/>
  <c r="FG5" i="4"/>
  <c r="FW5" i="4"/>
  <c r="GM5" i="4"/>
  <c r="HC5" i="4"/>
  <c r="HS5" i="4"/>
  <c r="II5" i="4"/>
  <c r="IY5" i="4"/>
  <c r="JO5" i="4"/>
  <c r="KE5" i="4"/>
  <c r="T5" i="4"/>
  <c r="AJ5" i="4"/>
  <c r="AZ5" i="4"/>
  <c r="BP5" i="4"/>
  <c r="CF5" i="4"/>
  <c r="CV5" i="4"/>
  <c r="DL5" i="4"/>
  <c r="EB5" i="4"/>
  <c r="ER5" i="4"/>
  <c r="FH5" i="4"/>
  <c r="FX5" i="4"/>
  <c r="GN5" i="4"/>
  <c r="HD5" i="4"/>
  <c r="HT5" i="4"/>
  <c r="IJ5" i="4"/>
  <c r="IZ5" i="4"/>
  <c r="JP5" i="4"/>
  <c r="KF5" i="4"/>
  <c r="U5" i="4"/>
  <c r="AK5" i="4"/>
  <c r="BA5" i="4"/>
  <c r="BQ5" i="4"/>
  <c r="CG5" i="4"/>
  <c r="CW5" i="4"/>
  <c r="DM5" i="4"/>
  <c r="EC5" i="4"/>
  <c r="ES5" i="4"/>
  <c r="FI5" i="4"/>
  <c r="FY5" i="4"/>
  <c r="GO5" i="4"/>
  <c r="HE5" i="4"/>
  <c r="HU5" i="4"/>
  <c r="IK5" i="4"/>
  <c r="JA5" i="4"/>
  <c r="JQ5" i="4"/>
  <c r="KG5" i="4"/>
  <c r="V5" i="4"/>
  <c r="AQ5" i="4"/>
  <c r="BL5" i="4"/>
  <c r="CL5" i="4"/>
  <c r="DG5" i="4"/>
  <c r="EG5" i="4"/>
  <c r="FB5" i="4"/>
  <c r="GB5" i="4"/>
  <c r="GW5" i="4"/>
  <c r="HW5" i="4"/>
  <c r="IR5" i="4"/>
  <c r="JR5" i="4"/>
  <c r="W5" i="4"/>
  <c r="AR5" i="4"/>
  <c r="BR5" i="4"/>
  <c r="CM5" i="4"/>
  <c r="DH5" i="4"/>
  <c r="EH5" i="4"/>
  <c r="FC5" i="4"/>
  <c r="GC5" i="4"/>
  <c r="GX5" i="4"/>
  <c r="HX5" i="4"/>
  <c r="IS5" i="4"/>
  <c r="JS5" i="4"/>
  <c r="X5" i="4"/>
  <c r="AS5" i="4"/>
  <c r="BS5" i="4"/>
  <c r="CN5" i="4"/>
  <c r="DN5" i="4"/>
  <c r="EI5" i="4"/>
  <c r="FD5" i="4"/>
  <c r="GD5" i="4"/>
  <c r="GY5" i="4"/>
  <c r="HY5" i="4"/>
  <c r="IT5" i="4"/>
  <c r="JT5" i="4"/>
  <c r="Y5" i="4"/>
  <c r="AT5" i="4"/>
  <c r="BT5" i="4"/>
  <c r="CO5" i="4"/>
  <c r="DO5" i="4"/>
  <c r="EJ5" i="4"/>
  <c r="FJ5" i="4"/>
  <c r="GE5" i="4"/>
  <c r="GZ5" i="4"/>
  <c r="HZ5" i="4"/>
  <c r="IU5" i="4"/>
  <c r="JU5" i="4"/>
  <c r="Z5" i="4"/>
  <c r="AU5" i="4"/>
  <c r="BU5" i="4"/>
  <c r="CP5" i="4"/>
  <c r="DP5" i="4"/>
  <c r="EK5" i="4"/>
  <c r="FK5" i="4"/>
  <c r="GF5" i="4"/>
  <c r="HF5" i="4"/>
  <c r="IA5" i="4"/>
  <c r="IV5" i="4"/>
  <c r="JV5" i="4"/>
  <c r="AB5" i="4"/>
  <c r="BB5" i="4"/>
  <c r="BW5" i="4"/>
  <c r="CR5" i="4"/>
  <c r="DR5" i="4"/>
  <c r="EM5" i="4"/>
  <c r="FM5" i="4"/>
  <c r="GH5" i="4"/>
  <c r="HH5" i="4"/>
  <c r="IC5" i="4"/>
  <c r="JC5" i="4"/>
  <c r="JX5" i="4"/>
  <c r="M5" i="4"/>
  <c r="BD5" i="4"/>
  <c r="CJ5" i="4"/>
  <c r="DV5" i="4"/>
  <c r="FL5" i="4"/>
  <c r="GS5" i="4"/>
  <c r="IE5" i="4"/>
  <c r="JK5" i="4"/>
  <c r="N5" i="4"/>
  <c r="BE5" i="4"/>
  <c r="CK5" i="4"/>
  <c r="DW5" i="4"/>
  <c r="FN5" i="4"/>
  <c r="GT5" i="4"/>
  <c r="IF5" i="4"/>
  <c r="JL5" i="4"/>
  <c r="O5" i="4"/>
  <c r="BF5" i="4"/>
  <c r="CQ5" i="4"/>
  <c r="DX5" i="4"/>
  <c r="FO5" i="4"/>
  <c r="GU5" i="4"/>
  <c r="IL5" i="4"/>
  <c r="JW5" i="4"/>
  <c r="P5" i="4"/>
  <c r="BG5" i="4"/>
  <c r="CX5" i="4"/>
  <c r="ED5" i="4"/>
  <c r="FP5" i="4"/>
  <c r="GV5" i="4"/>
  <c r="IM5" i="4"/>
  <c r="JY5" i="4"/>
  <c r="AA5" i="4"/>
  <c r="BH5" i="4"/>
  <c r="CY5" i="4"/>
  <c r="EE5" i="4"/>
  <c r="FQ5" i="4"/>
  <c r="HG5" i="4"/>
  <c r="IN5" i="4"/>
  <c r="JZ5" i="4"/>
  <c r="AD5" i="4"/>
  <c r="BJ5" i="4"/>
  <c r="DA5" i="4"/>
  <c r="EL5" i="4"/>
  <c r="FS5" i="4"/>
  <c r="HJ5" i="4"/>
  <c r="IP5" i="4"/>
  <c r="KB5" i="4"/>
  <c r="BI5" i="4"/>
  <c r="DQ5" i="4"/>
  <c r="FZ5" i="4"/>
  <c r="IB5" i="4"/>
  <c r="BK5" i="4"/>
  <c r="DS5" i="4"/>
  <c r="GA5" i="4"/>
  <c r="ID5" i="4"/>
  <c r="I5" i="4"/>
  <c r="BV5" i="4"/>
  <c r="DT5" i="4"/>
  <c r="GG5" i="4"/>
  <c r="IO5" i="4"/>
  <c r="J5" i="4"/>
  <c r="BX5" i="4"/>
  <c r="DU5" i="4"/>
  <c r="GI5" i="4"/>
  <c r="IQ5" i="4"/>
  <c r="K5" i="4"/>
  <c r="BY5" i="4"/>
  <c r="EF5" i="4"/>
  <c r="GJ5" i="4"/>
  <c r="JB5" i="4"/>
  <c r="AC5" i="4"/>
  <c r="CA5" i="4"/>
  <c r="ET5" i="4"/>
  <c r="GQ5" i="4"/>
  <c r="JE5" i="4"/>
  <c r="CZ5" i="4"/>
  <c r="GP5" i="4"/>
  <c r="KA5" i="4"/>
  <c r="DB5" i="4"/>
  <c r="GR5" i="4"/>
  <c r="KH5" i="4"/>
  <c r="L5" i="4"/>
  <c r="DC5" i="4"/>
  <c r="HI5" i="4"/>
  <c r="KI5" i="4"/>
  <c r="AE5" i="4"/>
  <c r="DD5" i="4"/>
  <c r="HK5" i="4"/>
  <c r="AF5" i="4"/>
  <c r="DE5" i="4"/>
  <c r="HL5" i="4"/>
  <c r="AM5" i="4"/>
  <c r="EN5" i="4"/>
  <c r="HN5" i="4"/>
  <c r="AO5" i="4"/>
  <c r="FR5" i="4"/>
  <c r="AP5" i="4"/>
  <c r="FT5" i="4"/>
  <c r="AV5" i="4"/>
  <c r="HM5" i="4"/>
  <c r="BC5" i="4"/>
  <c r="HO5" i="4"/>
  <c r="BZ5" i="4"/>
  <c r="HP5" i="4"/>
  <c r="CH5" i="4"/>
  <c r="JD5" i="4"/>
  <c r="DF5" i="4"/>
  <c r="EU5" i="4"/>
  <c r="EV5" i="4"/>
  <c r="EW5" i="4"/>
  <c r="EX5" i="4"/>
  <c r="EZ5" i="4"/>
  <c r="JI5" i="4"/>
  <c r="JJ5" i="4"/>
  <c r="AL5" i="4"/>
  <c r="CB5" i="4"/>
  <c r="HV5" i="4"/>
  <c r="JF5" i="4"/>
  <c r="JG5" i="4"/>
  <c r="JH5" i="4"/>
  <c r="AN5" i="4"/>
  <c r="EY5" i="4"/>
  <c r="CI5" i="4"/>
  <c r="FA5" i="4"/>
  <c r="P82" i="4"/>
  <c r="AF82" i="4"/>
  <c r="AV82" i="4"/>
  <c r="BL82" i="4"/>
  <c r="CB82" i="4"/>
  <c r="CR82" i="4"/>
  <c r="DH82" i="4"/>
  <c r="DX82" i="4"/>
  <c r="EN82" i="4"/>
  <c r="FD82" i="4"/>
  <c r="FT82" i="4"/>
  <c r="GJ82" i="4"/>
  <c r="GZ82" i="4"/>
  <c r="HP82" i="4"/>
  <c r="IF82" i="4"/>
  <c r="IV82" i="4"/>
  <c r="JL82" i="4"/>
  <c r="KB82" i="4"/>
  <c r="Q82" i="4"/>
  <c r="AG82" i="4"/>
  <c r="AW82" i="4"/>
  <c r="BM82" i="4"/>
  <c r="CC82" i="4"/>
  <c r="CS82" i="4"/>
  <c r="DI82" i="4"/>
  <c r="DY82" i="4"/>
  <c r="EO82" i="4"/>
  <c r="FE82" i="4"/>
  <c r="FU82" i="4"/>
  <c r="GK82" i="4"/>
  <c r="HA82" i="4"/>
  <c r="HQ82" i="4"/>
  <c r="IG82" i="4"/>
  <c r="IW82" i="4"/>
  <c r="JM82" i="4"/>
  <c r="KC82" i="4"/>
  <c r="R82" i="4"/>
  <c r="AH82" i="4"/>
  <c r="AX82" i="4"/>
  <c r="BN82" i="4"/>
  <c r="CD82" i="4"/>
  <c r="CT82" i="4"/>
  <c r="DJ82" i="4"/>
  <c r="DZ82" i="4"/>
  <c r="EP82" i="4"/>
  <c r="FF82" i="4"/>
  <c r="FV82" i="4"/>
  <c r="GL82" i="4"/>
  <c r="HB82" i="4"/>
  <c r="HR82" i="4"/>
  <c r="IH82" i="4"/>
  <c r="IX82" i="4"/>
  <c r="JN82" i="4"/>
  <c r="KD82" i="4"/>
  <c r="S82" i="4"/>
  <c r="AI82" i="4"/>
  <c r="AY82" i="4"/>
  <c r="BO82" i="4"/>
  <c r="CE82" i="4"/>
  <c r="CU82" i="4"/>
  <c r="DK82" i="4"/>
  <c r="EA82" i="4"/>
  <c r="EQ82" i="4"/>
  <c r="FG82" i="4"/>
  <c r="FW82" i="4"/>
  <c r="GM82" i="4"/>
  <c r="HC82" i="4"/>
  <c r="V82" i="4"/>
  <c r="AL82" i="4"/>
  <c r="BB82" i="4"/>
  <c r="BR82" i="4"/>
  <c r="CH82" i="4"/>
  <c r="CX82" i="4"/>
  <c r="DN82" i="4"/>
  <c r="ED82" i="4"/>
  <c r="ET82" i="4"/>
  <c r="FJ82" i="4"/>
  <c r="FZ82" i="4"/>
  <c r="GP82" i="4"/>
  <c r="HF82" i="4"/>
  <c r="HV82" i="4"/>
  <c r="IL82" i="4"/>
  <c r="JB82" i="4"/>
  <c r="JR82" i="4"/>
  <c r="KH82" i="4"/>
  <c r="O82" i="4"/>
  <c r="AO82" i="4"/>
  <c r="BJ82" i="4"/>
  <c r="CJ82" i="4"/>
  <c r="DE82" i="4"/>
  <c r="EE82" i="4"/>
  <c r="EZ82" i="4"/>
  <c r="FY82" i="4"/>
  <c r="GU82" i="4"/>
  <c r="HS82" i="4"/>
  <c r="IN82" i="4"/>
  <c r="JH82" i="4"/>
  <c r="KE82" i="4"/>
  <c r="T82" i="4"/>
  <c r="AP82" i="4"/>
  <c r="BK82" i="4"/>
  <c r="CK82" i="4"/>
  <c r="DF82" i="4"/>
  <c r="EF82" i="4"/>
  <c r="FA82" i="4"/>
  <c r="GA82" i="4"/>
  <c r="GV82" i="4"/>
  <c r="HT82" i="4"/>
  <c r="IO82" i="4"/>
  <c r="JI82" i="4"/>
  <c r="KF82" i="4"/>
  <c r="U82" i="4"/>
  <c r="AQ82" i="4"/>
  <c r="BP82" i="4"/>
  <c r="CL82" i="4"/>
  <c r="DG82" i="4"/>
  <c r="EG82" i="4"/>
  <c r="FB82" i="4"/>
  <c r="GB82" i="4"/>
  <c r="GW82" i="4"/>
  <c r="HU82" i="4"/>
  <c r="IP82" i="4"/>
  <c r="JJ82" i="4"/>
  <c r="KG82" i="4"/>
  <c r="W82" i="4"/>
  <c r="AR82" i="4"/>
  <c r="BQ82" i="4"/>
  <c r="CM82" i="4"/>
  <c r="DL82" i="4"/>
  <c r="EH82" i="4"/>
  <c r="FC82" i="4"/>
  <c r="GC82" i="4"/>
  <c r="GX82" i="4"/>
  <c r="HW82" i="4"/>
  <c r="IQ82" i="4"/>
  <c r="JK82" i="4"/>
  <c r="KI82" i="4"/>
  <c r="X82" i="4"/>
  <c r="AS82" i="4"/>
  <c r="BS82" i="4"/>
  <c r="CN82" i="4"/>
  <c r="DM82" i="4"/>
  <c r="EI82" i="4"/>
  <c r="FH82" i="4"/>
  <c r="GD82" i="4"/>
  <c r="GY82" i="4"/>
  <c r="HX82" i="4"/>
  <c r="IR82" i="4"/>
  <c r="JO82" i="4"/>
  <c r="Z82" i="4"/>
  <c r="AU82" i="4"/>
  <c r="BU82" i="4"/>
  <c r="CP82" i="4"/>
  <c r="DP82" i="4"/>
  <c r="EK82" i="4"/>
  <c r="FK82" i="4"/>
  <c r="GF82" i="4"/>
  <c r="HE82" i="4"/>
  <c r="HZ82" i="4"/>
  <c r="IT82" i="4"/>
  <c r="JQ82" i="4"/>
  <c r="AM82" i="4"/>
  <c r="BY82" i="4"/>
  <c r="DO82" i="4"/>
  <c r="EV82" i="4"/>
  <c r="GH82" i="4"/>
  <c r="HN82" i="4"/>
  <c r="JA82" i="4"/>
  <c r="AN82" i="4"/>
  <c r="BZ82" i="4"/>
  <c r="DQ82" i="4"/>
  <c r="EW82" i="4"/>
  <c r="GI82" i="4"/>
  <c r="HO82" i="4"/>
  <c r="JC82" i="4"/>
  <c r="I82" i="4"/>
  <c r="AT82" i="4"/>
  <c r="CA82" i="4"/>
  <c r="DR82" i="4"/>
  <c r="EX82" i="4"/>
  <c r="GN82" i="4"/>
  <c r="HY82" i="4"/>
  <c r="JD82" i="4"/>
  <c r="J82" i="4"/>
  <c r="AZ82" i="4"/>
  <c r="CF82" i="4"/>
  <c r="DS82" i="4"/>
  <c r="EY82" i="4"/>
  <c r="GO82" i="4"/>
  <c r="IA82" i="4"/>
  <c r="JE82" i="4"/>
  <c r="K82" i="4"/>
  <c r="BA82" i="4"/>
  <c r="CG82" i="4"/>
  <c r="DT82" i="4"/>
  <c r="FI82" i="4"/>
  <c r="GQ82" i="4"/>
  <c r="IB82" i="4"/>
  <c r="JF82" i="4"/>
  <c r="M82" i="4"/>
  <c r="BD82" i="4"/>
  <c r="CO82" i="4"/>
  <c r="DV82" i="4"/>
  <c r="FM82" i="4"/>
  <c r="GS82" i="4"/>
  <c r="ID82" i="4"/>
  <c r="JP82" i="4"/>
  <c r="AB82" i="4"/>
  <c r="CI82" i="4"/>
  <c r="EM82" i="4"/>
  <c r="HD82" i="4"/>
  <c r="IY82" i="4"/>
  <c r="AC82" i="4"/>
  <c r="CQ82" i="4"/>
  <c r="ER82" i="4"/>
  <c r="HG82" i="4"/>
  <c r="IZ82" i="4"/>
  <c r="AD82" i="4"/>
  <c r="CV82" i="4"/>
  <c r="ES82" i="4"/>
  <c r="HH82" i="4"/>
  <c r="JG82" i="4"/>
  <c r="AE82" i="4"/>
  <c r="CW82" i="4"/>
  <c r="EU82" i="4"/>
  <c r="HI82" i="4"/>
  <c r="JS82" i="4"/>
  <c r="AJ82" i="4"/>
  <c r="CY82" i="4"/>
  <c r="FL82" i="4"/>
  <c r="HJ82" i="4"/>
  <c r="JT82" i="4"/>
  <c r="BC82" i="4"/>
  <c r="DA82" i="4"/>
  <c r="FO82" i="4"/>
  <c r="HL82" i="4"/>
  <c r="JV82" i="4"/>
  <c r="BW82" i="4"/>
  <c r="FS82" i="4"/>
  <c r="JU82" i="4"/>
  <c r="BX82" i="4"/>
  <c r="FX82" i="4"/>
  <c r="JW82" i="4"/>
  <c r="CZ82" i="4"/>
  <c r="GE82" i="4"/>
  <c r="JX82" i="4"/>
  <c r="DB82" i="4"/>
  <c r="GG82" i="4"/>
  <c r="JY82" i="4"/>
  <c r="L82" i="4"/>
  <c r="DC82" i="4"/>
  <c r="GR82" i="4"/>
  <c r="JZ82" i="4"/>
  <c r="Y82" i="4"/>
  <c r="DU82" i="4"/>
  <c r="HK82" i="4"/>
  <c r="BF82" i="4"/>
  <c r="GT82" i="4"/>
  <c r="BG82" i="4"/>
  <c r="HM82" i="4"/>
  <c r="BH82" i="4"/>
  <c r="IC82" i="4"/>
  <c r="BI82" i="4"/>
  <c r="IE82" i="4"/>
  <c r="BT82" i="4"/>
  <c r="II82" i="4"/>
  <c r="DD82" i="4"/>
  <c r="IK82" i="4"/>
  <c r="BV82" i="4"/>
  <c r="DW82" i="4"/>
  <c r="EB82" i="4"/>
  <c r="EC82" i="4"/>
  <c r="EJ82" i="4"/>
  <c r="FN82" i="4"/>
  <c r="EL82" i="4"/>
  <c r="FP82" i="4"/>
  <c r="FQ82" i="4"/>
  <c r="FR82" i="4"/>
  <c r="IJ82" i="4"/>
  <c r="IM82" i="4"/>
  <c r="BE82" i="4"/>
  <c r="IU82" i="4"/>
  <c r="KA82" i="4"/>
  <c r="N82" i="4"/>
  <c r="AA82" i="4"/>
  <c r="AK82" i="4"/>
  <c r="IS82" i="4"/>
  <c r="R110" i="4"/>
  <c r="AH110" i="4"/>
  <c r="AX110" i="4"/>
  <c r="BN110" i="4"/>
  <c r="CD110" i="4"/>
  <c r="CT110" i="4"/>
  <c r="DJ110" i="4"/>
  <c r="DZ110" i="4"/>
  <c r="EP110" i="4"/>
  <c r="FF110" i="4"/>
  <c r="FV110" i="4"/>
  <c r="GL110" i="4"/>
  <c r="HB110" i="4"/>
  <c r="HR110" i="4"/>
  <c r="IH110" i="4"/>
  <c r="IX110" i="4"/>
  <c r="JN110" i="4"/>
  <c r="KD110" i="4"/>
  <c r="K110" i="4"/>
  <c r="AB110" i="4"/>
  <c r="AS110" i="4"/>
  <c r="BJ110" i="4"/>
  <c r="CA110" i="4"/>
  <c r="CR110" i="4"/>
  <c r="DI110" i="4"/>
  <c r="EA110" i="4"/>
  <c r="ER110" i="4"/>
  <c r="FI110" i="4"/>
  <c r="FZ110" i="4"/>
  <c r="GQ110" i="4"/>
  <c r="HH110" i="4"/>
  <c r="HY110" i="4"/>
  <c r="IP110" i="4"/>
  <c r="JG110" i="4"/>
  <c r="JX110" i="4"/>
  <c r="L110" i="4"/>
  <c r="AC110" i="4"/>
  <c r="AT110" i="4"/>
  <c r="BK110" i="4"/>
  <c r="CB110" i="4"/>
  <c r="CS110" i="4"/>
  <c r="DK110" i="4"/>
  <c r="EB110" i="4"/>
  <c r="ES110" i="4"/>
  <c r="FJ110" i="4"/>
  <c r="GA110" i="4"/>
  <c r="GR110" i="4"/>
  <c r="HI110" i="4"/>
  <c r="HZ110" i="4"/>
  <c r="IQ110" i="4"/>
  <c r="JH110" i="4"/>
  <c r="JY110" i="4"/>
  <c r="M110" i="4"/>
  <c r="AD110" i="4"/>
  <c r="AU110" i="4"/>
  <c r="BL110" i="4"/>
  <c r="CC110" i="4"/>
  <c r="CU110" i="4"/>
  <c r="DL110" i="4"/>
  <c r="EC110" i="4"/>
  <c r="ET110" i="4"/>
  <c r="FK110" i="4"/>
  <c r="GB110" i="4"/>
  <c r="GS110" i="4"/>
  <c r="HJ110" i="4"/>
  <c r="IA110" i="4"/>
  <c r="IR110" i="4"/>
  <c r="JI110" i="4"/>
  <c r="JZ110" i="4"/>
  <c r="Q110" i="4"/>
  <c r="AI110" i="4"/>
  <c r="AZ110" i="4"/>
  <c r="BQ110" i="4"/>
  <c r="CH110" i="4"/>
  <c r="CY110" i="4"/>
  <c r="DP110" i="4"/>
  <c r="EG110" i="4"/>
  <c r="EX110" i="4"/>
  <c r="FO110" i="4"/>
  <c r="GF110" i="4"/>
  <c r="GW110" i="4"/>
  <c r="HN110" i="4"/>
  <c r="IE110" i="4"/>
  <c r="IV110" i="4"/>
  <c r="JM110" i="4"/>
  <c r="KE110" i="4"/>
  <c r="N110" i="4"/>
  <c r="AK110" i="4"/>
  <c r="BF110" i="4"/>
  <c r="CE110" i="4"/>
  <c r="DA110" i="4"/>
  <c r="DV110" i="4"/>
  <c r="EU110" i="4"/>
  <c r="FQ110" i="4"/>
  <c r="GM110" i="4"/>
  <c r="HK110" i="4"/>
  <c r="IG110" i="4"/>
  <c r="JC110" i="4"/>
  <c r="KA110" i="4"/>
  <c r="O110" i="4"/>
  <c r="AL110" i="4"/>
  <c r="BG110" i="4"/>
  <c r="CF110" i="4"/>
  <c r="DB110" i="4"/>
  <c r="DW110" i="4"/>
  <c r="EV110" i="4"/>
  <c r="FR110" i="4"/>
  <c r="GN110" i="4"/>
  <c r="HL110" i="4"/>
  <c r="II110" i="4"/>
  <c r="JD110" i="4"/>
  <c r="KB110" i="4"/>
  <c r="P110" i="4"/>
  <c r="AM110" i="4"/>
  <c r="BH110" i="4"/>
  <c r="CG110" i="4"/>
  <c r="DC110" i="4"/>
  <c r="DX110" i="4"/>
  <c r="EW110" i="4"/>
  <c r="FS110" i="4"/>
  <c r="GO110" i="4"/>
  <c r="HM110" i="4"/>
  <c r="IJ110" i="4"/>
  <c r="JE110" i="4"/>
  <c r="KC110" i="4"/>
  <c r="S110" i="4"/>
  <c r="AN110" i="4"/>
  <c r="BI110" i="4"/>
  <c r="CI110" i="4"/>
  <c r="DD110" i="4"/>
  <c r="DY110" i="4"/>
  <c r="EY110" i="4"/>
  <c r="FT110" i="4"/>
  <c r="GP110" i="4"/>
  <c r="HO110" i="4"/>
  <c r="IK110" i="4"/>
  <c r="JF110" i="4"/>
  <c r="KF110" i="4"/>
  <c r="T110" i="4"/>
  <c r="AO110" i="4"/>
  <c r="BM110" i="4"/>
  <c r="CJ110" i="4"/>
  <c r="DE110" i="4"/>
  <c r="ED110" i="4"/>
  <c r="EZ110" i="4"/>
  <c r="FU110" i="4"/>
  <c r="GT110" i="4"/>
  <c r="HP110" i="4"/>
  <c r="IL110" i="4"/>
  <c r="JJ110" i="4"/>
  <c r="KG110" i="4"/>
  <c r="V110" i="4"/>
  <c r="AQ110" i="4"/>
  <c r="BP110" i="4"/>
  <c r="CL110" i="4"/>
  <c r="DG110" i="4"/>
  <c r="EF110" i="4"/>
  <c r="FB110" i="4"/>
  <c r="FX110" i="4"/>
  <c r="GV110" i="4"/>
  <c r="HS110" i="4"/>
  <c r="IN110" i="4"/>
  <c r="JL110" i="4"/>
  <c r="KI110" i="4"/>
  <c r="AP110" i="4"/>
  <c r="BW110" i="4"/>
  <c r="DM110" i="4"/>
  <c r="EO110" i="4"/>
  <c r="GE110" i="4"/>
  <c r="HQ110" i="4"/>
  <c r="IY110" i="4"/>
  <c r="AR110" i="4"/>
  <c r="BX110" i="4"/>
  <c r="DN110" i="4"/>
  <c r="EQ110" i="4"/>
  <c r="GG110" i="4"/>
  <c r="HT110" i="4"/>
  <c r="IZ110" i="4"/>
  <c r="AV110" i="4"/>
  <c r="BY110" i="4"/>
  <c r="DO110" i="4"/>
  <c r="FA110" i="4"/>
  <c r="GH110" i="4"/>
  <c r="HU110" i="4"/>
  <c r="JA110" i="4"/>
  <c r="AW110" i="4"/>
  <c r="BZ110" i="4"/>
  <c r="DQ110" i="4"/>
  <c r="FC110" i="4"/>
  <c r="GI110" i="4"/>
  <c r="HV110" i="4"/>
  <c r="JB110" i="4"/>
  <c r="I110" i="4"/>
  <c r="AY110" i="4"/>
  <c r="CK110" i="4"/>
  <c r="DR110" i="4"/>
  <c r="FD110" i="4"/>
  <c r="GJ110" i="4"/>
  <c r="HW110" i="4"/>
  <c r="JK110" i="4"/>
  <c r="U110" i="4"/>
  <c r="BB110" i="4"/>
  <c r="CN110" i="4"/>
  <c r="DT110" i="4"/>
  <c r="FG110" i="4"/>
  <c r="GU110" i="4"/>
  <c r="IB110" i="4"/>
  <c r="JP110" i="4"/>
  <c r="AG110" i="4"/>
  <c r="CV110" i="4"/>
  <c r="FE110" i="4"/>
  <c r="HD110" i="4"/>
  <c r="JR110" i="4"/>
  <c r="AJ110" i="4"/>
  <c r="CW110" i="4"/>
  <c r="FH110" i="4"/>
  <c r="HE110" i="4"/>
  <c r="JS110" i="4"/>
  <c r="BA110" i="4"/>
  <c r="CX110" i="4"/>
  <c r="FL110" i="4"/>
  <c r="HF110" i="4"/>
  <c r="JT110" i="4"/>
  <c r="BC110" i="4"/>
  <c r="CZ110" i="4"/>
  <c r="FM110" i="4"/>
  <c r="HG110" i="4"/>
  <c r="JU110" i="4"/>
  <c r="BD110" i="4"/>
  <c r="DF110" i="4"/>
  <c r="FN110" i="4"/>
  <c r="HX110" i="4"/>
  <c r="JV110" i="4"/>
  <c r="BO110" i="4"/>
  <c r="DS110" i="4"/>
  <c r="FW110" i="4"/>
  <c r="ID110" i="4"/>
  <c r="KH110" i="4"/>
  <c r="BS110" i="4"/>
  <c r="EM110" i="4"/>
  <c r="IS110" i="4"/>
  <c r="BT110" i="4"/>
  <c r="EN110" i="4"/>
  <c r="IT110" i="4"/>
  <c r="BU110" i="4"/>
  <c r="FP110" i="4"/>
  <c r="IU110" i="4"/>
  <c r="BV110" i="4"/>
  <c r="FY110" i="4"/>
  <c r="IW110" i="4"/>
  <c r="CM110" i="4"/>
  <c r="GC110" i="4"/>
  <c r="JO110" i="4"/>
  <c r="J110" i="4"/>
  <c r="CP110" i="4"/>
  <c r="GK110" i="4"/>
  <c r="JW110" i="4"/>
  <c r="Z110" i="4"/>
  <c r="GD110" i="4"/>
  <c r="AA110" i="4"/>
  <c r="GX110" i="4"/>
  <c r="AE110" i="4"/>
  <c r="GY110" i="4"/>
  <c r="AF110" i="4"/>
  <c r="GZ110" i="4"/>
  <c r="BE110" i="4"/>
  <c r="HA110" i="4"/>
  <c r="CO110" i="4"/>
  <c r="IC110" i="4"/>
  <c r="HC110" i="4"/>
  <c r="IF110" i="4"/>
  <c r="IM110" i="4"/>
  <c r="W110" i="4"/>
  <c r="IO110" i="4"/>
  <c r="X110" i="4"/>
  <c r="JQ110" i="4"/>
  <c r="EE110" i="4"/>
  <c r="EI110" i="4"/>
  <c r="EJ110" i="4"/>
  <c r="EK110" i="4"/>
  <c r="EL110" i="4"/>
  <c r="Y110" i="4"/>
  <c r="BR110" i="4"/>
  <c r="CQ110" i="4"/>
  <c r="DH110" i="4"/>
  <c r="EH110" i="4"/>
  <c r="DU110" i="4"/>
  <c r="U46" i="4"/>
  <c r="AK46" i="4"/>
  <c r="BA46" i="4"/>
  <c r="BQ46" i="4"/>
  <c r="CG46" i="4"/>
  <c r="CW46" i="4"/>
  <c r="DM46" i="4"/>
  <c r="EC46" i="4"/>
  <c r="ES46" i="4"/>
  <c r="FI46" i="4"/>
  <c r="FY46" i="4"/>
  <c r="GO46" i="4"/>
  <c r="HE46" i="4"/>
  <c r="HU46" i="4"/>
  <c r="IK46" i="4"/>
  <c r="JA46" i="4"/>
  <c r="JQ46" i="4"/>
  <c r="KG46" i="4"/>
  <c r="W46" i="4"/>
  <c r="AN46" i="4"/>
  <c r="BE46" i="4"/>
  <c r="BV46" i="4"/>
  <c r="CM46" i="4"/>
  <c r="DD46" i="4"/>
  <c r="DU46" i="4"/>
  <c r="EL46" i="4"/>
  <c r="FC46" i="4"/>
  <c r="FT46" i="4"/>
  <c r="GK46" i="4"/>
  <c r="HB46" i="4"/>
  <c r="HS46" i="4"/>
  <c r="IJ46" i="4"/>
  <c r="JB46" i="4"/>
  <c r="JS46" i="4"/>
  <c r="X46" i="4"/>
  <c r="AO46" i="4"/>
  <c r="BF46" i="4"/>
  <c r="BW46" i="4"/>
  <c r="CN46" i="4"/>
  <c r="DE46" i="4"/>
  <c r="DV46" i="4"/>
  <c r="EM46" i="4"/>
  <c r="FD46" i="4"/>
  <c r="FU46" i="4"/>
  <c r="GL46" i="4"/>
  <c r="HC46" i="4"/>
  <c r="HT46" i="4"/>
  <c r="IL46" i="4"/>
  <c r="JC46" i="4"/>
  <c r="JT46" i="4"/>
  <c r="Y46" i="4"/>
  <c r="AP46" i="4"/>
  <c r="BG46" i="4"/>
  <c r="BX46" i="4"/>
  <c r="CO46" i="4"/>
  <c r="DF46" i="4"/>
  <c r="DW46" i="4"/>
  <c r="EN46" i="4"/>
  <c r="FE46" i="4"/>
  <c r="FV46" i="4"/>
  <c r="GM46" i="4"/>
  <c r="HD46" i="4"/>
  <c r="HV46" i="4"/>
  <c r="IM46" i="4"/>
  <c r="JD46" i="4"/>
  <c r="JU46" i="4"/>
  <c r="L46" i="4"/>
  <c r="AC46" i="4"/>
  <c r="AT46" i="4"/>
  <c r="BK46" i="4"/>
  <c r="CB46" i="4"/>
  <c r="CS46" i="4"/>
  <c r="DJ46" i="4"/>
  <c r="EA46" i="4"/>
  <c r="ER46" i="4"/>
  <c r="FJ46" i="4"/>
  <c r="GA46" i="4"/>
  <c r="GR46" i="4"/>
  <c r="HI46" i="4"/>
  <c r="HZ46" i="4"/>
  <c r="IQ46" i="4"/>
  <c r="JH46" i="4"/>
  <c r="JY46" i="4"/>
  <c r="I46" i="4"/>
  <c r="AE46" i="4"/>
  <c r="AZ46" i="4"/>
  <c r="BY46" i="4"/>
  <c r="CU46" i="4"/>
  <c r="DQ46" i="4"/>
  <c r="EO46" i="4"/>
  <c r="FL46" i="4"/>
  <c r="GG46" i="4"/>
  <c r="HF46" i="4"/>
  <c r="IB46" i="4"/>
  <c r="IW46" i="4"/>
  <c r="JV46" i="4"/>
  <c r="J46" i="4"/>
  <c r="AF46" i="4"/>
  <c r="BB46" i="4"/>
  <c r="BZ46" i="4"/>
  <c r="CV46" i="4"/>
  <c r="DR46" i="4"/>
  <c r="EP46" i="4"/>
  <c r="FM46" i="4"/>
  <c r="GH46" i="4"/>
  <c r="HG46" i="4"/>
  <c r="IC46" i="4"/>
  <c r="IX46" i="4"/>
  <c r="JW46" i="4"/>
  <c r="K46" i="4"/>
  <c r="AG46" i="4"/>
  <c r="BC46" i="4"/>
  <c r="CA46" i="4"/>
  <c r="CX46" i="4"/>
  <c r="DS46" i="4"/>
  <c r="EQ46" i="4"/>
  <c r="FN46" i="4"/>
  <c r="GI46" i="4"/>
  <c r="HH46" i="4"/>
  <c r="ID46" i="4"/>
  <c r="IY46" i="4"/>
  <c r="JX46" i="4"/>
  <c r="M46" i="4"/>
  <c r="AH46" i="4"/>
  <c r="BD46" i="4"/>
  <c r="CC46" i="4"/>
  <c r="CY46" i="4"/>
  <c r="DT46" i="4"/>
  <c r="ET46" i="4"/>
  <c r="FO46" i="4"/>
  <c r="GJ46" i="4"/>
  <c r="HJ46" i="4"/>
  <c r="IE46" i="4"/>
  <c r="IZ46" i="4"/>
  <c r="JZ46" i="4"/>
  <c r="N46" i="4"/>
  <c r="AI46" i="4"/>
  <c r="BH46" i="4"/>
  <c r="CD46" i="4"/>
  <c r="CZ46" i="4"/>
  <c r="DX46" i="4"/>
  <c r="EU46" i="4"/>
  <c r="FP46" i="4"/>
  <c r="GN46" i="4"/>
  <c r="HK46" i="4"/>
  <c r="IF46" i="4"/>
  <c r="JE46" i="4"/>
  <c r="KA46" i="4"/>
  <c r="P46" i="4"/>
  <c r="AL46" i="4"/>
  <c r="BJ46" i="4"/>
  <c r="CF46" i="4"/>
  <c r="DB46" i="4"/>
  <c r="DZ46" i="4"/>
  <c r="EW46" i="4"/>
  <c r="FR46" i="4"/>
  <c r="GQ46" i="4"/>
  <c r="HM46" i="4"/>
  <c r="IH46" i="4"/>
  <c r="JG46" i="4"/>
  <c r="KC46" i="4"/>
  <c r="AB46" i="4"/>
  <c r="BO46" i="4"/>
  <c r="DA46" i="4"/>
  <c r="EH46" i="4"/>
  <c r="FW46" i="4"/>
  <c r="GZ46" i="4"/>
  <c r="IP46" i="4"/>
  <c r="KB46" i="4"/>
  <c r="AD46" i="4"/>
  <c r="BP46" i="4"/>
  <c r="DC46" i="4"/>
  <c r="EI46" i="4"/>
  <c r="FX46" i="4"/>
  <c r="HA46" i="4"/>
  <c r="IR46" i="4"/>
  <c r="KD46" i="4"/>
  <c r="AJ46" i="4"/>
  <c r="BR46" i="4"/>
  <c r="DG46" i="4"/>
  <c r="EJ46" i="4"/>
  <c r="FZ46" i="4"/>
  <c r="HL46" i="4"/>
  <c r="IS46" i="4"/>
  <c r="KE46" i="4"/>
  <c r="AM46" i="4"/>
  <c r="BS46" i="4"/>
  <c r="DH46" i="4"/>
  <c r="EK46" i="4"/>
  <c r="GB46" i="4"/>
  <c r="HN46" i="4"/>
  <c r="IT46" i="4"/>
  <c r="KF46" i="4"/>
  <c r="AQ46" i="4"/>
  <c r="BT46" i="4"/>
  <c r="DI46" i="4"/>
  <c r="EV46" i="4"/>
  <c r="GC46" i="4"/>
  <c r="HO46" i="4"/>
  <c r="IU46" i="4"/>
  <c r="KH46" i="4"/>
  <c r="AS46" i="4"/>
  <c r="CE46" i="4"/>
  <c r="DL46" i="4"/>
  <c r="EY46" i="4"/>
  <c r="GE46" i="4"/>
  <c r="HQ46" i="4"/>
  <c r="JF46" i="4"/>
  <c r="BI46" i="4"/>
  <c r="DO46" i="4"/>
  <c r="FQ46" i="4"/>
  <c r="HY46" i="4"/>
  <c r="KI46" i="4"/>
  <c r="BL46" i="4"/>
  <c r="DP46" i="4"/>
  <c r="FS46" i="4"/>
  <c r="IA46" i="4"/>
  <c r="O46" i="4"/>
  <c r="BM46" i="4"/>
  <c r="DY46" i="4"/>
  <c r="GD46" i="4"/>
  <c r="IG46" i="4"/>
  <c r="Q46" i="4"/>
  <c r="BN46" i="4"/>
  <c r="EB46" i="4"/>
  <c r="GF46" i="4"/>
  <c r="II46" i="4"/>
  <c r="R46" i="4"/>
  <c r="BU46" i="4"/>
  <c r="ED46" i="4"/>
  <c r="GP46" i="4"/>
  <c r="IN46" i="4"/>
  <c r="T46" i="4"/>
  <c r="CI46" i="4"/>
  <c r="EF46" i="4"/>
  <c r="GT46" i="4"/>
  <c r="IV46" i="4"/>
  <c r="S46" i="4"/>
  <c r="CR46" i="4"/>
  <c r="GV46" i="4"/>
  <c r="JP46" i="4"/>
  <c r="V46" i="4"/>
  <c r="CT46" i="4"/>
  <c r="GW46" i="4"/>
  <c r="JR46" i="4"/>
  <c r="Z46" i="4"/>
  <c r="DK46" i="4"/>
  <c r="GX46" i="4"/>
  <c r="AA46" i="4"/>
  <c r="DN46" i="4"/>
  <c r="GY46" i="4"/>
  <c r="AR46" i="4"/>
  <c r="EE46" i="4"/>
  <c r="HP46" i="4"/>
  <c r="AV46" i="4"/>
  <c r="EX46" i="4"/>
  <c r="HW46" i="4"/>
  <c r="AX46" i="4"/>
  <c r="GS46" i="4"/>
  <c r="AY46" i="4"/>
  <c r="GU46" i="4"/>
  <c r="CH46" i="4"/>
  <c r="HR46" i="4"/>
  <c r="CJ46" i="4"/>
  <c r="HX46" i="4"/>
  <c r="CK46" i="4"/>
  <c r="IO46" i="4"/>
  <c r="CP46" i="4"/>
  <c r="JJ46" i="4"/>
  <c r="JI46" i="4"/>
  <c r="JK46" i="4"/>
  <c r="JL46" i="4"/>
  <c r="JM46" i="4"/>
  <c r="AU46" i="4"/>
  <c r="JN46" i="4"/>
  <c r="CL46" i="4"/>
  <c r="AW46" i="4"/>
  <c r="CQ46" i="4"/>
  <c r="EG46" i="4"/>
  <c r="FA46" i="4"/>
  <c r="EZ46" i="4"/>
  <c r="FF46" i="4"/>
  <c r="FH46" i="4"/>
  <c r="FK46" i="4"/>
  <c r="JO46" i="4"/>
  <c r="FB46" i="4"/>
  <c r="FG46" i="4"/>
  <c r="P63" i="4"/>
  <c r="AF63" i="4"/>
  <c r="AV63" i="4"/>
  <c r="BL63" i="4"/>
  <c r="CB63" i="4"/>
  <c r="CR63" i="4"/>
  <c r="DH63" i="4"/>
  <c r="DX63" i="4"/>
  <c r="EN63" i="4"/>
  <c r="FD63" i="4"/>
  <c r="FT63" i="4"/>
  <c r="GJ63" i="4"/>
  <c r="GZ63" i="4"/>
  <c r="HP63" i="4"/>
  <c r="IF63" i="4"/>
  <c r="IV63" i="4"/>
  <c r="JL63" i="4"/>
  <c r="KB63" i="4"/>
  <c r="Q63" i="4"/>
  <c r="AG63" i="4"/>
  <c r="AW63" i="4"/>
  <c r="BM63" i="4"/>
  <c r="CC63" i="4"/>
  <c r="CS63" i="4"/>
  <c r="DI63" i="4"/>
  <c r="DY63" i="4"/>
  <c r="EO63" i="4"/>
  <c r="FE63" i="4"/>
  <c r="FU63" i="4"/>
  <c r="GK63" i="4"/>
  <c r="HA63" i="4"/>
  <c r="HQ63" i="4"/>
  <c r="IG63" i="4"/>
  <c r="IW63" i="4"/>
  <c r="JM63" i="4"/>
  <c r="KC63" i="4"/>
  <c r="R63" i="4"/>
  <c r="AH63" i="4"/>
  <c r="AX63" i="4"/>
  <c r="BN63" i="4"/>
  <c r="CD63" i="4"/>
  <c r="CT63" i="4"/>
  <c r="DJ63" i="4"/>
  <c r="DZ63" i="4"/>
  <c r="EP63" i="4"/>
  <c r="FF63" i="4"/>
  <c r="FV63" i="4"/>
  <c r="GL63" i="4"/>
  <c r="HB63" i="4"/>
  <c r="HR63" i="4"/>
  <c r="IH63" i="4"/>
  <c r="IX63" i="4"/>
  <c r="JN63" i="4"/>
  <c r="KD63" i="4"/>
  <c r="V63" i="4"/>
  <c r="AL63" i="4"/>
  <c r="BB63" i="4"/>
  <c r="BR63" i="4"/>
  <c r="CH63" i="4"/>
  <c r="CX63" i="4"/>
  <c r="DN63" i="4"/>
  <c r="ED63" i="4"/>
  <c r="ET63" i="4"/>
  <c r="FJ63" i="4"/>
  <c r="FZ63" i="4"/>
  <c r="GP63" i="4"/>
  <c r="HF63" i="4"/>
  <c r="HV63" i="4"/>
  <c r="IL63" i="4"/>
  <c r="JB63" i="4"/>
  <c r="JR63" i="4"/>
  <c r="KH63" i="4"/>
  <c r="Y63" i="4"/>
  <c r="AS63" i="4"/>
  <c r="BP63" i="4"/>
  <c r="CK63" i="4"/>
  <c r="DE63" i="4"/>
  <c r="EB63" i="4"/>
  <c r="EW63" i="4"/>
  <c r="FQ63" i="4"/>
  <c r="GN63" i="4"/>
  <c r="HI63" i="4"/>
  <c r="IC63" i="4"/>
  <c r="IZ63" i="4"/>
  <c r="JU63" i="4"/>
  <c r="Z63" i="4"/>
  <c r="AT63" i="4"/>
  <c r="BQ63" i="4"/>
  <c r="CL63" i="4"/>
  <c r="DF63" i="4"/>
  <c r="EC63" i="4"/>
  <c r="EX63" i="4"/>
  <c r="FR63" i="4"/>
  <c r="GO63" i="4"/>
  <c r="HJ63" i="4"/>
  <c r="ID63" i="4"/>
  <c r="JA63" i="4"/>
  <c r="JV63" i="4"/>
  <c r="AA63" i="4"/>
  <c r="AU63" i="4"/>
  <c r="BS63" i="4"/>
  <c r="CM63" i="4"/>
  <c r="DG63" i="4"/>
  <c r="EE63" i="4"/>
  <c r="EY63" i="4"/>
  <c r="FS63" i="4"/>
  <c r="GQ63" i="4"/>
  <c r="HK63" i="4"/>
  <c r="IE63" i="4"/>
  <c r="JC63" i="4"/>
  <c r="JW63" i="4"/>
  <c r="AB63" i="4"/>
  <c r="AY63" i="4"/>
  <c r="BT63" i="4"/>
  <c r="CN63" i="4"/>
  <c r="DK63" i="4"/>
  <c r="EF63" i="4"/>
  <c r="EZ63" i="4"/>
  <c r="FW63" i="4"/>
  <c r="GR63" i="4"/>
  <c r="HL63" i="4"/>
  <c r="II63" i="4"/>
  <c r="JD63" i="4"/>
  <c r="JX63" i="4"/>
  <c r="I63" i="4"/>
  <c r="AC63" i="4"/>
  <c r="AZ63" i="4"/>
  <c r="BU63" i="4"/>
  <c r="CO63" i="4"/>
  <c r="DL63" i="4"/>
  <c r="EG63" i="4"/>
  <c r="FA63" i="4"/>
  <c r="FX63" i="4"/>
  <c r="GS63" i="4"/>
  <c r="HM63" i="4"/>
  <c r="IJ63" i="4"/>
  <c r="JE63" i="4"/>
  <c r="JY63" i="4"/>
  <c r="K63" i="4"/>
  <c r="AE63" i="4"/>
  <c r="BC63" i="4"/>
  <c r="BW63" i="4"/>
  <c r="CQ63" i="4"/>
  <c r="DO63" i="4"/>
  <c r="EI63" i="4"/>
  <c r="FC63" i="4"/>
  <c r="GA63" i="4"/>
  <c r="GU63" i="4"/>
  <c r="HO63" i="4"/>
  <c r="IM63" i="4"/>
  <c r="JG63" i="4"/>
  <c r="KA63" i="4"/>
  <c r="M63" i="4"/>
  <c r="AQ63" i="4"/>
  <c r="CA63" i="4"/>
  <c r="DM63" i="4"/>
  <c r="ER63" i="4"/>
  <c r="GC63" i="4"/>
  <c r="HG63" i="4"/>
  <c r="IQ63" i="4"/>
  <c r="JZ63" i="4"/>
  <c r="N63" i="4"/>
  <c r="AR63" i="4"/>
  <c r="CE63" i="4"/>
  <c r="DP63" i="4"/>
  <c r="ES63" i="4"/>
  <c r="GD63" i="4"/>
  <c r="HH63" i="4"/>
  <c r="IR63" i="4"/>
  <c r="KE63" i="4"/>
  <c r="O63" i="4"/>
  <c r="BA63" i="4"/>
  <c r="CF63" i="4"/>
  <c r="DQ63" i="4"/>
  <c r="EU63" i="4"/>
  <c r="GE63" i="4"/>
  <c r="HN63" i="4"/>
  <c r="IS63" i="4"/>
  <c r="KF63" i="4"/>
  <c r="S63" i="4"/>
  <c r="BD63" i="4"/>
  <c r="CG63" i="4"/>
  <c r="DR63" i="4"/>
  <c r="EV63" i="4"/>
  <c r="GF63" i="4"/>
  <c r="HS63" i="4"/>
  <c r="IT63" i="4"/>
  <c r="KG63" i="4"/>
  <c r="T63" i="4"/>
  <c r="BE63" i="4"/>
  <c r="CI63" i="4"/>
  <c r="DS63" i="4"/>
  <c r="FB63" i="4"/>
  <c r="GG63" i="4"/>
  <c r="HT63" i="4"/>
  <c r="IU63" i="4"/>
  <c r="KI63" i="4"/>
  <c r="W63" i="4"/>
  <c r="BG63" i="4"/>
  <c r="CP63" i="4"/>
  <c r="DU63" i="4"/>
  <c r="FH63" i="4"/>
  <c r="GI63" i="4"/>
  <c r="HW63" i="4"/>
  <c r="JF63" i="4"/>
  <c r="AD63" i="4"/>
  <c r="BY63" i="4"/>
  <c r="EH63" i="4"/>
  <c r="GH63" i="4"/>
  <c r="IK63" i="4"/>
  <c r="AI63" i="4"/>
  <c r="BZ63" i="4"/>
  <c r="EJ63" i="4"/>
  <c r="GM63" i="4"/>
  <c r="IN63" i="4"/>
  <c r="AJ63" i="4"/>
  <c r="CJ63" i="4"/>
  <c r="EK63" i="4"/>
  <c r="GT63" i="4"/>
  <c r="IO63" i="4"/>
  <c r="AK63" i="4"/>
  <c r="CU63" i="4"/>
  <c r="EL63" i="4"/>
  <c r="GV63" i="4"/>
  <c r="IP63" i="4"/>
  <c r="AM63" i="4"/>
  <c r="CV63" i="4"/>
  <c r="EM63" i="4"/>
  <c r="GW63" i="4"/>
  <c r="IY63" i="4"/>
  <c r="AO63" i="4"/>
  <c r="CY63" i="4"/>
  <c r="FG63" i="4"/>
  <c r="GY63" i="4"/>
  <c r="JI63" i="4"/>
  <c r="BI63" i="4"/>
  <c r="EQ63" i="4"/>
  <c r="HY63" i="4"/>
  <c r="BJ63" i="4"/>
  <c r="FI63" i="4"/>
  <c r="HZ63" i="4"/>
  <c r="BK63" i="4"/>
  <c r="FK63" i="4"/>
  <c r="IA63" i="4"/>
  <c r="BO63" i="4"/>
  <c r="FL63" i="4"/>
  <c r="IB63" i="4"/>
  <c r="BV63" i="4"/>
  <c r="FM63" i="4"/>
  <c r="JH63" i="4"/>
  <c r="CW63" i="4"/>
  <c r="FO63" i="4"/>
  <c r="JK63" i="4"/>
  <c r="DT63" i="4"/>
  <c r="JP63" i="4"/>
  <c r="DV63" i="4"/>
  <c r="JQ63" i="4"/>
  <c r="J63" i="4"/>
  <c r="DW63" i="4"/>
  <c r="JS63" i="4"/>
  <c r="L63" i="4"/>
  <c r="EA63" i="4"/>
  <c r="JT63" i="4"/>
  <c r="U63" i="4"/>
  <c r="FN63" i="4"/>
  <c r="AN63" i="4"/>
  <c r="FY63" i="4"/>
  <c r="FP63" i="4"/>
  <c r="GB63" i="4"/>
  <c r="GX63" i="4"/>
  <c r="HC63" i="4"/>
  <c r="HD63" i="4"/>
  <c r="X63" i="4"/>
  <c r="HU63" i="4"/>
  <c r="JJ63" i="4"/>
  <c r="JO63" i="4"/>
  <c r="BF63" i="4"/>
  <c r="AP63" i="4"/>
  <c r="BH63" i="4"/>
  <c r="BX63" i="4"/>
  <c r="HE63" i="4"/>
  <c r="CZ63" i="4"/>
  <c r="DA63" i="4"/>
  <c r="DB63" i="4"/>
  <c r="DC63" i="4"/>
  <c r="DD63" i="4"/>
  <c r="HX63" i="4"/>
  <c r="P161" i="4"/>
  <c r="AF161" i="4"/>
  <c r="AV161" i="4"/>
  <c r="BL161" i="4"/>
  <c r="CB161" i="4"/>
  <c r="CR161" i="4"/>
  <c r="DH161" i="4"/>
  <c r="DX161" i="4"/>
  <c r="EN161" i="4"/>
  <c r="FD161" i="4"/>
  <c r="FT161" i="4"/>
  <c r="GJ161" i="4"/>
  <c r="GZ161" i="4"/>
  <c r="T161" i="4"/>
  <c r="AJ161" i="4"/>
  <c r="AZ161" i="4"/>
  <c r="BP161" i="4"/>
  <c r="CF161" i="4"/>
  <c r="CV161" i="4"/>
  <c r="DL161" i="4"/>
  <c r="EB161" i="4"/>
  <c r="ER161" i="4"/>
  <c r="FH161" i="4"/>
  <c r="FX161" i="4"/>
  <c r="GN161" i="4"/>
  <c r="HD161" i="4"/>
  <c r="HT161" i="4"/>
  <c r="IJ161" i="4"/>
  <c r="IZ161" i="4"/>
  <c r="JP161" i="4"/>
  <c r="KF161" i="4"/>
  <c r="O161" i="4"/>
  <c r="AH161" i="4"/>
  <c r="BA161" i="4"/>
  <c r="BS161" i="4"/>
  <c r="CK161" i="4"/>
  <c r="DC161" i="4"/>
  <c r="DU161" i="4"/>
  <c r="EM161" i="4"/>
  <c r="FF161" i="4"/>
  <c r="FY161" i="4"/>
  <c r="GQ161" i="4"/>
  <c r="HI161" i="4"/>
  <c r="HZ161" i="4"/>
  <c r="IQ161" i="4"/>
  <c r="JH161" i="4"/>
  <c r="JY161" i="4"/>
  <c r="Q161" i="4"/>
  <c r="AI161" i="4"/>
  <c r="BB161" i="4"/>
  <c r="BT161" i="4"/>
  <c r="CL161" i="4"/>
  <c r="DD161" i="4"/>
  <c r="DV161" i="4"/>
  <c r="EO161" i="4"/>
  <c r="FG161" i="4"/>
  <c r="FZ161" i="4"/>
  <c r="GR161" i="4"/>
  <c r="HJ161" i="4"/>
  <c r="IA161" i="4"/>
  <c r="IR161" i="4"/>
  <c r="JI161" i="4"/>
  <c r="JZ161" i="4"/>
  <c r="R161" i="4"/>
  <c r="AK161" i="4"/>
  <c r="BC161" i="4"/>
  <c r="BU161" i="4"/>
  <c r="CM161" i="4"/>
  <c r="DE161" i="4"/>
  <c r="DW161" i="4"/>
  <c r="EP161" i="4"/>
  <c r="FI161" i="4"/>
  <c r="GA161" i="4"/>
  <c r="GS161" i="4"/>
  <c r="HK161" i="4"/>
  <c r="IB161" i="4"/>
  <c r="IS161" i="4"/>
  <c r="JJ161" i="4"/>
  <c r="KA161" i="4"/>
  <c r="W161" i="4"/>
  <c r="AO161" i="4"/>
  <c r="BG161" i="4"/>
  <c r="BY161" i="4"/>
  <c r="CQ161" i="4"/>
  <c r="DJ161" i="4"/>
  <c r="EC161" i="4"/>
  <c r="EU161" i="4"/>
  <c r="FM161" i="4"/>
  <c r="GE161" i="4"/>
  <c r="GW161" i="4"/>
  <c r="HO161" i="4"/>
  <c r="IF161" i="4"/>
  <c r="IW161" i="4"/>
  <c r="JN161" i="4"/>
  <c r="KE161" i="4"/>
  <c r="M161" i="4"/>
  <c r="AN161" i="4"/>
  <c r="BK161" i="4"/>
  <c r="CI161" i="4"/>
  <c r="DI161" i="4"/>
  <c r="EG161" i="4"/>
  <c r="FC161" i="4"/>
  <c r="GD161" i="4"/>
  <c r="HB161" i="4"/>
  <c r="HX161" i="4"/>
  <c r="IV161" i="4"/>
  <c r="JS161" i="4"/>
  <c r="N161" i="4"/>
  <c r="AP161" i="4"/>
  <c r="BM161" i="4"/>
  <c r="CJ161" i="4"/>
  <c r="DK161" i="4"/>
  <c r="EH161" i="4"/>
  <c r="FE161" i="4"/>
  <c r="GF161" i="4"/>
  <c r="HC161" i="4"/>
  <c r="HY161" i="4"/>
  <c r="IX161" i="4"/>
  <c r="JT161" i="4"/>
  <c r="S161" i="4"/>
  <c r="AQ161" i="4"/>
  <c r="BN161" i="4"/>
  <c r="CN161" i="4"/>
  <c r="DM161" i="4"/>
  <c r="EI161" i="4"/>
  <c r="FJ161" i="4"/>
  <c r="GG161" i="4"/>
  <c r="HE161" i="4"/>
  <c r="IC161" i="4"/>
  <c r="IY161" i="4"/>
  <c r="JU161" i="4"/>
  <c r="U161" i="4"/>
  <c r="AR161" i="4"/>
  <c r="BO161" i="4"/>
  <c r="CO161" i="4"/>
  <c r="DN161" i="4"/>
  <c r="EJ161" i="4"/>
  <c r="FK161" i="4"/>
  <c r="GH161" i="4"/>
  <c r="HF161" i="4"/>
  <c r="ID161" i="4"/>
  <c r="JA161" i="4"/>
  <c r="JV161" i="4"/>
  <c r="V161" i="4"/>
  <c r="AS161" i="4"/>
  <c r="BQ161" i="4"/>
  <c r="CP161" i="4"/>
  <c r="DO161" i="4"/>
  <c r="EK161" i="4"/>
  <c r="FL161" i="4"/>
  <c r="GI161" i="4"/>
  <c r="HG161" i="4"/>
  <c r="IE161" i="4"/>
  <c r="JB161" i="4"/>
  <c r="JW161" i="4"/>
  <c r="Y161" i="4"/>
  <c r="AU161" i="4"/>
  <c r="BV161" i="4"/>
  <c r="CT161" i="4"/>
  <c r="DQ161" i="4"/>
  <c r="EQ161" i="4"/>
  <c r="FO161" i="4"/>
  <c r="GL161" i="4"/>
  <c r="HL161" i="4"/>
  <c r="IH161" i="4"/>
  <c r="JD161" i="4"/>
  <c r="KB161" i="4"/>
  <c r="I161" i="4"/>
  <c r="AX161" i="4"/>
  <c r="CG161" i="4"/>
  <c r="DY161" i="4"/>
  <c r="FN161" i="4"/>
  <c r="GV161" i="4"/>
  <c r="IK161" i="4"/>
  <c r="JQ161" i="4"/>
  <c r="J161" i="4"/>
  <c r="AY161" i="4"/>
  <c r="CH161" i="4"/>
  <c r="DZ161" i="4"/>
  <c r="FP161" i="4"/>
  <c r="GX161" i="4"/>
  <c r="IL161" i="4"/>
  <c r="JR161" i="4"/>
  <c r="K161" i="4"/>
  <c r="BD161" i="4"/>
  <c r="CS161" i="4"/>
  <c r="EA161" i="4"/>
  <c r="FQ161" i="4"/>
  <c r="GY161" i="4"/>
  <c r="IM161" i="4"/>
  <c r="JX161" i="4"/>
  <c r="L161" i="4"/>
  <c r="BE161" i="4"/>
  <c r="CU161" i="4"/>
  <c r="ED161" i="4"/>
  <c r="FR161" i="4"/>
  <c r="HA161" i="4"/>
  <c r="IN161" i="4"/>
  <c r="KC161" i="4"/>
  <c r="X161" i="4"/>
  <c r="BF161" i="4"/>
  <c r="CW161" i="4"/>
  <c r="EE161" i="4"/>
  <c r="FS161" i="4"/>
  <c r="HH161" i="4"/>
  <c r="IO161" i="4"/>
  <c r="KD161" i="4"/>
  <c r="AA161" i="4"/>
  <c r="BI161" i="4"/>
  <c r="CY161" i="4"/>
  <c r="EL161" i="4"/>
  <c r="FV161" i="4"/>
  <c r="HN161" i="4"/>
  <c r="IT161" i="4"/>
  <c r="KH161" i="4"/>
  <c r="AC161" i="4"/>
  <c r="CD161" i="4"/>
  <c r="EW161" i="4"/>
  <c r="HM161" i="4"/>
  <c r="JK161" i="4"/>
  <c r="AD161" i="4"/>
  <c r="CE161" i="4"/>
  <c r="EX161" i="4"/>
  <c r="HP161" i="4"/>
  <c r="JL161" i="4"/>
  <c r="AE161" i="4"/>
  <c r="CX161" i="4"/>
  <c r="EY161" i="4"/>
  <c r="HQ161" i="4"/>
  <c r="JM161" i="4"/>
  <c r="AG161" i="4"/>
  <c r="CZ161" i="4"/>
  <c r="EZ161" i="4"/>
  <c r="HR161" i="4"/>
  <c r="JO161" i="4"/>
  <c r="AL161" i="4"/>
  <c r="DA161" i="4"/>
  <c r="FA161" i="4"/>
  <c r="HS161" i="4"/>
  <c r="KG161" i="4"/>
  <c r="AT161" i="4"/>
  <c r="DF161" i="4"/>
  <c r="FU161" i="4"/>
  <c r="HV161" i="4"/>
  <c r="AM161" i="4"/>
  <c r="EF161" i="4"/>
  <c r="IG161" i="4"/>
  <c r="AW161" i="4"/>
  <c r="ES161" i="4"/>
  <c r="II161" i="4"/>
  <c r="BH161" i="4"/>
  <c r="ET161" i="4"/>
  <c r="IP161" i="4"/>
  <c r="BJ161" i="4"/>
  <c r="EV161" i="4"/>
  <c r="IU161" i="4"/>
  <c r="BR161" i="4"/>
  <c r="FB161" i="4"/>
  <c r="JC161" i="4"/>
  <c r="DT161" i="4"/>
  <c r="FW161" i="4"/>
  <c r="GB161" i="4"/>
  <c r="GC161" i="4"/>
  <c r="Z161" i="4"/>
  <c r="GK161" i="4"/>
  <c r="CC161" i="4"/>
  <c r="HU161" i="4"/>
  <c r="CA161" i="4"/>
  <c r="DB161" i="4"/>
  <c r="DG161" i="4"/>
  <c r="DP161" i="4"/>
  <c r="DS161" i="4"/>
  <c r="GU161" i="4"/>
  <c r="GO161" i="4"/>
  <c r="GP161" i="4"/>
  <c r="GT161" i="4"/>
  <c r="HW161" i="4"/>
  <c r="JE161" i="4"/>
  <c r="JF161" i="4"/>
  <c r="DR161" i="4"/>
  <c r="GM161" i="4"/>
  <c r="JG161" i="4"/>
  <c r="KI161" i="4"/>
  <c r="AB161" i="4"/>
  <c r="BW161" i="4"/>
  <c r="BX161" i="4"/>
  <c r="BZ161" i="4"/>
  <c r="R131" i="4"/>
  <c r="AH131" i="4"/>
  <c r="AX131" i="4"/>
  <c r="BN131" i="4"/>
  <c r="CD131" i="4"/>
  <c r="CT131" i="4"/>
  <c r="DJ131" i="4"/>
  <c r="DZ131" i="4"/>
  <c r="EP131" i="4"/>
  <c r="FF131" i="4"/>
  <c r="FV131" i="4"/>
  <c r="GL131" i="4"/>
  <c r="HB131" i="4"/>
  <c r="HR131" i="4"/>
  <c r="IH131" i="4"/>
  <c r="IX131" i="4"/>
  <c r="JN131" i="4"/>
  <c r="KD131" i="4"/>
  <c r="X131" i="4"/>
  <c r="AN131" i="4"/>
  <c r="BD131" i="4"/>
  <c r="BT131" i="4"/>
  <c r="CJ131" i="4"/>
  <c r="CZ131" i="4"/>
  <c r="DP131" i="4"/>
  <c r="EF131" i="4"/>
  <c r="EV131" i="4"/>
  <c r="FL131" i="4"/>
  <c r="GB131" i="4"/>
  <c r="GR131" i="4"/>
  <c r="HH131" i="4"/>
  <c r="HX131" i="4"/>
  <c r="IN131" i="4"/>
  <c r="JD131" i="4"/>
  <c r="JT131" i="4"/>
  <c r="V131" i="4"/>
  <c r="AO131" i="4"/>
  <c r="BG131" i="4"/>
  <c r="BY131" i="4"/>
  <c r="CQ131" i="4"/>
  <c r="DI131" i="4"/>
  <c r="EB131" i="4"/>
  <c r="ET131" i="4"/>
  <c r="FM131" i="4"/>
  <c r="GE131" i="4"/>
  <c r="GW131" i="4"/>
  <c r="HO131" i="4"/>
  <c r="IG131" i="4"/>
  <c r="IZ131" i="4"/>
  <c r="JR131" i="4"/>
  <c r="W131" i="4"/>
  <c r="AP131" i="4"/>
  <c r="BH131" i="4"/>
  <c r="BZ131" i="4"/>
  <c r="CR131" i="4"/>
  <c r="DK131" i="4"/>
  <c r="EC131" i="4"/>
  <c r="EU131" i="4"/>
  <c r="FN131" i="4"/>
  <c r="GF131" i="4"/>
  <c r="GX131" i="4"/>
  <c r="HP131" i="4"/>
  <c r="II131" i="4"/>
  <c r="JA131" i="4"/>
  <c r="JS131" i="4"/>
  <c r="Y131" i="4"/>
  <c r="AQ131" i="4"/>
  <c r="BI131" i="4"/>
  <c r="CA131" i="4"/>
  <c r="CS131" i="4"/>
  <c r="DL131" i="4"/>
  <c r="ED131" i="4"/>
  <c r="EW131" i="4"/>
  <c r="FO131" i="4"/>
  <c r="GG131" i="4"/>
  <c r="GY131" i="4"/>
  <c r="HQ131" i="4"/>
  <c r="IJ131" i="4"/>
  <c r="JB131" i="4"/>
  <c r="JU131" i="4"/>
  <c r="K131" i="4"/>
  <c r="AC131" i="4"/>
  <c r="AU131" i="4"/>
  <c r="BM131" i="4"/>
  <c r="CF131" i="4"/>
  <c r="CX131" i="4"/>
  <c r="DQ131" i="4"/>
  <c r="EI131" i="4"/>
  <c r="FA131" i="4"/>
  <c r="FS131" i="4"/>
  <c r="GK131" i="4"/>
  <c r="HD131" i="4"/>
  <c r="HV131" i="4"/>
  <c r="IO131" i="4"/>
  <c r="JG131" i="4"/>
  <c r="JY131" i="4"/>
  <c r="O131" i="4"/>
  <c r="AL131" i="4"/>
  <c r="BL131" i="4"/>
  <c r="CK131" i="4"/>
  <c r="DG131" i="4"/>
  <c r="EH131" i="4"/>
  <c r="FE131" i="4"/>
  <c r="GC131" i="4"/>
  <c r="HC131" i="4"/>
  <c r="IA131" i="4"/>
  <c r="IW131" i="4"/>
  <c r="JX131" i="4"/>
  <c r="P131" i="4"/>
  <c r="AM131" i="4"/>
  <c r="BO131" i="4"/>
  <c r="CL131" i="4"/>
  <c r="DH131" i="4"/>
  <c r="EJ131" i="4"/>
  <c r="FG131" i="4"/>
  <c r="GD131" i="4"/>
  <c r="HE131" i="4"/>
  <c r="IB131" i="4"/>
  <c r="IY131" i="4"/>
  <c r="JZ131" i="4"/>
  <c r="Q131" i="4"/>
  <c r="AR131" i="4"/>
  <c r="BP131" i="4"/>
  <c r="CM131" i="4"/>
  <c r="DM131" i="4"/>
  <c r="EK131" i="4"/>
  <c r="FH131" i="4"/>
  <c r="GH131" i="4"/>
  <c r="HF131" i="4"/>
  <c r="IC131" i="4"/>
  <c r="JC131" i="4"/>
  <c r="KA131" i="4"/>
  <c r="S131" i="4"/>
  <c r="AS131" i="4"/>
  <c r="BQ131" i="4"/>
  <c r="CN131" i="4"/>
  <c r="DN131" i="4"/>
  <c r="EL131" i="4"/>
  <c r="FI131" i="4"/>
  <c r="GI131" i="4"/>
  <c r="HG131" i="4"/>
  <c r="ID131" i="4"/>
  <c r="JE131" i="4"/>
  <c r="KB131" i="4"/>
  <c r="T131" i="4"/>
  <c r="AT131" i="4"/>
  <c r="BR131" i="4"/>
  <c r="CO131" i="4"/>
  <c r="DO131" i="4"/>
  <c r="EM131" i="4"/>
  <c r="FJ131" i="4"/>
  <c r="GJ131" i="4"/>
  <c r="HI131" i="4"/>
  <c r="IE131" i="4"/>
  <c r="JF131" i="4"/>
  <c r="KC131" i="4"/>
  <c r="Z131" i="4"/>
  <c r="AW131" i="4"/>
  <c r="BU131" i="4"/>
  <c r="CU131" i="4"/>
  <c r="DS131" i="4"/>
  <c r="EO131" i="4"/>
  <c r="FP131" i="4"/>
  <c r="GN131" i="4"/>
  <c r="HK131" i="4"/>
  <c r="IK131" i="4"/>
  <c r="JI131" i="4"/>
  <c r="KF131" i="4"/>
  <c r="J131" i="4"/>
  <c r="AZ131" i="4"/>
  <c r="CH131" i="4"/>
  <c r="DW131" i="4"/>
  <c r="FK131" i="4"/>
  <c r="GU131" i="4"/>
  <c r="IM131" i="4"/>
  <c r="JV131" i="4"/>
  <c r="L131" i="4"/>
  <c r="BA131" i="4"/>
  <c r="CI131" i="4"/>
  <c r="DX131" i="4"/>
  <c r="FQ131" i="4"/>
  <c r="GV131" i="4"/>
  <c r="IP131" i="4"/>
  <c r="JW131" i="4"/>
  <c r="M131" i="4"/>
  <c r="BB131" i="4"/>
  <c r="CP131" i="4"/>
  <c r="DY131" i="4"/>
  <c r="FR131" i="4"/>
  <c r="GZ131" i="4"/>
  <c r="IQ131" i="4"/>
  <c r="KE131" i="4"/>
  <c r="N131" i="4"/>
  <c r="BC131" i="4"/>
  <c r="CV131" i="4"/>
  <c r="EA131" i="4"/>
  <c r="FT131" i="4"/>
  <c r="HA131" i="4"/>
  <c r="IR131" i="4"/>
  <c r="KG131" i="4"/>
  <c r="U131" i="4"/>
  <c r="BE131" i="4"/>
  <c r="CW131" i="4"/>
  <c r="EE131" i="4"/>
  <c r="FU131" i="4"/>
  <c r="HJ131" i="4"/>
  <c r="IS131" i="4"/>
  <c r="KH131" i="4"/>
  <c r="AB131" i="4"/>
  <c r="BJ131" i="4"/>
  <c r="DA131" i="4"/>
  <c r="EN131" i="4"/>
  <c r="FX131" i="4"/>
  <c r="HM131" i="4"/>
  <c r="IU131" i="4"/>
  <c r="AJ131" i="4"/>
  <c r="DC131" i="4"/>
  <c r="FC131" i="4"/>
  <c r="HU131" i="4"/>
  <c r="KI131" i="4"/>
  <c r="AK131" i="4"/>
  <c r="DD131" i="4"/>
  <c r="FD131" i="4"/>
  <c r="HW131" i="4"/>
  <c r="AV131" i="4"/>
  <c r="DE131" i="4"/>
  <c r="FW131" i="4"/>
  <c r="HY131" i="4"/>
  <c r="AY131" i="4"/>
  <c r="DF131" i="4"/>
  <c r="FY131" i="4"/>
  <c r="HZ131" i="4"/>
  <c r="BF131" i="4"/>
  <c r="DR131" i="4"/>
  <c r="FZ131" i="4"/>
  <c r="IF131" i="4"/>
  <c r="BS131" i="4"/>
  <c r="DU131" i="4"/>
  <c r="GM131" i="4"/>
  <c r="IT131" i="4"/>
  <c r="CE131" i="4"/>
  <c r="GP131" i="4"/>
  <c r="JP131" i="4"/>
  <c r="CG131" i="4"/>
  <c r="GQ131" i="4"/>
  <c r="JQ131" i="4"/>
  <c r="CY131" i="4"/>
  <c r="GS131" i="4"/>
  <c r="I131" i="4"/>
  <c r="DB131" i="4"/>
  <c r="GT131" i="4"/>
  <c r="AA131" i="4"/>
  <c r="DT131" i="4"/>
  <c r="HL131" i="4"/>
  <c r="AE131" i="4"/>
  <c r="EG131" i="4"/>
  <c r="HS131" i="4"/>
  <c r="EX131" i="4"/>
  <c r="EY131" i="4"/>
  <c r="AD131" i="4"/>
  <c r="EZ131" i="4"/>
  <c r="AF131" i="4"/>
  <c r="FB131" i="4"/>
  <c r="AG131" i="4"/>
  <c r="GA131" i="4"/>
  <c r="CB131" i="4"/>
  <c r="JH131" i="4"/>
  <c r="BX131" i="4"/>
  <c r="CC131" i="4"/>
  <c r="DV131" i="4"/>
  <c r="EQ131" i="4"/>
  <c r="ER131" i="4"/>
  <c r="IV131" i="4"/>
  <c r="JK131" i="4"/>
  <c r="JL131" i="4"/>
  <c r="JM131" i="4"/>
  <c r="JO131" i="4"/>
  <c r="ES131" i="4"/>
  <c r="BW131" i="4"/>
  <c r="GO131" i="4"/>
  <c r="HN131" i="4"/>
  <c r="HT131" i="4"/>
  <c r="IL131" i="4"/>
  <c r="JJ131" i="4"/>
  <c r="AI131" i="4"/>
  <c r="BK131" i="4"/>
  <c r="BV131" i="4"/>
  <c r="V72" i="4"/>
  <c r="AL72" i="4"/>
  <c r="BB72" i="4"/>
  <c r="BR72" i="4"/>
  <c r="CH72" i="4"/>
  <c r="CX72" i="4"/>
  <c r="DN72" i="4"/>
  <c r="ED72" i="4"/>
  <c r="ET72" i="4"/>
  <c r="FJ72" i="4"/>
  <c r="FZ72" i="4"/>
  <c r="GP72" i="4"/>
  <c r="HF72" i="4"/>
  <c r="HV72" i="4"/>
  <c r="IL72" i="4"/>
  <c r="JB72" i="4"/>
  <c r="JR72" i="4"/>
  <c r="KH72" i="4"/>
  <c r="W72" i="4"/>
  <c r="AM72" i="4"/>
  <c r="BC72" i="4"/>
  <c r="BS72" i="4"/>
  <c r="CI72" i="4"/>
  <c r="CY72" i="4"/>
  <c r="DO72" i="4"/>
  <c r="EE72" i="4"/>
  <c r="EU72" i="4"/>
  <c r="FK72" i="4"/>
  <c r="GA72" i="4"/>
  <c r="GQ72" i="4"/>
  <c r="HG72" i="4"/>
  <c r="HW72" i="4"/>
  <c r="IM72" i="4"/>
  <c r="JC72" i="4"/>
  <c r="JS72" i="4"/>
  <c r="KI72" i="4"/>
  <c r="X72" i="4"/>
  <c r="AN72" i="4"/>
  <c r="BD72" i="4"/>
  <c r="BT72" i="4"/>
  <c r="CJ72" i="4"/>
  <c r="CZ72" i="4"/>
  <c r="DP72" i="4"/>
  <c r="EF72" i="4"/>
  <c r="EV72" i="4"/>
  <c r="FL72" i="4"/>
  <c r="GB72" i="4"/>
  <c r="GR72" i="4"/>
  <c r="HH72" i="4"/>
  <c r="HX72" i="4"/>
  <c r="IN72" i="4"/>
  <c r="JD72" i="4"/>
  <c r="JT72" i="4"/>
  <c r="I72" i="4"/>
  <c r="Y72" i="4"/>
  <c r="AO72" i="4"/>
  <c r="BE72" i="4"/>
  <c r="BU72" i="4"/>
  <c r="CK72" i="4"/>
  <c r="DA72" i="4"/>
  <c r="DQ72" i="4"/>
  <c r="EG72" i="4"/>
  <c r="EW72" i="4"/>
  <c r="FM72" i="4"/>
  <c r="GC72" i="4"/>
  <c r="GS72" i="4"/>
  <c r="HI72" i="4"/>
  <c r="HY72" i="4"/>
  <c r="IO72" i="4"/>
  <c r="JE72" i="4"/>
  <c r="JU72" i="4"/>
  <c r="J72" i="4"/>
  <c r="Z72" i="4"/>
  <c r="AP72" i="4"/>
  <c r="BF72" i="4"/>
  <c r="BV72" i="4"/>
  <c r="CL72" i="4"/>
  <c r="DB72" i="4"/>
  <c r="DR72" i="4"/>
  <c r="EH72" i="4"/>
  <c r="EX72" i="4"/>
  <c r="FN72" i="4"/>
  <c r="GD72" i="4"/>
  <c r="GT72" i="4"/>
  <c r="HJ72" i="4"/>
  <c r="HZ72" i="4"/>
  <c r="IP72" i="4"/>
  <c r="JF72" i="4"/>
  <c r="JV72" i="4"/>
  <c r="L72" i="4"/>
  <c r="AB72" i="4"/>
  <c r="AR72" i="4"/>
  <c r="BH72" i="4"/>
  <c r="BX72" i="4"/>
  <c r="CN72" i="4"/>
  <c r="DD72" i="4"/>
  <c r="DT72" i="4"/>
  <c r="EJ72" i="4"/>
  <c r="EZ72" i="4"/>
  <c r="FP72" i="4"/>
  <c r="GF72" i="4"/>
  <c r="GV72" i="4"/>
  <c r="HL72" i="4"/>
  <c r="IB72" i="4"/>
  <c r="IR72" i="4"/>
  <c r="JH72" i="4"/>
  <c r="JX72" i="4"/>
  <c r="R72" i="4"/>
  <c r="AT72" i="4"/>
  <c r="BP72" i="4"/>
  <c r="CR72" i="4"/>
  <c r="DS72" i="4"/>
  <c r="EP72" i="4"/>
  <c r="FR72" i="4"/>
  <c r="GN72" i="4"/>
  <c r="HP72" i="4"/>
  <c r="IQ72" i="4"/>
  <c r="JN72" i="4"/>
  <c r="S72" i="4"/>
  <c r="AU72" i="4"/>
  <c r="BQ72" i="4"/>
  <c r="CS72" i="4"/>
  <c r="DU72" i="4"/>
  <c r="EQ72" i="4"/>
  <c r="FS72" i="4"/>
  <c r="GO72" i="4"/>
  <c r="HQ72" i="4"/>
  <c r="IS72" i="4"/>
  <c r="JO72" i="4"/>
  <c r="T72" i="4"/>
  <c r="AV72" i="4"/>
  <c r="BW72" i="4"/>
  <c r="CT72" i="4"/>
  <c r="DV72" i="4"/>
  <c r="ER72" i="4"/>
  <c r="FT72" i="4"/>
  <c r="GU72" i="4"/>
  <c r="HR72" i="4"/>
  <c r="IT72" i="4"/>
  <c r="JP72" i="4"/>
  <c r="U72" i="4"/>
  <c r="AW72" i="4"/>
  <c r="BY72" i="4"/>
  <c r="CU72" i="4"/>
  <c r="DW72" i="4"/>
  <c r="ES72" i="4"/>
  <c r="FU72" i="4"/>
  <c r="GW72" i="4"/>
  <c r="HS72" i="4"/>
  <c r="IU72" i="4"/>
  <c r="JQ72" i="4"/>
  <c r="AA72" i="4"/>
  <c r="AX72" i="4"/>
  <c r="BZ72" i="4"/>
  <c r="CV72" i="4"/>
  <c r="DX72" i="4"/>
  <c r="EY72" i="4"/>
  <c r="FV72" i="4"/>
  <c r="GX72" i="4"/>
  <c r="HT72" i="4"/>
  <c r="IV72" i="4"/>
  <c r="JW72" i="4"/>
  <c r="AD72" i="4"/>
  <c r="AZ72" i="4"/>
  <c r="CB72" i="4"/>
  <c r="DC72" i="4"/>
  <c r="DZ72" i="4"/>
  <c r="FB72" i="4"/>
  <c r="FX72" i="4"/>
  <c r="GZ72" i="4"/>
  <c r="IA72" i="4"/>
  <c r="IX72" i="4"/>
  <c r="JZ72" i="4"/>
  <c r="N72" i="4"/>
  <c r="BG72" i="4"/>
  <c r="CP72" i="4"/>
  <c r="EI72" i="4"/>
  <c r="FW72" i="4"/>
  <c r="HK72" i="4"/>
  <c r="IZ72" i="4"/>
  <c r="O72" i="4"/>
  <c r="BI72" i="4"/>
  <c r="CQ72" i="4"/>
  <c r="EK72" i="4"/>
  <c r="FY72" i="4"/>
  <c r="HM72" i="4"/>
  <c r="JA72" i="4"/>
  <c r="P72" i="4"/>
  <c r="BJ72" i="4"/>
  <c r="CW72" i="4"/>
  <c r="EL72" i="4"/>
  <c r="GE72" i="4"/>
  <c r="HN72" i="4"/>
  <c r="JG72" i="4"/>
  <c r="Q72" i="4"/>
  <c r="BK72" i="4"/>
  <c r="DE72" i="4"/>
  <c r="EM72" i="4"/>
  <c r="GG72" i="4"/>
  <c r="HO72" i="4"/>
  <c r="JI72" i="4"/>
  <c r="AC72" i="4"/>
  <c r="BL72" i="4"/>
  <c r="DF72" i="4"/>
  <c r="EN72" i="4"/>
  <c r="GH72" i="4"/>
  <c r="HU72" i="4"/>
  <c r="JJ72" i="4"/>
  <c r="AF72" i="4"/>
  <c r="BN72" i="4"/>
  <c r="DH72" i="4"/>
  <c r="FA72" i="4"/>
  <c r="GJ72" i="4"/>
  <c r="ID72" i="4"/>
  <c r="JL72" i="4"/>
  <c r="BM72" i="4"/>
  <c r="DY72" i="4"/>
  <c r="GL72" i="4"/>
  <c r="IW72" i="4"/>
  <c r="BO72" i="4"/>
  <c r="EA72" i="4"/>
  <c r="GM72" i="4"/>
  <c r="IY72" i="4"/>
  <c r="CA72" i="4"/>
  <c r="EB72" i="4"/>
  <c r="GY72" i="4"/>
  <c r="JK72" i="4"/>
  <c r="CC72" i="4"/>
  <c r="EC72" i="4"/>
  <c r="HA72" i="4"/>
  <c r="JM72" i="4"/>
  <c r="K72" i="4"/>
  <c r="CD72" i="4"/>
  <c r="EO72" i="4"/>
  <c r="HB72" i="4"/>
  <c r="JY72" i="4"/>
  <c r="AE72" i="4"/>
  <c r="CF72" i="4"/>
  <c r="FD72" i="4"/>
  <c r="HD72" i="4"/>
  <c r="KB72" i="4"/>
  <c r="CE72" i="4"/>
  <c r="FO72" i="4"/>
  <c r="KD72" i="4"/>
  <c r="CG72" i="4"/>
  <c r="FQ72" i="4"/>
  <c r="KE72" i="4"/>
  <c r="CM72" i="4"/>
  <c r="GI72" i="4"/>
  <c r="KF72" i="4"/>
  <c r="CO72" i="4"/>
  <c r="GK72" i="4"/>
  <c r="KG72" i="4"/>
  <c r="DG72" i="4"/>
  <c r="HC72" i="4"/>
  <c r="M72" i="4"/>
  <c r="DJ72" i="4"/>
  <c r="IC72" i="4"/>
  <c r="DL72" i="4"/>
  <c r="KA72" i="4"/>
  <c r="DM72" i="4"/>
  <c r="KC72" i="4"/>
  <c r="FC72" i="4"/>
  <c r="FE72" i="4"/>
  <c r="FF72" i="4"/>
  <c r="AH72" i="4"/>
  <c r="FH72" i="4"/>
  <c r="AQ72" i="4"/>
  <c r="AS72" i="4"/>
  <c r="AY72" i="4"/>
  <c r="BA72" i="4"/>
  <c r="DI72" i="4"/>
  <c r="FG72" i="4"/>
  <c r="AJ72" i="4"/>
  <c r="AK72" i="4"/>
  <c r="DK72" i="4"/>
  <c r="FI72" i="4"/>
  <c r="HE72" i="4"/>
  <c r="IJ72" i="4"/>
  <c r="AG72" i="4"/>
  <c r="AI72" i="4"/>
  <c r="IE72" i="4"/>
  <c r="IH72" i="4"/>
  <c r="II72" i="4"/>
  <c r="IK72" i="4"/>
  <c r="IF72" i="4"/>
  <c r="IG72" i="4"/>
  <c r="M61" i="4"/>
  <c r="AC61" i="4"/>
  <c r="AS61" i="4"/>
  <c r="BI61" i="4"/>
  <c r="BY61" i="4"/>
  <c r="CO61" i="4"/>
  <c r="DE61" i="4"/>
  <c r="X61" i="4"/>
  <c r="AO61" i="4"/>
  <c r="BF61" i="4"/>
  <c r="BW61" i="4"/>
  <c r="CN61" i="4"/>
  <c r="DF61" i="4"/>
  <c r="DV61" i="4"/>
  <c r="EL61" i="4"/>
  <c r="FB61" i="4"/>
  <c r="FR61" i="4"/>
  <c r="GH61" i="4"/>
  <c r="GX61" i="4"/>
  <c r="HN61" i="4"/>
  <c r="ID61" i="4"/>
  <c r="IT61" i="4"/>
  <c r="JJ61" i="4"/>
  <c r="JZ61" i="4"/>
  <c r="Y61" i="4"/>
  <c r="AP61" i="4"/>
  <c r="BG61" i="4"/>
  <c r="BX61" i="4"/>
  <c r="CP61" i="4"/>
  <c r="DG61" i="4"/>
  <c r="DW61" i="4"/>
  <c r="EM61" i="4"/>
  <c r="FC61" i="4"/>
  <c r="FS61" i="4"/>
  <c r="GI61" i="4"/>
  <c r="GY61" i="4"/>
  <c r="HO61" i="4"/>
  <c r="IE61" i="4"/>
  <c r="IU61" i="4"/>
  <c r="JK61" i="4"/>
  <c r="KA61" i="4"/>
  <c r="I61" i="4"/>
  <c r="Z61" i="4"/>
  <c r="AQ61" i="4"/>
  <c r="BH61" i="4"/>
  <c r="BZ61" i="4"/>
  <c r="CQ61" i="4"/>
  <c r="DH61" i="4"/>
  <c r="DX61" i="4"/>
  <c r="EN61" i="4"/>
  <c r="FD61" i="4"/>
  <c r="FT61" i="4"/>
  <c r="GJ61" i="4"/>
  <c r="GZ61" i="4"/>
  <c r="HP61" i="4"/>
  <c r="IF61" i="4"/>
  <c r="IV61" i="4"/>
  <c r="JL61" i="4"/>
  <c r="KB61" i="4"/>
  <c r="N61" i="4"/>
  <c r="AE61" i="4"/>
  <c r="AV61" i="4"/>
  <c r="BM61" i="4"/>
  <c r="CD61" i="4"/>
  <c r="CU61" i="4"/>
  <c r="DL61" i="4"/>
  <c r="EB61" i="4"/>
  <c r="ER61" i="4"/>
  <c r="FH61" i="4"/>
  <c r="FX61" i="4"/>
  <c r="GN61" i="4"/>
  <c r="HD61" i="4"/>
  <c r="HT61" i="4"/>
  <c r="IJ61" i="4"/>
  <c r="IZ61" i="4"/>
  <c r="JP61" i="4"/>
  <c r="KF61" i="4"/>
  <c r="Q61" i="4"/>
  <c r="AL61" i="4"/>
  <c r="BK61" i="4"/>
  <c r="CG61" i="4"/>
  <c r="DB61" i="4"/>
  <c r="DZ61" i="4"/>
  <c r="EU61" i="4"/>
  <c r="FO61" i="4"/>
  <c r="GL61" i="4"/>
  <c r="HG61" i="4"/>
  <c r="IA61" i="4"/>
  <c r="IX61" i="4"/>
  <c r="JS61" i="4"/>
  <c r="R61" i="4"/>
  <c r="AM61" i="4"/>
  <c r="BL61" i="4"/>
  <c r="CH61" i="4"/>
  <c r="DC61" i="4"/>
  <c r="EA61" i="4"/>
  <c r="EV61" i="4"/>
  <c r="FP61" i="4"/>
  <c r="GM61" i="4"/>
  <c r="HH61" i="4"/>
  <c r="IB61" i="4"/>
  <c r="IY61" i="4"/>
  <c r="JT61" i="4"/>
  <c r="S61" i="4"/>
  <c r="AN61" i="4"/>
  <c r="BN61" i="4"/>
  <c r="CI61" i="4"/>
  <c r="DD61" i="4"/>
  <c r="EC61" i="4"/>
  <c r="EW61" i="4"/>
  <c r="FQ61" i="4"/>
  <c r="GO61" i="4"/>
  <c r="HI61" i="4"/>
  <c r="IC61" i="4"/>
  <c r="JA61" i="4"/>
  <c r="JU61" i="4"/>
  <c r="T61" i="4"/>
  <c r="AR61" i="4"/>
  <c r="BO61" i="4"/>
  <c r="CJ61" i="4"/>
  <c r="DI61" i="4"/>
  <c r="ED61" i="4"/>
  <c r="EX61" i="4"/>
  <c r="FU61" i="4"/>
  <c r="GP61" i="4"/>
  <c r="HJ61" i="4"/>
  <c r="IG61" i="4"/>
  <c r="JB61" i="4"/>
  <c r="JV61" i="4"/>
  <c r="U61" i="4"/>
  <c r="AT61" i="4"/>
  <c r="BP61" i="4"/>
  <c r="CK61" i="4"/>
  <c r="DJ61" i="4"/>
  <c r="EE61" i="4"/>
  <c r="EY61" i="4"/>
  <c r="FV61" i="4"/>
  <c r="GQ61" i="4"/>
  <c r="HK61" i="4"/>
  <c r="IH61" i="4"/>
  <c r="JC61" i="4"/>
  <c r="JW61" i="4"/>
  <c r="W61" i="4"/>
  <c r="AW61" i="4"/>
  <c r="BR61" i="4"/>
  <c r="CM61" i="4"/>
  <c r="DM61" i="4"/>
  <c r="EG61" i="4"/>
  <c r="FA61" i="4"/>
  <c r="FY61" i="4"/>
  <c r="GS61" i="4"/>
  <c r="HM61" i="4"/>
  <c r="IK61" i="4"/>
  <c r="JE61" i="4"/>
  <c r="JY61" i="4"/>
  <c r="AH61" i="4"/>
  <c r="BT61" i="4"/>
  <c r="CZ61" i="4"/>
  <c r="EK61" i="4"/>
  <c r="FW61" i="4"/>
  <c r="HB61" i="4"/>
  <c r="IM61" i="4"/>
  <c r="JQ61" i="4"/>
  <c r="AI61" i="4"/>
  <c r="BU61" i="4"/>
  <c r="DA61" i="4"/>
  <c r="EO61" i="4"/>
  <c r="FZ61" i="4"/>
  <c r="HC61" i="4"/>
  <c r="IN61" i="4"/>
  <c r="JR61" i="4"/>
  <c r="AJ61" i="4"/>
  <c r="BV61" i="4"/>
  <c r="DK61" i="4"/>
  <c r="EP61" i="4"/>
  <c r="GA61" i="4"/>
  <c r="HE61" i="4"/>
  <c r="IO61" i="4"/>
  <c r="JX61" i="4"/>
  <c r="AK61" i="4"/>
  <c r="CA61" i="4"/>
  <c r="DN61" i="4"/>
  <c r="EQ61" i="4"/>
  <c r="GB61" i="4"/>
  <c r="HF61" i="4"/>
  <c r="IP61" i="4"/>
  <c r="KC61" i="4"/>
  <c r="AU61" i="4"/>
  <c r="CB61" i="4"/>
  <c r="DO61" i="4"/>
  <c r="ES61" i="4"/>
  <c r="GC61" i="4"/>
  <c r="HL61" i="4"/>
  <c r="IQ61" i="4"/>
  <c r="KD61" i="4"/>
  <c r="K61" i="4"/>
  <c r="AY61" i="4"/>
  <c r="CE61" i="4"/>
  <c r="DQ61" i="4"/>
  <c r="EZ61" i="4"/>
  <c r="GE61" i="4"/>
  <c r="HR61" i="4"/>
  <c r="IS61" i="4"/>
  <c r="KG61" i="4"/>
  <c r="BA61" i="4"/>
  <c r="CX61" i="4"/>
  <c r="FI61" i="4"/>
  <c r="HQ61" i="4"/>
  <c r="JI61" i="4"/>
  <c r="BB61" i="4"/>
  <c r="CY61" i="4"/>
  <c r="FJ61" i="4"/>
  <c r="HS61" i="4"/>
  <c r="JM61" i="4"/>
  <c r="BC61" i="4"/>
  <c r="DP61" i="4"/>
  <c r="FK61" i="4"/>
  <c r="HU61" i="4"/>
  <c r="JN61" i="4"/>
  <c r="BD61" i="4"/>
  <c r="DR61" i="4"/>
  <c r="FL61" i="4"/>
  <c r="HV61" i="4"/>
  <c r="JO61" i="4"/>
  <c r="J61" i="4"/>
  <c r="BE61" i="4"/>
  <c r="DS61" i="4"/>
  <c r="FM61" i="4"/>
  <c r="HW61" i="4"/>
  <c r="KE61" i="4"/>
  <c r="O61" i="4"/>
  <c r="BQ61" i="4"/>
  <c r="DU61" i="4"/>
  <c r="GD61" i="4"/>
  <c r="HY61" i="4"/>
  <c r="KI61" i="4"/>
  <c r="V61" i="4"/>
  <c r="CV61" i="4"/>
  <c r="GR61" i="4"/>
  <c r="KH61" i="4"/>
  <c r="AA61" i="4"/>
  <c r="CW61" i="4"/>
  <c r="GT61" i="4"/>
  <c r="AB61" i="4"/>
  <c r="DT61" i="4"/>
  <c r="GU61" i="4"/>
  <c r="AD61" i="4"/>
  <c r="DY61" i="4"/>
  <c r="GV61" i="4"/>
  <c r="AF61" i="4"/>
  <c r="EF61" i="4"/>
  <c r="GW61" i="4"/>
  <c r="AX61" i="4"/>
  <c r="EI61" i="4"/>
  <c r="HX61" i="4"/>
  <c r="ET61" i="4"/>
  <c r="JG61" i="4"/>
  <c r="FE61" i="4"/>
  <c r="JH61" i="4"/>
  <c r="L61" i="4"/>
  <c r="FF61" i="4"/>
  <c r="P61" i="4"/>
  <c r="FG61" i="4"/>
  <c r="AG61" i="4"/>
  <c r="FN61" i="4"/>
  <c r="BJ61" i="4"/>
  <c r="GG61" i="4"/>
  <c r="CC61" i="4"/>
  <c r="JD61" i="4"/>
  <c r="CF61" i="4"/>
  <c r="JF61" i="4"/>
  <c r="CL61" i="4"/>
  <c r="CR61" i="4"/>
  <c r="CS61" i="4"/>
  <c r="EH61" i="4"/>
  <c r="CT61" i="4"/>
  <c r="EJ61" i="4"/>
  <c r="GF61" i="4"/>
  <c r="GK61" i="4"/>
  <c r="HA61" i="4"/>
  <c r="II61" i="4"/>
  <c r="IR61" i="4"/>
  <c r="BS61" i="4"/>
  <c r="AZ61" i="4"/>
  <c r="IL61" i="4"/>
  <c r="IW61" i="4"/>
  <c r="HZ61" i="4"/>
  <c r="I13" i="4"/>
  <c r="Y13" i="4"/>
  <c r="AO13" i="4"/>
  <c r="BE13" i="4"/>
  <c r="BU13" i="4"/>
  <c r="CK13" i="4"/>
  <c r="DA13" i="4"/>
  <c r="DQ13" i="4"/>
  <c r="EG13" i="4"/>
  <c r="EW13" i="4"/>
  <c r="FM13" i="4"/>
  <c r="GC13" i="4"/>
  <c r="GS13" i="4"/>
  <c r="HI13" i="4"/>
  <c r="HY13" i="4"/>
  <c r="IO13" i="4"/>
  <c r="JE13" i="4"/>
  <c r="JU13" i="4"/>
  <c r="J13" i="4"/>
  <c r="Z13" i="4"/>
  <c r="AP13" i="4"/>
  <c r="BF13" i="4"/>
  <c r="BV13" i="4"/>
  <c r="CL13" i="4"/>
  <c r="DB13" i="4"/>
  <c r="DR13" i="4"/>
  <c r="EH13" i="4"/>
  <c r="EX13" i="4"/>
  <c r="FN13" i="4"/>
  <c r="GD13" i="4"/>
  <c r="GT13" i="4"/>
  <c r="HJ13" i="4"/>
  <c r="HZ13" i="4"/>
  <c r="IP13" i="4"/>
  <c r="JF13" i="4"/>
  <c r="JV13" i="4"/>
  <c r="K13" i="4"/>
  <c r="AA13" i="4"/>
  <c r="AQ13" i="4"/>
  <c r="BG13" i="4"/>
  <c r="BW13" i="4"/>
  <c r="CM13" i="4"/>
  <c r="DC13" i="4"/>
  <c r="DS13" i="4"/>
  <c r="EI13" i="4"/>
  <c r="EY13" i="4"/>
  <c r="FO13" i="4"/>
  <c r="GE13" i="4"/>
  <c r="GU13" i="4"/>
  <c r="HK13" i="4"/>
  <c r="IA13" i="4"/>
  <c r="IQ13" i="4"/>
  <c r="JG13" i="4"/>
  <c r="JW13" i="4"/>
  <c r="M13" i="4"/>
  <c r="AC13" i="4"/>
  <c r="AS13" i="4"/>
  <c r="BI13" i="4"/>
  <c r="BY13" i="4"/>
  <c r="CO13" i="4"/>
  <c r="DE13" i="4"/>
  <c r="DU13" i="4"/>
  <c r="EK13" i="4"/>
  <c r="FA13" i="4"/>
  <c r="FQ13" i="4"/>
  <c r="GG13" i="4"/>
  <c r="GW13" i="4"/>
  <c r="HM13" i="4"/>
  <c r="IC13" i="4"/>
  <c r="IS13" i="4"/>
  <c r="JI13" i="4"/>
  <c r="JY13" i="4"/>
  <c r="AE13" i="4"/>
  <c r="AY13" i="4"/>
  <c r="BS13" i="4"/>
  <c r="CQ13" i="4"/>
  <c r="DK13" i="4"/>
  <c r="EE13" i="4"/>
  <c r="FC13" i="4"/>
  <c r="FW13" i="4"/>
  <c r="GQ13" i="4"/>
  <c r="HO13" i="4"/>
  <c r="II13" i="4"/>
  <c r="JC13" i="4"/>
  <c r="KA13" i="4"/>
  <c r="AF13" i="4"/>
  <c r="AZ13" i="4"/>
  <c r="BT13" i="4"/>
  <c r="CR13" i="4"/>
  <c r="DL13" i="4"/>
  <c r="EF13" i="4"/>
  <c r="FD13" i="4"/>
  <c r="FX13" i="4"/>
  <c r="GR13" i="4"/>
  <c r="HP13" i="4"/>
  <c r="IJ13" i="4"/>
  <c r="JD13" i="4"/>
  <c r="KB13" i="4"/>
  <c r="L13" i="4"/>
  <c r="AG13" i="4"/>
  <c r="BA13" i="4"/>
  <c r="BX13" i="4"/>
  <c r="CS13" i="4"/>
  <c r="DM13" i="4"/>
  <c r="EJ13" i="4"/>
  <c r="FE13" i="4"/>
  <c r="FY13" i="4"/>
  <c r="GV13" i="4"/>
  <c r="HQ13" i="4"/>
  <c r="IK13" i="4"/>
  <c r="JH13" i="4"/>
  <c r="KC13" i="4"/>
  <c r="N13" i="4"/>
  <c r="AH13" i="4"/>
  <c r="BB13" i="4"/>
  <c r="BZ13" i="4"/>
  <c r="CT13" i="4"/>
  <c r="DN13" i="4"/>
  <c r="EL13" i="4"/>
  <c r="FF13" i="4"/>
  <c r="FZ13" i="4"/>
  <c r="GX13" i="4"/>
  <c r="HR13" i="4"/>
  <c r="IL13" i="4"/>
  <c r="JJ13" i="4"/>
  <c r="KD13" i="4"/>
  <c r="O13" i="4"/>
  <c r="AI13" i="4"/>
  <c r="BC13" i="4"/>
  <c r="CA13" i="4"/>
  <c r="CU13" i="4"/>
  <c r="DO13" i="4"/>
  <c r="EM13" i="4"/>
  <c r="FG13" i="4"/>
  <c r="GA13" i="4"/>
  <c r="GY13" i="4"/>
  <c r="HS13" i="4"/>
  <c r="IM13" i="4"/>
  <c r="JK13" i="4"/>
  <c r="KE13" i="4"/>
  <c r="Q13" i="4"/>
  <c r="AK13" i="4"/>
  <c r="BH13" i="4"/>
  <c r="CC13" i="4"/>
  <c r="CW13" i="4"/>
  <c r="DT13" i="4"/>
  <c r="EO13" i="4"/>
  <c r="FI13" i="4"/>
  <c r="GF13" i="4"/>
  <c r="HA13" i="4"/>
  <c r="HU13" i="4"/>
  <c r="IR13" i="4"/>
  <c r="JM13" i="4"/>
  <c r="KG13" i="4"/>
  <c r="P13" i="4"/>
  <c r="AU13" i="4"/>
  <c r="CE13" i="4"/>
  <c r="DI13" i="4"/>
  <c r="ES13" i="4"/>
  <c r="GB13" i="4"/>
  <c r="HG13" i="4"/>
  <c r="IU13" i="4"/>
  <c r="JX13" i="4"/>
  <c r="R13" i="4"/>
  <c r="AV13" i="4"/>
  <c r="CF13" i="4"/>
  <c r="DJ13" i="4"/>
  <c r="ET13" i="4"/>
  <c r="GH13" i="4"/>
  <c r="HH13" i="4"/>
  <c r="IV13" i="4"/>
  <c r="JZ13" i="4"/>
  <c r="S13" i="4"/>
  <c r="AW13" i="4"/>
  <c r="CG13" i="4"/>
  <c r="DP13" i="4"/>
  <c r="EU13" i="4"/>
  <c r="GI13" i="4"/>
  <c r="HL13" i="4"/>
  <c r="IW13" i="4"/>
  <c r="KF13" i="4"/>
  <c r="T13" i="4"/>
  <c r="AX13" i="4"/>
  <c r="CH13" i="4"/>
  <c r="DV13" i="4"/>
  <c r="EV13" i="4"/>
  <c r="GJ13" i="4"/>
  <c r="HN13" i="4"/>
  <c r="IX13" i="4"/>
  <c r="KH13" i="4"/>
  <c r="U13" i="4"/>
  <c r="BD13" i="4"/>
  <c r="CI13" i="4"/>
  <c r="DW13" i="4"/>
  <c r="EZ13" i="4"/>
  <c r="GK13" i="4"/>
  <c r="HT13" i="4"/>
  <c r="IY13" i="4"/>
  <c r="KI13" i="4"/>
  <c r="W13" i="4"/>
  <c r="BK13" i="4"/>
  <c r="CN13" i="4"/>
  <c r="DY13" i="4"/>
  <c r="FH13" i="4"/>
  <c r="GM13" i="4"/>
  <c r="HW13" i="4"/>
  <c r="JA13" i="4"/>
  <c r="BJ13" i="4"/>
  <c r="DD13" i="4"/>
  <c r="FK13" i="4"/>
  <c r="HE13" i="4"/>
  <c r="JO13" i="4"/>
  <c r="BL13" i="4"/>
  <c r="DF13" i="4"/>
  <c r="FL13" i="4"/>
  <c r="HF13" i="4"/>
  <c r="JP13" i="4"/>
  <c r="BM13" i="4"/>
  <c r="DG13" i="4"/>
  <c r="FP13" i="4"/>
  <c r="HV13" i="4"/>
  <c r="JQ13" i="4"/>
  <c r="BN13" i="4"/>
  <c r="DH13" i="4"/>
  <c r="FR13" i="4"/>
  <c r="HX13" i="4"/>
  <c r="JR13" i="4"/>
  <c r="BO13" i="4"/>
  <c r="DX13" i="4"/>
  <c r="FS13" i="4"/>
  <c r="IB13" i="4"/>
  <c r="JS13" i="4"/>
  <c r="V13" i="4"/>
  <c r="BQ13" i="4"/>
  <c r="EA13" i="4"/>
  <c r="FU13" i="4"/>
  <c r="IE13" i="4"/>
  <c r="CJ13" i="4"/>
  <c r="FT13" i="4"/>
  <c r="IZ13" i="4"/>
  <c r="CP13" i="4"/>
  <c r="FV13" i="4"/>
  <c r="JB13" i="4"/>
  <c r="CV13" i="4"/>
  <c r="GL13" i="4"/>
  <c r="JL13" i="4"/>
  <c r="X13" i="4"/>
  <c r="CX13" i="4"/>
  <c r="GN13" i="4"/>
  <c r="JN13" i="4"/>
  <c r="AB13" i="4"/>
  <c r="CY13" i="4"/>
  <c r="GO13" i="4"/>
  <c r="JT13" i="4"/>
  <c r="AJ13" i="4"/>
  <c r="DZ13" i="4"/>
  <c r="GZ13" i="4"/>
  <c r="CB13" i="4"/>
  <c r="ID13" i="4"/>
  <c r="CD13" i="4"/>
  <c r="IF13" i="4"/>
  <c r="CZ13" i="4"/>
  <c r="IG13" i="4"/>
  <c r="EB13" i="4"/>
  <c r="IH13" i="4"/>
  <c r="EC13" i="4"/>
  <c r="IN13" i="4"/>
  <c r="EN13" i="4"/>
  <c r="EQ13" i="4"/>
  <c r="ER13" i="4"/>
  <c r="FB13" i="4"/>
  <c r="FJ13" i="4"/>
  <c r="GP13" i="4"/>
  <c r="AD13" i="4"/>
  <c r="HC13" i="4"/>
  <c r="IT13" i="4"/>
  <c r="AM13" i="4"/>
  <c r="AL13" i="4"/>
  <c r="AN13" i="4"/>
  <c r="AR13" i="4"/>
  <c r="AT13" i="4"/>
  <c r="BP13" i="4"/>
  <c r="ED13" i="4"/>
  <c r="BR13" i="4"/>
  <c r="HB13" i="4"/>
  <c r="EP13" i="4"/>
  <c r="HD13" i="4"/>
  <c r="N159" i="4"/>
  <c r="AD159" i="4"/>
  <c r="AT159" i="4"/>
  <c r="BJ159" i="4"/>
  <c r="BZ159" i="4"/>
  <c r="CP159" i="4"/>
  <c r="DF159" i="4"/>
  <c r="DV159" i="4"/>
  <c r="EL159" i="4"/>
  <c r="FB159" i="4"/>
  <c r="FR159" i="4"/>
  <c r="GH159" i="4"/>
  <c r="GX159" i="4"/>
  <c r="HN159" i="4"/>
  <c r="ID159" i="4"/>
  <c r="IT159" i="4"/>
  <c r="JJ159" i="4"/>
  <c r="JZ159" i="4"/>
  <c r="R159" i="4"/>
  <c r="AH159" i="4"/>
  <c r="AX159" i="4"/>
  <c r="BN159" i="4"/>
  <c r="CD159" i="4"/>
  <c r="CT159" i="4"/>
  <c r="DJ159" i="4"/>
  <c r="DZ159" i="4"/>
  <c r="EP159" i="4"/>
  <c r="FF159" i="4"/>
  <c r="FV159" i="4"/>
  <c r="GL159" i="4"/>
  <c r="HB159" i="4"/>
  <c r="HR159" i="4"/>
  <c r="IH159" i="4"/>
  <c r="IX159" i="4"/>
  <c r="JN159" i="4"/>
  <c r="KD159" i="4"/>
  <c r="W159" i="4"/>
  <c r="AO159" i="4"/>
  <c r="BG159" i="4"/>
  <c r="BY159" i="4"/>
  <c r="CR159" i="4"/>
  <c r="DK159" i="4"/>
  <c r="EC159" i="4"/>
  <c r="EU159" i="4"/>
  <c r="FM159" i="4"/>
  <c r="GE159" i="4"/>
  <c r="GW159" i="4"/>
  <c r="HP159" i="4"/>
  <c r="II159" i="4"/>
  <c r="JA159" i="4"/>
  <c r="JS159" i="4"/>
  <c r="X159" i="4"/>
  <c r="AP159" i="4"/>
  <c r="BH159" i="4"/>
  <c r="CA159" i="4"/>
  <c r="CS159" i="4"/>
  <c r="DL159" i="4"/>
  <c r="ED159" i="4"/>
  <c r="EV159" i="4"/>
  <c r="FN159" i="4"/>
  <c r="GF159" i="4"/>
  <c r="GY159" i="4"/>
  <c r="HQ159" i="4"/>
  <c r="IJ159" i="4"/>
  <c r="JB159" i="4"/>
  <c r="JT159" i="4"/>
  <c r="Y159" i="4"/>
  <c r="AQ159" i="4"/>
  <c r="BI159" i="4"/>
  <c r="CB159" i="4"/>
  <c r="CU159" i="4"/>
  <c r="DM159" i="4"/>
  <c r="EE159" i="4"/>
  <c r="EW159" i="4"/>
  <c r="FO159" i="4"/>
  <c r="GG159" i="4"/>
  <c r="GZ159" i="4"/>
  <c r="HS159" i="4"/>
  <c r="IK159" i="4"/>
  <c r="JC159" i="4"/>
  <c r="JU159" i="4"/>
  <c r="K159" i="4"/>
  <c r="AC159" i="4"/>
  <c r="AV159" i="4"/>
  <c r="BO159" i="4"/>
  <c r="CG159" i="4"/>
  <c r="CY159" i="4"/>
  <c r="DQ159" i="4"/>
  <c r="EI159" i="4"/>
  <c r="FA159" i="4"/>
  <c r="FT159" i="4"/>
  <c r="GM159" i="4"/>
  <c r="HE159" i="4"/>
  <c r="HW159" i="4"/>
  <c r="IO159" i="4"/>
  <c r="JG159" i="4"/>
  <c r="JY159" i="4"/>
  <c r="AB159" i="4"/>
  <c r="BA159" i="4"/>
  <c r="BW159" i="4"/>
  <c r="CX159" i="4"/>
  <c r="DU159" i="4"/>
  <c r="ES159" i="4"/>
  <c r="FS159" i="4"/>
  <c r="GQ159" i="4"/>
  <c r="HM159" i="4"/>
  <c r="IN159" i="4"/>
  <c r="JL159" i="4"/>
  <c r="KI159" i="4"/>
  <c r="AE159" i="4"/>
  <c r="BB159" i="4"/>
  <c r="BX159" i="4"/>
  <c r="CZ159" i="4"/>
  <c r="DW159" i="4"/>
  <c r="ET159" i="4"/>
  <c r="FU159" i="4"/>
  <c r="GR159" i="4"/>
  <c r="HO159" i="4"/>
  <c r="IP159" i="4"/>
  <c r="JM159" i="4"/>
  <c r="AF159" i="4"/>
  <c r="BC159" i="4"/>
  <c r="CC159" i="4"/>
  <c r="DA159" i="4"/>
  <c r="DX159" i="4"/>
  <c r="EX159" i="4"/>
  <c r="FW159" i="4"/>
  <c r="GS159" i="4"/>
  <c r="HT159" i="4"/>
  <c r="IQ159" i="4"/>
  <c r="JO159" i="4"/>
  <c r="I159" i="4"/>
  <c r="AG159" i="4"/>
  <c r="BD159" i="4"/>
  <c r="CE159" i="4"/>
  <c r="DB159" i="4"/>
  <c r="DY159" i="4"/>
  <c r="EY159" i="4"/>
  <c r="FX159" i="4"/>
  <c r="GT159" i="4"/>
  <c r="HU159" i="4"/>
  <c r="IR159" i="4"/>
  <c r="JP159" i="4"/>
  <c r="J159" i="4"/>
  <c r="AI159" i="4"/>
  <c r="BE159" i="4"/>
  <c r="CF159" i="4"/>
  <c r="DC159" i="4"/>
  <c r="EA159" i="4"/>
  <c r="EZ159" i="4"/>
  <c r="FY159" i="4"/>
  <c r="GU159" i="4"/>
  <c r="HV159" i="4"/>
  <c r="IS159" i="4"/>
  <c r="JQ159" i="4"/>
  <c r="M159" i="4"/>
  <c r="AK159" i="4"/>
  <c r="BK159" i="4"/>
  <c r="CI159" i="4"/>
  <c r="DE159" i="4"/>
  <c r="EF159" i="4"/>
  <c r="FD159" i="4"/>
  <c r="GA159" i="4"/>
  <c r="HA159" i="4"/>
  <c r="HY159" i="4"/>
  <c r="IV159" i="4"/>
  <c r="JV159" i="4"/>
  <c r="AM159" i="4"/>
  <c r="BU159" i="4"/>
  <c r="DN159" i="4"/>
  <c r="FC159" i="4"/>
  <c r="GK159" i="4"/>
  <c r="IA159" i="4"/>
  <c r="JI159" i="4"/>
  <c r="AN159" i="4"/>
  <c r="BV159" i="4"/>
  <c r="DO159" i="4"/>
  <c r="FE159" i="4"/>
  <c r="GN159" i="4"/>
  <c r="IB159" i="4"/>
  <c r="JK159" i="4"/>
  <c r="AR159" i="4"/>
  <c r="CH159" i="4"/>
  <c r="DP159" i="4"/>
  <c r="FG159" i="4"/>
  <c r="GO159" i="4"/>
  <c r="IC159" i="4"/>
  <c r="JR159" i="4"/>
  <c r="AS159" i="4"/>
  <c r="CJ159" i="4"/>
  <c r="DR159" i="4"/>
  <c r="FH159" i="4"/>
  <c r="GP159" i="4"/>
  <c r="IE159" i="4"/>
  <c r="JW159" i="4"/>
  <c r="L159" i="4"/>
  <c r="AU159" i="4"/>
  <c r="CK159" i="4"/>
  <c r="DS159" i="4"/>
  <c r="FI159" i="4"/>
  <c r="GV159" i="4"/>
  <c r="IF159" i="4"/>
  <c r="JX159" i="4"/>
  <c r="P159" i="4"/>
  <c r="AY159" i="4"/>
  <c r="CM159" i="4"/>
  <c r="EB159" i="4"/>
  <c r="FK159" i="4"/>
  <c r="HD159" i="4"/>
  <c r="IL159" i="4"/>
  <c r="KB159" i="4"/>
  <c r="AJ159" i="4"/>
  <c r="CV159" i="4"/>
  <c r="FJ159" i="4"/>
  <c r="HK159" i="4"/>
  <c r="KE159" i="4"/>
  <c r="AL159" i="4"/>
  <c r="CW159" i="4"/>
  <c r="FL159" i="4"/>
  <c r="HL159" i="4"/>
  <c r="KF159" i="4"/>
  <c r="AW159" i="4"/>
  <c r="DD159" i="4"/>
  <c r="FP159" i="4"/>
  <c r="HX159" i="4"/>
  <c r="KG159" i="4"/>
  <c r="AZ159" i="4"/>
  <c r="DG159" i="4"/>
  <c r="FQ159" i="4"/>
  <c r="HZ159" i="4"/>
  <c r="KH159" i="4"/>
  <c r="BF159" i="4"/>
  <c r="DH159" i="4"/>
  <c r="FZ159" i="4"/>
  <c r="IG159" i="4"/>
  <c r="BM159" i="4"/>
  <c r="DT159" i="4"/>
  <c r="GC159" i="4"/>
  <c r="IU159" i="4"/>
  <c r="S159" i="4"/>
  <c r="DI159" i="4"/>
  <c r="HG159" i="4"/>
  <c r="T159" i="4"/>
  <c r="EG159" i="4"/>
  <c r="HH159" i="4"/>
  <c r="U159" i="4"/>
  <c r="EH159" i="4"/>
  <c r="HI159" i="4"/>
  <c r="V159" i="4"/>
  <c r="EJ159" i="4"/>
  <c r="HJ159" i="4"/>
  <c r="Z159" i="4"/>
  <c r="EK159" i="4"/>
  <c r="IM159" i="4"/>
  <c r="EN159" i="4"/>
  <c r="JH159" i="4"/>
  <c r="EO159" i="4"/>
  <c r="KA159" i="4"/>
  <c r="O159" i="4"/>
  <c r="EQ159" i="4"/>
  <c r="KC159" i="4"/>
  <c r="Q159" i="4"/>
  <c r="ER159" i="4"/>
  <c r="AA159" i="4"/>
  <c r="GB159" i="4"/>
  <c r="BT159" i="4"/>
  <c r="IW159" i="4"/>
  <c r="GJ159" i="4"/>
  <c r="HC159" i="4"/>
  <c r="HF159" i="4"/>
  <c r="IY159" i="4"/>
  <c r="BP159" i="4"/>
  <c r="JD159" i="4"/>
  <c r="CN159" i="4"/>
  <c r="BL159" i="4"/>
  <c r="BQ159" i="4"/>
  <c r="BR159" i="4"/>
  <c r="BS159" i="4"/>
  <c r="CL159" i="4"/>
  <c r="CO159" i="4"/>
  <c r="GD159" i="4"/>
  <c r="GI159" i="4"/>
  <c r="IZ159" i="4"/>
  <c r="JE159" i="4"/>
  <c r="JF159" i="4"/>
  <c r="CQ159" i="4"/>
  <c r="EM159" i="4"/>
  <c r="L60" i="4"/>
  <c r="AB60" i="4"/>
  <c r="AR60" i="4"/>
  <c r="BH60" i="4"/>
  <c r="BX60" i="4"/>
  <c r="CN60" i="4"/>
  <c r="DD60" i="4"/>
  <c r="DT60" i="4"/>
  <c r="EJ60" i="4"/>
  <c r="EZ60" i="4"/>
  <c r="FP60" i="4"/>
  <c r="GF60" i="4"/>
  <c r="GV60" i="4"/>
  <c r="HL60" i="4"/>
  <c r="IB60" i="4"/>
  <c r="IR60" i="4"/>
  <c r="JH60" i="4"/>
  <c r="JX60" i="4"/>
  <c r="U60" i="4"/>
  <c r="AL60" i="4"/>
  <c r="BC60" i="4"/>
  <c r="BT60" i="4"/>
  <c r="CK60" i="4"/>
  <c r="DB60" i="4"/>
  <c r="DS60" i="4"/>
  <c r="EK60" i="4"/>
  <c r="FB60" i="4"/>
  <c r="FS60" i="4"/>
  <c r="GJ60" i="4"/>
  <c r="HA60" i="4"/>
  <c r="HR60" i="4"/>
  <c r="II60" i="4"/>
  <c r="IZ60" i="4"/>
  <c r="JQ60" i="4"/>
  <c r="KH60" i="4"/>
  <c r="V60" i="4"/>
  <c r="AM60" i="4"/>
  <c r="BD60" i="4"/>
  <c r="BU60" i="4"/>
  <c r="CL60" i="4"/>
  <c r="DC60" i="4"/>
  <c r="DU60" i="4"/>
  <c r="EL60" i="4"/>
  <c r="FC60" i="4"/>
  <c r="FT60" i="4"/>
  <c r="GK60" i="4"/>
  <c r="HB60" i="4"/>
  <c r="HS60" i="4"/>
  <c r="IJ60" i="4"/>
  <c r="JA60" i="4"/>
  <c r="JR60" i="4"/>
  <c r="KI60" i="4"/>
  <c r="W60" i="4"/>
  <c r="AN60" i="4"/>
  <c r="BE60" i="4"/>
  <c r="BV60" i="4"/>
  <c r="CM60" i="4"/>
  <c r="DE60" i="4"/>
  <c r="DV60" i="4"/>
  <c r="EM60" i="4"/>
  <c r="FD60" i="4"/>
  <c r="FU60" i="4"/>
  <c r="GL60" i="4"/>
  <c r="HC60" i="4"/>
  <c r="HT60" i="4"/>
  <c r="IK60" i="4"/>
  <c r="JB60" i="4"/>
  <c r="JS60" i="4"/>
  <c r="J60" i="4"/>
  <c r="AA60" i="4"/>
  <c r="AS60" i="4"/>
  <c r="BJ60" i="4"/>
  <c r="CA60" i="4"/>
  <c r="CR60" i="4"/>
  <c r="DI60" i="4"/>
  <c r="DZ60" i="4"/>
  <c r="EQ60" i="4"/>
  <c r="FH60" i="4"/>
  <c r="FY60" i="4"/>
  <c r="GP60" i="4"/>
  <c r="HG60" i="4"/>
  <c r="HX60" i="4"/>
  <c r="IO60" i="4"/>
  <c r="JF60" i="4"/>
  <c r="JW60" i="4"/>
  <c r="AE60" i="4"/>
  <c r="AZ60" i="4"/>
  <c r="BY60" i="4"/>
  <c r="CU60" i="4"/>
  <c r="DP60" i="4"/>
  <c r="EO60" i="4"/>
  <c r="FK60" i="4"/>
  <c r="GG60" i="4"/>
  <c r="HE60" i="4"/>
  <c r="IA60" i="4"/>
  <c r="IW60" i="4"/>
  <c r="JU60" i="4"/>
  <c r="I60" i="4"/>
  <c r="AF60" i="4"/>
  <c r="BA60" i="4"/>
  <c r="BZ60" i="4"/>
  <c r="CV60" i="4"/>
  <c r="DQ60" i="4"/>
  <c r="EP60" i="4"/>
  <c r="FL60" i="4"/>
  <c r="GH60" i="4"/>
  <c r="HF60" i="4"/>
  <c r="IC60" i="4"/>
  <c r="IX60" i="4"/>
  <c r="JV60" i="4"/>
  <c r="K60" i="4"/>
  <c r="AG60" i="4"/>
  <c r="BB60" i="4"/>
  <c r="CB60" i="4"/>
  <c r="CW60" i="4"/>
  <c r="DR60" i="4"/>
  <c r="ER60" i="4"/>
  <c r="FM60" i="4"/>
  <c r="GI60" i="4"/>
  <c r="HH60" i="4"/>
  <c r="ID60" i="4"/>
  <c r="IY60" i="4"/>
  <c r="JY60" i="4"/>
  <c r="M60" i="4"/>
  <c r="AH60" i="4"/>
  <c r="BF60" i="4"/>
  <c r="CC60" i="4"/>
  <c r="CX60" i="4"/>
  <c r="DW60" i="4"/>
  <c r="ES60" i="4"/>
  <c r="FN60" i="4"/>
  <c r="GM60" i="4"/>
  <c r="HI60" i="4"/>
  <c r="IE60" i="4"/>
  <c r="JC60" i="4"/>
  <c r="JZ60" i="4"/>
  <c r="N60" i="4"/>
  <c r="AI60" i="4"/>
  <c r="BG60" i="4"/>
  <c r="CD60" i="4"/>
  <c r="CY60" i="4"/>
  <c r="DX60" i="4"/>
  <c r="ET60" i="4"/>
  <c r="FO60" i="4"/>
  <c r="GN60" i="4"/>
  <c r="HJ60" i="4"/>
  <c r="IF60" i="4"/>
  <c r="JD60" i="4"/>
  <c r="KA60" i="4"/>
  <c r="P60" i="4"/>
  <c r="AK60" i="4"/>
  <c r="BK60" i="4"/>
  <c r="CF60" i="4"/>
  <c r="DA60" i="4"/>
  <c r="EA60" i="4"/>
  <c r="EV60" i="4"/>
  <c r="FR60" i="4"/>
  <c r="GQ60" i="4"/>
  <c r="HM60" i="4"/>
  <c r="IH60" i="4"/>
  <c r="JG60" i="4"/>
  <c r="KC60" i="4"/>
  <c r="AC60" i="4"/>
  <c r="BO60" i="4"/>
  <c r="CZ60" i="4"/>
  <c r="EG60" i="4"/>
  <c r="FW60" i="4"/>
  <c r="GZ60" i="4"/>
  <c r="IP60" i="4"/>
  <c r="KB60" i="4"/>
  <c r="AD60" i="4"/>
  <c r="BP60" i="4"/>
  <c r="DF60" i="4"/>
  <c r="EH60" i="4"/>
  <c r="FX60" i="4"/>
  <c r="HD60" i="4"/>
  <c r="IQ60" i="4"/>
  <c r="KD60" i="4"/>
  <c r="AJ60" i="4"/>
  <c r="BQ60" i="4"/>
  <c r="DG60" i="4"/>
  <c r="EI60" i="4"/>
  <c r="FZ60" i="4"/>
  <c r="HK60" i="4"/>
  <c r="IS60" i="4"/>
  <c r="KE60" i="4"/>
  <c r="AO60" i="4"/>
  <c r="BR60" i="4"/>
  <c r="DH60" i="4"/>
  <c r="EN60" i="4"/>
  <c r="GA60" i="4"/>
  <c r="HN60" i="4"/>
  <c r="IT60" i="4"/>
  <c r="KF60" i="4"/>
  <c r="AP60" i="4"/>
  <c r="BS60" i="4"/>
  <c r="DJ60" i="4"/>
  <c r="EU60" i="4"/>
  <c r="GB60" i="4"/>
  <c r="HO60" i="4"/>
  <c r="IU60" i="4"/>
  <c r="KG60" i="4"/>
  <c r="AT60" i="4"/>
  <c r="CE60" i="4"/>
  <c r="DL60" i="4"/>
  <c r="EX60" i="4"/>
  <c r="GD60" i="4"/>
  <c r="HQ60" i="4"/>
  <c r="JE60" i="4"/>
  <c r="AV60" i="4"/>
  <c r="CS60" i="4"/>
  <c r="FF60" i="4"/>
  <c r="HP60" i="4"/>
  <c r="JN60" i="4"/>
  <c r="AW60" i="4"/>
  <c r="CT60" i="4"/>
  <c r="FG60" i="4"/>
  <c r="HU60" i="4"/>
  <c r="JO60" i="4"/>
  <c r="AX60" i="4"/>
  <c r="DK60" i="4"/>
  <c r="FI60" i="4"/>
  <c r="HV60" i="4"/>
  <c r="JP60" i="4"/>
  <c r="AY60" i="4"/>
  <c r="DM60" i="4"/>
  <c r="FJ60" i="4"/>
  <c r="HW60" i="4"/>
  <c r="JT60" i="4"/>
  <c r="BI60" i="4"/>
  <c r="DN60" i="4"/>
  <c r="FQ60" i="4"/>
  <c r="HY60" i="4"/>
  <c r="O60" i="4"/>
  <c r="BM60" i="4"/>
  <c r="DY60" i="4"/>
  <c r="GC60" i="4"/>
  <c r="IG60" i="4"/>
  <c r="T60" i="4"/>
  <c r="DO60" i="4"/>
  <c r="GU60" i="4"/>
  <c r="X60" i="4"/>
  <c r="EB60" i="4"/>
  <c r="GW60" i="4"/>
  <c r="Y60" i="4"/>
  <c r="EC60" i="4"/>
  <c r="GX60" i="4"/>
  <c r="Z60" i="4"/>
  <c r="ED60" i="4"/>
  <c r="GY60" i="4"/>
  <c r="AQ60" i="4"/>
  <c r="EE60" i="4"/>
  <c r="HZ60" i="4"/>
  <c r="BL60" i="4"/>
  <c r="EW60" i="4"/>
  <c r="IM60" i="4"/>
  <c r="EF60" i="4"/>
  <c r="JL60" i="4"/>
  <c r="EY60" i="4"/>
  <c r="JM60" i="4"/>
  <c r="FA60" i="4"/>
  <c r="Q60" i="4"/>
  <c r="FE60" i="4"/>
  <c r="R60" i="4"/>
  <c r="FV60" i="4"/>
  <c r="AU60" i="4"/>
  <c r="GO60" i="4"/>
  <c r="CJ60" i="4"/>
  <c r="CO60" i="4"/>
  <c r="CP60" i="4"/>
  <c r="CQ60" i="4"/>
  <c r="GE60" i="4"/>
  <c r="GS60" i="4"/>
  <c r="S60" i="4"/>
  <c r="BN60" i="4"/>
  <c r="BW60" i="4"/>
  <c r="CG60" i="4"/>
  <c r="CH60" i="4"/>
  <c r="GR60" i="4"/>
  <c r="IL60" i="4"/>
  <c r="IN60" i="4"/>
  <c r="IV60" i="4"/>
  <c r="JI60" i="4"/>
  <c r="JJ60" i="4"/>
  <c r="CI60" i="4"/>
  <c r="GT60" i="4"/>
  <c r="JK60" i="4"/>
  <c r="N127" i="4"/>
  <c r="AD127" i="4"/>
  <c r="AT127" i="4"/>
  <c r="BJ127" i="4"/>
  <c r="BZ127" i="4"/>
  <c r="CP127" i="4"/>
  <c r="DF127" i="4"/>
  <c r="DV127" i="4"/>
  <c r="EL127" i="4"/>
  <c r="FB127" i="4"/>
  <c r="FR127" i="4"/>
  <c r="GH127" i="4"/>
  <c r="GX127" i="4"/>
  <c r="HN127" i="4"/>
  <c r="ID127" i="4"/>
  <c r="IT127" i="4"/>
  <c r="JJ127" i="4"/>
  <c r="JZ127" i="4"/>
  <c r="O127" i="4"/>
  <c r="AE127" i="4"/>
  <c r="AU127" i="4"/>
  <c r="BK127" i="4"/>
  <c r="CA127" i="4"/>
  <c r="CQ127" i="4"/>
  <c r="DG127" i="4"/>
  <c r="DW127" i="4"/>
  <c r="EM127" i="4"/>
  <c r="FC127" i="4"/>
  <c r="FS127" i="4"/>
  <c r="GI127" i="4"/>
  <c r="GY127" i="4"/>
  <c r="HO127" i="4"/>
  <c r="IE127" i="4"/>
  <c r="IU127" i="4"/>
  <c r="JK127" i="4"/>
  <c r="KA127" i="4"/>
  <c r="P127" i="4"/>
  <c r="AF127" i="4"/>
  <c r="AV127" i="4"/>
  <c r="BL127" i="4"/>
  <c r="CB127" i="4"/>
  <c r="CR127" i="4"/>
  <c r="DH127" i="4"/>
  <c r="DX127" i="4"/>
  <c r="EN127" i="4"/>
  <c r="FD127" i="4"/>
  <c r="FT127" i="4"/>
  <c r="GJ127" i="4"/>
  <c r="GZ127" i="4"/>
  <c r="HP127" i="4"/>
  <c r="IF127" i="4"/>
  <c r="IV127" i="4"/>
  <c r="JL127" i="4"/>
  <c r="KB127" i="4"/>
  <c r="T127" i="4"/>
  <c r="AJ127" i="4"/>
  <c r="AZ127" i="4"/>
  <c r="BP127" i="4"/>
  <c r="CF127" i="4"/>
  <c r="CV127" i="4"/>
  <c r="DL127" i="4"/>
  <c r="EB127" i="4"/>
  <c r="ER127" i="4"/>
  <c r="FH127" i="4"/>
  <c r="FX127" i="4"/>
  <c r="GN127" i="4"/>
  <c r="HD127" i="4"/>
  <c r="HT127" i="4"/>
  <c r="IJ127" i="4"/>
  <c r="IZ127" i="4"/>
  <c r="JP127" i="4"/>
  <c r="KF127" i="4"/>
  <c r="V127" i="4"/>
  <c r="AP127" i="4"/>
  <c r="BM127" i="4"/>
  <c r="CH127" i="4"/>
  <c r="DB127" i="4"/>
  <c r="DY127" i="4"/>
  <c r="ET127" i="4"/>
  <c r="FN127" i="4"/>
  <c r="GK127" i="4"/>
  <c r="HF127" i="4"/>
  <c r="HZ127" i="4"/>
  <c r="IW127" i="4"/>
  <c r="JR127" i="4"/>
  <c r="W127" i="4"/>
  <c r="AQ127" i="4"/>
  <c r="BN127" i="4"/>
  <c r="CI127" i="4"/>
  <c r="DC127" i="4"/>
  <c r="DZ127" i="4"/>
  <c r="EU127" i="4"/>
  <c r="FO127" i="4"/>
  <c r="GL127" i="4"/>
  <c r="HG127" i="4"/>
  <c r="IA127" i="4"/>
  <c r="IX127" i="4"/>
  <c r="JS127" i="4"/>
  <c r="X127" i="4"/>
  <c r="AR127" i="4"/>
  <c r="BO127" i="4"/>
  <c r="CJ127" i="4"/>
  <c r="DD127" i="4"/>
  <c r="EA127" i="4"/>
  <c r="EV127" i="4"/>
  <c r="FP127" i="4"/>
  <c r="GM127" i="4"/>
  <c r="HH127" i="4"/>
  <c r="IB127" i="4"/>
  <c r="IY127" i="4"/>
  <c r="JT127" i="4"/>
  <c r="Y127" i="4"/>
  <c r="AS127" i="4"/>
  <c r="BQ127" i="4"/>
  <c r="AB127" i="4"/>
  <c r="AY127" i="4"/>
  <c r="BT127" i="4"/>
  <c r="CN127" i="4"/>
  <c r="DK127" i="4"/>
  <c r="EF127" i="4"/>
  <c r="EZ127" i="4"/>
  <c r="FW127" i="4"/>
  <c r="GR127" i="4"/>
  <c r="HL127" i="4"/>
  <c r="II127" i="4"/>
  <c r="JD127" i="4"/>
  <c r="JX127" i="4"/>
  <c r="I127" i="4"/>
  <c r="AL127" i="4"/>
  <c r="BS127" i="4"/>
  <c r="CU127" i="4"/>
  <c r="DT127" i="4"/>
  <c r="EY127" i="4"/>
  <c r="GB127" i="4"/>
  <c r="HC127" i="4"/>
  <c r="IH127" i="4"/>
  <c r="JH127" i="4"/>
  <c r="J127" i="4"/>
  <c r="AM127" i="4"/>
  <c r="BU127" i="4"/>
  <c r="CW127" i="4"/>
  <c r="DU127" i="4"/>
  <c r="FA127" i="4"/>
  <c r="GC127" i="4"/>
  <c r="HE127" i="4"/>
  <c r="IK127" i="4"/>
  <c r="JI127" i="4"/>
  <c r="K127" i="4"/>
  <c r="AN127" i="4"/>
  <c r="BV127" i="4"/>
  <c r="CX127" i="4"/>
  <c r="EC127" i="4"/>
  <c r="FE127" i="4"/>
  <c r="GD127" i="4"/>
  <c r="HI127" i="4"/>
  <c r="IL127" i="4"/>
  <c r="JM127" i="4"/>
  <c r="L127" i="4"/>
  <c r="AO127" i="4"/>
  <c r="BW127" i="4"/>
  <c r="CY127" i="4"/>
  <c r="ED127" i="4"/>
  <c r="FF127" i="4"/>
  <c r="GE127" i="4"/>
  <c r="HJ127" i="4"/>
  <c r="IM127" i="4"/>
  <c r="JN127" i="4"/>
  <c r="M127" i="4"/>
  <c r="AW127" i="4"/>
  <c r="BX127" i="4"/>
  <c r="CZ127" i="4"/>
  <c r="EE127" i="4"/>
  <c r="FG127" i="4"/>
  <c r="GF127" i="4"/>
  <c r="HK127" i="4"/>
  <c r="IN127" i="4"/>
  <c r="JO127" i="4"/>
  <c r="R127" i="4"/>
  <c r="BA127" i="4"/>
  <c r="CC127" i="4"/>
  <c r="DE127" i="4"/>
  <c r="EH127" i="4"/>
  <c r="FJ127" i="4"/>
  <c r="GO127" i="4"/>
  <c r="HQ127" i="4"/>
  <c r="IP127" i="4"/>
  <c r="JU127" i="4"/>
  <c r="BE127" i="4"/>
  <c r="DA127" i="4"/>
  <c r="EQ127" i="4"/>
  <c r="GQ127" i="4"/>
  <c r="IC127" i="4"/>
  <c r="KC127" i="4"/>
  <c r="BF127" i="4"/>
  <c r="DI127" i="4"/>
  <c r="ES127" i="4"/>
  <c r="GS127" i="4"/>
  <c r="IG127" i="4"/>
  <c r="KD127" i="4"/>
  <c r="Q127" i="4"/>
  <c r="BG127" i="4"/>
  <c r="DJ127" i="4"/>
  <c r="EW127" i="4"/>
  <c r="GT127" i="4"/>
  <c r="IO127" i="4"/>
  <c r="KE127" i="4"/>
  <c r="S127" i="4"/>
  <c r="BH127" i="4"/>
  <c r="DM127" i="4"/>
  <c r="EX127" i="4"/>
  <c r="GU127" i="4"/>
  <c r="IQ127" i="4"/>
  <c r="KG127" i="4"/>
  <c r="U127" i="4"/>
  <c r="BI127" i="4"/>
  <c r="DN127" i="4"/>
  <c r="FI127" i="4"/>
  <c r="GV127" i="4"/>
  <c r="IR127" i="4"/>
  <c r="KH127" i="4"/>
  <c r="AA127" i="4"/>
  <c r="BY127" i="4"/>
  <c r="DP127" i="4"/>
  <c r="FL127" i="4"/>
  <c r="HA127" i="4"/>
  <c r="JA127" i="4"/>
  <c r="CK127" i="4"/>
  <c r="FK127" i="4"/>
  <c r="HV127" i="4"/>
  <c r="CL127" i="4"/>
  <c r="FM127" i="4"/>
  <c r="HW127" i="4"/>
  <c r="Z127" i="4"/>
  <c r="CM127" i="4"/>
  <c r="FQ127" i="4"/>
  <c r="HX127" i="4"/>
  <c r="AC127" i="4"/>
  <c r="CO127" i="4"/>
  <c r="FU127" i="4"/>
  <c r="HY127" i="4"/>
  <c r="AG127" i="4"/>
  <c r="CS127" i="4"/>
  <c r="FV127" i="4"/>
  <c r="IS127" i="4"/>
  <c r="AI127" i="4"/>
  <c r="DO127" i="4"/>
  <c r="FZ127" i="4"/>
  <c r="JC127" i="4"/>
  <c r="CT127" i="4"/>
  <c r="HM127" i="4"/>
  <c r="DQ127" i="4"/>
  <c r="HR127" i="4"/>
  <c r="DR127" i="4"/>
  <c r="HS127" i="4"/>
  <c r="DS127" i="4"/>
  <c r="HU127" i="4"/>
  <c r="EG127" i="4"/>
  <c r="JB127" i="4"/>
  <c r="AH127" i="4"/>
  <c r="EJ127" i="4"/>
  <c r="JF127" i="4"/>
  <c r="EO127" i="4"/>
  <c r="EP127" i="4"/>
  <c r="FY127" i="4"/>
  <c r="GA127" i="4"/>
  <c r="GG127" i="4"/>
  <c r="BR127" i="4"/>
  <c r="JQ127" i="4"/>
  <c r="GP127" i="4"/>
  <c r="GW127" i="4"/>
  <c r="HB127" i="4"/>
  <c r="JE127" i="4"/>
  <c r="JG127" i="4"/>
  <c r="BD127" i="4"/>
  <c r="EI127" i="4"/>
  <c r="EK127" i="4"/>
  <c r="JV127" i="4"/>
  <c r="JW127" i="4"/>
  <c r="KI127" i="4"/>
  <c r="AX127" i="4"/>
  <c r="AK127" i="4"/>
  <c r="BB127" i="4"/>
  <c r="BC127" i="4"/>
  <c r="CD127" i="4"/>
  <c r="JY127" i="4"/>
  <c r="CE127" i="4"/>
  <c r="CG127" i="4"/>
  <c r="N31" i="4"/>
  <c r="AD31" i="4"/>
  <c r="AT31" i="4"/>
  <c r="BJ31" i="4"/>
  <c r="BZ31" i="4"/>
  <c r="CP31" i="4"/>
  <c r="DF31" i="4"/>
  <c r="DV31" i="4"/>
  <c r="EL31" i="4"/>
  <c r="FB31" i="4"/>
  <c r="FR31" i="4"/>
  <c r="GH31" i="4"/>
  <c r="GX31" i="4"/>
  <c r="HN31" i="4"/>
  <c r="ID31" i="4"/>
  <c r="IT31" i="4"/>
  <c r="JJ31" i="4"/>
  <c r="JZ31" i="4"/>
  <c r="J31" i="4"/>
  <c r="AA31" i="4"/>
  <c r="AR31" i="4"/>
  <c r="BI31" i="4"/>
  <c r="CA31" i="4"/>
  <c r="CR31" i="4"/>
  <c r="DI31" i="4"/>
  <c r="DZ31" i="4"/>
  <c r="EQ31" i="4"/>
  <c r="FH31" i="4"/>
  <c r="FY31" i="4"/>
  <c r="GP31" i="4"/>
  <c r="HG31" i="4"/>
  <c r="HX31" i="4"/>
  <c r="IO31" i="4"/>
  <c r="JF31" i="4"/>
  <c r="JW31" i="4"/>
  <c r="K31" i="4"/>
  <c r="AB31" i="4"/>
  <c r="AS31" i="4"/>
  <c r="BK31" i="4"/>
  <c r="CB31" i="4"/>
  <c r="CS31" i="4"/>
  <c r="DJ31" i="4"/>
  <c r="EA31" i="4"/>
  <c r="ER31" i="4"/>
  <c r="FI31" i="4"/>
  <c r="FZ31" i="4"/>
  <c r="GQ31" i="4"/>
  <c r="HH31" i="4"/>
  <c r="HY31" i="4"/>
  <c r="IP31" i="4"/>
  <c r="JG31" i="4"/>
  <c r="JX31" i="4"/>
  <c r="L31" i="4"/>
  <c r="AC31" i="4"/>
  <c r="AU31" i="4"/>
  <c r="BL31" i="4"/>
  <c r="CC31" i="4"/>
  <c r="CT31" i="4"/>
  <c r="DK31" i="4"/>
  <c r="EB31" i="4"/>
  <c r="ES31" i="4"/>
  <c r="FJ31" i="4"/>
  <c r="GA31" i="4"/>
  <c r="GR31" i="4"/>
  <c r="HI31" i="4"/>
  <c r="HZ31" i="4"/>
  <c r="IQ31" i="4"/>
  <c r="JH31" i="4"/>
  <c r="JY31" i="4"/>
  <c r="Q31" i="4"/>
  <c r="AH31" i="4"/>
  <c r="AY31" i="4"/>
  <c r="BP31" i="4"/>
  <c r="CG31" i="4"/>
  <c r="CX31" i="4"/>
  <c r="DO31" i="4"/>
  <c r="EF31" i="4"/>
  <c r="EW31" i="4"/>
  <c r="FN31" i="4"/>
  <c r="GE31" i="4"/>
  <c r="GV31" i="4"/>
  <c r="HM31" i="4"/>
  <c r="IE31" i="4"/>
  <c r="IV31" i="4"/>
  <c r="JM31" i="4"/>
  <c r="KD31" i="4"/>
  <c r="I31" i="4"/>
  <c r="AI31" i="4"/>
  <c r="BD31" i="4"/>
  <c r="BY31" i="4"/>
  <c r="CY31" i="4"/>
  <c r="DT31" i="4"/>
  <c r="EP31" i="4"/>
  <c r="FO31" i="4"/>
  <c r="GK31" i="4"/>
  <c r="HF31" i="4"/>
  <c r="IF31" i="4"/>
  <c r="JA31" i="4"/>
  <c r="JV31" i="4"/>
  <c r="M31" i="4"/>
  <c r="AJ31" i="4"/>
  <c r="BE31" i="4"/>
  <c r="CD31" i="4"/>
  <c r="CZ31" i="4"/>
  <c r="DU31" i="4"/>
  <c r="ET31" i="4"/>
  <c r="FP31" i="4"/>
  <c r="GL31" i="4"/>
  <c r="HJ31" i="4"/>
  <c r="IG31" i="4"/>
  <c r="JB31" i="4"/>
  <c r="KA31" i="4"/>
  <c r="O31" i="4"/>
  <c r="AK31" i="4"/>
  <c r="BF31" i="4"/>
  <c r="CE31" i="4"/>
  <c r="DA31" i="4"/>
  <c r="DW31" i="4"/>
  <c r="EU31" i="4"/>
  <c r="FQ31" i="4"/>
  <c r="GM31" i="4"/>
  <c r="HK31" i="4"/>
  <c r="IH31" i="4"/>
  <c r="JC31" i="4"/>
  <c r="KB31" i="4"/>
  <c r="P31" i="4"/>
  <c r="AL31" i="4"/>
  <c r="BG31" i="4"/>
  <c r="CF31" i="4"/>
  <c r="DB31" i="4"/>
  <c r="DX31" i="4"/>
  <c r="EV31" i="4"/>
  <c r="FS31" i="4"/>
  <c r="GN31" i="4"/>
  <c r="HL31" i="4"/>
  <c r="II31" i="4"/>
  <c r="JD31" i="4"/>
  <c r="KC31" i="4"/>
  <c r="R31" i="4"/>
  <c r="AM31" i="4"/>
  <c r="BH31" i="4"/>
  <c r="CH31" i="4"/>
  <c r="DC31" i="4"/>
  <c r="DY31" i="4"/>
  <c r="EX31" i="4"/>
  <c r="FT31" i="4"/>
  <c r="GO31" i="4"/>
  <c r="HO31" i="4"/>
  <c r="IJ31" i="4"/>
  <c r="JE31" i="4"/>
  <c r="KE31" i="4"/>
  <c r="T31" i="4"/>
  <c r="AO31" i="4"/>
  <c r="BN31" i="4"/>
  <c r="CJ31" i="4"/>
  <c r="DE31" i="4"/>
  <c r="ED31" i="4"/>
  <c r="EZ31" i="4"/>
  <c r="FV31" i="4"/>
  <c r="GT31" i="4"/>
  <c r="HQ31" i="4"/>
  <c r="IL31" i="4"/>
  <c r="JK31" i="4"/>
  <c r="KG31" i="4"/>
  <c r="AF31" i="4"/>
  <c r="BS31" i="4"/>
  <c r="DD31" i="4"/>
  <c r="EK31" i="4"/>
  <c r="FX31" i="4"/>
  <c r="HD31" i="4"/>
  <c r="IS31" i="4"/>
  <c r="KF31" i="4"/>
  <c r="AG31" i="4"/>
  <c r="BT31" i="4"/>
  <c r="DG31" i="4"/>
  <c r="EM31" i="4"/>
  <c r="GB31" i="4"/>
  <c r="HE31" i="4"/>
  <c r="IU31" i="4"/>
  <c r="KH31" i="4"/>
  <c r="AN31" i="4"/>
  <c r="BU31" i="4"/>
  <c r="DH31" i="4"/>
  <c r="EN31" i="4"/>
  <c r="GC31" i="4"/>
  <c r="HP31" i="4"/>
  <c r="IW31" i="4"/>
  <c r="KI31" i="4"/>
  <c r="AP31" i="4"/>
  <c r="BV31" i="4"/>
  <c r="DL31" i="4"/>
  <c r="EO31" i="4"/>
  <c r="GD31" i="4"/>
  <c r="HR31" i="4"/>
  <c r="IX31" i="4"/>
  <c r="AQ31" i="4"/>
  <c r="BW31" i="4"/>
  <c r="DM31" i="4"/>
  <c r="EY31" i="4"/>
  <c r="GF31" i="4"/>
  <c r="HS31" i="4"/>
  <c r="IY31" i="4"/>
  <c r="AW31" i="4"/>
  <c r="CI31" i="4"/>
  <c r="DP31" i="4"/>
  <c r="FC31" i="4"/>
  <c r="GI31" i="4"/>
  <c r="HU31" i="4"/>
  <c r="JI31" i="4"/>
  <c r="AZ31" i="4"/>
  <c r="CV31" i="4"/>
  <c r="FG31" i="4"/>
  <c r="HT31" i="4"/>
  <c r="JR31" i="4"/>
  <c r="BA31" i="4"/>
  <c r="CW31" i="4"/>
  <c r="FK31" i="4"/>
  <c r="HV31" i="4"/>
  <c r="JS31" i="4"/>
  <c r="BB31" i="4"/>
  <c r="DN31" i="4"/>
  <c r="FL31" i="4"/>
  <c r="HW31" i="4"/>
  <c r="JT31" i="4"/>
  <c r="BC31" i="4"/>
  <c r="DQ31" i="4"/>
  <c r="FM31" i="4"/>
  <c r="IA31" i="4"/>
  <c r="JU31" i="4"/>
  <c r="BM31" i="4"/>
  <c r="DR31" i="4"/>
  <c r="FU31" i="4"/>
  <c r="IB31" i="4"/>
  <c r="S31" i="4"/>
  <c r="BQ31" i="4"/>
  <c r="EC31" i="4"/>
  <c r="GG31" i="4"/>
  <c r="IK31" i="4"/>
  <c r="CL31" i="4"/>
  <c r="FW31" i="4"/>
  <c r="JN31" i="4"/>
  <c r="CM31" i="4"/>
  <c r="GJ31" i="4"/>
  <c r="JO31" i="4"/>
  <c r="CN31" i="4"/>
  <c r="GS31" i="4"/>
  <c r="JP31" i="4"/>
  <c r="U31" i="4"/>
  <c r="CO31" i="4"/>
  <c r="GU31" i="4"/>
  <c r="JQ31" i="4"/>
  <c r="V31" i="4"/>
  <c r="CQ31" i="4"/>
  <c r="GW31" i="4"/>
  <c r="X31" i="4"/>
  <c r="DS31" i="4"/>
  <c r="GZ31" i="4"/>
  <c r="CU31" i="4"/>
  <c r="IN31" i="4"/>
  <c r="EE31" i="4"/>
  <c r="IR31" i="4"/>
  <c r="EG31" i="4"/>
  <c r="IZ31" i="4"/>
  <c r="EH31" i="4"/>
  <c r="JL31" i="4"/>
  <c r="EI31" i="4"/>
  <c r="W31" i="4"/>
  <c r="FA31" i="4"/>
  <c r="EJ31" i="4"/>
  <c r="FD31" i="4"/>
  <c r="FE31" i="4"/>
  <c r="FF31" i="4"/>
  <c r="GY31" i="4"/>
  <c r="HB31" i="4"/>
  <c r="Y31" i="4"/>
  <c r="Z31" i="4"/>
  <c r="AE31" i="4"/>
  <c r="AV31" i="4"/>
  <c r="BO31" i="4"/>
  <c r="AX31" i="4"/>
  <c r="IC31" i="4"/>
  <c r="IM31" i="4"/>
  <c r="HA31" i="4"/>
  <c r="BR31" i="4"/>
  <c r="BX31" i="4"/>
  <c r="CK31" i="4"/>
  <c r="HC31" i="4"/>
  <c r="P139" i="4"/>
  <c r="AF139" i="4"/>
  <c r="AV139" i="4"/>
  <c r="BL139" i="4"/>
  <c r="CB139" i="4"/>
  <c r="CR139" i="4"/>
  <c r="DH139" i="4"/>
  <c r="DX139" i="4"/>
  <c r="EN139" i="4"/>
  <c r="FD139" i="4"/>
  <c r="FT139" i="4"/>
  <c r="GJ139" i="4"/>
  <c r="GZ139" i="4"/>
  <c r="HP139" i="4"/>
  <c r="IF139" i="4"/>
  <c r="IV139" i="4"/>
  <c r="JL139" i="4"/>
  <c r="KB139" i="4"/>
  <c r="R139" i="4"/>
  <c r="AI139" i="4"/>
  <c r="AZ139" i="4"/>
  <c r="BQ139" i="4"/>
  <c r="CH139" i="4"/>
  <c r="CY139" i="4"/>
  <c r="DP139" i="4"/>
  <c r="EG139" i="4"/>
  <c r="EX139" i="4"/>
  <c r="FO139" i="4"/>
  <c r="GF139" i="4"/>
  <c r="GW139" i="4"/>
  <c r="HN139" i="4"/>
  <c r="IE139" i="4"/>
  <c r="IW139" i="4"/>
  <c r="JN139" i="4"/>
  <c r="KE139" i="4"/>
  <c r="S139" i="4"/>
  <c r="AJ139" i="4"/>
  <c r="BA139" i="4"/>
  <c r="BR139" i="4"/>
  <c r="CI139" i="4"/>
  <c r="CZ139" i="4"/>
  <c r="DQ139" i="4"/>
  <c r="EH139" i="4"/>
  <c r="EY139" i="4"/>
  <c r="FP139" i="4"/>
  <c r="GG139" i="4"/>
  <c r="GX139" i="4"/>
  <c r="HO139" i="4"/>
  <c r="IG139" i="4"/>
  <c r="IX139" i="4"/>
  <c r="JO139" i="4"/>
  <c r="KF139" i="4"/>
  <c r="T139" i="4"/>
  <c r="AK139" i="4"/>
  <c r="BB139" i="4"/>
  <c r="BS139" i="4"/>
  <c r="CJ139" i="4"/>
  <c r="DA139" i="4"/>
  <c r="DR139" i="4"/>
  <c r="EI139" i="4"/>
  <c r="EZ139" i="4"/>
  <c r="FQ139" i="4"/>
  <c r="GH139" i="4"/>
  <c r="GY139" i="4"/>
  <c r="HQ139" i="4"/>
  <c r="IH139" i="4"/>
  <c r="IY139" i="4"/>
  <c r="JP139" i="4"/>
  <c r="KG139" i="4"/>
  <c r="X139" i="4"/>
  <c r="AO139" i="4"/>
  <c r="BF139" i="4"/>
  <c r="BW139" i="4"/>
  <c r="CN139" i="4"/>
  <c r="DE139" i="4"/>
  <c r="DV139" i="4"/>
  <c r="EM139" i="4"/>
  <c r="FE139" i="4"/>
  <c r="FV139" i="4"/>
  <c r="GM139" i="4"/>
  <c r="HD139" i="4"/>
  <c r="HU139" i="4"/>
  <c r="IL139" i="4"/>
  <c r="JC139" i="4"/>
  <c r="JT139" i="4"/>
  <c r="AB139" i="4"/>
  <c r="AX139" i="4"/>
  <c r="BV139" i="4"/>
  <c r="CS139" i="4"/>
  <c r="DN139" i="4"/>
  <c r="EL139" i="4"/>
  <c r="FI139" i="4"/>
  <c r="GD139" i="4"/>
  <c r="HC139" i="4"/>
  <c r="HY139" i="4"/>
  <c r="IT139" i="4"/>
  <c r="JS139" i="4"/>
  <c r="AC139" i="4"/>
  <c r="AY139" i="4"/>
  <c r="BX139" i="4"/>
  <c r="CT139" i="4"/>
  <c r="DO139" i="4"/>
  <c r="EO139" i="4"/>
  <c r="FJ139" i="4"/>
  <c r="GE139" i="4"/>
  <c r="HE139" i="4"/>
  <c r="HZ139" i="4"/>
  <c r="IU139" i="4"/>
  <c r="JU139" i="4"/>
  <c r="I139" i="4"/>
  <c r="AD139" i="4"/>
  <c r="BC139" i="4"/>
  <c r="BY139" i="4"/>
  <c r="CU139" i="4"/>
  <c r="DS139" i="4"/>
  <c r="EP139" i="4"/>
  <c r="FK139" i="4"/>
  <c r="GI139" i="4"/>
  <c r="HF139" i="4"/>
  <c r="IA139" i="4"/>
  <c r="IZ139" i="4"/>
  <c r="JV139" i="4"/>
  <c r="J139" i="4"/>
  <c r="AE139" i="4"/>
  <c r="BD139" i="4"/>
  <c r="BZ139" i="4"/>
  <c r="CV139" i="4"/>
  <c r="DT139" i="4"/>
  <c r="EQ139" i="4"/>
  <c r="FL139" i="4"/>
  <c r="GK139" i="4"/>
  <c r="HG139" i="4"/>
  <c r="IB139" i="4"/>
  <c r="JA139" i="4"/>
  <c r="JW139" i="4"/>
  <c r="K139" i="4"/>
  <c r="AG139" i="4"/>
  <c r="BE139" i="4"/>
  <c r="CA139" i="4"/>
  <c r="CW139" i="4"/>
  <c r="DU139" i="4"/>
  <c r="ER139" i="4"/>
  <c r="FM139" i="4"/>
  <c r="GL139" i="4"/>
  <c r="HH139" i="4"/>
  <c r="IC139" i="4"/>
  <c r="JB139" i="4"/>
  <c r="JX139" i="4"/>
  <c r="M139" i="4"/>
  <c r="AL139" i="4"/>
  <c r="BH139" i="4"/>
  <c r="CD139" i="4"/>
  <c r="DB139" i="4"/>
  <c r="DY139" i="4"/>
  <c r="ET139" i="4"/>
  <c r="FR139" i="4"/>
  <c r="GO139" i="4"/>
  <c r="HJ139" i="4"/>
  <c r="II139" i="4"/>
  <c r="JE139" i="4"/>
  <c r="JZ139" i="4"/>
  <c r="Z139" i="4"/>
  <c r="BM139" i="4"/>
  <c r="CX139" i="4"/>
  <c r="EE139" i="4"/>
  <c r="FU139" i="4"/>
  <c r="HA139" i="4"/>
  <c r="IN139" i="4"/>
  <c r="JY139" i="4"/>
  <c r="AA139" i="4"/>
  <c r="BN139" i="4"/>
  <c r="DC139" i="4"/>
  <c r="EF139" i="4"/>
  <c r="FW139" i="4"/>
  <c r="HB139" i="4"/>
  <c r="IO139" i="4"/>
  <c r="KA139" i="4"/>
  <c r="AH139" i="4"/>
  <c r="BO139" i="4"/>
  <c r="DD139" i="4"/>
  <c r="EJ139" i="4"/>
  <c r="FX139" i="4"/>
  <c r="HI139" i="4"/>
  <c r="IP139" i="4"/>
  <c r="KC139" i="4"/>
  <c r="AM139" i="4"/>
  <c r="BP139" i="4"/>
  <c r="DF139" i="4"/>
  <c r="EK139" i="4"/>
  <c r="FY139" i="4"/>
  <c r="HK139" i="4"/>
  <c r="IQ139" i="4"/>
  <c r="KD139" i="4"/>
  <c r="AN139" i="4"/>
  <c r="BT139" i="4"/>
  <c r="DG139" i="4"/>
  <c r="ES139" i="4"/>
  <c r="FZ139" i="4"/>
  <c r="HL139" i="4"/>
  <c r="IR139" i="4"/>
  <c r="KH139" i="4"/>
  <c r="AQ139" i="4"/>
  <c r="CC139" i="4"/>
  <c r="DJ139" i="4"/>
  <c r="EV139" i="4"/>
  <c r="GB139" i="4"/>
  <c r="HR139" i="4"/>
  <c r="JD139" i="4"/>
  <c r="O139" i="4"/>
  <c r="BU139" i="4"/>
  <c r="EA139" i="4"/>
  <c r="GN139" i="4"/>
  <c r="IK139" i="4"/>
  <c r="Q139" i="4"/>
  <c r="CE139" i="4"/>
  <c r="EB139" i="4"/>
  <c r="GP139" i="4"/>
  <c r="IM139" i="4"/>
  <c r="U139" i="4"/>
  <c r="CF139" i="4"/>
  <c r="EC139" i="4"/>
  <c r="GQ139" i="4"/>
  <c r="IS139" i="4"/>
  <c r="V139" i="4"/>
  <c r="CG139" i="4"/>
  <c r="ED139" i="4"/>
  <c r="GR139" i="4"/>
  <c r="JF139" i="4"/>
  <c r="W139" i="4"/>
  <c r="CK139" i="4"/>
  <c r="EU139" i="4"/>
  <c r="GS139" i="4"/>
  <c r="JG139" i="4"/>
  <c r="AP139" i="4"/>
  <c r="CM139" i="4"/>
  <c r="FA139" i="4"/>
  <c r="GU139" i="4"/>
  <c r="JI139" i="4"/>
  <c r="CL139" i="4"/>
  <c r="FN139" i="4"/>
  <c r="JK139" i="4"/>
  <c r="CO139" i="4"/>
  <c r="FS139" i="4"/>
  <c r="JM139" i="4"/>
  <c r="CP139" i="4"/>
  <c r="GA139" i="4"/>
  <c r="JQ139" i="4"/>
  <c r="CQ139" i="4"/>
  <c r="GC139" i="4"/>
  <c r="JR139" i="4"/>
  <c r="L139" i="4"/>
  <c r="DI139" i="4"/>
  <c r="GT139" i="4"/>
  <c r="KI139" i="4"/>
  <c r="Y139" i="4"/>
  <c r="DL139" i="4"/>
  <c r="HM139" i="4"/>
  <c r="EW139" i="4"/>
  <c r="FB139" i="4"/>
  <c r="N139" i="4"/>
  <c r="FC139" i="4"/>
  <c r="AR139" i="4"/>
  <c r="FF139" i="4"/>
  <c r="AS139" i="4"/>
  <c r="FG139" i="4"/>
  <c r="BK139" i="4"/>
  <c r="DK139" i="4"/>
  <c r="DM139" i="4"/>
  <c r="DW139" i="4"/>
  <c r="DZ139" i="4"/>
  <c r="AT139" i="4"/>
  <c r="HW139" i="4"/>
  <c r="HS139" i="4"/>
  <c r="HT139" i="4"/>
  <c r="HV139" i="4"/>
  <c r="HX139" i="4"/>
  <c r="IJ139" i="4"/>
  <c r="AW139" i="4"/>
  <c r="FH139" i="4"/>
  <c r="GV139" i="4"/>
  <c r="ID139" i="4"/>
  <c r="JH139" i="4"/>
  <c r="JJ139" i="4"/>
  <c r="AU139" i="4"/>
  <c r="BG139" i="4"/>
  <c r="BI139" i="4"/>
  <c r="BJ139" i="4"/>
  <c r="I91" i="4"/>
  <c r="Y91" i="4"/>
  <c r="AO91" i="4"/>
  <c r="BE91" i="4"/>
  <c r="BU91" i="4"/>
  <c r="CK91" i="4"/>
  <c r="DA91" i="4"/>
  <c r="DQ91" i="4"/>
  <c r="EG91" i="4"/>
  <c r="EW91" i="4"/>
  <c r="FM91" i="4"/>
  <c r="GC91" i="4"/>
  <c r="GS91" i="4"/>
  <c r="HI91" i="4"/>
  <c r="HY91" i="4"/>
  <c r="IO91" i="4"/>
  <c r="JE91" i="4"/>
  <c r="JU91" i="4"/>
  <c r="J91" i="4"/>
  <c r="Z91" i="4"/>
  <c r="AP91" i="4"/>
  <c r="BF91" i="4"/>
  <c r="BV91" i="4"/>
  <c r="CL91" i="4"/>
  <c r="DB91" i="4"/>
  <c r="DR91" i="4"/>
  <c r="EH91" i="4"/>
  <c r="EX91" i="4"/>
  <c r="FN91" i="4"/>
  <c r="GD91" i="4"/>
  <c r="GT91" i="4"/>
  <c r="HJ91" i="4"/>
  <c r="HZ91" i="4"/>
  <c r="IP91" i="4"/>
  <c r="JF91" i="4"/>
  <c r="JV91" i="4"/>
  <c r="K91" i="4"/>
  <c r="AA91" i="4"/>
  <c r="AQ91" i="4"/>
  <c r="BG91" i="4"/>
  <c r="BW91" i="4"/>
  <c r="CM91" i="4"/>
  <c r="DC91" i="4"/>
  <c r="DS91" i="4"/>
  <c r="EI91" i="4"/>
  <c r="EY91" i="4"/>
  <c r="FO91" i="4"/>
  <c r="GE91" i="4"/>
  <c r="GU91" i="4"/>
  <c r="HK91" i="4"/>
  <c r="IA91" i="4"/>
  <c r="IQ91" i="4"/>
  <c r="JG91" i="4"/>
  <c r="JW91" i="4"/>
  <c r="O91" i="4"/>
  <c r="AE91" i="4"/>
  <c r="AU91" i="4"/>
  <c r="BK91" i="4"/>
  <c r="CA91" i="4"/>
  <c r="CQ91" i="4"/>
  <c r="DG91" i="4"/>
  <c r="DW91" i="4"/>
  <c r="EM91" i="4"/>
  <c r="FC91" i="4"/>
  <c r="FS91" i="4"/>
  <c r="GI91" i="4"/>
  <c r="GY91" i="4"/>
  <c r="HO91" i="4"/>
  <c r="IE91" i="4"/>
  <c r="IU91" i="4"/>
  <c r="JK91" i="4"/>
  <c r="KA91" i="4"/>
  <c r="L91" i="4"/>
  <c r="AG91" i="4"/>
  <c r="BA91" i="4"/>
  <c r="BX91" i="4"/>
  <c r="CS91" i="4"/>
  <c r="DM91" i="4"/>
  <c r="EJ91" i="4"/>
  <c r="FE91" i="4"/>
  <c r="FY91" i="4"/>
  <c r="GV91" i="4"/>
  <c r="HQ91" i="4"/>
  <c r="IK91" i="4"/>
  <c r="JH91" i="4"/>
  <c r="KC91" i="4"/>
  <c r="M91" i="4"/>
  <c r="AH91" i="4"/>
  <c r="BB91" i="4"/>
  <c r="BY91" i="4"/>
  <c r="CT91" i="4"/>
  <c r="DN91" i="4"/>
  <c r="EK91" i="4"/>
  <c r="FF91" i="4"/>
  <c r="FZ91" i="4"/>
  <c r="GW91" i="4"/>
  <c r="HR91" i="4"/>
  <c r="IL91" i="4"/>
  <c r="JI91" i="4"/>
  <c r="KD91" i="4"/>
  <c r="N91" i="4"/>
  <c r="AI91" i="4"/>
  <c r="BC91" i="4"/>
  <c r="BZ91" i="4"/>
  <c r="CU91" i="4"/>
  <c r="DO91" i="4"/>
  <c r="EL91" i="4"/>
  <c r="FG91" i="4"/>
  <c r="GA91" i="4"/>
  <c r="GX91" i="4"/>
  <c r="HS91" i="4"/>
  <c r="IM91" i="4"/>
  <c r="JJ91" i="4"/>
  <c r="KE91" i="4"/>
  <c r="P91" i="4"/>
  <c r="AJ91" i="4"/>
  <c r="BD91" i="4"/>
  <c r="CB91" i="4"/>
  <c r="CV91" i="4"/>
  <c r="DP91" i="4"/>
  <c r="EN91" i="4"/>
  <c r="FH91" i="4"/>
  <c r="GB91" i="4"/>
  <c r="GZ91" i="4"/>
  <c r="HT91" i="4"/>
  <c r="IN91" i="4"/>
  <c r="JL91" i="4"/>
  <c r="KF91" i="4"/>
  <c r="Q91" i="4"/>
  <c r="AK91" i="4"/>
  <c r="BH91" i="4"/>
  <c r="CC91" i="4"/>
  <c r="CW91" i="4"/>
  <c r="DT91" i="4"/>
  <c r="EO91" i="4"/>
  <c r="FI91" i="4"/>
  <c r="GF91" i="4"/>
  <c r="HA91" i="4"/>
  <c r="HU91" i="4"/>
  <c r="IR91" i="4"/>
  <c r="JM91" i="4"/>
  <c r="KG91" i="4"/>
  <c r="S91" i="4"/>
  <c r="AM91" i="4"/>
  <c r="BJ91" i="4"/>
  <c r="CE91" i="4"/>
  <c r="CY91" i="4"/>
  <c r="DV91" i="4"/>
  <c r="EQ91" i="4"/>
  <c r="FK91" i="4"/>
  <c r="GH91" i="4"/>
  <c r="HC91" i="4"/>
  <c r="HW91" i="4"/>
  <c r="IT91" i="4"/>
  <c r="JO91" i="4"/>
  <c r="KI91" i="4"/>
  <c r="AD91" i="4"/>
  <c r="BO91" i="4"/>
  <c r="CX91" i="4"/>
  <c r="EC91" i="4"/>
  <c r="FP91" i="4"/>
  <c r="GQ91" i="4"/>
  <c r="ID91" i="4"/>
  <c r="JN91" i="4"/>
  <c r="AF91" i="4"/>
  <c r="BP91" i="4"/>
  <c r="CZ91" i="4"/>
  <c r="ED91" i="4"/>
  <c r="FQ91" i="4"/>
  <c r="GR91" i="4"/>
  <c r="IF91" i="4"/>
  <c r="JP91" i="4"/>
  <c r="AL91" i="4"/>
  <c r="BQ91" i="4"/>
  <c r="DD91" i="4"/>
  <c r="EE91" i="4"/>
  <c r="FR91" i="4"/>
  <c r="HB91" i="4"/>
  <c r="IG91" i="4"/>
  <c r="JQ91" i="4"/>
  <c r="AN91" i="4"/>
  <c r="BR91" i="4"/>
  <c r="DE91" i="4"/>
  <c r="EF91" i="4"/>
  <c r="FT91" i="4"/>
  <c r="HD91" i="4"/>
  <c r="IH91" i="4"/>
  <c r="JR91" i="4"/>
  <c r="AR91" i="4"/>
  <c r="BS91" i="4"/>
  <c r="DF91" i="4"/>
  <c r="EP91" i="4"/>
  <c r="FU91" i="4"/>
  <c r="HE91" i="4"/>
  <c r="II91" i="4"/>
  <c r="JS91" i="4"/>
  <c r="AT91" i="4"/>
  <c r="CD91" i="4"/>
  <c r="DI91" i="4"/>
  <c r="ES91" i="4"/>
  <c r="FW91" i="4"/>
  <c r="HG91" i="4"/>
  <c r="IS91" i="4"/>
  <c r="JX91" i="4"/>
  <c r="W91" i="4"/>
  <c r="CG91" i="4"/>
  <c r="EA91" i="4"/>
  <c r="GK91" i="4"/>
  <c r="IJ91" i="4"/>
  <c r="X91" i="4"/>
  <c r="CH91" i="4"/>
  <c r="EB91" i="4"/>
  <c r="GL91" i="4"/>
  <c r="IV91" i="4"/>
  <c r="AB91" i="4"/>
  <c r="CI91" i="4"/>
  <c r="ER91" i="4"/>
  <c r="GM91" i="4"/>
  <c r="IW91" i="4"/>
  <c r="AC91" i="4"/>
  <c r="CJ91" i="4"/>
  <c r="ET91" i="4"/>
  <c r="GN91" i="4"/>
  <c r="IX91" i="4"/>
  <c r="AS91" i="4"/>
  <c r="CN91" i="4"/>
  <c r="EU91" i="4"/>
  <c r="GO91" i="4"/>
  <c r="IY91" i="4"/>
  <c r="AW91" i="4"/>
  <c r="CP91" i="4"/>
  <c r="EZ91" i="4"/>
  <c r="HF91" i="4"/>
  <c r="JA91" i="4"/>
  <c r="AY91" i="4"/>
  <c r="DY91" i="4"/>
  <c r="HN91" i="4"/>
  <c r="AZ91" i="4"/>
  <c r="DZ91" i="4"/>
  <c r="HP91" i="4"/>
  <c r="BI91" i="4"/>
  <c r="EV91" i="4"/>
  <c r="HV91" i="4"/>
  <c r="BL91" i="4"/>
  <c r="FA91" i="4"/>
  <c r="HX91" i="4"/>
  <c r="BM91" i="4"/>
  <c r="FB91" i="4"/>
  <c r="IB91" i="4"/>
  <c r="BT91" i="4"/>
  <c r="FJ91" i="4"/>
  <c r="IZ91" i="4"/>
  <c r="DU91" i="4"/>
  <c r="JT91" i="4"/>
  <c r="DX91" i="4"/>
  <c r="JY91" i="4"/>
  <c r="R91" i="4"/>
  <c r="FD91" i="4"/>
  <c r="JZ91" i="4"/>
  <c r="T91" i="4"/>
  <c r="FL91" i="4"/>
  <c r="KB91" i="4"/>
  <c r="U91" i="4"/>
  <c r="FV91" i="4"/>
  <c r="KH91" i="4"/>
  <c r="AV91" i="4"/>
  <c r="GG91" i="4"/>
  <c r="GP91" i="4"/>
  <c r="HH91" i="4"/>
  <c r="HL91" i="4"/>
  <c r="HM91" i="4"/>
  <c r="V91" i="4"/>
  <c r="IC91" i="4"/>
  <c r="BN91" i="4"/>
  <c r="JC91" i="4"/>
  <c r="CO91" i="4"/>
  <c r="CR91" i="4"/>
  <c r="DH91" i="4"/>
  <c r="DJ91" i="4"/>
  <c r="DK91" i="4"/>
  <c r="DL91" i="4"/>
  <c r="FX91" i="4"/>
  <c r="GJ91" i="4"/>
  <c r="JB91" i="4"/>
  <c r="JD91" i="4"/>
  <c r="AX91" i="4"/>
  <c r="CF91" i="4"/>
  <c r="R43" i="4"/>
  <c r="AH43" i="4"/>
  <c r="AX43" i="4"/>
  <c r="BN43" i="4"/>
  <c r="CD43" i="4"/>
  <c r="CT43" i="4"/>
  <c r="DJ43" i="4"/>
  <c r="DZ43" i="4"/>
  <c r="EP43" i="4"/>
  <c r="FF43" i="4"/>
  <c r="FV43" i="4"/>
  <c r="GL43" i="4"/>
  <c r="HB43" i="4"/>
  <c r="HR43" i="4"/>
  <c r="IH43" i="4"/>
  <c r="IX43" i="4"/>
  <c r="JN43" i="4"/>
  <c r="KD43" i="4"/>
  <c r="M43" i="4"/>
  <c r="AD43" i="4"/>
  <c r="AU43" i="4"/>
  <c r="BL43" i="4"/>
  <c r="CC43" i="4"/>
  <c r="CU43" i="4"/>
  <c r="DL43" i="4"/>
  <c r="EC43" i="4"/>
  <c r="ET43" i="4"/>
  <c r="FK43" i="4"/>
  <c r="GB43" i="4"/>
  <c r="GS43" i="4"/>
  <c r="HJ43" i="4"/>
  <c r="IA43" i="4"/>
  <c r="IR43" i="4"/>
  <c r="JI43" i="4"/>
  <c r="JZ43" i="4"/>
  <c r="N43" i="4"/>
  <c r="AE43" i="4"/>
  <c r="AV43" i="4"/>
  <c r="BM43" i="4"/>
  <c r="CE43" i="4"/>
  <c r="CV43" i="4"/>
  <c r="DM43" i="4"/>
  <c r="ED43" i="4"/>
  <c r="EU43" i="4"/>
  <c r="FL43" i="4"/>
  <c r="GC43" i="4"/>
  <c r="GT43" i="4"/>
  <c r="HK43" i="4"/>
  <c r="IB43" i="4"/>
  <c r="IS43" i="4"/>
  <c r="JJ43" i="4"/>
  <c r="KA43" i="4"/>
  <c r="O43" i="4"/>
  <c r="AF43" i="4"/>
  <c r="AW43" i="4"/>
  <c r="BO43" i="4"/>
  <c r="CF43" i="4"/>
  <c r="CW43" i="4"/>
  <c r="DN43" i="4"/>
  <c r="EE43" i="4"/>
  <c r="EV43" i="4"/>
  <c r="FM43" i="4"/>
  <c r="GD43" i="4"/>
  <c r="GU43" i="4"/>
  <c r="HL43" i="4"/>
  <c r="IC43" i="4"/>
  <c r="IT43" i="4"/>
  <c r="JK43" i="4"/>
  <c r="KB43" i="4"/>
  <c r="T43" i="4"/>
  <c r="AK43" i="4"/>
  <c r="BB43" i="4"/>
  <c r="BS43" i="4"/>
  <c r="CJ43" i="4"/>
  <c r="DA43" i="4"/>
  <c r="DR43" i="4"/>
  <c r="EI43" i="4"/>
  <c r="EZ43" i="4"/>
  <c r="FQ43" i="4"/>
  <c r="GH43" i="4"/>
  <c r="GY43" i="4"/>
  <c r="HP43" i="4"/>
  <c r="IG43" i="4"/>
  <c r="IY43" i="4"/>
  <c r="JP43" i="4"/>
  <c r="KG43" i="4"/>
  <c r="Z43" i="4"/>
  <c r="AY43" i="4"/>
  <c r="BU43" i="4"/>
  <c r="CP43" i="4"/>
  <c r="DO43" i="4"/>
  <c r="EK43" i="4"/>
  <c r="FG43" i="4"/>
  <c r="GE43" i="4"/>
  <c r="HA43" i="4"/>
  <c r="HW43" i="4"/>
  <c r="IU43" i="4"/>
  <c r="JR43" i="4"/>
  <c r="AA43" i="4"/>
  <c r="AZ43" i="4"/>
  <c r="BV43" i="4"/>
  <c r="CQ43" i="4"/>
  <c r="DP43" i="4"/>
  <c r="EL43" i="4"/>
  <c r="FH43" i="4"/>
  <c r="GF43" i="4"/>
  <c r="HC43" i="4"/>
  <c r="HX43" i="4"/>
  <c r="IV43" i="4"/>
  <c r="JS43" i="4"/>
  <c r="AB43" i="4"/>
  <c r="BA43" i="4"/>
  <c r="BW43" i="4"/>
  <c r="CR43" i="4"/>
  <c r="DQ43" i="4"/>
  <c r="EM43" i="4"/>
  <c r="FI43" i="4"/>
  <c r="GG43" i="4"/>
  <c r="HD43" i="4"/>
  <c r="HY43" i="4"/>
  <c r="IW43" i="4"/>
  <c r="JT43" i="4"/>
  <c r="AC43" i="4"/>
  <c r="BC43" i="4"/>
  <c r="BX43" i="4"/>
  <c r="CS43" i="4"/>
  <c r="DS43" i="4"/>
  <c r="EN43" i="4"/>
  <c r="FJ43" i="4"/>
  <c r="GI43" i="4"/>
  <c r="HE43" i="4"/>
  <c r="HZ43" i="4"/>
  <c r="IZ43" i="4"/>
  <c r="JU43" i="4"/>
  <c r="I43" i="4"/>
  <c r="AG43" i="4"/>
  <c r="BD43" i="4"/>
  <c r="BY43" i="4"/>
  <c r="CX43" i="4"/>
  <c r="DT43" i="4"/>
  <c r="EO43" i="4"/>
  <c r="FN43" i="4"/>
  <c r="GJ43" i="4"/>
  <c r="HF43" i="4"/>
  <c r="ID43" i="4"/>
  <c r="JA43" i="4"/>
  <c r="JV43" i="4"/>
  <c r="K43" i="4"/>
  <c r="AJ43" i="4"/>
  <c r="BF43" i="4"/>
  <c r="CA43" i="4"/>
  <c r="CZ43" i="4"/>
  <c r="DV43" i="4"/>
  <c r="ER43" i="4"/>
  <c r="FP43" i="4"/>
  <c r="GM43" i="4"/>
  <c r="HH43" i="4"/>
  <c r="IF43" i="4"/>
  <c r="JC43" i="4"/>
  <c r="JX43" i="4"/>
  <c r="S43" i="4"/>
  <c r="BE43" i="4"/>
  <c r="CL43" i="4"/>
  <c r="DX43" i="4"/>
  <c r="FD43" i="4"/>
  <c r="GQ43" i="4"/>
  <c r="IE43" i="4"/>
  <c r="JL43" i="4"/>
  <c r="U43" i="4"/>
  <c r="BG43" i="4"/>
  <c r="CM43" i="4"/>
  <c r="DY43" i="4"/>
  <c r="FE43" i="4"/>
  <c r="GR43" i="4"/>
  <c r="II43" i="4"/>
  <c r="JM43" i="4"/>
  <c r="V43" i="4"/>
  <c r="BH43" i="4"/>
  <c r="CN43" i="4"/>
  <c r="EA43" i="4"/>
  <c r="FO43" i="4"/>
  <c r="GV43" i="4"/>
  <c r="IJ43" i="4"/>
  <c r="JO43" i="4"/>
  <c r="W43" i="4"/>
  <c r="BI43" i="4"/>
  <c r="CO43" i="4"/>
  <c r="EB43" i="4"/>
  <c r="FR43" i="4"/>
  <c r="GW43" i="4"/>
  <c r="IK43" i="4"/>
  <c r="JQ43" i="4"/>
  <c r="X43" i="4"/>
  <c r="BJ43" i="4"/>
  <c r="CY43" i="4"/>
  <c r="EF43" i="4"/>
  <c r="FS43" i="4"/>
  <c r="GX43" i="4"/>
  <c r="IL43" i="4"/>
  <c r="JW43" i="4"/>
  <c r="AI43" i="4"/>
  <c r="BP43" i="4"/>
  <c r="DC43" i="4"/>
  <c r="EH43" i="4"/>
  <c r="FU43" i="4"/>
  <c r="HG43" i="4"/>
  <c r="IN43" i="4"/>
  <c r="KC43" i="4"/>
  <c r="AQ43" i="4"/>
  <c r="DE43" i="4"/>
  <c r="FB43" i="4"/>
  <c r="HO43" i="4"/>
  <c r="JY43" i="4"/>
  <c r="AR43" i="4"/>
  <c r="DF43" i="4"/>
  <c r="FC43" i="4"/>
  <c r="HQ43" i="4"/>
  <c r="KE43" i="4"/>
  <c r="AS43" i="4"/>
  <c r="DG43" i="4"/>
  <c r="FT43" i="4"/>
  <c r="HS43" i="4"/>
  <c r="KF43" i="4"/>
  <c r="AT43" i="4"/>
  <c r="DH43" i="4"/>
  <c r="FW43" i="4"/>
  <c r="HT43" i="4"/>
  <c r="KH43" i="4"/>
  <c r="BK43" i="4"/>
  <c r="DI43" i="4"/>
  <c r="FX43" i="4"/>
  <c r="HU43" i="4"/>
  <c r="KI43" i="4"/>
  <c r="J43" i="4"/>
  <c r="BR43" i="4"/>
  <c r="DU43" i="4"/>
  <c r="FZ43" i="4"/>
  <c r="IM43" i="4"/>
  <c r="AM43" i="4"/>
  <c r="EG43" i="4"/>
  <c r="HM43" i="4"/>
  <c r="AN43" i="4"/>
  <c r="EJ43" i="4"/>
  <c r="HN43" i="4"/>
  <c r="AO43" i="4"/>
  <c r="EQ43" i="4"/>
  <c r="HV43" i="4"/>
  <c r="AP43" i="4"/>
  <c r="ES43" i="4"/>
  <c r="IO43" i="4"/>
  <c r="BQ43" i="4"/>
  <c r="EW43" i="4"/>
  <c r="IP43" i="4"/>
  <c r="BZ43" i="4"/>
  <c r="EY43" i="4"/>
  <c r="JB43" i="4"/>
  <c r="P43" i="4"/>
  <c r="FY43" i="4"/>
  <c r="Q43" i="4"/>
  <c r="GA43" i="4"/>
  <c r="Y43" i="4"/>
  <c r="GK43" i="4"/>
  <c r="AL43" i="4"/>
  <c r="GN43" i="4"/>
  <c r="BT43" i="4"/>
  <c r="GO43" i="4"/>
  <c r="CG43" i="4"/>
  <c r="GZ43" i="4"/>
  <c r="DK43" i="4"/>
  <c r="DW43" i="4"/>
  <c r="EX43" i="4"/>
  <c r="FA43" i="4"/>
  <c r="GP43" i="4"/>
  <c r="IQ43" i="4"/>
  <c r="CI43" i="4"/>
  <c r="CK43" i="4"/>
  <c r="DB43" i="4"/>
  <c r="DD43" i="4"/>
  <c r="HI43" i="4"/>
  <c r="JE43" i="4"/>
  <c r="JD43" i="4"/>
  <c r="JF43" i="4"/>
  <c r="JG43" i="4"/>
  <c r="JH43" i="4"/>
  <c r="L43" i="4"/>
  <c r="CB43" i="4"/>
  <c r="CH43" i="4"/>
  <c r="I156" i="4"/>
  <c r="Y156" i="4"/>
  <c r="AO156" i="4"/>
  <c r="BE156" i="4"/>
  <c r="BU156" i="4"/>
  <c r="CK156" i="4"/>
  <c r="DA156" i="4"/>
  <c r="DQ156" i="4"/>
  <c r="EG156" i="4"/>
  <c r="EW156" i="4"/>
  <c r="FM156" i="4"/>
  <c r="GC156" i="4"/>
  <c r="GS156" i="4"/>
  <c r="HI156" i="4"/>
  <c r="HY156" i="4"/>
  <c r="J156" i="4"/>
  <c r="Z156" i="4"/>
  <c r="AP156" i="4"/>
  <c r="BF156" i="4"/>
  <c r="BV156" i="4"/>
  <c r="CL156" i="4"/>
  <c r="DB156" i="4"/>
  <c r="DR156" i="4"/>
  <c r="EH156" i="4"/>
  <c r="EX156" i="4"/>
  <c r="FN156" i="4"/>
  <c r="GD156" i="4"/>
  <c r="GT156" i="4"/>
  <c r="HJ156" i="4"/>
  <c r="HZ156" i="4"/>
  <c r="IP156" i="4"/>
  <c r="K156" i="4"/>
  <c r="AA156" i="4"/>
  <c r="AQ156" i="4"/>
  <c r="BG156" i="4"/>
  <c r="BW156" i="4"/>
  <c r="CM156" i="4"/>
  <c r="DC156" i="4"/>
  <c r="DS156" i="4"/>
  <c r="EI156" i="4"/>
  <c r="EY156" i="4"/>
  <c r="FO156" i="4"/>
  <c r="GE156" i="4"/>
  <c r="GU156" i="4"/>
  <c r="HK156" i="4"/>
  <c r="IA156" i="4"/>
  <c r="IQ156" i="4"/>
  <c r="JG156" i="4"/>
  <c r="JW156" i="4"/>
  <c r="O156" i="4"/>
  <c r="AE156" i="4"/>
  <c r="AU156" i="4"/>
  <c r="BK156" i="4"/>
  <c r="CA156" i="4"/>
  <c r="CQ156" i="4"/>
  <c r="DG156" i="4"/>
  <c r="DW156" i="4"/>
  <c r="EM156" i="4"/>
  <c r="FC156" i="4"/>
  <c r="FS156" i="4"/>
  <c r="GI156" i="4"/>
  <c r="GY156" i="4"/>
  <c r="HO156" i="4"/>
  <c r="IE156" i="4"/>
  <c r="IU156" i="4"/>
  <c r="JK156" i="4"/>
  <c r="KA156" i="4"/>
  <c r="AD156" i="4"/>
  <c r="AY156" i="4"/>
  <c r="BS156" i="4"/>
  <c r="CP156" i="4"/>
  <c r="DK156" i="4"/>
  <c r="EE156" i="4"/>
  <c r="FB156" i="4"/>
  <c r="FW156" i="4"/>
  <c r="GQ156" i="4"/>
  <c r="HN156" i="4"/>
  <c r="II156" i="4"/>
  <c r="JB156" i="4"/>
  <c r="JT156" i="4"/>
  <c r="AF156" i="4"/>
  <c r="AZ156" i="4"/>
  <c r="BT156" i="4"/>
  <c r="CR156" i="4"/>
  <c r="DL156" i="4"/>
  <c r="EF156" i="4"/>
  <c r="FD156" i="4"/>
  <c r="FX156" i="4"/>
  <c r="GR156" i="4"/>
  <c r="HP156" i="4"/>
  <c r="IJ156" i="4"/>
  <c r="JC156" i="4"/>
  <c r="JU156" i="4"/>
  <c r="L156" i="4"/>
  <c r="AG156" i="4"/>
  <c r="BA156" i="4"/>
  <c r="BX156" i="4"/>
  <c r="CS156" i="4"/>
  <c r="DM156" i="4"/>
  <c r="EJ156" i="4"/>
  <c r="FE156" i="4"/>
  <c r="FY156" i="4"/>
  <c r="GV156" i="4"/>
  <c r="HQ156" i="4"/>
  <c r="IK156" i="4"/>
  <c r="JD156" i="4"/>
  <c r="JV156" i="4"/>
  <c r="Q156" i="4"/>
  <c r="AK156" i="4"/>
  <c r="BH156" i="4"/>
  <c r="CC156" i="4"/>
  <c r="CW156" i="4"/>
  <c r="DT156" i="4"/>
  <c r="EO156" i="4"/>
  <c r="FI156" i="4"/>
  <c r="GF156" i="4"/>
  <c r="HA156" i="4"/>
  <c r="HU156" i="4"/>
  <c r="IO156" i="4"/>
  <c r="JI156" i="4"/>
  <c r="KB156" i="4"/>
  <c r="AB156" i="4"/>
  <c r="BD156" i="4"/>
  <c r="CG156" i="4"/>
  <c r="DI156" i="4"/>
  <c r="EN156" i="4"/>
  <c r="FP156" i="4"/>
  <c r="GO156" i="4"/>
  <c r="HT156" i="4"/>
  <c r="IV156" i="4"/>
  <c r="JR156" i="4"/>
  <c r="AC156" i="4"/>
  <c r="BI156" i="4"/>
  <c r="CH156" i="4"/>
  <c r="DJ156" i="4"/>
  <c r="EP156" i="4"/>
  <c r="FQ156" i="4"/>
  <c r="GP156" i="4"/>
  <c r="HV156" i="4"/>
  <c r="IW156" i="4"/>
  <c r="JS156" i="4"/>
  <c r="AH156" i="4"/>
  <c r="BJ156" i="4"/>
  <c r="CI156" i="4"/>
  <c r="DN156" i="4"/>
  <c r="EQ156" i="4"/>
  <c r="FR156" i="4"/>
  <c r="GW156" i="4"/>
  <c r="HW156" i="4"/>
  <c r="IX156" i="4"/>
  <c r="JX156" i="4"/>
  <c r="AI156" i="4"/>
  <c r="BL156" i="4"/>
  <c r="CJ156" i="4"/>
  <c r="DO156" i="4"/>
  <c r="ER156" i="4"/>
  <c r="FT156" i="4"/>
  <c r="GX156" i="4"/>
  <c r="HX156" i="4"/>
  <c r="IY156" i="4"/>
  <c r="JY156" i="4"/>
  <c r="AJ156" i="4"/>
  <c r="BM156" i="4"/>
  <c r="CN156" i="4"/>
  <c r="DP156" i="4"/>
  <c r="ES156" i="4"/>
  <c r="FU156" i="4"/>
  <c r="GZ156" i="4"/>
  <c r="IB156" i="4"/>
  <c r="IZ156" i="4"/>
  <c r="JZ156" i="4"/>
  <c r="M156" i="4"/>
  <c r="AM156" i="4"/>
  <c r="BO156" i="4"/>
  <c r="CT156" i="4"/>
  <c r="DV156" i="4"/>
  <c r="EU156" i="4"/>
  <c r="FZ156" i="4"/>
  <c r="HC156" i="4"/>
  <c r="ID156" i="4"/>
  <c r="JE156" i="4"/>
  <c r="KD156" i="4"/>
  <c r="AW156" i="4"/>
  <c r="CV156" i="4"/>
  <c r="EK156" i="4"/>
  <c r="GH156" i="4"/>
  <c r="IC156" i="4"/>
  <c r="JN156" i="4"/>
  <c r="N156" i="4"/>
  <c r="AX156" i="4"/>
  <c r="CX156" i="4"/>
  <c r="EL156" i="4"/>
  <c r="GJ156" i="4"/>
  <c r="IF156" i="4"/>
  <c r="JO156" i="4"/>
  <c r="P156" i="4"/>
  <c r="BB156" i="4"/>
  <c r="CY156" i="4"/>
  <c r="ET156" i="4"/>
  <c r="GK156" i="4"/>
  <c r="IG156" i="4"/>
  <c r="JP156" i="4"/>
  <c r="R156" i="4"/>
  <c r="BC156" i="4"/>
  <c r="CZ156" i="4"/>
  <c r="EV156" i="4"/>
  <c r="GL156" i="4"/>
  <c r="IH156" i="4"/>
  <c r="JQ156" i="4"/>
  <c r="S156" i="4"/>
  <c r="BN156" i="4"/>
  <c r="DD156" i="4"/>
  <c r="EZ156" i="4"/>
  <c r="GM156" i="4"/>
  <c r="IL156" i="4"/>
  <c r="KC156" i="4"/>
  <c r="U156" i="4"/>
  <c r="BQ156" i="4"/>
  <c r="DF156" i="4"/>
  <c r="FF156" i="4"/>
  <c r="HB156" i="4"/>
  <c r="IN156" i="4"/>
  <c r="KF156" i="4"/>
  <c r="BP156" i="4"/>
  <c r="EA156" i="4"/>
  <c r="HE156" i="4"/>
  <c r="JL156" i="4"/>
  <c r="BR156" i="4"/>
  <c r="EB156" i="4"/>
  <c r="HF156" i="4"/>
  <c r="JM156" i="4"/>
  <c r="BY156" i="4"/>
  <c r="EC156" i="4"/>
  <c r="HG156" i="4"/>
  <c r="KE156" i="4"/>
  <c r="BZ156" i="4"/>
  <c r="ED156" i="4"/>
  <c r="HH156" i="4"/>
  <c r="KG156" i="4"/>
  <c r="CB156" i="4"/>
  <c r="FA156" i="4"/>
  <c r="HL156" i="4"/>
  <c r="KH156" i="4"/>
  <c r="T156" i="4"/>
  <c r="CE156" i="4"/>
  <c r="FH156" i="4"/>
  <c r="HR156" i="4"/>
  <c r="AR156" i="4"/>
  <c r="FK156" i="4"/>
  <c r="JH156" i="4"/>
  <c r="AS156" i="4"/>
  <c r="FL156" i="4"/>
  <c r="JJ156" i="4"/>
  <c r="AT156" i="4"/>
  <c r="FV156" i="4"/>
  <c r="KI156" i="4"/>
  <c r="AV156" i="4"/>
  <c r="GA156" i="4"/>
  <c r="CD156" i="4"/>
  <c r="GB156" i="4"/>
  <c r="DH156" i="4"/>
  <c r="JA156" i="4"/>
  <c r="DU156" i="4"/>
  <c r="JF156" i="4"/>
  <c r="DX156" i="4"/>
  <c r="DY156" i="4"/>
  <c r="DZ156" i="4"/>
  <c r="AL156" i="4"/>
  <c r="HM156" i="4"/>
  <c r="CU156" i="4"/>
  <c r="DE156" i="4"/>
  <c r="FG156" i="4"/>
  <c r="FJ156" i="4"/>
  <c r="GN156" i="4"/>
  <c r="V156" i="4"/>
  <c r="IS156" i="4"/>
  <c r="CF156" i="4"/>
  <c r="CO156" i="4"/>
  <c r="GG156" i="4"/>
  <c r="HD156" i="4"/>
  <c r="HS156" i="4"/>
  <c r="IM156" i="4"/>
  <c r="AN156" i="4"/>
  <c r="IR156" i="4"/>
  <c r="IT156" i="4"/>
  <c r="W156" i="4"/>
  <c r="X156" i="4"/>
  <c r="N96" i="4"/>
  <c r="AD96" i="4"/>
  <c r="AT96" i="4"/>
  <c r="BJ96" i="4"/>
  <c r="BZ96" i="4"/>
  <c r="CP96" i="4"/>
  <c r="DF96" i="4"/>
  <c r="DV96" i="4"/>
  <c r="EL96" i="4"/>
  <c r="FB96" i="4"/>
  <c r="FR96" i="4"/>
  <c r="GH96" i="4"/>
  <c r="GX96" i="4"/>
  <c r="HN96" i="4"/>
  <c r="ID96" i="4"/>
  <c r="IT96" i="4"/>
  <c r="JJ96" i="4"/>
  <c r="JZ96" i="4"/>
  <c r="O96" i="4"/>
  <c r="AE96" i="4"/>
  <c r="AU96" i="4"/>
  <c r="BK96" i="4"/>
  <c r="CA96" i="4"/>
  <c r="CQ96" i="4"/>
  <c r="DG96" i="4"/>
  <c r="DW96" i="4"/>
  <c r="EM96" i="4"/>
  <c r="FC96" i="4"/>
  <c r="FS96" i="4"/>
  <c r="GI96" i="4"/>
  <c r="GY96" i="4"/>
  <c r="HO96" i="4"/>
  <c r="IE96" i="4"/>
  <c r="IU96" i="4"/>
  <c r="JK96" i="4"/>
  <c r="KA96" i="4"/>
  <c r="P96" i="4"/>
  <c r="AF96" i="4"/>
  <c r="AV96" i="4"/>
  <c r="BL96" i="4"/>
  <c r="CB96" i="4"/>
  <c r="CR96" i="4"/>
  <c r="DH96" i="4"/>
  <c r="DX96" i="4"/>
  <c r="EN96" i="4"/>
  <c r="FD96" i="4"/>
  <c r="FT96" i="4"/>
  <c r="GJ96" i="4"/>
  <c r="GZ96" i="4"/>
  <c r="HP96" i="4"/>
  <c r="IF96" i="4"/>
  <c r="IV96" i="4"/>
  <c r="JL96" i="4"/>
  <c r="KB96" i="4"/>
  <c r="T96" i="4"/>
  <c r="AJ96" i="4"/>
  <c r="AZ96" i="4"/>
  <c r="BP96" i="4"/>
  <c r="CF96" i="4"/>
  <c r="CV96" i="4"/>
  <c r="DL96" i="4"/>
  <c r="EB96" i="4"/>
  <c r="ER96" i="4"/>
  <c r="FH96" i="4"/>
  <c r="FX96" i="4"/>
  <c r="GN96" i="4"/>
  <c r="HD96" i="4"/>
  <c r="HT96" i="4"/>
  <c r="IJ96" i="4"/>
  <c r="IZ96" i="4"/>
  <c r="JP96" i="4"/>
  <c r="KF96" i="4"/>
  <c r="Z96" i="4"/>
  <c r="AW96" i="4"/>
  <c r="BR96" i="4"/>
  <c r="CL96" i="4"/>
  <c r="DI96" i="4"/>
  <c r="ED96" i="4"/>
  <c r="EX96" i="4"/>
  <c r="FU96" i="4"/>
  <c r="GP96" i="4"/>
  <c r="HJ96" i="4"/>
  <c r="IG96" i="4"/>
  <c r="JB96" i="4"/>
  <c r="JV96" i="4"/>
  <c r="AA96" i="4"/>
  <c r="AX96" i="4"/>
  <c r="BS96" i="4"/>
  <c r="CM96" i="4"/>
  <c r="DJ96" i="4"/>
  <c r="EE96" i="4"/>
  <c r="EY96" i="4"/>
  <c r="FV96" i="4"/>
  <c r="GQ96" i="4"/>
  <c r="HK96" i="4"/>
  <c r="IH96" i="4"/>
  <c r="JC96" i="4"/>
  <c r="JW96" i="4"/>
  <c r="AB96" i="4"/>
  <c r="AY96" i="4"/>
  <c r="BT96" i="4"/>
  <c r="CN96" i="4"/>
  <c r="DK96" i="4"/>
  <c r="EF96" i="4"/>
  <c r="EZ96" i="4"/>
  <c r="FW96" i="4"/>
  <c r="GR96" i="4"/>
  <c r="HL96" i="4"/>
  <c r="II96" i="4"/>
  <c r="JD96" i="4"/>
  <c r="JX96" i="4"/>
  <c r="I96" i="4"/>
  <c r="AC96" i="4"/>
  <c r="BA96" i="4"/>
  <c r="BU96" i="4"/>
  <c r="CO96" i="4"/>
  <c r="DM96" i="4"/>
  <c r="EG96" i="4"/>
  <c r="FA96" i="4"/>
  <c r="FY96" i="4"/>
  <c r="GS96" i="4"/>
  <c r="HM96" i="4"/>
  <c r="IK96" i="4"/>
  <c r="JE96" i="4"/>
  <c r="JY96" i="4"/>
  <c r="J96" i="4"/>
  <c r="AG96" i="4"/>
  <c r="BB96" i="4"/>
  <c r="BV96" i="4"/>
  <c r="CS96" i="4"/>
  <c r="DN96" i="4"/>
  <c r="EH96" i="4"/>
  <c r="FE96" i="4"/>
  <c r="FZ96" i="4"/>
  <c r="GT96" i="4"/>
  <c r="HQ96" i="4"/>
  <c r="IL96" i="4"/>
  <c r="JF96" i="4"/>
  <c r="KC96" i="4"/>
  <c r="L96" i="4"/>
  <c r="AI96" i="4"/>
  <c r="BD96" i="4"/>
  <c r="BX96" i="4"/>
  <c r="CU96" i="4"/>
  <c r="DP96" i="4"/>
  <c r="EJ96" i="4"/>
  <c r="FG96" i="4"/>
  <c r="GB96" i="4"/>
  <c r="GV96" i="4"/>
  <c r="HS96" i="4"/>
  <c r="IN96" i="4"/>
  <c r="JH96" i="4"/>
  <c r="KE96" i="4"/>
  <c r="AH96" i="4"/>
  <c r="BM96" i="4"/>
  <c r="CX96" i="4"/>
  <c r="EA96" i="4"/>
  <c r="FL96" i="4"/>
  <c r="GU96" i="4"/>
  <c r="HZ96" i="4"/>
  <c r="JM96" i="4"/>
  <c r="AK96" i="4"/>
  <c r="BN96" i="4"/>
  <c r="CY96" i="4"/>
  <c r="EC96" i="4"/>
  <c r="FM96" i="4"/>
  <c r="GW96" i="4"/>
  <c r="IA96" i="4"/>
  <c r="JN96" i="4"/>
  <c r="AL96" i="4"/>
  <c r="BO96" i="4"/>
  <c r="CZ96" i="4"/>
  <c r="EI96" i="4"/>
  <c r="FN96" i="4"/>
  <c r="HA96" i="4"/>
  <c r="IB96" i="4"/>
  <c r="JO96" i="4"/>
  <c r="AM96" i="4"/>
  <c r="BQ96" i="4"/>
  <c r="DA96" i="4"/>
  <c r="EK96" i="4"/>
  <c r="FO96" i="4"/>
  <c r="HB96" i="4"/>
  <c r="IC96" i="4"/>
  <c r="JQ96" i="4"/>
  <c r="AN96" i="4"/>
  <c r="BW96" i="4"/>
  <c r="DB96" i="4"/>
  <c r="EO96" i="4"/>
  <c r="FP96" i="4"/>
  <c r="HC96" i="4"/>
  <c r="IM96" i="4"/>
  <c r="JR96" i="4"/>
  <c r="K96" i="4"/>
  <c r="AP96" i="4"/>
  <c r="CC96" i="4"/>
  <c r="DD96" i="4"/>
  <c r="EQ96" i="4"/>
  <c r="GA96" i="4"/>
  <c r="HF96" i="4"/>
  <c r="IP96" i="4"/>
  <c r="JT96" i="4"/>
  <c r="Q96" i="4"/>
  <c r="BH96" i="4"/>
  <c r="DR96" i="4"/>
  <c r="FQ96" i="4"/>
  <c r="HV96" i="4"/>
  <c r="KD96" i="4"/>
  <c r="R96" i="4"/>
  <c r="BI96" i="4"/>
  <c r="DS96" i="4"/>
  <c r="GC96" i="4"/>
  <c r="HW96" i="4"/>
  <c r="KG96" i="4"/>
  <c r="S96" i="4"/>
  <c r="BY96" i="4"/>
  <c r="DT96" i="4"/>
  <c r="GD96" i="4"/>
  <c r="HX96" i="4"/>
  <c r="KH96" i="4"/>
  <c r="U96" i="4"/>
  <c r="CD96" i="4"/>
  <c r="DU96" i="4"/>
  <c r="GE96" i="4"/>
  <c r="HY96" i="4"/>
  <c r="KI96" i="4"/>
  <c r="V96" i="4"/>
  <c r="CE96" i="4"/>
  <c r="DY96" i="4"/>
  <c r="GF96" i="4"/>
  <c r="IO96" i="4"/>
  <c r="X96" i="4"/>
  <c r="CH96" i="4"/>
  <c r="EP96" i="4"/>
  <c r="GK96" i="4"/>
  <c r="IR96" i="4"/>
  <c r="CT96" i="4"/>
  <c r="GG96" i="4"/>
  <c r="JG96" i="4"/>
  <c r="M96" i="4"/>
  <c r="CW96" i="4"/>
  <c r="GL96" i="4"/>
  <c r="JI96" i="4"/>
  <c r="W96" i="4"/>
  <c r="DC96" i="4"/>
  <c r="GM96" i="4"/>
  <c r="JS96" i="4"/>
  <c r="Y96" i="4"/>
  <c r="DE96" i="4"/>
  <c r="GO96" i="4"/>
  <c r="JU96" i="4"/>
  <c r="AO96" i="4"/>
  <c r="DO96" i="4"/>
  <c r="HE96" i="4"/>
  <c r="AR96" i="4"/>
  <c r="DZ96" i="4"/>
  <c r="HH96" i="4"/>
  <c r="CJ96" i="4"/>
  <c r="IQ96" i="4"/>
  <c r="CK96" i="4"/>
  <c r="IS96" i="4"/>
  <c r="DQ96" i="4"/>
  <c r="IW96" i="4"/>
  <c r="ES96" i="4"/>
  <c r="IX96" i="4"/>
  <c r="ET96" i="4"/>
  <c r="IY96" i="4"/>
  <c r="EV96" i="4"/>
  <c r="CG96" i="4"/>
  <c r="CI96" i="4"/>
  <c r="EU96" i="4"/>
  <c r="EW96" i="4"/>
  <c r="FF96" i="4"/>
  <c r="FJ96" i="4"/>
  <c r="BC96" i="4"/>
  <c r="BE96" i="4"/>
  <c r="BF96" i="4"/>
  <c r="BG96" i="4"/>
  <c r="FI96" i="4"/>
  <c r="JA96" i="4"/>
  <c r="HI96" i="4"/>
  <c r="HG96" i="4"/>
  <c r="HR96" i="4"/>
  <c r="HU96" i="4"/>
  <c r="AQ96" i="4"/>
  <c r="AS96" i="4"/>
  <c r="FK96" i="4"/>
  <c r="I122" i="4"/>
  <c r="Y122" i="4"/>
  <c r="AO122" i="4"/>
  <c r="BE122" i="4"/>
  <c r="BU122" i="4"/>
  <c r="CK122" i="4"/>
  <c r="DA122" i="4"/>
  <c r="DQ122" i="4"/>
  <c r="EG122" i="4"/>
  <c r="EW122" i="4"/>
  <c r="FM122" i="4"/>
  <c r="GC122" i="4"/>
  <c r="GS122" i="4"/>
  <c r="HI122" i="4"/>
  <c r="HY122" i="4"/>
  <c r="IO122" i="4"/>
  <c r="JE122" i="4"/>
  <c r="JU122" i="4"/>
  <c r="J122" i="4"/>
  <c r="Z122" i="4"/>
  <c r="AP122" i="4"/>
  <c r="BF122" i="4"/>
  <c r="BV122" i="4"/>
  <c r="CL122" i="4"/>
  <c r="DB122" i="4"/>
  <c r="DR122" i="4"/>
  <c r="EH122" i="4"/>
  <c r="EX122" i="4"/>
  <c r="FN122" i="4"/>
  <c r="GD122" i="4"/>
  <c r="GT122" i="4"/>
  <c r="HJ122" i="4"/>
  <c r="HZ122" i="4"/>
  <c r="IP122" i="4"/>
  <c r="JF122" i="4"/>
  <c r="JV122" i="4"/>
  <c r="K122" i="4"/>
  <c r="AA122" i="4"/>
  <c r="AQ122" i="4"/>
  <c r="BG122" i="4"/>
  <c r="BW122" i="4"/>
  <c r="CM122" i="4"/>
  <c r="DC122" i="4"/>
  <c r="DS122" i="4"/>
  <c r="EI122" i="4"/>
  <c r="EY122" i="4"/>
  <c r="FO122" i="4"/>
  <c r="GE122" i="4"/>
  <c r="GU122" i="4"/>
  <c r="HK122" i="4"/>
  <c r="IA122" i="4"/>
  <c r="IQ122" i="4"/>
  <c r="JG122" i="4"/>
  <c r="JW122" i="4"/>
  <c r="O122" i="4"/>
  <c r="AE122" i="4"/>
  <c r="AU122" i="4"/>
  <c r="BK122" i="4"/>
  <c r="CA122" i="4"/>
  <c r="CQ122" i="4"/>
  <c r="DG122" i="4"/>
  <c r="DW122" i="4"/>
  <c r="EM122" i="4"/>
  <c r="FC122" i="4"/>
  <c r="FS122" i="4"/>
  <c r="GI122" i="4"/>
  <c r="GY122" i="4"/>
  <c r="HO122" i="4"/>
  <c r="IE122" i="4"/>
  <c r="IU122" i="4"/>
  <c r="JK122" i="4"/>
  <c r="KA122" i="4"/>
  <c r="AB122" i="4"/>
  <c r="AW122" i="4"/>
  <c r="BQ122" i="4"/>
  <c r="CN122" i="4"/>
  <c r="DI122" i="4"/>
  <c r="EC122" i="4"/>
  <c r="EZ122" i="4"/>
  <c r="FU122" i="4"/>
  <c r="GO122" i="4"/>
  <c r="HL122" i="4"/>
  <c r="IG122" i="4"/>
  <c r="JA122" i="4"/>
  <c r="JX122" i="4"/>
  <c r="AC122" i="4"/>
  <c r="AX122" i="4"/>
  <c r="BR122" i="4"/>
  <c r="CO122" i="4"/>
  <c r="DJ122" i="4"/>
  <c r="ED122" i="4"/>
  <c r="FA122" i="4"/>
  <c r="FV122" i="4"/>
  <c r="GP122" i="4"/>
  <c r="HM122" i="4"/>
  <c r="IH122" i="4"/>
  <c r="JB122" i="4"/>
  <c r="JY122" i="4"/>
  <c r="AD122" i="4"/>
  <c r="AY122" i="4"/>
  <c r="BS122" i="4"/>
  <c r="CP122" i="4"/>
  <c r="DK122" i="4"/>
  <c r="EE122" i="4"/>
  <c r="FB122" i="4"/>
  <c r="FW122" i="4"/>
  <c r="GQ122" i="4"/>
  <c r="HN122" i="4"/>
  <c r="II122" i="4"/>
  <c r="JC122" i="4"/>
  <c r="JZ122" i="4"/>
  <c r="AF122" i="4"/>
  <c r="AZ122" i="4"/>
  <c r="BT122" i="4"/>
  <c r="CR122" i="4"/>
  <c r="DL122" i="4"/>
  <c r="EF122" i="4"/>
  <c r="FD122" i="4"/>
  <c r="FX122" i="4"/>
  <c r="GR122" i="4"/>
  <c r="HP122" i="4"/>
  <c r="IJ122" i="4"/>
  <c r="JD122" i="4"/>
  <c r="KB122" i="4"/>
  <c r="L122" i="4"/>
  <c r="AG122" i="4"/>
  <c r="BA122" i="4"/>
  <c r="BX122" i="4"/>
  <c r="CS122" i="4"/>
  <c r="N122" i="4"/>
  <c r="AI122" i="4"/>
  <c r="BC122" i="4"/>
  <c r="BZ122" i="4"/>
  <c r="CU122" i="4"/>
  <c r="DO122" i="4"/>
  <c r="EL122" i="4"/>
  <c r="FG122" i="4"/>
  <c r="GA122" i="4"/>
  <c r="GX122" i="4"/>
  <c r="HS122" i="4"/>
  <c r="IM122" i="4"/>
  <c r="JJ122" i="4"/>
  <c r="KE122" i="4"/>
  <c r="AM122" i="4"/>
  <c r="BY122" i="4"/>
  <c r="DD122" i="4"/>
  <c r="EK122" i="4"/>
  <c r="FL122" i="4"/>
  <c r="GV122" i="4"/>
  <c r="HW122" i="4"/>
  <c r="IZ122" i="4"/>
  <c r="KH122" i="4"/>
  <c r="AN122" i="4"/>
  <c r="CB122" i="4"/>
  <c r="DE122" i="4"/>
  <c r="EN122" i="4"/>
  <c r="FP122" i="4"/>
  <c r="GW122" i="4"/>
  <c r="HX122" i="4"/>
  <c r="JH122" i="4"/>
  <c r="KI122" i="4"/>
  <c r="M122" i="4"/>
  <c r="AR122" i="4"/>
  <c r="CC122" i="4"/>
  <c r="DF122" i="4"/>
  <c r="EO122" i="4"/>
  <c r="FQ122" i="4"/>
  <c r="GZ122" i="4"/>
  <c r="IB122" i="4"/>
  <c r="JI122" i="4"/>
  <c r="P122" i="4"/>
  <c r="AS122" i="4"/>
  <c r="CD122" i="4"/>
  <c r="DH122" i="4"/>
  <c r="EP122" i="4"/>
  <c r="FR122" i="4"/>
  <c r="HA122" i="4"/>
  <c r="IC122" i="4"/>
  <c r="JL122" i="4"/>
  <c r="Q122" i="4"/>
  <c r="AT122" i="4"/>
  <c r="CE122" i="4"/>
  <c r="DM122" i="4"/>
  <c r="EQ122" i="4"/>
  <c r="FT122" i="4"/>
  <c r="HB122" i="4"/>
  <c r="ID122" i="4"/>
  <c r="JM122" i="4"/>
  <c r="S122" i="4"/>
  <c r="BB122" i="4"/>
  <c r="CG122" i="4"/>
  <c r="DP122" i="4"/>
  <c r="ES122" i="4"/>
  <c r="FZ122" i="4"/>
  <c r="HD122" i="4"/>
  <c r="IK122" i="4"/>
  <c r="JO122" i="4"/>
  <c r="AV122" i="4"/>
  <c r="CW122" i="4"/>
  <c r="EU122" i="4"/>
  <c r="GM122" i="4"/>
  <c r="IS122" i="4"/>
  <c r="BD122" i="4"/>
  <c r="CX122" i="4"/>
  <c r="EV122" i="4"/>
  <c r="GN122" i="4"/>
  <c r="IT122" i="4"/>
  <c r="BH122" i="4"/>
  <c r="CY122" i="4"/>
  <c r="FE122" i="4"/>
  <c r="HC122" i="4"/>
  <c r="IV122" i="4"/>
  <c r="BI122" i="4"/>
  <c r="CZ122" i="4"/>
  <c r="FF122" i="4"/>
  <c r="HE122" i="4"/>
  <c r="IW122" i="4"/>
  <c r="BJ122" i="4"/>
  <c r="DN122" i="4"/>
  <c r="FH122" i="4"/>
  <c r="HF122" i="4"/>
  <c r="IX122" i="4"/>
  <c r="R122" i="4"/>
  <c r="BM122" i="4"/>
  <c r="DU122" i="4"/>
  <c r="FJ122" i="4"/>
  <c r="HH122" i="4"/>
  <c r="JN122" i="4"/>
  <c r="CI122" i="4"/>
  <c r="FY122" i="4"/>
  <c r="IN122" i="4"/>
  <c r="T122" i="4"/>
  <c r="CJ122" i="4"/>
  <c r="GB122" i="4"/>
  <c r="IR122" i="4"/>
  <c r="U122" i="4"/>
  <c r="CT122" i="4"/>
  <c r="GF122" i="4"/>
  <c r="IY122" i="4"/>
  <c r="V122" i="4"/>
  <c r="CV122" i="4"/>
  <c r="GG122" i="4"/>
  <c r="JP122" i="4"/>
  <c r="W122" i="4"/>
  <c r="DT122" i="4"/>
  <c r="GH122" i="4"/>
  <c r="JQ122" i="4"/>
  <c r="AH122" i="4"/>
  <c r="DX122" i="4"/>
  <c r="GK122" i="4"/>
  <c r="JS122" i="4"/>
  <c r="EB122" i="4"/>
  <c r="JR122" i="4"/>
  <c r="EJ122" i="4"/>
  <c r="JT122" i="4"/>
  <c r="X122" i="4"/>
  <c r="ER122" i="4"/>
  <c r="KC122" i="4"/>
  <c r="AJ122" i="4"/>
  <c r="ET122" i="4"/>
  <c r="KD122" i="4"/>
  <c r="AK122" i="4"/>
  <c r="FI122" i="4"/>
  <c r="KF122" i="4"/>
  <c r="BL122" i="4"/>
  <c r="GJ122" i="4"/>
  <c r="FK122" i="4"/>
  <c r="GL122" i="4"/>
  <c r="HG122" i="4"/>
  <c r="HQ122" i="4"/>
  <c r="HR122" i="4"/>
  <c r="CF122" i="4"/>
  <c r="KG122" i="4"/>
  <c r="AL122" i="4"/>
  <c r="BN122" i="4"/>
  <c r="BO122" i="4"/>
  <c r="BP122" i="4"/>
  <c r="HT122" i="4"/>
  <c r="CH122" i="4"/>
  <c r="DV122" i="4"/>
  <c r="DY122" i="4"/>
  <c r="DZ122" i="4"/>
  <c r="HU122" i="4"/>
  <c r="IF122" i="4"/>
  <c r="IL122" i="4"/>
  <c r="EA122" i="4"/>
  <c r="HV122" i="4"/>
  <c r="T58" i="4"/>
  <c r="AJ58" i="4"/>
  <c r="AZ58" i="4"/>
  <c r="BP58" i="4"/>
  <c r="CF58" i="4"/>
  <c r="CV58" i="4"/>
  <c r="DL58" i="4"/>
  <c r="EB58" i="4"/>
  <c r="ER58" i="4"/>
  <c r="FH58" i="4"/>
  <c r="J58" i="4"/>
  <c r="Z58" i="4"/>
  <c r="AP58" i="4"/>
  <c r="BF58" i="4"/>
  <c r="BV58" i="4"/>
  <c r="CL58" i="4"/>
  <c r="DB58" i="4"/>
  <c r="DR58" i="4"/>
  <c r="EH58" i="4"/>
  <c r="EX58" i="4"/>
  <c r="FN58" i="4"/>
  <c r="GD58" i="4"/>
  <c r="GT58" i="4"/>
  <c r="HJ58" i="4"/>
  <c r="HZ58" i="4"/>
  <c r="IP58" i="4"/>
  <c r="JF58" i="4"/>
  <c r="JV58" i="4"/>
  <c r="V58" i="4"/>
  <c r="AN58" i="4"/>
  <c r="BG58" i="4"/>
  <c r="BY58" i="4"/>
  <c r="CQ58" i="4"/>
  <c r="DI58" i="4"/>
  <c r="EA58" i="4"/>
  <c r="ET58" i="4"/>
  <c r="FL58" i="4"/>
  <c r="GC58" i="4"/>
  <c r="GU58" i="4"/>
  <c r="HL58" i="4"/>
  <c r="IC58" i="4"/>
  <c r="IT58" i="4"/>
  <c r="JK58" i="4"/>
  <c r="KB58" i="4"/>
  <c r="W58" i="4"/>
  <c r="AO58" i="4"/>
  <c r="BH58" i="4"/>
  <c r="BZ58" i="4"/>
  <c r="CR58" i="4"/>
  <c r="DJ58" i="4"/>
  <c r="EC58" i="4"/>
  <c r="EU58" i="4"/>
  <c r="FM58" i="4"/>
  <c r="GE58" i="4"/>
  <c r="GV58" i="4"/>
  <c r="HM58" i="4"/>
  <c r="ID58" i="4"/>
  <c r="IU58" i="4"/>
  <c r="JL58" i="4"/>
  <c r="KC58" i="4"/>
  <c r="X58" i="4"/>
  <c r="AQ58" i="4"/>
  <c r="BI58" i="4"/>
  <c r="CA58" i="4"/>
  <c r="CS58" i="4"/>
  <c r="DK58" i="4"/>
  <c r="ED58" i="4"/>
  <c r="EV58" i="4"/>
  <c r="FO58" i="4"/>
  <c r="GF58" i="4"/>
  <c r="GW58" i="4"/>
  <c r="HN58" i="4"/>
  <c r="IE58" i="4"/>
  <c r="IV58" i="4"/>
  <c r="JM58" i="4"/>
  <c r="KD58" i="4"/>
  <c r="K58" i="4"/>
  <c r="AC58" i="4"/>
  <c r="AU58" i="4"/>
  <c r="BM58" i="4"/>
  <c r="CE58" i="4"/>
  <c r="CX58" i="4"/>
  <c r="DP58" i="4"/>
  <c r="EI58" i="4"/>
  <c r="FA58" i="4"/>
  <c r="FS58" i="4"/>
  <c r="GJ58" i="4"/>
  <c r="HA58" i="4"/>
  <c r="HR58" i="4"/>
  <c r="II58" i="4"/>
  <c r="IZ58" i="4"/>
  <c r="JQ58" i="4"/>
  <c r="KH58" i="4"/>
  <c r="AA58" i="4"/>
  <c r="AX58" i="4"/>
  <c r="BU58" i="4"/>
  <c r="CU58" i="4"/>
  <c r="DT58" i="4"/>
  <c r="EP58" i="4"/>
  <c r="FQ58" i="4"/>
  <c r="GM58" i="4"/>
  <c r="HH58" i="4"/>
  <c r="IG58" i="4"/>
  <c r="JC58" i="4"/>
  <c r="JY58" i="4"/>
  <c r="AB58" i="4"/>
  <c r="AY58" i="4"/>
  <c r="BW58" i="4"/>
  <c r="CW58" i="4"/>
  <c r="DU58" i="4"/>
  <c r="EQ58" i="4"/>
  <c r="FR58" i="4"/>
  <c r="GN58" i="4"/>
  <c r="HI58" i="4"/>
  <c r="IH58" i="4"/>
  <c r="JD58" i="4"/>
  <c r="JZ58" i="4"/>
  <c r="AD58" i="4"/>
  <c r="BA58" i="4"/>
  <c r="BX58" i="4"/>
  <c r="CY58" i="4"/>
  <c r="DV58" i="4"/>
  <c r="ES58" i="4"/>
  <c r="FT58" i="4"/>
  <c r="GO58" i="4"/>
  <c r="HK58" i="4"/>
  <c r="IJ58" i="4"/>
  <c r="JE58" i="4"/>
  <c r="KA58" i="4"/>
  <c r="AE58" i="4"/>
  <c r="BB58" i="4"/>
  <c r="CB58" i="4"/>
  <c r="CZ58" i="4"/>
  <c r="DW58" i="4"/>
  <c r="EW58" i="4"/>
  <c r="FU58" i="4"/>
  <c r="GP58" i="4"/>
  <c r="HO58" i="4"/>
  <c r="IK58" i="4"/>
  <c r="JG58" i="4"/>
  <c r="KE58" i="4"/>
  <c r="AF58" i="4"/>
  <c r="BC58" i="4"/>
  <c r="CC58" i="4"/>
  <c r="DA58" i="4"/>
  <c r="DX58" i="4"/>
  <c r="EY58" i="4"/>
  <c r="FV58" i="4"/>
  <c r="GQ58" i="4"/>
  <c r="HP58" i="4"/>
  <c r="IL58" i="4"/>
  <c r="JH58" i="4"/>
  <c r="KF58" i="4"/>
  <c r="L58" i="4"/>
  <c r="AH58" i="4"/>
  <c r="BE58" i="4"/>
  <c r="CG58" i="4"/>
  <c r="DD58" i="4"/>
  <c r="DZ58" i="4"/>
  <c r="FB58" i="4"/>
  <c r="FX58" i="4"/>
  <c r="GS58" i="4"/>
  <c r="HS58" i="4"/>
  <c r="IN58" i="4"/>
  <c r="JJ58" i="4"/>
  <c r="KI58" i="4"/>
  <c r="N58" i="4"/>
  <c r="AV58" i="4"/>
  <c r="CK58" i="4"/>
  <c r="DY58" i="4"/>
  <c r="FI58" i="4"/>
  <c r="GY58" i="4"/>
  <c r="IB58" i="4"/>
  <c r="JR58" i="4"/>
  <c r="O58" i="4"/>
  <c r="AW58" i="4"/>
  <c r="CM58" i="4"/>
  <c r="EE58" i="4"/>
  <c r="FJ58" i="4"/>
  <c r="GZ58" i="4"/>
  <c r="IF58" i="4"/>
  <c r="JS58" i="4"/>
  <c r="P58" i="4"/>
  <c r="BD58" i="4"/>
  <c r="CN58" i="4"/>
  <c r="EF58" i="4"/>
  <c r="FK58" i="4"/>
  <c r="HB58" i="4"/>
  <c r="IM58" i="4"/>
  <c r="JT58" i="4"/>
  <c r="Q58" i="4"/>
  <c r="BJ58" i="4"/>
  <c r="CO58" i="4"/>
  <c r="EG58" i="4"/>
  <c r="FP58" i="4"/>
  <c r="HC58" i="4"/>
  <c r="IO58" i="4"/>
  <c r="JU58" i="4"/>
  <c r="R58" i="4"/>
  <c r="BK58" i="4"/>
  <c r="CP58" i="4"/>
  <c r="EJ58" i="4"/>
  <c r="FW58" i="4"/>
  <c r="HD58" i="4"/>
  <c r="IQ58" i="4"/>
  <c r="JW58" i="4"/>
  <c r="U58" i="4"/>
  <c r="BN58" i="4"/>
  <c r="DC58" i="4"/>
  <c r="EL58" i="4"/>
  <c r="FZ58" i="4"/>
  <c r="HF58" i="4"/>
  <c r="IS58" i="4"/>
  <c r="KG58" i="4"/>
  <c r="AG58" i="4"/>
  <c r="CI58" i="4"/>
  <c r="EZ58" i="4"/>
  <c r="HE58" i="4"/>
  <c r="JI58" i="4"/>
  <c r="AI58" i="4"/>
  <c r="CJ58" i="4"/>
  <c r="FC58" i="4"/>
  <c r="HG58" i="4"/>
  <c r="JN58" i="4"/>
  <c r="AK58" i="4"/>
  <c r="CT58" i="4"/>
  <c r="FD58" i="4"/>
  <c r="HQ58" i="4"/>
  <c r="JO58" i="4"/>
  <c r="AL58" i="4"/>
  <c r="DE58" i="4"/>
  <c r="FE58" i="4"/>
  <c r="HT58" i="4"/>
  <c r="JP58" i="4"/>
  <c r="AM58" i="4"/>
  <c r="DF58" i="4"/>
  <c r="FF58" i="4"/>
  <c r="HU58" i="4"/>
  <c r="JX58" i="4"/>
  <c r="AS58" i="4"/>
  <c r="DH58" i="4"/>
  <c r="FY58" i="4"/>
  <c r="HW58" i="4"/>
  <c r="S58" i="4"/>
  <c r="DQ58" i="4"/>
  <c r="HV58" i="4"/>
  <c r="Y58" i="4"/>
  <c r="DS58" i="4"/>
  <c r="HX58" i="4"/>
  <c r="AR58" i="4"/>
  <c r="EK58" i="4"/>
  <c r="HY58" i="4"/>
  <c r="AT58" i="4"/>
  <c r="EM58" i="4"/>
  <c r="IA58" i="4"/>
  <c r="BL58" i="4"/>
  <c r="EN58" i="4"/>
  <c r="IR58" i="4"/>
  <c r="BQ58" i="4"/>
  <c r="FG58" i="4"/>
  <c r="IX58" i="4"/>
  <c r="DG58" i="4"/>
  <c r="JA58" i="4"/>
  <c r="DM58" i="4"/>
  <c r="JB58" i="4"/>
  <c r="DN58" i="4"/>
  <c r="DO58" i="4"/>
  <c r="EO58" i="4"/>
  <c r="GB58" i="4"/>
  <c r="GK58" i="4"/>
  <c r="GL58" i="4"/>
  <c r="GR58" i="4"/>
  <c r="GX58" i="4"/>
  <c r="I58" i="4"/>
  <c r="IW58" i="4"/>
  <c r="BO58" i="4"/>
  <c r="GH58" i="4"/>
  <c r="GI58" i="4"/>
  <c r="IY58" i="4"/>
  <c r="CD58" i="4"/>
  <c r="CH58" i="4"/>
  <c r="GA58" i="4"/>
  <c r="GG58" i="4"/>
  <c r="M58" i="4"/>
  <c r="BR58" i="4"/>
  <c r="BS58" i="4"/>
  <c r="BT58" i="4"/>
  <c r="R56" i="4"/>
  <c r="AH56" i="4"/>
  <c r="AX56" i="4"/>
  <c r="BN56" i="4"/>
  <c r="CD56" i="4"/>
  <c r="CT56" i="4"/>
  <c r="DJ56" i="4"/>
  <c r="DZ56" i="4"/>
  <c r="EP56" i="4"/>
  <c r="FF56" i="4"/>
  <c r="FV56" i="4"/>
  <c r="GL56" i="4"/>
  <c r="HB56" i="4"/>
  <c r="HR56" i="4"/>
  <c r="IH56" i="4"/>
  <c r="IX56" i="4"/>
  <c r="JN56" i="4"/>
  <c r="KD56" i="4"/>
  <c r="S56" i="4"/>
  <c r="AI56" i="4"/>
  <c r="AY56" i="4"/>
  <c r="BO56" i="4"/>
  <c r="CE56" i="4"/>
  <c r="CU56" i="4"/>
  <c r="DK56" i="4"/>
  <c r="EA56" i="4"/>
  <c r="EQ56" i="4"/>
  <c r="FG56" i="4"/>
  <c r="FW56" i="4"/>
  <c r="GM56" i="4"/>
  <c r="HC56" i="4"/>
  <c r="HS56" i="4"/>
  <c r="II56" i="4"/>
  <c r="IY56" i="4"/>
  <c r="JO56" i="4"/>
  <c r="KE56" i="4"/>
  <c r="T56" i="4"/>
  <c r="AJ56" i="4"/>
  <c r="AZ56" i="4"/>
  <c r="BP56" i="4"/>
  <c r="CF56" i="4"/>
  <c r="CV56" i="4"/>
  <c r="DL56" i="4"/>
  <c r="EB56" i="4"/>
  <c r="ER56" i="4"/>
  <c r="FH56" i="4"/>
  <c r="FX56" i="4"/>
  <c r="GN56" i="4"/>
  <c r="HD56" i="4"/>
  <c r="HT56" i="4"/>
  <c r="IJ56" i="4"/>
  <c r="IZ56" i="4"/>
  <c r="JP56" i="4"/>
  <c r="KF56" i="4"/>
  <c r="X56" i="4"/>
  <c r="AN56" i="4"/>
  <c r="BD56" i="4"/>
  <c r="BT56" i="4"/>
  <c r="CJ56" i="4"/>
  <c r="CZ56" i="4"/>
  <c r="DP56" i="4"/>
  <c r="EF56" i="4"/>
  <c r="EV56" i="4"/>
  <c r="FL56" i="4"/>
  <c r="GB56" i="4"/>
  <c r="GR56" i="4"/>
  <c r="HH56" i="4"/>
  <c r="HX56" i="4"/>
  <c r="IN56" i="4"/>
  <c r="JD56" i="4"/>
  <c r="JT56" i="4"/>
  <c r="N56" i="4"/>
  <c r="AK56" i="4"/>
  <c r="BF56" i="4"/>
  <c r="BZ56" i="4"/>
  <c r="CW56" i="4"/>
  <c r="DR56" i="4"/>
  <c r="EL56" i="4"/>
  <c r="FI56" i="4"/>
  <c r="GD56" i="4"/>
  <c r="GX56" i="4"/>
  <c r="HU56" i="4"/>
  <c r="IP56" i="4"/>
  <c r="JJ56" i="4"/>
  <c r="KG56" i="4"/>
  <c r="O56" i="4"/>
  <c r="AL56" i="4"/>
  <c r="BG56" i="4"/>
  <c r="CA56" i="4"/>
  <c r="CX56" i="4"/>
  <c r="DS56" i="4"/>
  <c r="EM56" i="4"/>
  <c r="FJ56" i="4"/>
  <c r="GE56" i="4"/>
  <c r="GY56" i="4"/>
  <c r="HV56" i="4"/>
  <c r="IQ56" i="4"/>
  <c r="JK56" i="4"/>
  <c r="KH56" i="4"/>
  <c r="P56" i="4"/>
  <c r="AM56" i="4"/>
  <c r="BH56" i="4"/>
  <c r="CB56" i="4"/>
  <c r="CY56" i="4"/>
  <c r="DT56" i="4"/>
  <c r="EN56" i="4"/>
  <c r="FK56" i="4"/>
  <c r="GF56" i="4"/>
  <c r="GZ56" i="4"/>
  <c r="HW56" i="4"/>
  <c r="IR56" i="4"/>
  <c r="JL56" i="4"/>
  <c r="KI56" i="4"/>
  <c r="Q56" i="4"/>
  <c r="AO56" i="4"/>
  <c r="W56" i="4"/>
  <c r="AR56" i="4"/>
  <c r="BL56" i="4"/>
  <c r="CI56" i="4"/>
  <c r="DD56" i="4"/>
  <c r="DX56" i="4"/>
  <c r="EU56" i="4"/>
  <c r="FP56" i="4"/>
  <c r="GJ56" i="4"/>
  <c r="HG56" i="4"/>
  <c r="IB56" i="4"/>
  <c r="IV56" i="4"/>
  <c r="JS56" i="4"/>
  <c r="I56" i="4"/>
  <c r="AP56" i="4"/>
  <c r="BR56" i="4"/>
  <c r="CQ56" i="4"/>
  <c r="DV56" i="4"/>
  <c r="EY56" i="4"/>
  <c r="FZ56" i="4"/>
  <c r="HE56" i="4"/>
  <c r="IE56" i="4"/>
  <c r="JG56" i="4"/>
  <c r="J56" i="4"/>
  <c r="AQ56" i="4"/>
  <c r="BS56" i="4"/>
  <c r="CR56" i="4"/>
  <c r="DW56" i="4"/>
  <c r="EZ56" i="4"/>
  <c r="GA56" i="4"/>
  <c r="HF56" i="4"/>
  <c r="IF56" i="4"/>
  <c r="JH56" i="4"/>
  <c r="K56" i="4"/>
  <c r="AS56" i="4"/>
  <c r="BU56" i="4"/>
  <c r="CS56" i="4"/>
  <c r="DY56" i="4"/>
  <c r="FA56" i="4"/>
  <c r="GC56" i="4"/>
  <c r="HI56" i="4"/>
  <c r="IG56" i="4"/>
  <c r="JI56" i="4"/>
  <c r="L56" i="4"/>
  <c r="AT56" i="4"/>
  <c r="BV56" i="4"/>
  <c r="DA56" i="4"/>
  <c r="EC56" i="4"/>
  <c r="FB56" i="4"/>
  <c r="GG56" i="4"/>
  <c r="HJ56" i="4"/>
  <c r="IK56" i="4"/>
  <c r="JM56" i="4"/>
  <c r="M56" i="4"/>
  <c r="AU56" i="4"/>
  <c r="BW56" i="4"/>
  <c r="DB56" i="4"/>
  <c r="ED56" i="4"/>
  <c r="FC56" i="4"/>
  <c r="GH56" i="4"/>
  <c r="HK56" i="4"/>
  <c r="IL56" i="4"/>
  <c r="JQ56" i="4"/>
  <c r="V56" i="4"/>
  <c r="AW56" i="4"/>
  <c r="BY56" i="4"/>
  <c r="DE56" i="4"/>
  <c r="EG56" i="4"/>
  <c r="FE56" i="4"/>
  <c r="GK56" i="4"/>
  <c r="HM56" i="4"/>
  <c r="IO56" i="4"/>
  <c r="JU56" i="4"/>
  <c r="AB56" i="4"/>
  <c r="BX56" i="4"/>
  <c r="DN56" i="4"/>
  <c r="FN56" i="4"/>
  <c r="GW56" i="4"/>
  <c r="IW56" i="4"/>
  <c r="AC56" i="4"/>
  <c r="CC56" i="4"/>
  <c r="DO56" i="4"/>
  <c r="FO56" i="4"/>
  <c r="HA56" i="4"/>
  <c r="JA56" i="4"/>
  <c r="AD56" i="4"/>
  <c r="CG56" i="4"/>
  <c r="DQ56" i="4"/>
  <c r="FQ56" i="4"/>
  <c r="HL56" i="4"/>
  <c r="JB56" i="4"/>
  <c r="AE56" i="4"/>
  <c r="CH56" i="4"/>
  <c r="DU56" i="4"/>
  <c r="FR56" i="4"/>
  <c r="HN56" i="4"/>
  <c r="JC56" i="4"/>
  <c r="AF56" i="4"/>
  <c r="CK56" i="4"/>
  <c r="EE56" i="4"/>
  <c r="FS56" i="4"/>
  <c r="HO56" i="4"/>
  <c r="JE56" i="4"/>
  <c r="AV56" i="4"/>
  <c r="CM56" i="4"/>
  <c r="EI56" i="4"/>
  <c r="FU56" i="4"/>
  <c r="HQ56" i="4"/>
  <c r="JR56" i="4"/>
  <c r="BE56" i="4"/>
  <c r="EH56" i="4"/>
  <c r="GS56" i="4"/>
  <c r="JW56" i="4"/>
  <c r="BI56" i="4"/>
  <c r="EJ56" i="4"/>
  <c r="GT56" i="4"/>
  <c r="JX56" i="4"/>
  <c r="BJ56" i="4"/>
  <c r="EK56" i="4"/>
  <c r="GU56" i="4"/>
  <c r="JY56" i="4"/>
  <c r="BK56" i="4"/>
  <c r="EO56" i="4"/>
  <c r="GV56" i="4"/>
  <c r="JZ56" i="4"/>
  <c r="BM56" i="4"/>
  <c r="ES56" i="4"/>
  <c r="HP56" i="4"/>
  <c r="KA56" i="4"/>
  <c r="CL56" i="4"/>
  <c r="EW56" i="4"/>
  <c r="HZ56" i="4"/>
  <c r="KC56" i="4"/>
  <c r="BB56" i="4"/>
  <c r="FT56" i="4"/>
  <c r="KB56" i="4"/>
  <c r="BC56" i="4"/>
  <c r="FY56" i="4"/>
  <c r="BQ56" i="4"/>
  <c r="GI56" i="4"/>
  <c r="CN56" i="4"/>
  <c r="GO56" i="4"/>
  <c r="CO56" i="4"/>
  <c r="GP56" i="4"/>
  <c r="DC56" i="4"/>
  <c r="HY56" i="4"/>
  <c r="FD56" i="4"/>
  <c r="FM56" i="4"/>
  <c r="U56" i="4"/>
  <c r="GQ56" i="4"/>
  <c r="Y56" i="4"/>
  <c r="IA56" i="4"/>
  <c r="Z56" i="4"/>
  <c r="IC56" i="4"/>
  <c r="AG56" i="4"/>
  <c r="IM56" i="4"/>
  <c r="IT56" i="4"/>
  <c r="IU56" i="4"/>
  <c r="JF56" i="4"/>
  <c r="JV56" i="4"/>
  <c r="AA56" i="4"/>
  <c r="CP56" i="4"/>
  <c r="BA56" i="4"/>
  <c r="DG56" i="4"/>
  <c r="DF56" i="4"/>
  <c r="DH56" i="4"/>
  <c r="DI56" i="4"/>
  <c r="DM56" i="4"/>
  <c r="ET56" i="4"/>
  <c r="EX56" i="4"/>
  <c r="ID56" i="4"/>
  <c r="IS56" i="4"/>
  <c r="U9" i="4"/>
  <c r="AK9" i="4"/>
  <c r="BA9" i="4"/>
  <c r="BQ9" i="4"/>
  <c r="CG9" i="4"/>
  <c r="CW9" i="4"/>
  <c r="DM9" i="4"/>
  <c r="EC9" i="4"/>
  <c r="ES9" i="4"/>
  <c r="FI9" i="4"/>
  <c r="FY9" i="4"/>
  <c r="GO9" i="4"/>
  <c r="HE9" i="4"/>
  <c r="HU9" i="4"/>
  <c r="IK9" i="4"/>
  <c r="JA9" i="4"/>
  <c r="JQ9" i="4"/>
  <c r="KG9" i="4"/>
  <c r="V9" i="4"/>
  <c r="AL9" i="4"/>
  <c r="BB9" i="4"/>
  <c r="BR9" i="4"/>
  <c r="CH9" i="4"/>
  <c r="CX9" i="4"/>
  <c r="DN9" i="4"/>
  <c r="ED9" i="4"/>
  <c r="ET9" i="4"/>
  <c r="FJ9" i="4"/>
  <c r="FZ9" i="4"/>
  <c r="GP9" i="4"/>
  <c r="HF9" i="4"/>
  <c r="HV9" i="4"/>
  <c r="IL9" i="4"/>
  <c r="JB9" i="4"/>
  <c r="JR9" i="4"/>
  <c r="KH9" i="4"/>
  <c r="W9" i="4"/>
  <c r="AM9" i="4"/>
  <c r="BC9" i="4"/>
  <c r="BS9" i="4"/>
  <c r="CI9" i="4"/>
  <c r="CY9" i="4"/>
  <c r="DO9" i="4"/>
  <c r="EE9" i="4"/>
  <c r="EU9" i="4"/>
  <c r="FK9" i="4"/>
  <c r="GA9" i="4"/>
  <c r="GQ9" i="4"/>
  <c r="HG9" i="4"/>
  <c r="HW9" i="4"/>
  <c r="IM9" i="4"/>
  <c r="JC9" i="4"/>
  <c r="JS9" i="4"/>
  <c r="KI9" i="4"/>
  <c r="X9" i="4"/>
  <c r="AN9" i="4"/>
  <c r="BD9" i="4"/>
  <c r="BT9" i="4"/>
  <c r="CJ9" i="4"/>
  <c r="CZ9" i="4"/>
  <c r="DP9" i="4"/>
  <c r="EF9" i="4"/>
  <c r="EV9" i="4"/>
  <c r="FL9" i="4"/>
  <c r="I9" i="4"/>
  <c r="Y9" i="4"/>
  <c r="AO9" i="4"/>
  <c r="BE9" i="4"/>
  <c r="BU9" i="4"/>
  <c r="CK9" i="4"/>
  <c r="DA9" i="4"/>
  <c r="DQ9" i="4"/>
  <c r="EG9" i="4"/>
  <c r="EW9" i="4"/>
  <c r="FM9" i="4"/>
  <c r="GC9" i="4"/>
  <c r="GS9" i="4"/>
  <c r="HI9" i="4"/>
  <c r="HY9" i="4"/>
  <c r="IO9" i="4"/>
  <c r="JE9" i="4"/>
  <c r="JU9" i="4"/>
  <c r="M9" i="4"/>
  <c r="AH9" i="4"/>
  <c r="BH9" i="4"/>
  <c r="CC9" i="4"/>
  <c r="DC9" i="4"/>
  <c r="DX9" i="4"/>
  <c r="EX9" i="4"/>
  <c r="FS9" i="4"/>
  <c r="GM9" i="4"/>
  <c r="HK9" i="4"/>
  <c r="IE9" i="4"/>
  <c r="IY9" i="4"/>
  <c r="JW9" i="4"/>
  <c r="N9" i="4"/>
  <c r="AI9" i="4"/>
  <c r="BI9" i="4"/>
  <c r="CD9" i="4"/>
  <c r="DD9" i="4"/>
  <c r="DY9" i="4"/>
  <c r="EY9" i="4"/>
  <c r="FT9" i="4"/>
  <c r="GN9" i="4"/>
  <c r="HL9" i="4"/>
  <c r="IF9" i="4"/>
  <c r="IZ9" i="4"/>
  <c r="JX9" i="4"/>
  <c r="O9" i="4"/>
  <c r="AJ9" i="4"/>
  <c r="BJ9" i="4"/>
  <c r="CE9" i="4"/>
  <c r="DE9" i="4"/>
  <c r="DZ9" i="4"/>
  <c r="EZ9" i="4"/>
  <c r="FU9" i="4"/>
  <c r="GR9" i="4"/>
  <c r="HM9" i="4"/>
  <c r="IG9" i="4"/>
  <c r="JD9" i="4"/>
  <c r="JY9" i="4"/>
  <c r="P9" i="4"/>
  <c r="AP9" i="4"/>
  <c r="BK9" i="4"/>
  <c r="CF9" i="4"/>
  <c r="DF9" i="4"/>
  <c r="EA9" i="4"/>
  <c r="FA9" i="4"/>
  <c r="FV9" i="4"/>
  <c r="GT9" i="4"/>
  <c r="HN9" i="4"/>
  <c r="IH9" i="4"/>
  <c r="JF9" i="4"/>
  <c r="JZ9" i="4"/>
  <c r="Q9" i="4"/>
  <c r="AQ9" i="4"/>
  <c r="BL9" i="4"/>
  <c r="CL9" i="4"/>
  <c r="DG9" i="4"/>
  <c r="EB9" i="4"/>
  <c r="FB9" i="4"/>
  <c r="FW9" i="4"/>
  <c r="GU9" i="4"/>
  <c r="HO9" i="4"/>
  <c r="II9" i="4"/>
  <c r="JG9" i="4"/>
  <c r="KA9" i="4"/>
  <c r="S9" i="4"/>
  <c r="AS9" i="4"/>
  <c r="BN9" i="4"/>
  <c r="CN9" i="4"/>
  <c r="DI9" i="4"/>
  <c r="EI9" i="4"/>
  <c r="FD9" i="4"/>
  <c r="GB9" i="4"/>
  <c r="GW9" i="4"/>
  <c r="HQ9" i="4"/>
  <c r="IN9" i="4"/>
  <c r="JI9" i="4"/>
  <c r="KC9" i="4"/>
  <c r="Z9" i="4"/>
  <c r="BF9" i="4"/>
  <c r="CR9" i="4"/>
  <c r="EH9" i="4"/>
  <c r="FO9" i="4"/>
  <c r="GY9" i="4"/>
  <c r="IC9" i="4"/>
  <c r="JM9" i="4"/>
  <c r="AA9" i="4"/>
  <c r="BG9" i="4"/>
  <c r="CS9" i="4"/>
  <c r="EJ9" i="4"/>
  <c r="FP9" i="4"/>
  <c r="GZ9" i="4"/>
  <c r="ID9" i="4"/>
  <c r="JN9" i="4"/>
  <c r="AB9" i="4"/>
  <c r="BM9" i="4"/>
  <c r="CT9" i="4"/>
  <c r="EK9" i="4"/>
  <c r="FQ9" i="4"/>
  <c r="HA9" i="4"/>
  <c r="IJ9" i="4"/>
  <c r="JO9" i="4"/>
  <c r="AC9" i="4"/>
  <c r="BO9" i="4"/>
  <c r="CU9" i="4"/>
  <c r="EL9" i="4"/>
  <c r="FR9" i="4"/>
  <c r="HB9" i="4"/>
  <c r="IP9" i="4"/>
  <c r="JP9" i="4"/>
  <c r="AD9" i="4"/>
  <c r="BP9" i="4"/>
  <c r="CV9" i="4"/>
  <c r="EM9" i="4"/>
  <c r="FX9" i="4"/>
  <c r="HC9" i="4"/>
  <c r="IQ9" i="4"/>
  <c r="JT9" i="4"/>
  <c r="AF9" i="4"/>
  <c r="BW9" i="4"/>
  <c r="DH9" i="4"/>
  <c r="EO9" i="4"/>
  <c r="GE9" i="4"/>
  <c r="HH9" i="4"/>
  <c r="IS9" i="4"/>
  <c r="KB9" i="4"/>
  <c r="AU9" i="4"/>
  <c r="DB9" i="4"/>
  <c r="FF9" i="4"/>
  <c r="HP9" i="4"/>
  <c r="JK9" i="4"/>
  <c r="AV9" i="4"/>
  <c r="DJ9" i="4"/>
  <c r="FG9" i="4"/>
  <c r="HR9" i="4"/>
  <c r="JL9" i="4"/>
  <c r="AW9" i="4"/>
  <c r="DK9" i="4"/>
  <c r="FH9" i="4"/>
  <c r="HS9" i="4"/>
  <c r="JV9" i="4"/>
  <c r="AX9" i="4"/>
  <c r="DL9" i="4"/>
  <c r="FN9" i="4"/>
  <c r="HT9" i="4"/>
  <c r="KD9" i="4"/>
  <c r="AY9" i="4"/>
  <c r="DR9" i="4"/>
  <c r="GD9" i="4"/>
  <c r="HX9" i="4"/>
  <c r="KE9" i="4"/>
  <c r="BV9" i="4"/>
  <c r="DT9" i="4"/>
  <c r="GG9" i="4"/>
  <c r="IA9" i="4"/>
  <c r="CM9" i="4"/>
  <c r="GI9" i="4"/>
  <c r="JH9" i="4"/>
  <c r="J9" i="4"/>
  <c r="CO9" i="4"/>
  <c r="GJ9" i="4"/>
  <c r="JJ9" i="4"/>
  <c r="K9" i="4"/>
  <c r="CP9" i="4"/>
  <c r="GK9" i="4"/>
  <c r="KF9" i="4"/>
  <c r="L9" i="4"/>
  <c r="CQ9" i="4"/>
  <c r="GL9" i="4"/>
  <c r="R9" i="4"/>
  <c r="DS9" i="4"/>
  <c r="GV9" i="4"/>
  <c r="AE9" i="4"/>
  <c r="DV9" i="4"/>
  <c r="HD9" i="4"/>
  <c r="DU9" i="4"/>
  <c r="IU9" i="4"/>
  <c r="DW9" i="4"/>
  <c r="IV9" i="4"/>
  <c r="EN9" i="4"/>
  <c r="IW9" i="4"/>
  <c r="EP9" i="4"/>
  <c r="IX9" i="4"/>
  <c r="EQ9" i="4"/>
  <c r="T9" i="4"/>
  <c r="FC9" i="4"/>
  <c r="GF9" i="4"/>
  <c r="GH9" i="4"/>
  <c r="GX9" i="4"/>
  <c r="HJ9" i="4"/>
  <c r="HZ9" i="4"/>
  <c r="AR9" i="4"/>
  <c r="IR9" i="4"/>
  <c r="AG9" i="4"/>
  <c r="AT9" i="4"/>
  <c r="AZ9" i="4"/>
  <c r="BY9" i="4"/>
  <c r="BX9" i="4"/>
  <c r="BZ9" i="4"/>
  <c r="CA9" i="4"/>
  <c r="ER9" i="4"/>
  <c r="CB9" i="4"/>
  <c r="FE9" i="4"/>
  <c r="IB9" i="4"/>
  <c r="IT9" i="4"/>
  <c r="L94" i="4"/>
  <c r="AB94" i="4"/>
  <c r="AR94" i="4"/>
  <c r="BH94" i="4"/>
  <c r="BX94" i="4"/>
  <c r="CN94" i="4"/>
  <c r="DD94" i="4"/>
  <c r="DT94" i="4"/>
  <c r="EJ94" i="4"/>
  <c r="EZ94" i="4"/>
  <c r="FP94" i="4"/>
  <c r="GF94" i="4"/>
  <c r="GV94" i="4"/>
  <c r="HL94" i="4"/>
  <c r="IB94" i="4"/>
  <c r="IR94" i="4"/>
  <c r="JH94" i="4"/>
  <c r="JX94" i="4"/>
  <c r="M94" i="4"/>
  <c r="AC94" i="4"/>
  <c r="AS94" i="4"/>
  <c r="BI94" i="4"/>
  <c r="BY94" i="4"/>
  <c r="CO94" i="4"/>
  <c r="DE94" i="4"/>
  <c r="DU94" i="4"/>
  <c r="EK94" i="4"/>
  <c r="FA94" i="4"/>
  <c r="FQ94" i="4"/>
  <c r="GG94" i="4"/>
  <c r="GW94" i="4"/>
  <c r="HM94" i="4"/>
  <c r="IC94" i="4"/>
  <c r="IS94" i="4"/>
  <c r="JI94" i="4"/>
  <c r="JY94" i="4"/>
  <c r="N94" i="4"/>
  <c r="AD94" i="4"/>
  <c r="AT94" i="4"/>
  <c r="BJ94" i="4"/>
  <c r="BZ94" i="4"/>
  <c r="CP94" i="4"/>
  <c r="DF94" i="4"/>
  <c r="DV94" i="4"/>
  <c r="EL94" i="4"/>
  <c r="FB94" i="4"/>
  <c r="FR94" i="4"/>
  <c r="GH94" i="4"/>
  <c r="GX94" i="4"/>
  <c r="HN94" i="4"/>
  <c r="ID94" i="4"/>
  <c r="IT94" i="4"/>
  <c r="JJ94" i="4"/>
  <c r="JZ94" i="4"/>
  <c r="R94" i="4"/>
  <c r="AH94" i="4"/>
  <c r="AX94" i="4"/>
  <c r="BN94" i="4"/>
  <c r="CD94" i="4"/>
  <c r="CT94" i="4"/>
  <c r="DJ94" i="4"/>
  <c r="DZ94" i="4"/>
  <c r="EP94" i="4"/>
  <c r="FF94" i="4"/>
  <c r="FV94" i="4"/>
  <c r="GL94" i="4"/>
  <c r="HB94" i="4"/>
  <c r="HR94" i="4"/>
  <c r="IH94" i="4"/>
  <c r="IX94" i="4"/>
  <c r="JN94" i="4"/>
  <c r="KD94" i="4"/>
  <c r="X94" i="4"/>
  <c r="AU94" i="4"/>
  <c r="BP94" i="4"/>
  <c r="CJ94" i="4"/>
  <c r="DG94" i="4"/>
  <c r="EB94" i="4"/>
  <c r="EV94" i="4"/>
  <c r="FS94" i="4"/>
  <c r="GN94" i="4"/>
  <c r="HH94" i="4"/>
  <c r="IE94" i="4"/>
  <c r="IZ94" i="4"/>
  <c r="JT94" i="4"/>
  <c r="Y94" i="4"/>
  <c r="AV94" i="4"/>
  <c r="BQ94" i="4"/>
  <c r="CK94" i="4"/>
  <c r="DH94" i="4"/>
  <c r="EC94" i="4"/>
  <c r="EW94" i="4"/>
  <c r="FT94" i="4"/>
  <c r="GO94" i="4"/>
  <c r="HI94" i="4"/>
  <c r="IF94" i="4"/>
  <c r="JA94" i="4"/>
  <c r="JU94" i="4"/>
  <c r="Z94" i="4"/>
  <c r="AW94" i="4"/>
  <c r="BR94" i="4"/>
  <c r="CL94" i="4"/>
  <c r="DI94" i="4"/>
  <c r="ED94" i="4"/>
  <c r="EX94" i="4"/>
  <c r="FU94" i="4"/>
  <c r="GP94" i="4"/>
  <c r="HJ94" i="4"/>
  <c r="IG94" i="4"/>
  <c r="JB94" i="4"/>
  <c r="JV94" i="4"/>
  <c r="AA94" i="4"/>
  <c r="AY94" i="4"/>
  <c r="BS94" i="4"/>
  <c r="CM94" i="4"/>
  <c r="DK94" i="4"/>
  <c r="EE94" i="4"/>
  <c r="EY94" i="4"/>
  <c r="FW94" i="4"/>
  <c r="GQ94" i="4"/>
  <c r="HK94" i="4"/>
  <c r="II94" i="4"/>
  <c r="JC94" i="4"/>
  <c r="JW94" i="4"/>
  <c r="AE94" i="4"/>
  <c r="AZ94" i="4"/>
  <c r="BT94" i="4"/>
  <c r="CQ94" i="4"/>
  <c r="DL94" i="4"/>
  <c r="EF94" i="4"/>
  <c r="FC94" i="4"/>
  <c r="FX94" i="4"/>
  <c r="GR94" i="4"/>
  <c r="HO94" i="4"/>
  <c r="IJ94" i="4"/>
  <c r="JD94" i="4"/>
  <c r="KA94" i="4"/>
  <c r="J94" i="4"/>
  <c r="AG94" i="4"/>
  <c r="BB94" i="4"/>
  <c r="BV94" i="4"/>
  <c r="CS94" i="4"/>
  <c r="DN94" i="4"/>
  <c r="EH94" i="4"/>
  <c r="FE94" i="4"/>
  <c r="FZ94" i="4"/>
  <c r="GT94" i="4"/>
  <c r="HQ94" i="4"/>
  <c r="IL94" i="4"/>
  <c r="JF94" i="4"/>
  <c r="KC94" i="4"/>
  <c r="V94" i="4"/>
  <c r="BF94" i="4"/>
  <c r="CR94" i="4"/>
  <c r="DW94" i="4"/>
  <c r="FH94" i="4"/>
  <c r="GK94" i="4"/>
  <c r="HV94" i="4"/>
  <c r="JE94" i="4"/>
  <c r="W94" i="4"/>
  <c r="BG94" i="4"/>
  <c r="CU94" i="4"/>
  <c r="DX94" i="4"/>
  <c r="FI94" i="4"/>
  <c r="GM94" i="4"/>
  <c r="HW94" i="4"/>
  <c r="JG94" i="4"/>
  <c r="AF94" i="4"/>
  <c r="BK94" i="4"/>
  <c r="CV94" i="4"/>
  <c r="DY94" i="4"/>
  <c r="FJ94" i="4"/>
  <c r="GS94" i="4"/>
  <c r="HX94" i="4"/>
  <c r="JK94" i="4"/>
  <c r="AI94" i="4"/>
  <c r="BL94" i="4"/>
  <c r="CW94" i="4"/>
  <c r="EA94" i="4"/>
  <c r="FK94" i="4"/>
  <c r="GU94" i="4"/>
  <c r="HY94" i="4"/>
  <c r="JL94" i="4"/>
  <c r="AJ94" i="4"/>
  <c r="BM94" i="4"/>
  <c r="CX94" i="4"/>
  <c r="EG94" i="4"/>
  <c r="FL94" i="4"/>
  <c r="GY94" i="4"/>
  <c r="HZ94" i="4"/>
  <c r="JM94" i="4"/>
  <c r="AL94" i="4"/>
  <c r="BU94" i="4"/>
  <c r="CZ94" i="4"/>
  <c r="EM94" i="4"/>
  <c r="FN94" i="4"/>
  <c r="HA94" i="4"/>
  <c r="IK94" i="4"/>
  <c r="JP94" i="4"/>
  <c r="AN94" i="4"/>
  <c r="CH94" i="4"/>
  <c r="ER94" i="4"/>
  <c r="GZ94" i="4"/>
  <c r="IU94" i="4"/>
  <c r="AO94" i="4"/>
  <c r="CI94" i="4"/>
  <c r="ES94" i="4"/>
  <c r="HC94" i="4"/>
  <c r="IV94" i="4"/>
  <c r="AP94" i="4"/>
  <c r="CY94" i="4"/>
  <c r="ET94" i="4"/>
  <c r="HD94" i="4"/>
  <c r="IW94" i="4"/>
  <c r="AQ94" i="4"/>
  <c r="DA94" i="4"/>
  <c r="EU94" i="4"/>
  <c r="HE94" i="4"/>
  <c r="IY94" i="4"/>
  <c r="BA94" i="4"/>
  <c r="DB94" i="4"/>
  <c r="FD94" i="4"/>
  <c r="HF94" i="4"/>
  <c r="JO94" i="4"/>
  <c r="I94" i="4"/>
  <c r="BD94" i="4"/>
  <c r="DM94" i="4"/>
  <c r="FM94" i="4"/>
  <c r="HP94" i="4"/>
  <c r="JR94" i="4"/>
  <c r="BO94" i="4"/>
  <c r="EO94" i="4"/>
  <c r="IA94" i="4"/>
  <c r="BW94" i="4"/>
  <c r="EQ94" i="4"/>
  <c r="IM94" i="4"/>
  <c r="CA94" i="4"/>
  <c r="FG94" i="4"/>
  <c r="IN94" i="4"/>
  <c r="CB94" i="4"/>
  <c r="FO94" i="4"/>
  <c r="IO94" i="4"/>
  <c r="CC94" i="4"/>
  <c r="FY94" i="4"/>
  <c r="IP94" i="4"/>
  <c r="O94" i="4"/>
  <c r="CF94" i="4"/>
  <c r="GB94" i="4"/>
  <c r="JQ94" i="4"/>
  <c r="DP94" i="4"/>
  <c r="IQ94" i="4"/>
  <c r="DQ94" i="4"/>
  <c r="JS94" i="4"/>
  <c r="K94" i="4"/>
  <c r="DR94" i="4"/>
  <c r="KB94" i="4"/>
  <c r="P94" i="4"/>
  <c r="DS94" i="4"/>
  <c r="KE94" i="4"/>
  <c r="Q94" i="4"/>
  <c r="EI94" i="4"/>
  <c r="KF94" i="4"/>
  <c r="T94" i="4"/>
  <c r="GA94" i="4"/>
  <c r="KH94" i="4"/>
  <c r="S94" i="4"/>
  <c r="HG94" i="4"/>
  <c r="U94" i="4"/>
  <c r="HS94" i="4"/>
  <c r="AK94" i="4"/>
  <c r="HT94" i="4"/>
  <c r="AM94" i="4"/>
  <c r="HU94" i="4"/>
  <c r="BC94" i="4"/>
  <c r="KG94" i="4"/>
  <c r="CE94" i="4"/>
  <c r="KI94" i="4"/>
  <c r="EN94" i="4"/>
  <c r="GD94" i="4"/>
  <c r="BE94" i="4"/>
  <c r="CG94" i="4"/>
  <c r="DO94" i="4"/>
  <c r="DC94" i="4"/>
  <c r="GC94" i="4"/>
  <c r="GE94" i="4"/>
  <c r="GI94" i="4"/>
  <c r="GJ94" i="4"/>
  <c r="M51" i="4"/>
  <c r="AC51" i="4"/>
  <c r="AS51" i="4"/>
  <c r="BI51" i="4"/>
  <c r="BY51" i="4"/>
  <c r="CO51" i="4"/>
  <c r="DE51" i="4"/>
  <c r="DU51" i="4"/>
  <c r="EK51" i="4"/>
  <c r="FA51" i="4"/>
  <c r="FQ51" i="4"/>
  <c r="GG51" i="4"/>
  <c r="GW51" i="4"/>
  <c r="HM51" i="4"/>
  <c r="IC51" i="4"/>
  <c r="IS51" i="4"/>
  <c r="JI51" i="4"/>
  <c r="JY51" i="4"/>
  <c r="N51" i="4"/>
  <c r="AD51" i="4"/>
  <c r="AT51" i="4"/>
  <c r="BJ51" i="4"/>
  <c r="BZ51" i="4"/>
  <c r="CP51" i="4"/>
  <c r="DF51" i="4"/>
  <c r="DV51" i="4"/>
  <c r="EL51" i="4"/>
  <c r="FB51" i="4"/>
  <c r="FR51" i="4"/>
  <c r="GH51" i="4"/>
  <c r="GX51" i="4"/>
  <c r="HN51" i="4"/>
  <c r="ID51" i="4"/>
  <c r="IT51" i="4"/>
  <c r="JJ51" i="4"/>
  <c r="JZ51" i="4"/>
  <c r="O51" i="4"/>
  <c r="AE51" i="4"/>
  <c r="AU51" i="4"/>
  <c r="BK51" i="4"/>
  <c r="CA51" i="4"/>
  <c r="CQ51" i="4"/>
  <c r="DG51" i="4"/>
  <c r="DW51" i="4"/>
  <c r="EM51" i="4"/>
  <c r="FC51" i="4"/>
  <c r="FS51" i="4"/>
  <c r="GI51" i="4"/>
  <c r="GY51" i="4"/>
  <c r="HO51" i="4"/>
  <c r="IE51" i="4"/>
  <c r="IU51" i="4"/>
  <c r="JK51" i="4"/>
  <c r="KA51" i="4"/>
  <c r="S51" i="4"/>
  <c r="AI51" i="4"/>
  <c r="AY51" i="4"/>
  <c r="BO51" i="4"/>
  <c r="CE51" i="4"/>
  <c r="CU51" i="4"/>
  <c r="DK51" i="4"/>
  <c r="EA51" i="4"/>
  <c r="EQ51" i="4"/>
  <c r="FG51" i="4"/>
  <c r="FW51" i="4"/>
  <c r="GM51" i="4"/>
  <c r="HC51" i="4"/>
  <c r="HS51" i="4"/>
  <c r="II51" i="4"/>
  <c r="IY51" i="4"/>
  <c r="JO51" i="4"/>
  <c r="KE51" i="4"/>
  <c r="U51" i="4"/>
  <c r="AO51" i="4"/>
  <c r="BL51" i="4"/>
  <c r="CG51" i="4"/>
  <c r="DA51" i="4"/>
  <c r="DX51" i="4"/>
  <c r="ES51" i="4"/>
  <c r="FM51" i="4"/>
  <c r="GJ51" i="4"/>
  <c r="HE51" i="4"/>
  <c r="HY51" i="4"/>
  <c r="IV51" i="4"/>
  <c r="JQ51" i="4"/>
  <c r="V51" i="4"/>
  <c r="AP51" i="4"/>
  <c r="BM51" i="4"/>
  <c r="CH51" i="4"/>
  <c r="DB51" i="4"/>
  <c r="DY51" i="4"/>
  <c r="ET51" i="4"/>
  <c r="FN51" i="4"/>
  <c r="GK51" i="4"/>
  <c r="HF51" i="4"/>
  <c r="HZ51" i="4"/>
  <c r="IW51" i="4"/>
  <c r="JR51" i="4"/>
  <c r="W51" i="4"/>
  <c r="AQ51" i="4"/>
  <c r="BN51" i="4"/>
  <c r="CI51" i="4"/>
  <c r="DC51" i="4"/>
  <c r="DZ51" i="4"/>
  <c r="EU51" i="4"/>
  <c r="FO51" i="4"/>
  <c r="GL51" i="4"/>
  <c r="HG51" i="4"/>
  <c r="IA51" i="4"/>
  <c r="IX51" i="4"/>
  <c r="JS51" i="4"/>
  <c r="X51" i="4"/>
  <c r="AR51" i="4"/>
  <c r="BP51" i="4"/>
  <c r="CJ51" i="4"/>
  <c r="DD51" i="4"/>
  <c r="EB51" i="4"/>
  <c r="EV51" i="4"/>
  <c r="FP51" i="4"/>
  <c r="GN51" i="4"/>
  <c r="HH51" i="4"/>
  <c r="IB51" i="4"/>
  <c r="IZ51" i="4"/>
  <c r="JT51" i="4"/>
  <c r="Y51" i="4"/>
  <c r="AV51" i="4"/>
  <c r="BQ51" i="4"/>
  <c r="CK51" i="4"/>
  <c r="DH51" i="4"/>
  <c r="EC51" i="4"/>
  <c r="EW51" i="4"/>
  <c r="FT51" i="4"/>
  <c r="GO51" i="4"/>
  <c r="HI51" i="4"/>
  <c r="IF51" i="4"/>
  <c r="JA51" i="4"/>
  <c r="JU51" i="4"/>
  <c r="AA51" i="4"/>
  <c r="AX51" i="4"/>
  <c r="BS51" i="4"/>
  <c r="CM51" i="4"/>
  <c r="DJ51" i="4"/>
  <c r="EE51" i="4"/>
  <c r="EY51" i="4"/>
  <c r="FV51" i="4"/>
  <c r="GQ51" i="4"/>
  <c r="HK51" i="4"/>
  <c r="IH51" i="4"/>
  <c r="JC51" i="4"/>
  <c r="JW51" i="4"/>
  <c r="K51" i="4"/>
  <c r="AW51" i="4"/>
  <c r="CB51" i="4"/>
  <c r="DM51" i="4"/>
  <c r="EP51" i="4"/>
  <c r="GA51" i="4"/>
  <c r="HJ51" i="4"/>
  <c r="IO51" i="4"/>
  <c r="KB51" i="4"/>
  <c r="L51" i="4"/>
  <c r="AZ51" i="4"/>
  <c r="CC51" i="4"/>
  <c r="DN51" i="4"/>
  <c r="ER51" i="4"/>
  <c r="GB51" i="4"/>
  <c r="HL51" i="4"/>
  <c r="IP51" i="4"/>
  <c r="KC51" i="4"/>
  <c r="P51" i="4"/>
  <c r="BA51" i="4"/>
  <c r="CD51" i="4"/>
  <c r="DO51" i="4"/>
  <c r="EX51" i="4"/>
  <c r="GC51" i="4"/>
  <c r="HP51" i="4"/>
  <c r="IQ51" i="4"/>
  <c r="KD51" i="4"/>
  <c r="Q51" i="4"/>
  <c r="BB51" i="4"/>
  <c r="CF51" i="4"/>
  <c r="DP51" i="4"/>
  <c r="EZ51" i="4"/>
  <c r="GD51" i="4"/>
  <c r="HQ51" i="4"/>
  <c r="IR51" i="4"/>
  <c r="KF51" i="4"/>
  <c r="R51" i="4"/>
  <c r="BC51" i="4"/>
  <c r="CL51" i="4"/>
  <c r="DQ51" i="4"/>
  <c r="FD51" i="4"/>
  <c r="GE51" i="4"/>
  <c r="HR51" i="4"/>
  <c r="JB51" i="4"/>
  <c r="KG51" i="4"/>
  <c r="Z51" i="4"/>
  <c r="BE51" i="4"/>
  <c r="CR51" i="4"/>
  <c r="DS51" i="4"/>
  <c r="FF51" i="4"/>
  <c r="GP51" i="4"/>
  <c r="HU51" i="4"/>
  <c r="JE51" i="4"/>
  <c r="KI51" i="4"/>
  <c r="BG51" i="4"/>
  <c r="DI51" i="4"/>
  <c r="FK51" i="4"/>
  <c r="HT51" i="4"/>
  <c r="JN51" i="4"/>
  <c r="BH51" i="4"/>
  <c r="DL51" i="4"/>
  <c r="FL51" i="4"/>
  <c r="HV51" i="4"/>
  <c r="JP51" i="4"/>
  <c r="I51" i="4"/>
  <c r="BR51" i="4"/>
  <c r="DR51" i="4"/>
  <c r="FU51" i="4"/>
  <c r="HW51" i="4"/>
  <c r="JV51" i="4"/>
  <c r="J51" i="4"/>
  <c r="BT51" i="4"/>
  <c r="DT51" i="4"/>
  <c r="FX51" i="4"/>
  <c r="HX51" i="4"/>
  <c r="JX51" i="4"/>
  <c r="T51" i="4"/>
  <c r="BU51" i="4"/>
  <c r="ED51" i="4"/>
  <c r="FY51" i="4"/>
  <c r="IG51" i="4"/>
  <c r="KH51" i="4"/>
  <c r="AF51" i="4"/>
  <c r="BW51" i="4"/>
  <c r="EG51" i="4"/>
  <c r="GF51" i="4"/>
  <c r="IK51" i="4"/>
  <c r="CN51" i="4"/>
  <c r="FI51" i="4"/>
  <c r="JD51" i="4"/>
  <c r="CS51" i="4"/>
  <c r="FJ51" i="4"/>
  <c r="JF51" i="4"/>
  <c r="CT51" i="4"/>
  <c r="FZ51" i="4"/>
  <c r="JG51" i="4"/>
  <c r="CV51" i="4"/>
  <c r="GR51" i="4"/>
  <c r="JH51" i="4"/>
  <c r="AB51" i="4"/>
  <c r="CW51" i="4"/>
  <c r="GS51" i="4"/>
  <c r="JL51" i="4"/>
  <c r="AH51" i="4"/>
  <c r="CY51" i="4"/>
  <c r="GU51" i="4"/>
  <c r="AK51" i="4"/>
  <c r="FE51" i="4"/>
  <c r="AL51" i="4"/>
  <c r="FH51" i="4"/>
  <c r="AM51" i="4"/>
  <c r="GT51" i="4"/>
  <c r="AN51" i="4"/>
  <c r="GV51" i="4"/>
  <c r="BD51" i="4"/>
  <c r="GZ51" i="4"/>
  <c r="BV51" i="4"/>
  <c r="HB51" i="4"/>
  <c r="EI51" i="4"/>
  <c r="EJ51" i="4"/>
  <c r="EN51" i="4"/>
  <c r="EO51" i="4"/>
  <c r="HA51" i="4"/>
  <c r="IJ51" i="4"/>
  <c r="AG51" i="4"/>
  <c r="AJ51" i="4"/>
  <c r="BF51" i="4"/>
  <c r="BX51" i="4"/>
  <c r="CX51" i="4"/>
  <c r="EF51" i="4"/>
  <c r="IM51" i="4"/>
  <c r="IN51" i="4"/>
  <c r="JM51" i="4"/>
  <c r="HD51" i="4"/>
  <c r="CZ51" i="4"/>
  <c r="EH51" i="4"/>
  <c r="IL51" i="4"/>
  <c r="V88" i="4"/>
  <c r="AL88" i="4"/>
  <c r="BB88" i="4"/>
  <c r="BR88" i="4"/>
  <c r="CH88" i="4"/>
  <c r="CX88" i="4"/>
  <c r="DN88" i="4"/>
  <c r="ED88" i="4"/>
  <c r="ET88" i="4"/>
  <c r="FJ88" i="4"/>
  <c r="FZ88" i="4"/>
  <c r="GP88" i="4"/>
  <c r="HF88" i="4"/>
  <c r="HV88" i="4"/>
  <c r="IL88" i="4"/>
  <c r="JB88" i="4"/>
  <c r="JR88" i="4"/>
  <c r="KH88" i="4"/>
  <c r="W88" i="4"/>
  <c r="AM88" i="4"/>
  <c r="BC88" i="4"/>
  <c r="BS88" i="4"/>
  <c r="CI88" i="4"/>
  <c r="CY88" i="4"/>
  <c r="DO88" i="4"/>
  <c r="EE88" i="4"/>
  <c r="EU88" i="4"/>
  <c r="FK88" i="4"/>
  <c r="GA88" i="4"/>
  <c r="GQ88" i="4"/>
  <c r="HG88" i="4"/>
  <c r="HW88" i="4"/>
  <c r="IM88" i="4"/>
  <c r="JC88" i="4"/>
  <c r="JS88" i="4"/>
  <c r="KI88" i="4"/>
  <c r="X88" i="4"/>
  <c r="AN88" i="4"/>
  <c r="BD88" i="4"/>
  <c r="BT88" i="4"/>
  <c r="CJ88" i="4"/>
  <c r="CZ88" i="4"/>
  <c r="DP88" i="4"/>
  <c r="EF88" i="4"/>
  <c r="EV88" i="4"/>
  <c r="FL88" i="4"/>
  <c r="GB88" i="4"/>
  <c r="GR88" i="4"/>
  <c r="HH88" i="4"/>
  <c r="HX88" i="4"/>
  <c r="IN88" i="4"/>
  <c r="JD88" i="4"/>
  <c r="JT88" i="4"/>
  <c r="L88" i="4"/>
  <c r="AB88" i="4"/>
  <c r="AR88" i="4"/>
  <c r="BH88" i="4"/>
  <c r="BX88" i="4"/>
  <c r="CN88" i="4"/>
  <c r="DD88" i="4"/>
  <c r="DT88" i="4"/>
  <c r="EJ88" i="4"/>
  <c r="EZ88" i="4"/>
  <c r="FP88" i="4"/>
  <c r="GF88" i="4"/>
  <c r="GV88" i="4"/>
  <c r="HL88" i="4"/>
  <c r="IB88" i="4"/>
  <c r="IR88" i="4"/>
  <c r="JH88" i="4"/>
  <c r="JX88" i="4"/>
  <c r="R88" i="4"/>
  <c r="AO88" i="4"/>
  <c r="BJ88" i="4"/>
  <c r="CD88" i="4"/>
  <c r="DA88" i="4"/>
  <c r="DV88" i="4"/>
  <c r="EP88" i="4"/>
  <c r="FM88" i="4"/>
  <c r="GH88" i="4"/>
  <c r="HB88" i="4"/>
  <c r="HY88" i="4"/>
  <c r="IT88" i="4"/>
  <c r="JN88" i="4"/>
  <c r="S88" i="4"/>
  <c r="AP88" i="4"/>
  <c r="BK88" i="4"/>
  <c r="CE88" i="4"/>
  <c r="DB88" i="4"/>
  <c r="DW88" i="4"/>
  <c r="EQ88" i="4"/>
  <c r="FN88" i="4"/>
  <c r="GI88" i="4"/>
  <c r="HC88" i="4"/>
  <c r="HZ88" i="4"/>
  <c r="IU88" i="4"/>
  <c r="JO88" i="4"/>
  <c r="T88" i="4"/>
  <c r="AQ88" i="4"/>
  <c r="BL88" i="4"/>
  <c r="CF88" i="4"/>
  <c r="DC88" i="4"/>
  <c r="DX88" i="4"/>
  <c r="ER88" i="4"/>
  <c r="FO88" i="4"/>
  <c r="GJ88" i="4"/>
  <c r="HD88" i="4"/>
  <c r="IA88" i="4"/>
  <c r="IV88" i="4"/>
  <c r="JP88" i="4"/>
  <c r="U88" i="4"/>
  <c r="AS88" i="4"/>
  <c r="BM88" i="4"/>
  <c r="CG88" i="4"/>
  <c r="DE88" i="4"/>
  <c r="DY88" i="4"/>
  <c r="ES88" i="4"/>
  <c r="FQ88" i="4"/>
  <c r="GK88" i="4"/>
  <c r="HE88" i="4"/>
  <c r="IC88" i="4"/>
  <c r="IW88" i="4"/>
  <c r="JQ88" i="4"/>
  <c r="Y88" i="4"/>
  <c r="AT88" i="4"/>
  <c r="BN88" i="4"/>
  <c r="CK88" i="4"/>
  <c r="DF88" i="4"/>
  <c r="DZ88" i="4"/>
  <c r="EW88" i="4"/>
  <c r="FR88" i="4"/>
  <c r="GL88" i="4"/>
  <c r="HI88" i="4"/>
  <c r="ID88" i="4"/>
  <c r="IX88" i="4"/>
  <c r="JU88" i="4"/>
  <c r="AA88" i="4"/>
  <c r="AV88" i="4"/>
  <c r="BP88" i="4"/>
  <c r="CM88" i="4"/>
  <c r="DH88" i="4"/>
  <c r="EB88" i="4"/>
  <c r="EY88" i="4"/>
  <c r="FT88" i="4"/>
  <c r="GN88" i="4"/>
  <c r="HK88" i="4"/>
  <c r="IF88" i="4"/>
  <c r="IZ88" i="4"/>
  <c r="JW88" i="4"/>
  <c r="I88" i="4"/>
  <c r="AJ88" i="4"/>
  <c r="BW88" i="4"/>
  <c r="DG88" i="4"/>
  <c r="EL88" i="4"/>
  <c r="FV88" i="4"/>
  <c r="GZ88" i="4"/>
  <c r="IJ88" i="4"/>
  <c r="JV88" i="4"/>
  <c r="J88" i="4"/>
  <c r="AK88" i="4"/>
  <c r="BY88" i="4"/>
  <c r="DI88" i="4"/>
  <c r="EM88" i="4"/>
  <c r="FW88" i="4"/>
  <c r="HA88" i="4"/>
  <c r="IK88" i="4"/>
  <c r="JY88" i="4"/>
  <c r="K88" i="4"/>
  <c r="AU88" i="4"/>
  <c r="BZ88" i="4"/>
  <c r="DJ88" i="4"/>
  <c r="EN88" i="4"/>
  <c r="FX88" i="4"/>
  <c r="HJ88" i="4"/>
  <c r="IO88" i="4"/>
  <c r="JZ88" i="4"/>
  <c r="M88" i="4"/>
  <c r="AW88" i="4"/>
  <c r="CA88" i="4"/>
  <c r="DK88" i="4"/>
  <c r="EO88" i="4"/>
  <c r="FY88" i="4"/>
  <c r="HM88" i="4"/>
  <c r="IP88" i="4"/>
  <c r="KA88" i="4"/>
  <c r="N88" i="4"/>
  <c r="AX88" i="4"/>
  <c r="CB88" i="4"/>
  <c r="DL88" i="4"/>
  <c r="EX88" i="4"/>
  <c r="GC88" i="4"/>
  <c r="HN88" i="4"/>
  <c r="IQ88" i="4"/>
  <c r="KB88" i="4"/>
  <c r="P88" i="4"/>
  <c r="AZ88" i="4"/>
  <c r="CL88" i="4"/>
  <c r="DQ88" i="4"/>
  <c r="FB88" i="4"/>
  <c r="GE88" i="4"/>
  <c r="HP88" i="4"/>
  <c r="IY88" i="4"/>
  <c r="KD88" i="4"/>
  <c r="O88" i="4"/>
  <c r="BO88" i="4"/>
  <c r="DS88" i="4"/>
  <c r="FS88" i="4"/>
  <c r="HT88" i="4"/>
  <c r="KC88" i="4"/>
  <c r="Q88" i="4"/>
  <c r="BQ88" i="4"/>
  <c r="DU88" i="4"/>
  <c r="FU88" i="4"/>
  <c r="HU88" i="4"/>
  <c r="KE88" i="4"/>
  <c r="Z88" i="4"/>
  <c r="BU88" i="4"/>
  <c r="EA88" i="4"/>
  <c r="GD88" i="4"/>
  <c r="IE88" i="4"/>
  <c r="KF88" i="4"/>
  <c r="AC88" i="4"/>
  <c r="BV88" i="4"/>
  <c r="EC88" i="4"/>
  <c r="GG88" i="4"/>
  <c r="IG88" i="4"/>
  <c r="KG88" i="4"/>
  <c r="AD88" i="4"/>
  <c r="CC88" i="4"/>
  <c r="EG88" i="4"/>
  <c r="GM88" i="4"/>
  <c r="IH88" i="4"/>
  <c r="AF88" i="4"/>
  <c r="CP88" i="4"/>
  <c r="EI88" i="4"/>
  <c r="GS88" i="4"/>
  <c r="IS88" i="4"/>
  <c r="AH88" i="4"/>
  <c r="DM88" i="4"/>
  <c r="GX88" i="4"/>
  <c r="AI88" i="4"/>
  <c r="DR88" i="4"/>
  <c r="GY88" i="4"/>
  <c r="AY88" i="4"/>
  <c r="EH88" i="4"/>
  <c r="HO88" i="4"/>
  <c r="BA88" i="4"/>
  <c r="EK88" i="4"/>
  <c r="HQ88" i="4"/>
  <c r="BE88" i="4"/>
  <c r="FA88" i="4"/>
  <c r="HR88" i="4"/>
  <c r="BG88" i="4"/>
  <c r="FD88" i="4"/>
  <c r="II88" i="4"/>
  <c r="FF88" i="4"/>
  <c r="JL88" i="4"/>
  <c r="FG88" i="4"/>
  <c r="JM88" i="4"/>
  <c r="AE88" i="4"/>
  <c r="FH88" i="4"/>
  <c r="AG88" i="4"/>
  <c r="FI88" i="4"/>
  <c r="BF88" i="4"/>
  <c r="GO88" i="4"/>
  <c r="CO88" i="4"/>
  <c r="GU88" i="4"/>
  <c r="FC88" i="4"/>
  <c r="FE88" i="4"/>
  <c r="GT88" i="4"/>
  <c r="GW88" i="4"/>
  <c r="HS88" i="4"/>
  <c r="JE88" i="4"/>
  <c r="JA88" i="4"/>
  <c r="JF88" i="4"/>
  <c r="JG88" i="4"/>
  <c r="JI88" i="4"/>
  <c r="JJ88" i="4"/>
  <c r="CR88" i="4"/>
  <c r="CV88" i="4"/>
  <c r="CQ88" i="4"/>
  <c r="JK88" i="4"/>
  <c r="CT88" i="4"/>
  <c r="CU88" i="4"/>
  <c r="CW88" i="4"/>
  <c r="BI88" i="4"/>
  <c r="CS88" i="4"/>
  <c r="L50" i="4"/>
  <c r="AB50" i="4"/>
  <c r="AR50" i="4"/>
  <c r="BH50" i="4"/>
  <c r="BX50" i="4"/>
  <c r="CN50" i="4"/>
  <c r="DD50" i="4"/>
  <c r="DT50" i="4"/>
  <c r="EJ50" i="4"/>
  <c r="EZ50" i="4"/>
  <c r="FP50" i="4"/>
  <c r="GF50" i="4"/>
  <c r="GV50" i="4"/>
  <c r="HL50" i="4"/>
  <c r="IB50" i="4"/>
  <c r="IR50" i="4"/>
  <c r="JH50" i="4"/>
  <c r="JX50" i="4"/>
  <c r="M50" i="4"/>
  <c r="AC50" i="4"/>
  <c r="AS50" i="4"/>
  <c r="BI50" i="4"/>
  <c r="BY50" i="4"/>
  <c r="CO50" i="4"/>
  <c r="DE50" i="4"/>
  <c r="DU50" i="4"/>
  <c r="EK50" i="4"/>
  <c r="FA50" i="4"/>
  <c r="FQ50" i="4"/>
  <c r="GG50" i="4"/>
  <c r="GW50" i="4"/>
  <c r="HM50" i="4"/>
  <c r="IC50" i="4"/>
  <c r="IS50" i="4"/>
  <c r="JI50" i="4"/>
  <c r="JY50" i="4"/>
  <c r="N50" i="4"/>
  <c r="AD50" i="4"/>
  <c r="AT50" i="4"/>
  <c r="BJ50" i="4"/>
  <c r="BZ50" i="4"/>
  <c r="CP50" i="4"/>
  <c r="DF50" i="4"/>
  <c r="DV50" i="4"/>
  <c r="EL50" i="4"/>
  <c r="FB50" i="4"/>
  <c r="FR50" i="4"/>
  <c r="GH50" i="4"/>
  <c r="GX50" i="4"/>
  <c r="HN50" i="4"/>
  <c r="ID50" i="4"/>
  <c r="IT50" i="4"/>
  <c r="JJ50" i="4"/>
  <c r="JZ50" i="4"/>
  <c r="R50" i="4"/>
  <c r="AH50" i="4"/>
  <c r="AX50" i="4"/>
  <c r="BN50" i="4"/>
  <c r="CD50" i="4"/>
  <c r="CT50" i="4"/>
  <c r="DJ50" i="4"/>
  <c r="DZ50" i="4"/>
  <c r="EP50" i="4"/>
  <c r="FF50" i="4"/>
  <c r="FV50" i="4"/>
  <c r="GL50" i="4"/>
  <c r="HB50" i="4"/>
  <c r="HR50" i="4"/>
  <c r="IH50" i="4"/>
  <c r="IX50" i="4"/>
  <c r="JN50" i="4"/>
  <c r="KD50" i="4"/>
  <c r="AE50" i="4"/>
  <c r="AZ50" i="4"/>
  <c r="BT50" i="4"/>
  <c r="CQ50" i="4"/>
  <c r="DL50" i="4"/>
  <c r="EF50" i="4"/>
  <c r="FC50" i="4"/>
  <c r="FX50" i="4"/>
  <c r="GR50" i="4"/>
  <c r="HO50" i="4"/>
  <c r="IJ50" i="4"/>
  <c r="JD50" i="4"/>
  <c r="KA50" i="4"/>
  <c r="I50" i="4"/>
  <c r="AF50" i="4"/>
  <c r="BA50" i="4"/>
  <c r="BU50" i="4"/>
  <c r="CR50" i="4"/>
  <c r="DM50" i="4"/>
  <c r="EG50" i="4"/>
  <c r="FD50" i="4"/>
  <c r="FY50" i="4"/>
  <c r="GS50" i="4"/>
  <c r="HP50" i="4"/>
  <c r="IK50" i="4"/>
  <c r="JE50" i="4"/>
  <c r="KB50" i="4"/>
  <c r="J50" i="4"/>
  <c r="AG50" i="4"/>
  <c r="BB50" i="4"/>
  <c r="BV50" i="4"/>
  <c r="CS50" i="4"/>
  <c r="DN50" i="4"/>
  <c r="EH50" i="4"/>
  <c r="FE50" i="4"/>
  <c r="FZ50" i="4"/>
  <c r="GT50" i="4"/>
  <c r="HQ50" i="4"/>
  <c r="IL50" i="4"/>
  <c r="JF50" i="4"/>
  <c r="KC50" i="4"/>
  <c r="K50" i="4"/>
  <c r="AI50" i="4"/>
  <c r="BC50" i="4"/>
  <c r="BW50" i="4"/>
  <c r="CU50" i="4"/>
  <c r="DO50" i="4"/>
  <c r="EI50" i="4"/>
  <c r="FG50" i="4"/>
  <c r="GA50" i="4"/>
  <c r="GU50" i="4"/>
  <c r="HS50" i="4"/>
  <c r="IM50" i="4"/>
  <c r="JG50" i="4"/>
  <c r="KE50" i="4"/>
  <c r="O50" i="4"/>
  <c r="AJ50" i="4"/>
  <c r="BD50" i="4"/>
  <c r="CA50" i="4"/>
  <c r="CV50" i="4"/>
  <c r="DP50" i="4"/>
  <c r="EM50" i="4"/>
  <c r="FH50" i="4"/>
  <c r="GB50" i="4"/>
  <c r="GY50" i="4"/>
  <c r="HT50" i="4"/>
  <c r="IN50" i="4"/>
  <c r="JK50" i="4"/>
  <c r="KF50" i="4"/>
  <c r="Q50" i="4"/>
  <c r="AL50" i="4"/>
  <c r="BF50" i="4"/>
  <c r="CC50" i="4"/>
  <c r="CX50" i="4"/>
  <c r="DR50" i="4"/>
  <c r="EO50" i="4"/>
  <c r="FJ50" i="4"/>
  <c r="GD50" i="4"/>
  <c r="HA50" i="4"/>
  <c r="HV50" i="4"/>
  <c r="IP50" i="4"/>
  <c r="JM50" i="4"/>
  <c r="KH50" i="4"/>
  <c r="X50" i="4"/>
  <c r="BK50" i="4"/>
  <c r="CL50" i="4"/>
  <c r="DY50" i="4"/>
  <c r="FI50" i="4"/>
  <c r="GN50" i="4"/>
  <c r="HX50" i="4"/>
  <c r="JB50" i="4"/>
  <c r="Y50" i="4"/>
  <c r="BL50" i="4"/>
  <c r="CM50" i="4"/>
  <c r="EA50" i="4"/>
  <c r="FK50" i="4"/>
  <c r="GO50" i="4"/>
  <c r="HY50" i="4"/>
  <c r="JC50" i="4"/>
  <c r="Z50" i="4"/>
  <c r="BM50" i="4"/>
  <c r="CW50" i="4"/>
  <c r="EB50" i="4"/>
  <c r="FL50" i="4"/>
  <c r="GP50" i="4"/>
  <c r="HZ50" i="4"/>
  <c r="JL50" i="4"/>
  <c r="AA50" i="4"/>
  <c r="BO50" i="4"/>
  <c r="CY50" i="4"/>
  <c r="EC50" i="4"/>
  <c r="FM50" i="4"/>
  <c r="GQ50" i="4"/>
  <c r="IA50" i="4"/>
  <c r="JO50" i="4"/>
  <c r="AK50" i="4"/>
  <c r="BP50" i="4"/>
  <c r="CZ50" i="4"/>
  <c r="ED50" i="4"/>
  <c r="FN50" i="4"/>
  <c r="GZ50" i="4"/>
  <c r="IE50" i="4"/>
  <c r="JP50" i="4"/>
  <c r="AN50" i="4"/>
  <c r="BR50" i="4"/>
  <c r="DB50" i="4"/>
  <c r="EN50" i="4"/>
  <c r="FS50" i="4"/>
  <c r="HD50" i="4"/>
  <c r="IG50" i="4"/>
  <c r="JR50" i="4"/>
  <c r="T50" i="4"/>
  <c r="CB50" i="4"/>
  <c r="DW50" i="4"/>
  <c r="GC50" i="4"/>
  <c r="IF50" i="4"/>
  <c r="KG50" i="4"/>
  <c r="U50" i="4"/>
  <c r="CE50" i="4"/>
  <c r="DX50" i="4"/>
  <c r="GE50" i="4"/>
  <c r="II50" i="4"/>
  <c r="KI50" i="4"/>
  <c r="V50" i="4"/>
  <c r="CF50" i="4"/>
  <c r="EE50" i="4"/>
  <c r="GI50" i="4"/>
  <c r="IO50" i="4"/>
  <c r="W50" i="4"/>
  <c r="CG50" i="4"/>
  <c r="EQ50" i="4"/>
  <c r="GJ50" i="4"/>
  <c r="IQ50" i="4"/>
  <c r="AM50" i="4"/>
  <c r="CH50" i="4"/>
  <c r="ER50" i="4"/>
  <c r="GK50" i="4"/>
  <c r="IU50" i="4"/>
  <c r="AP50" i="4"/>
  <c r="CJ50" i="4"/>
  <c r="ET50" i="4"/>
  <c r="HC50" i="4"/>
  <c r="IW50" i="4"/>
  <c r="P50" i="4"/>
  <c r="DG50" i="4"/>
  <c r="GM50" i="4"/>
  <c r="JT50" i="4"/>
  <c r="S50" i="4"/>
  <c r="DH50" i="4"/>
  <c r="HE50" i="4"/>
  <c r="JU50" i="4"/>
  <c r="AO50" i="4"/>
  <c r="DI50" i="4"/>
  <c r="HF50" i="4"/>
  <c r="JV50" i="4"/>
  <c r="AQ50" i="4"/>
  <c r="DK50" i="4"/>
  <c r="HG50" i="4"/>
  <c r="JW50" i="4"/>
  <c r="AU50" i="4"/>
  <c r="DQ50" i="4"/>
  <c r="HH50" i="4"/>
  <c r="AW50" i="4"/>
  <c r="ES50" i="4"/>
  <c r="HJ50" i="4"/>
  <c r="AV50" i="4"/>
  <c r="FO50" i="4"/>
  <c r="AY50" i="4"/>
  <c r="FT50" i="4"/>
  <c r="BE50" i="4"/>
  <c r="FU50" i="4"/>
  <c r="BG50" i="4"/>
  <c r="FW50" i="4"/>
  <c r="BQ50" i="4"/>
  <c r="HI50" i="4"/>
  <c r="CI50" i="4"/>
  <c r="HU50" i="4"/>
  <c r="HK50" i="4"/>
  <c r="HW50" i="4"/>
  <c r="IV50" i="4"/>
  <c r="IY50" i="4"/>
  <c r="IZ50" i="4"/>
  <c r="BS50" i="4"/>
  <c r="JQ50" i="4"/>
  <c r="DA50" i="4"/>
  <c r="CK50" i="4"/>
  <c r="DC50" i="4"/>
  <c r="DS50" i="4"/>
  <c r="EV50" i="4"/>
  <c r="EU50" i="4"/>
  <c r="EW50" i="4"/>
  <c r="EX50" i="4"/>
  <c r="EY50" i="4"/>
  <c r="JA50" i="4"/>
  <c r="JS50" i="4"/>
  <c r="K49" i="4"/>
  <c r="AA49" i="4"/>
  <c r="AQ49" i="4"/>
  <c r="BG49" i="4"/>
  <c r="BW49" i="4"/>
  <c r="CM49" i="4"/>
  <c r="DC49" i="4"/>
  <c r="DS49" i="4"/>
  <c r="EI49" i="4"/>
  <c r="EY49" i="4"/>
  <c r="FO49" i="4"/>
  <c r="GE49" i="4"/>
  <c r="GU49" i="4"/>
  <c r="HK49" i="4"/>
  <c r="IA49" i="4"/>
  <c r="IQ49" i="4"/>
  <c r="JG49" i="4"/>
  <c r="JW49" i="4"/>
  <c r="L49" i="4"/>
  <c r="AB49" i="4"/>
  <c r="AR49" i="4"/>
  <c r="BH49" i="4"/>
  <c r="BX49" i="4"/>
  <c r="CN49" i="4"/>
  <c r="DD49" i="4"/>
  <c r="DT49" i="4"/>
  <c r="EJ49" i="4"/>
  <c r="EZ49" i="4"/>
  <c r="FP49" i="4"/>
  <c r="GF49" i="4"/>
  <c r="GV49" i="4"/>
  <c r="HL49" i="4"/>
  <c r="IB49" i="4"/>
  <c r="IR49" i="4"/>
  <c r="JH49" i="4"/>
  <c r="JX49" i="4"/>
  <c r="M49" i="4"/>
  <c r="AC49" i="4"/>
  <c r="AS49" i="4"/>
  <c r="BI49" i="4"/>
  <c r="BY49" i="4"/>
  <c r="CO49" i="4"/>
  <c r="DE49" i="4"/>
  <c r="DU49" i="4"/>
  <c r="EK49" i="4"/>
  <c r="FA49" i="4"/>
  <c r="FQ49" i="4"/>
  <c r="GG49" i="4"/>
  <c r="GW49" i="4"/>
  <c r="HM49" i="4"/>
  <c r="IC49" i="4"/>
  <c r="IS49" i="4"/>
  <c r="JI49" i="4"/>
  <c r="JY49" i="4"/>
  <c r="Q49" i="4"/>
  <c r="AG49" i="4"/>
  <c r="AW49" i="4"/>
  <c r="BM49" i="4"/>
  <c r="CC49" i="4"/>
  <c r="CS49" i="4"/>
  <c r="DI49" i="4"/>
  <c r="DY49" i="4"/>
  <c r="EO49" i="4"/>
  <c r="FE49" i="4"/>
  <c r="FU49" i="4"/>
  <c r="GK49" i="4"/>
  <c r="HA49" i="4"/>
  <c r="HQ49" i="4"/>
  <c r="IG49" i="4"/>
  <c r="IW49" i="4"/>
  <c r="JM49" i="4"/>
  <c r="KC49" i="4"/>
  <c r="S49" i="4"/>
  <c r="AM49" i="4"/>
  <c r="BJ49" i="4"/>
  <c r="CE49" i="4"/>
  <c r="CY49" i="4"/>
  <c r="DV49" i="4"/>
  <c r="EQ49" i="4"/>
  <c r="FK49" i="4"/>
  <c r="GH49" i="4"/>
  <c r="HC49" i="4"/>
  <c r="HW49" i="4"/>
  <c r="IT49" i="4"/>
  <c r="JO49" i="4"/>
  <c r="KI49" i="4"/>
  <c r="T49" i="4"/>
  <c r="AN49" i="4"/>
  <c r="BK49" i="4"/>
  <c r="CF49" i="4"/>
  <c r="CZ49" i="4"/>
  <c r="DW49" i="4"/>
  <c r="ER49" i="4"/>
  <c r="FL49" i="4"/>
  <c r="GI49" i="4"/>
  <c r="HD49" i="4"/>
  <c r="HX49" i="4"/>
  <c r="IU49" i="4"/>
  <c r="JP49" i="4"/>
  <c r="U49" i="4"/>
  <c r="AO49" i="4"/>
  <c r="BL49" i="4"/>
  <c r="CG49" i="4"/>
  <c r="DA49" i="4"/>
  <c r="DX49" i="4"/>
  <c r="ES49" i="4"/>
  <c r="FM49" i="4"/>
  <c r="GJ49" i="4"/>
  <c r="HE49" i="4"/>
  <c r="HY49" i="4"/>
  <c r="IV49" i="4"/>
  <c r="JQ49" i="4"/>
  <c r="V49" i="4"/>
  <c r="AP49" i="4"/>
  <c r="BN49" i="4"/>
  <c r="CH49" i="4"/>
  <c r="DB49" i="4"/>
  <c r="DZ49" i="4"/>
  <c r="ET49" i="4"/>
  <c r="FN49" i="4"/>
  <c r="GL49" i="4"/>
  <c r="HF49" i="4"/>
  <c r="HZ49" i="4"/>
  <c r="IX49" i="4"/>
  <c r="JR49" i="4"/>
  <c r="W49" i="4"/>
  <c r="AT49" i="4"/>
  <c r="BO49" i="4"/>
  <c r="CI49" i="4"/>
  <c r="DF49" i="4"/>
  <c r="EA49" i="4"/>
  <c r="EU49" i="4"/>
  <c r="FR49" i="4"/>
  <c r="GM49" i="4"/>
  <c r="HG49" i="4"/>
  <c r="ID49" i="4"/>
  <c r="IY49" i="4"/>
  <c r="JS49" i="4"/>
  <c r="Y49" i="4"/>
  <c r="AV49" i="4"/>
  <c r="BQ49" i="4"/>
  <c r="CK49" i="4"/>
  <c r="DH49" i="4"/>
  <c r="EC49" i="4"/>
  <c r="EW49" i="4"/>
  <c r="FT49" i="4"/>
  <c r="GO49" i="4"/>
  <c r="HI49" i="4"/>
  <c r="IF49" i="4"/>
  <c r="JA49" i="4"/>
  <c r="JU49" i="4"/>
  <c r="AK49" i="4"/>
  <c r="BU49" i="4"/>
  <c r="DG49" i="4"/>
  <c r="EL49" i="4"/>
  <c r="FW49" i="4"/>
  <c r="GZ49" i="4"/>
  <c r="IK49" i="4"/>
  <c r="JT49" i="4"/>
  <c r="AL49" i="4"/>
  <c r="BV49" i="4"/>
  <c r="DJ49" i="4"/>
  <c r="EM49" i="4"/>
  <c r="FX49" i="4"/>
  <c r="HB49" i="4"/>
  <c r="IL49" i="4"/>
  <c r="JV49" i="4"/>
  <c r="I49" i="4"/>
  <c r="AU49" i="4"/>
  <c r="BZ49" i="4"/>
  <c r="DK49" i="4"/>
  <c r="EN49" i="4"/>
  <c r="FY49" i="4"/>
  <c r="HH49" i="4"/>
  <c r="IM49" i="4"/>
  <c r="JZ49" i="4"/>
  <c r="J49" i="4"/>
  <c r="AX49" i="4"/>
  <c r="CA49" i="4"/>
  <c r="DL49" i="4"/>
  <c r="EP49" i="4"/>
  <c r="FZ49" i="4"/>
  <c r="HJ49" i="4"/>
  <c r="IN49" i="4"/>
  <c r="KA49" i="4"/>
  <c r="N49" i="4"/>
  <c r="AY49" i="4"/>
  <c r="CB49" i="4"/>
  <c r="DM49" i="4"/>
  <c r="EV49" i="4"/>
  <c r="GA49" i="4"/>
  <c r="HN49" i="4"/>
  <c r="IO49" i="4"/>
  <c r="KB49" i="4"/>
  <c r="P49" i="4"/>
  <c r="BA49" i="4"/>
  <c r="CJ49" i="4"/>
  <c r="DO49" i="4"/>
  <c r="FB49" i="4"/>
  <c r="GC49" i="4"/>
  <c r="HP49" i="4"/>
  <c r="IZ49" i="4"/>
  <c r="KE49" i="4"/>
  <c r="AF49" i="4"/>
  <c r="CP49" i="4"/>
  <c r="EG49" i="4"/>
  <c r="GQ49" i="4"/>
  <c r="IP49" i="4"/>
  <c r="AH49" i="4"/>
  <c r="CQ49" i="4"/>
  <c r="EH49" i="4"/>
  <c r="GR49" i="4"/>
  <c r="JB49" i="4"/>
  <c r="AI49" i="4"/>
  <c r="CR49" i="4"/>
  <c r="EX49" i="4"/>
  <c r="GS49" i="4"/>
  <c r="JC49" i="4"/>
  <c r="AJ49" i="4"/>
  <c r="CT49" i="4"/>
  <c r="FC49" i="4"/>
  <c r="GT49" i="4"/>
  <c r="JD49" i="4"/>
  <c r="AZ49" i="4"/>
  <c r="CU49" i="4"/>
  <c r="FD49" i="4"/>
  <c r="GX49" i="4"/>
  <c r="JE49" i="4"/>
  <c r="BC49" i="4"/>
  <c r="CW49" i="4"/>
  <c r="FG49" i="4"/>
  <c r="HO49" i="4"/>
  <c r="JJ49" i="4"/>
  <c r="BB49" i="4"/>
  <c r="EB49" i="4"/>
  <c r="HS49" i="4"/>
  <c r="BD49" i="4"/>
  <c r="ED49" i="4"/>
  <c r="HT49" i="4"/>
  <c r="BE49" i="4"/>
  <c r="EE49" i="4"/>
  <c r="HU49" i="4"/>
  <c r="BF49" i="4"/>
  <c r="EF49" i="4"/>
  <c r="HV49" i="4"/>
  <c r="BP49" i="4"/>
  <c r="FF49" i="4"/>
  <c r="IE49" i="4"/>
  <c r="BS49" i="4"/>
  <c r="FI49" i="4"/>
  <c r="II49" i="4"/>
  <c r="AD49" i="4"/>
  <c r="GB49" i="4"/>
  <c r="AE49" i="4"/>
  <c r="GD49" i="4"/>
  <c r="BR49" i="4"/>
  <c r="GN49" i="4"/>
  <c r="BT49" i="4"/>
  <c r="GP49" i="4"/>
  <c r="CD49" i="4"/>
  <c r="GY49" i="4"/>
  <c r="CV49" i="4"/>
  <c r="IH49" i="4"/>
  <c r="X49" i="4"/>
  <c r="JL49" i="4"/>
  <c r="Z49" i="4"/>
  <c r="JN49" i="4"/>
  <c r="CL49" i="4"/>
  <c r="KD49" i="4"/>
  <c r="CX49" i="4"/>
  <c r="KF49" i="4"/>
  <c r="DN49" i="4"/>
  <c r="KG49" i="4"/>
  <c r="DQ49" i="4"/>
  <c r="HR49" i="4"/>
  <c r="IJ49" i="4"/>
  <c r="JF49" i="4"/>
  <c r="JK49" i="4"/>
  <c r="KH49" i="4"/>
  <c r="FS49" i="4"/>
  <c r="FV49" i="4"/>
  <c r="FH49" i="4"/>
  <c r="FJ49" i="4"/>
  <c r="DP49" i="4"/>
  <c r="DR49" i="4"/>
  <c r="O49" i="4"/>
  <c r="R49" i="4"/>
  <c r="R149" i="4"/>
  <c r="AH149" i="4"/>
  <c r="AX149" i="4"/>
  <c r="BN149" i="4"/>
  <c r="CD149" i="4"/>
  <c r="CT149" i="4"/>
  <c r="DJ149" i="4"/>
  <c r="DZ149" i="4"/>
  <c r="EP149" i="4"/>
  <c r="FF149" i="4"/>
  <c r="FV149" i="4"/>
  <c r="GL149" i="4"/>
  <c r="HB149" i="4"/>
  <c r="HR149" i="4"/>
  <c r="IH149" i="4"/>
  <c r="IX149" i="4"/>
  <c r="JN149" i="4"/>
  <c r="KD149" i="4"/>
  <c r="S149" i="4"/>
  <c r="AI149" i="4"/>
  <c r="AY149" i="4"/>
  <c r="BO149" i="4"/>
  <c r="CE149" i="4"/>
  <c r="CU149" i="4"/>
  <c r="DK149" i="4"/>
  <c r="EA149" i="4"/>
  <c r="EQ149" i="4"/>
  <c r="FG149" i="4"/>
  <c r="FW149" i="4"/>
  <c r="GM149" i="4"/>
  <c r="HC149" i="4"/>
  <c r="HS149" i="4"/>
  <c r="II149" i="4"/>
  <c r="IY149" i="4"/>
  <c r="JO149" i="4"/>
  <c r="KE149" i="4"/>
  <c r="T149" i="4"/>
  <c r="AJ149" i="4"/>
  <c r="AZ149" i="4"/>
  <c r="BP149" i="4"/>
  <c r="CF149" i="4"/>
  <c r="CV149" i="4"/>
  <c r="DL149" i="4"/>
  <c r="EB149" i="4"/>
  <c r="ER149" i="4"/>
  <c r="FH149" i="4"/>
  <c r="FX149" i="4"/>
  <c r="GN149" i="4"/>
  <c r="HD149" i="4"/>
  <c r="HT149" i="4"/>
  <c r="IJ149" i="4"/>
  <c r="IZ149" i="4"/>
  <c r="JP149" i="4"/>
  <c r="KF149" i="4"/>
  <c r="X149" i="4"/>
  <c r="AN149" i="4"/>
  <c r="BD149" i="4"/>
  <c r="BT149" i="4"/>
  <c r="CJ149" i="4"/>
  <c r="CZ149" i="4"/>
  <c r="DP149" i="4"/>
  <c r="EF149" i="4"/>
  <c r="EV149" i="4"/>
  <c r="FL149" i="4"/>
  <c r="GB149" i="4"/>
  <c r="GR149" i="4"/>
  <c r="HH149" i="4"/>
  <c r="HX149" i="4"/>
  <c r="IN149" i="4"/>
  <c r="JD149" i="4"/>
  <c r="JT149" i="4"/>
  <c r="L149" i="4"/>
  <c r="AF149" i="4"/>
  <c r="BC149" i="4"/>
  <c r="BX149" i="4"/>
  <c r="CR149" i="4"/>
  <c r="DO149" i="4"/>
  <c r="EJ149" i="4"/>
  <c r="FD149" i="4"/>
  <c r="GA149" i="4"/>
  <c r="GV149" i="4"/>
  <c r="HP149" i="4"/>
  <c r="IM149" i="4"/>
  <c r="JH149" i="4"/>
  <c r="KB149" i="4"/>
  <c r="M149" i="4"/>
  <c r="AG149" i="4"/>
  <c r="BE149" i="4"/>
  <c r="BY149" i="4"/>
  <c r="CS149" i="4"/>
  <c r="DQ149" i="4"/>
  <c r="EK149" i="4"/>
  <c r="FE149" i="4"/>
  <c r="GC149" i="4"/>
  <c r="GW149" i="4"/>
  <c r="HQ149" i="4"/>
  <c r="IO149" i="4"/>
  <c r="JI149" i="4"/>
  <c r="KC149" i="4"/>
  <c r="N149" i="4"/>
  <c r="AK149" i="4"/>
  <c r="BF149" i="4"/>
  <c r="BZ149" i="4"/>
  <c r="CW149" i="4"/>
  <c r="DR149" i="4"/>
  <c r="EL149" i="4"/>
  <c r="FI149" i="4"/>
  <c r="GD149" i="4"/>
  <c r="GX149" i="4"/>
  <c r="HU149" i="4"/>
  <c r="IP149" i="4"/>
  <c r="JJ149" i="4"/>
  <c r="KG149" i="4"/>
  <c r="O149" i="4"/>
  <c r="AL149" i="4"/>
  <c r="BG149" i="4"/>
  <c r="CA149" i="4"/>
  <c r="CX149" i="4"/>
  <c r="DS149" i="4"/>
  <c r="EM149" i="4"/>
  <c r="FJ149" i="4"/>
  <c r="GE149" i="4"/>
  <c r="GY149" i="4"/>
  <c r="HV149" i="4"/>
  <c r="IQ149" i="4"/>
  <c r="JK149" i="4"/>
  <c r="KH149" i="4"/>
  <c r="U149" i="4"/>
  <c r="AP149" i="4"/>
  <c r="BJ149" i="4"/>
  <c r="CG149" i="4"/>
  <c r="DB149" i="4"/>
  <c r="DV149" i="4"/>
  <c r="ES149" i="4"/>
  <c r="FN149" i="4"/>
  <c r="GH149" i="4"/>
  <c r="HE149" i="4"/>
  <c r="HZ149" i="4"/>
  <c r="IT149" i="4"/>
  <c r="JQ149" i="4"/>
  <c r="V149" i="4"/>
  <c r="AV149" i="4"/>
  <c r="CC149" i="4"/>
  <c r="DG149" i="4"/>
  <c r="EN149" i="4"/>
  <c r="FR149" i="4"/>
  <c r="GU149" i="4"/>
  <c r="IC149" i="4"/>
  <c r="JF149" i="4"/>
  <c r="W149" i="4"/>
  <c r="AW149" i="4"/>
  <c r="CH149" i="4"/>
  <c r="DH149" i="4"/>
  <c r="EO149" i="4"/>
  <c r="FS149" i="4"/>
  <c r="GZ149" i="4"/>
  <c r="ID149" i="4"/>
  <c r="JG149" i="4"/>
  <c r="Y149" i="4"/>
  <c r="BA149" i="4"/>
  <c r="CI149" i="4"/>
  <c r="DI149" i="4"/>
  <c r="ET149" i="4"/>
  <c r="FT149" i="4"/>
  <c r="HA149" i="4"/>
  <c r="IE149" i="4"/>
  <c r="JL149" i="4"/>
  <c r="Z149" i="4"/>
  <c r="BB149" i="4"/>
  <c r="CK149" i="4"/>
  <c r="DM149" i="4"/>
  <c r="EU149" i="4"/>
  <c r="FU149" i="4"/>
  <c r="HF149" i="4"/>
  <c r="IF149" i="4"/>
  <c r="JM149" i="4"/>
  <c r="AA149" i="4"/>
  <c r="BH149" i="4"/>
  <c r="CL149" i="4"/>
  <c r="DN149" i="4"/>
  <c r="EW149" i="4"/>
  <c r="FY149" i="4"/>
  <c r="HG149" i="4"/>
  <c r="IG149" i="4"/>
  <c r="JR149" i="4"/>
  <c r="AC149" i="4"/>
  <c r="BK149" i="4"/>
  <c r="CN149" i="4"/>
  <c r="DU149" i="4"/>
  <c r="EY149" i="4"/>
  <c r="GF149" i="4"/>
  <c r="HJ149" i="4"/>
  <c r="IL149" i="4"/>
  <c r="JU149" i="4"/>
  <c r="AT149" i="4"/>
  <c r="CY149" i="4"/>
  <c r="EX149" i="4"/>
  <c r="GP149" i="4"/>
  <c r="IS149" i="4"/>
  <c r="AU149" i="4"/>
  <c r="DA149" i="4"/>
  <c r="EZ149" i="4"/>
  <c r="GQ149" i="4"/>
  <c r="IU149" i="4"/>
  <c r="BI149" i="4"/>
  <c r="DC149" i="4"/>
  <c r="FA149" i="4"/>
  <c r="GS149" i="4"/>
  <c r="IV149" i="4"/>
  <c r="I149" i="4"/>
  <c r="BL149" i="4"/>
  <c r="DD149" i="4"/>
  <c r="FB149" i="4"/>
  <c r="GT149" i="4"/>
  <c r="IW149" i="4"/>
  <c r="J149" i="4"/>
  <c r="BM149" i="4"/>
  <c r="DE149" i="4"/>
  <c r="FC149" i="4"/>
  <c r="HI149" i="4"/>
  <c r="JA149" i="4"/>
  <c r="P149" i="4"/>
  <c r="BR149" i="4"/>
  <c r="DT149" i="4"/>
  <c r="FM149" i="4"/>
  <c r="HL149" i="4"/>
  <c r="JC149" i="4"/>
  <c r="AR149" i="4"/>
  <c r="EC149" i="4"/>
  <c r="HK149" i="4"/>
  <c r="JY149" i="4"/>
  <c r="AS149" i="4"/>
  <c r="ED149" i="4"/>
  <c r="HM149" i="4"/>
  <c r="JZ149" i="4"/>
  <c r="BQ149" i="4"/>
  <c r="EE149" i="4"/>
  <c r="HN149" i="4"/>
  <c r="KA149" i="4"/>
  <c r="BS149" i="4"/>
  <c r="EG149" i="4"/>
  <c r="HO149" i="4"/>
  <c r="KI149" i="4"/>
  <c r="BU149" i="4"/>
  <c r="EH149" i="4"/>
  <c r="HW149" i="4"/>
  <c r="BW149" i="4"/>
  <c r="FK149" i="4"/>
  <c r="IA149" i="4"/>
  <c r="AB149" i="4"/>
  <c r="EI149" i="4"/>
  <c r="JS149" i="4"/>
  <c r="AD149" i="4"/>
  <c r="FO149" i="4"/>
  <c r="JV149" i="4"/>
  <c r="AE149" i="4"/>
  <c r="FP149" i="4"/>
  <c r="JW149" i="4"/>
  <c r="AM149" i="4"/>
  <c r="FQ149" i="4"/>
  <c r="JX149" i="4"/>
  <c r="AO149" i="4"/>
  <c r="FZ149" i="4"/>
  <c r="Q149" i="4"/>
  <c r="GO149" i="4"/>
  <c r="AQ149" i="4"/>
  <c r="HY149" i="4"/>
  <c r="BV149" i="4"/>
  <c r="IB149" i="4"/>
  <c r="CB149" i="4"/>
  <c r="IK149" i="4"/>
  <c r="CM149" i="4"/>
  <c r="IR149" i="4"/>
  <c r="DX149" i="4"/>
  <c r="GG149" i="4"/>
  <c r="GI149" i="4"/>
  <c r="GJ149" i="4"/>
  <c r="GK149" i="4"/>
  <c r="JE149" i="4"/>
  <c r="CO149" i="4"/>
  <c r="DW149" i="4"/>
  <c r="DY149" i="4"/>
  <c r="JB149" i="4"/>
  <c r="K149" i="4"/>
  <c r="CP149" i="4"/>
  <c r="CQ149" i="4"/>
  <c r="DF149" i="4"/>
  <c r="S101" i="4"/>
  <c r="AI101" i="4"/>
  <c r="AY101" i="4"/>
  <c r="BO101" i="4"/>
  <c r="CE101" i="4"/>
  <c r="CU101" i="4"/>
  <c r="DK101" i="4"/>
  <c r="EA101" i="4"/>
  <c r="EQ101" i="4"/>
  <c r="FG101" i="4"/>
  <c r="FW101" i="4"/>
  <c r="GM101" i="4"/>
  <c r="HC101" i="4"/>
  <c r="HS101" i="4"/>
  <c r="II101" i="4"/>
  <c r="IY101" i="4"/>
  <c r="JO101" i="4"/>
  <c r="KE101" i="4"/>
  <c r="T101" i="4"/>
  <c r="AJ101" i="4"/>
  <c r="AZ101" i="4"/>
  <c r="BP101" i="4"/>
  <c r="CF101" i="4"/>
  <c r="CV101" i="4"/>
  <c r="DL101" i="4"/>
  <c r="EB101" i="4"/>
  <c r="ER101" i="4"/>
  <c r="FH101" i="4"/>
  <c r="FX101" i="4"/>
  <c r="GN101" i="4"/>
  <c r="HD101" i="4"/>
  <c r="HT101" i="4"/>
  <c r="IJ101" i="4"/>
  <c r="IZ101" i="4"/>
  <c r="JP101" i="4"/>
  <c r="KF101" i="4"/>
  <c r="U101" i="4"/>
  <c r="AK101" i="4"/>
  <c r="BA101" i="4"/>
  <c r="BQ101" i="4"/>
  <c r="CG101" i="4"/>
  <c r="CW101" i="4"/>
  <c r="DM101" i="4"/>
  <c r="EC101" i="4"/>
  <c r="ES101" i="4"/>
  <c r="FI101" i="4"/>
  <c r="FY101" i="4"/>
  <c r="GO101" i="4"/>
  <c r="HE101" i="4"/>
  <c r="HU101" i="4"/>
  <c r="IK101" i="4"/>
  <c r="JA101" i="4"/>
  <c r="JQ101" i="4"/>
  <c r="KG101" i="4"/>
  <c r="I101" i="4"/>
  <c r="Y101" i="4"/>
  <c r="AO101" i="4"/>
  <c r="BE101" i="4"/>
  <c r="BU101" i="4"/>
  <c r="CK101" i="4"/>
  <c r="DA101" i="4"/>
  <c r="DQ101" i="4"/>
  <c r="EG101" i="4"/>
  <c r="EW101" i="4"/>
  <c r="FM101" i="4"/>
  <c r="GC101" i="4"/>
  <c r="GS101" i="4"/>
  <c r="HI101" i="4"/>
  <c r="HY101" i="4"/>
  <c r="IO101" i="4"/>
  <c r="JE101" i="4"/>
  <c r="JU101" i="4"/>
  <c r="V101" i="4"/>
  <c r="AQ101" i="4"/>
  <c r="BK101" i="4"/>
  <c r="CH101" i="4"/>
  <c r="DC101" i="4"/>
  <c r="DW101" i="4"/>
  <c r="ET101" i="4"/>
  <c r="FO101" i="4"/>
  <c r="GI101" i="4"/>
  <c r="HF101" i="4"/>
  <c r="IA101" i="4"/>
  <c r="IU101" i="4"/>
  <c r="JR101" i="4"/>
  <c r="W101" i="4"/>
  <c r="AR101" i="4"/>
  <c r="BL101" i="4"/>
  <c r="CI101" i="4"/>
  <c r="DD101" i="4"/>
  <c r="DX101" i="4"/>
  <c r="EU101" i="4"/>
  <c r="FP101" i="4"/>
  <c r="GJ101" i="4"/>
  <c r="HG101" i="4"/>
  <c r="IB101" i="4"/>
  <c r="IV101" i="4"/>
  <c r="JS101" i="4"/>
  <c r="X101" i="4"/>
  <c r="AS101" i="4"/>
  <c r="BM101" i="4"/>
  <c r="CJ101" i="4"/>
  <c r="DE101" i="4"/>
  <c r="DY101" i="4"/>
  <c r="EV101" i="4"/>
  <c r="FQ101" i="4"/>
  <c r="GK101" i="4"/>
  <c r="HH101" i="4"/>
  <c r="IC101" i="4"/>
  <c r="IW101" i="4"/>
  <c r="JT101" i="4"/>
  <c r="Z101" i="4"/>
  <c r="AT101" i="4"/>
  <c r="BN101" i="4"/>
  <c r="CL101" i="4"/>
  <c r="DF101" i="4"/>
  <c r="DZ101" i="4"/>
  <c r="EX101" i="4"/>
  <c r="FR101" i="4"/>
  <c r="GL101" i="4"/>
  <c r="HJ101" i="4"/>
  <c r="ID101" i="4"/>
  <c r="IX101" i="4"/>
  <c r="JV101" i="4"/>
  <c r="AA101" i="4"/>
  <c r="AC101" i="4"/>
  <c r="AW101" i="4"/>
  <c r="BT101" i="4"/>
  <c r="CO101" i="4"/>
  <c r="DI101" i="4"/>
  <c r="EF101" i="4"/>
  <c r="FA101" i="4"/>
  <c r="FU101" i="4"/>
  <c r="GR101" i="4"/>
  <c r="HM101" i="4"/>
  <c r="IG101" i="4"/>
  <c r="JD101" i="4"/>
  <c r="JY101" i="4"/>
  <c r="AE101" i="4"/>
  <c r="BH101" i="4"/>
  <c r="CP101" i="4"/>
  <c r="DS101" i="4"/>
  <c r="EZ101" i="4"/>
  <c r="GD101" i="4"/>
  <c r="HK101" i="4"/>
  <c r="IN101" i="4"/>
  <c r="JN101" i="4"/>
  <c r="AF101" i="4"/>
  <c r="BI101" i="4"/>
  <c r="CQ101" i="4"/>
  <c r="DT101" i="4"/>
  <c r="FB101" i="4"/>
  <c r="GE101" i="4"/>
  <c r="HL101" i="4"/>
  <c r="IP101" i="4"/>
  <c r="JW101" i="4"/>
  <c r="AG101" i="4"/>
  <c r="BJ101" i="4"/>
  <c r="CR101" i="4"/>
  <c r="DU101" i="4"/>
  <c r="FC101" i="4"/>
  <c r="GF101" i="4"/>
  <c r="HN101" i="4"/>
  <c r="IQ101" i="4"/>
  <c r="JX101" i="4"/>
  <c r="AH101" i="4"/>
  <c r="BR101" i="4"/>
  <c r="CS101" i="4"/>
  <c r="DV101" i="4"/>
  <c r="FD101" i="4"/>
  <c r="GG101" i="4"/>
  <c r="HO101" i="4"/>
  <c r="IR101" i="4"/>
  <c r="JZ101" i="4"/>
  <c r="AL101" i="4"/>
  <c r="BS101" i="4"/>
  <c r="CT101" i="4"/>
  <c r="ED101" i="4"/>
  <c r="FE101" i="4"/>
  <c r="GH101" i="4"/>
  <c r="HP101" i="4"/>
  <c r="IS101" i="4"/>
  <c r="KA101" i="4"/>
  <c r="K101" i="4"/>
  <c r="AN101" i="4"/>
  <c r="BW101" i="4"/>
  <c r="CY101" i="4"/>
  <c r="EH101" i="4"/>
  <c r="FJ101" i="4"/>
  <c r="GQ101" i="4"/>
  <c r="HR101" i="4"/>
  <c r="JB101" i="4"/>
  <c r="KC101" i="4"/>
  <c r="AX101" i="4"/>
  <c r="CX101" i="4"/>
  <c r="EN101" i="4"/>
  <c r="GU101" i="4"/>
  <c r="IL101" i="4"/>
  <c r="BB101" i="4"/>
  <c r="CZ101" i="4"/>
  <c r="EO101" i="4"/>
  <c r="GV101" i="4"/>
  <c r="IM101" i="4"/>
  <c r="J101" i="4"/>
  <c r="BC101" i="4"/>
  <c r="DB101" i="4"/>
  <c r="EP101" i="4"/>
  <c r="GW101" i="4"/>
  <c r="IT101" i="4"/>
  <c r="L101" i="4"/>
  <c r="BD101" i="4"/>
  <c r="DG101" i="4"/>
  <c r="EY101" i="4"/>
  <c r="GX101" i="4"/>
  <c r="JC101" i="4"/>
  <c r="M101" i="4"/>
  <c r="BF101" i="4"/>
  <c r="DH101" i="4"/>
  <c r="FF101" i="4"/>
  <c r="GY101" i="4"/>
  <c r="JF101" i="4"/>
  <c r="O101" i="4"/>
  <c r="BV101" i="4"/>
  <c r="DN101" i="4"/>
  <c r="FL101" i="4"/>
  <c r="HA101" i="4"/>
  <c r="JH101" i="4"/>
  <c r="BG101" i="4"/>
  <c r="EJ101" i="4"/>
  <c r="HQ101" i="4"/>
  <c r="KH101" i="4"/>
  <c r="BX101" i="4"/>
  <c r="EK101" i="4"/>
  <c r="HV101" i="4"/>
  <c r="KI101" i="4"/>
  <c r="BY101" i="4"/>
  <c r="EL101" i="4"/>
  <c r="HW101" i="4"/>
  <c r="BZ101" i="4"/>
  <c r="EM101" i="4"/>
  <c r="HX101" i="4"/>
  <c r="CA101" i="4"/>
  <c r="FK101" i="4"/>
  <c r="HZ101" i="4"/>
  <c r="N101" i="4"/>
  <c r="CC101" i="4"/>
  <c r="FS101" i="4"/>
  <c r="IF101" i="4"/>
  <c r="AU101" i="4"/>
  <c r="GA101" i="4"/>
  <c r="AV101" i="4"/>
  <c r="GB101" i="4"/>
  <c r="CB101" i="4"/>
  <c r="GP101" i="4"/>
  <c r="CD101" i="4"/>
  <c r="GT101" i="4"/>
  <c r="CM101" i="4"/>
  <c r="GZ101" i="4"/>
  <c r="DJ101" i="4"/>
  <c r="IE101" i="4"/>
  <c r="Q101" i="4"/>
  <c r="HB101" i="4"/>
  <c r="R101" i="4"/>
  <c r="IH101" i="4"/>
  <c r="AB101" i="4"/>
  <c r="JG101" i="4"/>
  <c r="AD101" i="4"/>
  <c r="JI101" i="4"/>
  <c r="AM101" i="4"/>
  <c r="JJ101" i="4"/>
  <c r="CN101" i="4"/>
  <c r="JL101" i="4"/>
  <c r="AP101" i="4"/>
  <c r="DO101" i="4"/>
  <c r="DP101" i="4"/>
  <c r="DR101" i="4"/>
  <c r="EE101" i="4"/>
  <c r="JK101" i="4"/>
  <c r="EI101" i="4"/>
  <c r="FN101" i="4"/>
  <c r="FT101" i="4"/>
  <c r="FV101" i="4"/>
  <c r="FZ101" i="4"/>
  <c r="JM101" i="4"/>
  <c r="KD101" i="4"/>
  <c r="P101" i="4"/>
  <c r="KB101" i="4"/>
  <c r="V37" i="4"/>
  <c r="AL37" i="4"/>
  <c r="BB37" i="4"/>
  <c r="BR37" i="4"/>
  <c r="CH37" i="4"/>
  <c r="CX37" i="4"/>
  <c r="DN37" i="4"/>
  <c r="ED37" i="4"/>
  <c r="ET37" i="4"/>
  <c r="FJ37" i="4"/>
  <c r="FZ37" i="4"/>
  <c r="GP37" i="4"/>
  <c r="HF37" i="4"/>
  <c r="HV37" i="4"/>
  <c r="IL37" i="4"/>
  <c r="JB37" i="4"/>
  <c r="JR37" i="4"/>
  <c r="KH37" i="4"/>
  <c r="W37" i="4"/>
  <c r="AM37" i="4"/>
  <c r="BC37" i="4"/>
  <c r="BS37" i="4"/>
  <c r="CI37" i="4"/>
  <c r="CY37" i="4"/>
  <c r="DO37" i="4"/>
  <c r="EE37" i="4"/>
  <c r="EU37" i="4"/>
  <c r="FK37" i="4"/>
  <c r="GA37" i="4"/>
  <c r="GQ37" i="4"/>
  <c r="HG37" i="4"/>
  <c r="HW37" i="4"/>
  <c r="IM37" i="4"/>
  <c r="JC37" i="4"/>
  <c r="JS37" i="4"/>
  <c r="KI37" i="4"/>
  <c r="X37" i="4"/>
  <c r="AN37" i="4"/>
  <c r="BD37" i="4"/>
  <c r="BT37" i="4"/>
  <c r="CJ37" i="4"/>
  <c r="CZ37" i="4"/>
  <c r="DP37" i="4"/>
  <c r="EF37" i="4"/>
  <c r="EV37" i="4"/>
  <c r="FL37" i="4"/>
  <c r="GB37" i="4"/>
  <c r="GR37" i="4"/>
  <c r="HH37" i="4"/>
  <c r="HX37" i="4"/>
  <c r="IN37" i="4"/>
  <c r="JD37" i="4"/>
  <c r="JT37" i="4"/>
  <c r="L37" i="4"/>
  <c r="AB37" i="4"/>
  <c r="AR37" i="4"/>
  <c r="BH37" i="4"/>
  <c r="BX37" i="4"/>
  <c r="CN37" i="4"/>
  <c r="DD37" i="4"/>
  <c r="DT37" i="4"/>
  <c r="EJ37" i="4"/>
  <c r="EZ37" i="4"/>
  <c r="FP37" i="4"/>
  <c r="GF37" i="4"/>
  <c r="GV37" i="4"/>
  <c r="HL37" i="4"/>
  <c r="IB37" i="4"/>
  <c r="IR37" i="4"/>
  <c r="JH37" i="4"/>
  <c r="JX37" i="4"/>
  <c r="M37" i="4"/>
  <c r="AG37" i="4"/>
  <c r="BA37" i="4"/>
  <c r="BY37" i="4"/>
  <c r="CS37" i="4"/>
  <c r="DM37" i="4"/>
  <c r="EK37" i="4"/>
  <c r="FE37" i="4"/>
  <c r="FY37" i="4"/>
  <c r="GW37" i="4"/>
  <c r="HQ37" i="4"/>
  <c r="IK37" i="4"/>
  <c r="JI37" i="4"/>
  <c r="KC37" i="4"/>
  <c r="N37" i="4"/>
  <c r="AH37" i="4"/>
  <c r="BE37" i="4"/>
  <c r="BZ37" i="4"/>
  <c r="CT37" i="4"/>
  <c r="DQ37" i="4"/>
  <c r="EL37" i="4"/>
  <c r="FF37" i="4"/>
  <c r="GC37" i="4"/>
  <c r="GX37" i="4"/>
  <c r="HR37" i="4"/>
  <c r="IO37" i="4"/>
  <c r="JJ37" i="4"/>
  <c r="KD37" i="4"/>
  <c r="O37" i="4"/>
  <c r="AI37" i="4"/>
  <c r="BF37" i="4"/>
  <c r="CA37" i="4"/>
  <c r="CU37" i="4"/>
  <c r="DR37" i="4"/>
  <c r="EM37" i="4"/>
  <c r="FG37" i="4"/>
  <c r="GD37" i="4"/>
  <c r="GY37" i="4"/>
  <c r="HS37" i="4"/>
  <c r="IP37" i="4"/>
  <c r="JK37" i="4"/>
  <c r="KE37" i="4"/>
  <c r="P37" i="4"/>
  <c r="AJ37" i="4"/>
  <c r="BG37" i="4"/>
  <c r="CB37" i="4"/>
  <c r="CV37" i="4"/>
  <c r="DS37" i="4"/>
  <c r="EN37" i="4"/>
  <c r="FH37" i="4"/>
  <c r="GE37" i="4"/>
  <c r="GZ37" i="4"/>
  <c r="HT37" i="4"/>
  <c r="IQ37" i="4"/>
  <c r="JL37" i="4"/>
  <c r="KF37" i="4"/>
  <c r="Q37" i="4"/>
  <c r="AK37" i="4"/>
  <c r="BI37" i="4"/>
  <c r="CC37" i="4"/>
  <c r="CW37" i="4"/>
  <c r="DU37" i="4"/>
  <c r="EO37" i="4"/>
  <c r="FI37" i="4"/>
  <c r="GG37" i="4"/>
  <c r="HA37" i="4"/>
  <c r="HU37" i="4"/>
  <c r="IS37" i="4"/>
  <c r="JM37" i="4"/>
  <c r="KG37" i="4"/>
  <c r="S37" i="4"/>
  <c r="AP37" i="4"/>
  <c r="BK37" i="4"/>
  <c r="CE37" i="4"/>
  <c r="DB37" i="4"/>
  <c r="DW37" i="4"/>
  <c r="EQ37" i="4"/>
  <c r="FN37" i="4"/>
  <c r="GI37" i="4"/>
  <c r="HC37" i="4"/>
  <c r="HZ37" i="4"/>
  <c r="IU37" i="4"/>
  <c r="JO37" i="4"/>
  <c r="R37" i="4"/>
  <c r="AW37" i="4"/>
  <c r="CG37" i="4"/>
  <c r="DK37" i="4"/>
  <c r="EX37" i="4"/>
  <c r="GH37" i="4"/>
  <c r="HM37" i="4"/>
  <c r="IW37" i="4"/>
  <c r="KA37" i="4"/>
  <c r="T37" i="4"/>
  <c r="AX37" i="4"/>
  <c r="CK37" i="4"/>
  <c r="DL37" i="4"/>
  <c r="EY37" i="4"/>
  <c r="GJ37" i="4"/>
  <c r="HN37" i="4"/>
  <c r="IX37" i="4"/>
  <c r="KB37" i="4"/>
  <c r="U37" i="4"/>
  <c r="AY37" i="4"/>
  <c r="CL37" i="4"/>
  <c r="DV37" i="4"/>
  <c r="FA37" i="4"/>
  <c r="GK37" i="4"/>
  <c r="HO37" i="4"/>
  <c r="IY37" i="4"/>
  <c r="Y37" i="4"/>
  <c r="AZ37" i="4"/>
  <c r="CM37" i="4"/>
  <c r="DX37" i="4"/>
  <c r="FB37" i="4"/>
  <c r="GL37" i="4"/>
  <c r="HP37" i="4"/>
  <c r="IZ37" i="4"/>
  <c r="Z37" i="4"/>
  <c r="BJ37" i="4"/>
  <c r="CO37" i="4"/>
  <c r="DY37" i="4"/>
  <c r="FC37" i="4"/>
  <c r="GM37" i="4"/>
  <c r="HY37" i="4"/>
  <c r="JA37" i="4"/>
  <c r="AC37" i="4"/>
  <c r="BM37" i="4"/>
  <c r="CQ37" i="4"/>
  <c r="EA37" i="4"/>
  <c r="FM37" i="4"/>
  <c r="GO37" i="4"/>
  <c r="IC37" i="4"/>
  <c r="JF37" i="4"/>
  <c r="BO37" i="4"/>
  <c r="DI37" i="4"/>
  <c r="FS37" i="4"/>
  <c r="IA37" i="4"/>
  <c r="JV37" i="4"/>
  <c r="I37" i="4"/>
  <c r="BP37" i="4"/>
  <c r="DJ37" i="4"/>
  <c r="FT37" i="4"/>
  <c r="ID37" i="4"/>
  <c r="JW37" i="4"/>
  <c r="J37" i="4"/>
  <c r="BQ37" i="4"/>
  <c r="DZ37" i="4"/>
  <c r="FU37" i="4"/>
  <c r="IE37" i="4"/>
  <c r="JY37" i="4"/>
  <c r="K37" i="4"/>
  <c r="BU37" i="4"/>
  <c r="EB37" i="4"/>
  <c r="FV37" i="4"/>
  <c r="IF37" i="4"/>
  <c r="JZ37" i="4"/>
  <c r="AA37" i="4"/>
  <c r="BV37" i="4"/>
  <c r="EC37" i="4"/>
  <c r="FW37" i="4"/>
  <c r="IG37" i="4"/>
  <c r="AE37" i="4"/>
  <c r="CD37" i="4"/>
  <c r="EH37" i="4"/>
  <c r="GN37" i="4"/>
  <c r="II37" i="4"/>
  <c r="AO37" i="4"/>
  <c r="DG37" i="4"/>
  <c r="HB37" i="4"/>
  <c r="AQ37" i="4"/>
  <c r="DH37" i="4"/>
  <c r="HD37" i="4"/>
  <c r="AS37" i="4"/>
  <c r="EG37" i="4"/>
  <c r="HE37" i="4"/>
  <c r="AT37" i="4"/>
  <c r="EI37" i="4"/>
  <c r="HI37" i="4"/>
  <c r="AU37" i="4"/>
  <c r="EP37" i="4"/>
  <c r="HJ37" i="4"/>
  <c r="BL37" i="4"/>
  <c r="ES37" i="4"/>
  <c r="IH37" i="4"/>
  <c r="FD37" i="4"/>
  <c r="JQ37" i="4"/>
  <c r="FO37" i="4"/>
  <c r="JU37" i="4"/>
  <c r="AD37" i="4"/>
  <c r="FQ37" i="4"/>
  <c r="AF37" i="4"/>
  <c r="FR37" i="4"/>
  <c r="AV37" i="4"/>
  <c r="FX37" i="4"/>
  <c r="BW37" i="4"/>
  <c r="GT37" i="4"/>
  <c r="CP37" i="4"/>
  <c r="JN37" i="4"/>
  <c r="CR37" i="4"/>
  <c r="JP37" i="4"/>
  <c r="DA37" i="4"/>
  <c r="DC37" i="4"/>
  <c r="DE37" i="4"/>
  <c r="ER37" i="4"/>
  <c r="DF37" i="4"/>
  <c r="EW37" i="4"/>
  <c r="GS37" i="4"/>
  <c r="GU37" i="4"/>
  <c r="HK37" i="4"/>
  <c r="IT37" i="4"/>
  <c r="BN37" i="4"/>
  <c r="IJ37" i="4"/>
  <c r="CF37" i="4"/>
  <c r="JE37" i="4"/>
  <c r="JG37" i="4"/>
  <c r="IV37" i="4"/>
  <c r="X12" i="4"/>
  <c r="AN12" i="4"/>
  <c r="BD12" i="4"/>
  <c r="BT12" i="4"/>
  <c r="CJ12" i="4"/>
  <c r="CZ12" i="4"/>
  <c r="DP12" i="4"/>
  <c r="EF12" i="4"/>
  <c r="EV12" i="4"/>
  <c r="FL12" i="4"/>
  <c r="GB12" i="4"/>
  <c r="GR12" i="4"/>
  <c r="HH12" i="4"/>
  <c r="HX12" i="4"/>
  <c r="IN12" i="4"/>
  <c r="JD12" i="4"/>
  <c r="JT12" i="4"/>
  <c r="I12" i="4"/>
  <c r="Y12" i="4"/>
  <c r="AO12" i="4"/>
  <c r="BE12" i="4"/>
  <c r="BU12" i="4"/>
  <c r="CK12" i="4"/>
  <c r="DA12" i="4"/>
  <c r="DQ12" i="4"/>
  <c r="EG12" i="4"/>
  <c r="EW12" i="4"/>
  <c r="FM12" i="4"/>
  <c r="GC12" i="4"/>
  <c r="GS12" i="4"/>
  <c r="HI12" i="4"/>
  <c r="HY12" i="4"/>
  <c r="IO12" i="4"/>
  <c r="JE12" i="4"/>
  <c r="JU12" i="4"/>
  <c r="J12" i="4"/>
  <c r="Z12" i="4"/>
  <c r="AP12" i="4"/>
  <c r="BF12" i="4"/>
  <c r="BV12" i="4"/>
  <c r="CL12" i="4"/>
  <c r="DB12" i="4"/>
  <c r="DR12" i="4"/>
  <c r="EH12" i="4"/>
  <c r="EX12" i="4"/>
  <c r="FN12" i="4"/>
  <c r="GD12" i="4"/>
  <c r="GT12" i="4"/>
  <c r="HJ12" i="4"/>
  <c r="HZ12" i="4"/>
  <c r="IP12" i="4"/>
  <c r="JF12" i="4"/>
  <c r="JV12" i="4"/>
  <c r="L12" i="4"/>
  <c r="AB12" i="4"/>
  <c r="AR12" i="4"/>
  <c r="BH12" i="4"/>
  <c r="BX12" i="4"/>
  <c r="CN12" i="4"/>
  <c r="DD12" i="4"/>
  <c r="DT12" i="4"/>
  <c r="EJ12" i="4"/>
  <c r="EZ12" i="4"/>
  <c r="FP12" i="4"/>
  <c r="GF12" i="4"/>
  <c r="GV12" i="4"/>
  <c r="HL12" i="4"/>
  <c r="IB12" i="4"/>
  <c r="IR12" i="4"/>
  <c r="JH12" i="4"/>
  <c r="JX12" i="4"/>
  <c r="R12" i="4"/>
  <c r="AL12" i="4"/>
  <c r="BJ12" i="4"/>
  <c r="CD12" i="4"/>
  <c r="CX12" i="4"/>
  <c r="DV12" i="4"/>
  <c r="EP12" i="4"/>
  <c r="FJ12" i="4"/>
  <c r="GH12" i="4"/>
  <c r="HB12" i="4"/>
  <c r="HV12" i="4"/>
  <c r="IT12" i="4"/>
  <c r="JN12" i="4"/>
  <c r="KH12" i="4"/>
  <c r="S12" i="4"/>
  <c r="AM12" i="4"/>
  <c r="BK12" i="4"/>
  <c r="CE12" i="4"/>
  <c r="CY12" i="4"/>
  <c r="DW12" i="4"/>
  <c r="EQ12" i="4"/>
  <c r="FK12" i="4"/>
  <c r="GI12" i="4"/>
  <c r="HC12" i="4"/>
  <c r="HW12" i="4"/>
  <c r="IU12" i="4"/>
  <c r="JO12" i="4"/>
  <c r="KI12" i="4"/>
  <c r="T12" i="4"/>
  <c r="AQ12" i="4"/>
  <c r="BL12" i="4"/>
  <c r="CF12" i="4"/>
  <c r="DC12" i="4"/>
  <c r="DX12" i="4"/>
  <c r="ER12" i="4"/>
  <c r="FO12" i="4"/>
  <c r="GJ12" i="4"/>
  <c r="HD12" i="4"/>
  <c r="IA12" i="4"/>
  <c r="IV12" i="4"/>
  <c r="JP12" i="4"/>
  <c r="U12" i="4"/>
  <c r="AS12" i="4"/>
  <c r="BM12" i="4"/>
  <c r="CG12" i="4"/>
  <c r="DE12" i="4"/>
  <c r="DY12" i="4"/>
  <c r="ES12" i="4"/>
  <c r="FQ12" i="4"/>
  <c r="GK12" i="4"/>
  <c r="HE12" i="4"/>
  <c r="IC12" i="4"/>
  <c r="IW12" i="4"/>
  <c r="JQ12" i="4"/>
  <c r="V12" i="4"/>
  <c r="AT12" i="4"/>
  <c r="BN12" i="4"/>
  <c r="CH12" i="4"/>
  <c r="DF12" i="4"/>
  <c r="DZ12" i="4"/>
  <c r="ET12" i="4"/>
  <c r="FR12" i="4"/>
  <c r="GL12" i="4"/>
  <c r="HF12" i="4"/>
  <c r="ID12" i="4"/>
  <c r="IX12" i="4"/>
  <c r="JR12" i="4"/>
  <c r="AA12" i="4"/>
  <c r="AV12" i="4"/>
  <c r="BP12" i="4"/>
  <c r="CM12" i="4"/>
  <c r="DH12" i="4"/>
  <c r="EB12" i="4"/>
  <c r="EY12" i="4"/>
  <c r="FT12" i="4"/>
  <c r="GN12" i="4"/>
  <c r="HK12" i="4"/>
  <c r="IF12" i="4"/>
  <c r="IZ12" i="4"/>
  <c r="JW12" i="4"/>
  <c r="AD12" i="4"/>
  <c r="BG12" i="4"/>
  <c r="CR12" i="4"/>
  <c r="EA12" i="4"/>
  <c r="FF12" i="4"/>
  <c r="GP12" i="4"/>
  <c r="HT12" i="4"/>
  <c r="JG12" i="4"/>
  <c r="AE12" i="4"/>
  <c r="BI12" i="4"/>
  <c r="CS12" i="4"/>
  <c r="EC12" i="4"/>
  <c r="FG12" i="4"/>
  <c r="GQ12" i="4"/>
  <c r="HU12" i="4"/>
  <c r="JI12" i="4"/>
  <c r="AF12" i="4"/>
  <c r="BO12" i="4"/>
  <c r="CT12" i="4"/>
  <c r="ED12" i="4"/>
  <c r="FH12" i="4"/>
  <c r="GU12" i="4"/>
  <c r="IE12" i="4"/>
  <c r="JJ12" i="4"/>
  <c r="AG12" i="4"/>
  <c r="BQ12" i="4"/>
  <c r="CU12" i="4"/>
  <c r="EE12" i="4"/>
  <c r="FI12" i="4"/>
  <c r="GW12" i="4"/>
  <c r="IG12" i="4"/>
  <c r="JK12" i="4"/>
  <c r="AH12" i="4"/>
  <c r="BR12" i="4"/>
  <c r="CV12" i="4"/>
  <c r="EI12" i="4"/>
  <c r="FS12" i="4"/>
  <c r="GX12" i="4"/>
  <c r="IH12" i="4"/>
  <c r="JL12" i="4"/>
  <c r="AJ12" i="4"/>
  <c r="BW12" i="4"/>
  <c r="DG12" i="4"/>
  <c r="EL12" i="4"/>
  <c r="FV12" i="4"/>
  <c r="GZ12" i="4"/>
  <c r="IJ12" i="4"/>
  <c r="JS12" i="4"/>
  <c r="N12" i="4"/>
  <c r="BS12" i="4"/>
  <c r="DN12" i="4"/>
  <c r="FX12" i="4"/>
  <c r="HR12" i="4"/>
  <c r="KB12" i="4"/>
  <c r="O12" i="4"/>
  <c r="BY12" i="4"/>
  <c r="DO12" i="4"/>
  <c r="FY12" i="4"/>
  <c r="HS12" i="4"/>
  <c r="KC12" i="4"/>
  <c r="P12" i="4"/>
  <c r="BZ12" i="4"/>
  <c r="DS12" i="4"/>
  <c r="FZ12" i="4"/>
  <c r="II12" i="4"/>
  <c r="KD12" i="4"/>
  <c r="Q12" i="4"/>
  <c r="CA12" i="4"/>
  <c r="DU12" i="4"/>
  <c r="GA12" i="4"/>
  <c r="IK12" i="4"/>
  <c r="KE12" i="4"/>
  <c r="W12" i="4"/>
  <c r="CB12" i="4"/>
  <c r="EK12" i="4"/>
  <c r="GE12" i="4"/>
  <c r="IL12" i="4"/>
  <c r="KF12" i="4"/>
  <c r="AI12" i="4"/>
  <c r="CI12" i="4"/>
  <c r="EN12" i="4"/>
  <c r="GM12" i="4"/>
  <c r="IQ12" i="4"/>
  <c r="AC12" i="4"/>
  <c r="DJ12" i="4"/>
  <c r="GY12" i="4"/>
  <c r="JZ12" i="4"/>
  <c r="AK12" i="4"/>
  <c r="DK12" i="4"/>
  <c r="HA12" i="4"/>
  <c r="KA12" i="4"/>
  <c r="AU12" i="4"/>
  <c r="DL12" i="4"/>
  <c r="HG12" i="4"/>
  <c r="KG12" i="4"/>
  <c r="AW12" i="4"/>
  <c r="DM12" i="4"/>
  <c r="HM12" i="4"/>
  <c r="AX12" i="4"/>
  <c r="EM12" i="4"/>
  <c r="HN12" i="4"/>
  <c r="AZ12" i="4"/>
  <c r="EU12" i="4"/>
  <c r="HP12" i="4"/>
  <c r="CP12" i="4"/>
  <c r="IM12" i="4"/>
  <c r="CQ12" i="4"/>
  <c r="IS12" i="4"/>
  <c r="CW12" i="4"/>
  <c r="IY12" i="4"/>
  <c r="DI12" i="4"/>
  <c r="JA12" i="4"/>
  <c r="EO12" i="4"/>
  <c r="JB12" i="4"/>
  <c r="FB12" i="4"/>
  <c r="JM12" i="4"/>
  <c r="GG12" i="4"/>
  <c r="GO12" i="4"/>
  <c r="K12" i="4"/>
  <c r="HO12" i="4"/>
  <c r="M12" i="4"/>
  <c r="HQ12" i="4"/>
  <c r="AY12" i="4"/>
  <c r="JC12" i="4"/>
  <c r="BB12" i="4"/>
  <c r="FD12" i="4"/>
  <c r="FE12" i="4"/>
  <c r="FU12" i="4"/>
  <c r="FW12" i="4"/>
  <c r="JY12" i="4"/>
  <c r="CC12" i="4"/>
  <c r="CO12" i="4"/>
  <c r="FA12" i="4"/>
  <c r="FC12" i="4"/>
  <c r="BA12" i="4"/>
  <c r="BC12" i="4"/>
  <c r="M158" i="4"/>
  <c r="AC158" i="4"/>
  <c r="AS158" i="4"/>
  <c r="BI158" i="4"/>
  <c r="BY158" i="4"/>
  <c r="CO158" i="4"/>
  <c r="DE158" i="4"/>
  <c r="DU158" i="4"/>
  <c r="EK158" i="4"/>
  <c r="FA158" i="4"/>
  <c r="FQ158" i="4"/>
  <c r="GG158" i="4"/>
  <c r="GW158" i="4"/>
  <c r="HM158" i="4"/>
  <c r="IC158" i="4"/>
  <c r="IS158" i="4"/>
  <c r="JI158" i="4"/>
  <c r="JY158" i="4"/>
  <c r="Q158" i="4"/>
  <c r="AG158" i="4"/>
  <c r="AW158" i="4"/>
  <c r="BM158" i="4"/>
  <c r="CC158" i="4"/>
  <c r="CS158" i="4"/>
  <c r="DI158" i="4"/>
  <c r="DY158" i="4"/>
  <c r="EO158" i="4"/>
  <c r="FE158" i="4"/>
  <c r="FU158" i="4"/>
  <c r="GK158" i="4"/>
  <c r="HA158" i="4"/>
  <c r="HQ158" i="4"/>
  <c r="IG158" i="4"/>
  <c r="IW158" i="4"/>
  <c r="JM158" i="4"/>
  <c r="KC158" i="4"/>
  <c r="R158" i="4"/>
  <c r="AJ158" i="4"/>
  <c r="BB158" i="4"/>
  <c r="BT158" i="4"/>
  <c r="CL158" i="4"/>
  <c r="DD158" i="4"/>
  <c r="DW158" i="4"/>
  <c r="EP158" i="4"/>
  <c r="FH158" i="4"/>
  <c r="FZ158" i="4"/>
  <c r="GR158" i="4"/>
  <c r="HJ158" i="4"/>
  <c r="IB158" i="4"/>
  <c r="IU158" i="4"/>
  <c r="JN158" i="4"/>
  <c r="KF158" i="4"/>
  <c r="S158" i="4"/>
  <c r="AK158" i="4"/>
  <c r="BC158" i="4"/>
  <c r="BU158" i="4"/>
  <c r="CM158" i="4"/>
  <c r="DF158" i="4"/>
  <c r="DX158" i="4"/>
  <c r="EQ158" i="4"/>
  <c r="FI158" i="4"/>
  <c r="GA158" i="4"/>
  <c r="GS158" i="4"/>
  <c r="HK158" i="4"/>
  <c r="ID158" i="4"/>
  <c r="IV158" i="4"/>
  <c r="JO158" i="4"/>
  <c r="KG158" i="4"/>
  <c r="T158" i="4"/>
  <c r="AL158" i="4"/>
  <c r="BD158" i="4"/>
  <c r="BV158" i="4"/>
  <c r="CN158" i="4"/>
  <c r="DG158" i="4"/>
  <c r="DZ158" i="4"/>
  <c r="ER158" i="4"/>
  <c r="FJ158" i="4"/>
  <c r="GB158" i="4"/>
  <c r="GT158" i="4"/>
  <c r="HL158" i="4"/>
  <c r="IE158" i="4"/>
  <c r="IX158" i="4"/>
  <c r="JP158" i="4"/>
  <c r="KH158" i="4"/>
  <c r="X158" i="4"/>
  <c r="AP158" i="4"/>
  <c r="BH158" i="4"/>
  <c r="CA158" i="4"/>
  <c r="CT158" i="4"/>
  <c r="DL158" i="4"/>
  <c r="ED158" i="4"/>
  <c r="EV158" i="4"/>
  <c r="FN158" i="4"/>
  <c r="GF158" i="4"/>
  <c r="GY158" i="4"/>
  <c r="HR158" i="4"/>
  <c r="IJ158" i="4"/>
  <c r="JB158" i="4"/>
  <c r="JT158" i="4"/>
  <c r="W158" i="4"/>
  <c r="AU158" i="4"/>
  <c r="BR158" i="4"/>
  <c r="CR158" i="4"/>
  <c r="DP158" i="4"/>
  <c r="EM158" i="4"/>
  <c r="FM158" i="4"/>
  <c r="GL158" i="4"/>
  <c r="HH158" i="4"/>
  <c r="II158" i="4"/>
  <c r="JF158" i="4"/>
  <c r="KD158" i="4"/>
  <c r="Y158" i="4"/>
  <c r="AV158" i="4"/>
  <c r="BS158" i="4"/>
  <c r="CU158" i="4"/>
  <c r="DQ158" i="4"/>
  <c r="EN158" i="4"/>
  <c r="FO158" i="4"/>
  <c r="GM158" i="4"/>
  <c r="HI158" i="4"/>
  <c r="IK158" i="4"/>
  <c r="JG158" i="4"/>
  <c r="KE158" i="4"/>
  <c r="Z158" i="4"/>
  <c r="AX158" i="4"/>
  <c r="BW158" i="4"/>
  <c r="CV158" i="4"/>
  <c r="DR158" i="4"/>
  <c r="ES158" i="4"/>
  <c r="FP158" i="4"/>
  <c r="GN158" i="4"/>
  <c r="HN158" i="4"/>
  <c r="IL158" i="4"/>
  <c r="JH158" i="4"/>
  <c r="KI158" i="4"/>
  <c r="AA158" i="4"/>
  <c r="AY158" i="4"/>
  <c r="BX158" i="4"/>
  <c r="CW158" i="4"/>
  <c r="DS158" i="4"/>
  <c r="ET158" i="4"/>
  <c r="FR158" i="4"/>
  <c r="GO158" i="4"/>
  <c r="HO158" i="4"/>
  <c r="IM158" i="4"/>
  <c r="JJ158" i="4"/>
  <c r="AB158" i="4"/>
  <c r="AZ158" i="4"/>
  <c r="BZ158" i="4"/>
  <c r="CX158" i="4"/>
  <c r="DT158" i="4"/>
  <c r="EU158" i="4"/>
  <c r="FS158" i="4"/>
  <c r="GP158" i="4"/>
  <c r="HP158" i="4"/>
  <c r="IN158" i="4"/>
  <c r="JK158" i="4"/>
  <c r="AE158" i="4"/>
  <c r="BE158" i="4"/>
  <c r="CD158" i="4"/>
  <c r="CZ158" i="4"/>
  <c r="EA158" i="4"/>
  <c r="EX158" i="4"/>
  <c r="FV158" i="4"/>
  <c r="GU158" i="4"/>
  <c r="HT158" i="4"/>
  <c r="IP158" i="4"/>
  <c r="JQ158" i="4"/>
  <c r="L158" i="4"/>
  <c r="BA158" i="4"/>
  <c r="CJ158" i="4"/>
  <c r="EC158" i="4"/>
  <c r="FK158" i="4"/>
  <c r="HB158" i="4"/>
  <c r="IO158" i="4"/>
  <c r="JX158" i="4"/>
  <c r="N158" i="4"/>
  <c r="BF158" i="4"/>
  <c r="CK158" i="4"/>
  <c r="EE158" i="4"/>
  <c r="FL158" i="4"/>
  <c r="HC158" i="4"/>
  <c r="IQ158" i="4"/>
  <c r="JZ158" i="4"/>
  <c r="O158" i="4"/>
  <c r="BG158" i="4"/>
  <c r="CP158" i="4"/>
  <c r="EF158" i="4"/>
  <c r="FT158" i="4"/>
  <c r="HD158" i="4"/>
  <c r="IR158" i="4"/>
  <c r="KA158" i="4"/>
  <c r="P158" i="4"/>
  <c r="BJ158" i="4"/>
  <c r="CQ158" i="4"/>
  <c r="EG158" i="4"/>
  <c r="FW158" i="4"/>
  <c r="HE158" i="4"/>
  <c r="IT158" i="4"/>
  <c r="KB158" i="4"/>
  <c r="U158" i="4"/>
  <c r="BK158" i="4"/>
  <c r="CY158" i="4"/>
  <c r="EH158" i="4"/>
  <c r="FX158" i="4"/>
  <c r="HF158" i="4"/>
  <c r="IY158" i="4"/>
  <c r="AD158" i="4"/>
  <c r="BN158" i="4"/>
  <c r="DB158" i="4"/>
  <c r="EJ158" i="4"/>
  <c r="GC158" i="4"/>
  <c r="HS158" i="4"/>
  <c r="JA158" i="4"/>
  <c r="J158" i="4"/>
  <c r="CB158" i="4"/>
  <c r="EI158" i="4"/>
  <c r="GQ158" i="4"/>
  <c r="JD158" i="4"/>
  <c r="K158" i="4"/>
  <c r="CE158" i="4"/>
  <c r="EL158" i="4"/>
  <c r="GV158" i="4"/>
  <c r="JE158" i="4"/>
  <c r="V158" i="4"/>
  <c r="CF158" i="4"/>
  <c r="EW158" i="4"/>
  <c r="GX158" i="4"/>
  <c r="JL158" i="4"/>
  <c r="AF158" i="4"/>
  <c r="CG158" i="4"/>
  <c r="EY158" i="4"/>
  <c r="GZ158" i="4"/>
  <c r="JR158" i="4"/>
  <c r="AH158" i="4"/>
  <c r="CH158" i="4"/>
  <c r="EZ158" i="4"/>
  <c r="HG158" i="4"/>
  <c r="JS158" i="4"/>
  <c r="AM158" i="4"/>
  <c r="DA158" i="4"/>
  <c r="FC158" i="4"/>
  <c r="HV158" i="4"/>
  <c r="JV158" i="4"/>
  <c r="DH158" i="4"/>
  <c r="GI158" i="4"/>
  <c r="DJ158" i="4"/>
  <c r="GJ158" i="4"/>
  <c r="DK158" i="4"/>
  <c r="HU158" i="4"/>
  <c r="I158" i="4"/>
  <c r="DM158" i="4"/>
  <c r="HW158" i="4"/>
  <c r="AI158" i="4"/>
  <c r="DN158" i="4"/>
  <c r="HX158" i="4"/>
  <c r="EB158" i="4"/>
  <c r="JU158" i="4"/>
  <c r="FB158" i="4"/>
  <c r="JW158" i="4"/>
  <c r="FD158" i="4"/>
  <c r="AN158" i="4"/>
  <c r="FF158" i="4"/>
  <c r="AO158" i="4"/>
  <c r="FG158" i="4"/>
  <c r="BP158" i="4"/>
  <c r="HZ158" i="4"/>
  <c r="AQ158" i="4"/>
  <c r="IF158" i="4"/>
  <c r="AR158" i="4"/>
  <c r="IH158" i="4"/>
  <c r="AT158" i="4"/>
  <c r="IZ158" i="4"/>
  <c r="BL158" i="4"/>
  <c r="JC158" i="4"/>
  <c r="BQ158" i="4"/>
  <c r="FY158" i="4"/>
  <c r="BO158" i="4"/>
  <c r="CI158" i="4"/>
  <c r="DC158" i="4"/>
  <c r="DO158" i="4"/>
  <c r="DV158" i="4"/>
  <c r="GD158" i="4"/>
  <c r="GE158" i="4"/>
  <c r="GH158" i="4"/>
  <c r="HY158" i="4"/>
  <c r="IA158" i="4"/>
  <c r="K142" i="4"/>
  <c r="AA142" i="4"/>
  <c r="AQ142" i="4"/>
  <c r="BG142" i="4"/>
  <c r="BW142" i="4"/>
  <c r="CM142" i="4"/>
  <c r="DC142" i="4"/>
  <c r="DS142" i="4"/>
  <c r="EI142" i="4"/>
  <c r="EY142" i="4"/>
  <c r="FO142" i="4"/>
  <c r="GE142" i="4"/>
  <c r="GU142" i="4"/>
  <c r="HK142" i="4"/>
  <c r="IA142" i="4"/>
  <c r="IQ142" i="4"/>
  <c r="JG142" i="4"/>
  <c r="JW142" i="4"/>
  <c r="L142" i="4"/>
  <c r="AB142" i="4"/>
  <c r="AR142" i="4"/>
  <c r="BH142" i="4"/>
  <c r="BX142" i="4"/>
  <c r="CN142" i="4"/>
  <c r="DD142" i="4"/>
  <c r="DT142" i="4"/>
  <c r="EJ142" i="4"/>
  <c r="EZ142" i="4"/>
  <c r="FP142" i="4"/>
  <c r="GF142" i="4"/>
  <c r="GV142" i="4"/>
  <c r="HL142" i="4"/>
  <c r="IB142" i="4"/>
  <c r="IR142" i="4"/>
  <c r="JH142" i="4"/>
  <c r="JX142" i="4"/>
  <c r="M142" i="4"/>
  <c r="AC142" i="4"/>
  <c r="AS142" i="4"/>
  <c r="BI142" i="4"/>
  <c r="BY142" i="4"/>
  <c r="CO142" i="4"/>
  <c r="DE142" i="4"/>
  <c r="DU142" i="4"/>
  <c r="EK142" i="4"/>
  <c r="FA142" i="4"/>
  <c r="FQ142" i="4"/>
  <c r="GG142" i="4"/>
  <c r="GW142" i="4"/>
  <c r="HM142" i="4"/>
  <c r="IC142" i="4"/>
  <c r="IS142" i="4"/>
  <c r="JI142" i="4"/>
  <c r="JY142" i="4"/>
  <c r="Q142" i="4"/>
  <c r="AG142" i="4"/>
  <c r="AW142" i="4"/>
  <c r="BM142" i="4"/>
  <c r="CC142" i="4"/>
  <c r="CS142" i="4"/>
  <c r="DI142" i="4"/>
  <c r="DY142" i="4"/>
  <c r="EO142" i="4"/>
  <c r="FE142" i="4"/>
  <c r="FU142" i="4"/>
  <c r="GK142" i="4"/>
  <c r="HA142" i="4"/>
  <c r="HQ142" i="4"/>
  <c r="IG142" i="4"/>
  <c r="IW142" i="4"/>
  <c r="JM142" i="4"/>
  <c r="KC142" i="4"/>
  <c r="P142" i="4"/>
  <c r="AK142" i="4"/>
  <c r="BE142" i="4"/>
  <c r="CB142" i="4"/>
  <c r="CW142" i="4"/>
  <c r="DQ142" i="4"/>
  <c r="EN142" i="4"/>
  <c r="FI142" i="4"/>
  <c r="GC142" i="4"/>
  <c r="GZ142" i="4"/>
  <c r="HU142" i="4"/>
  <c r="IO142" i="4"/>
  <c r="JL142" i="4"/>
  <c r="KG142" i="4"/>
  <c r="R142" i="4"/>
  <c r="AL142" i="4"/>
  <c r="BF142" i="4"/>
  <c r="CD142" i="4"/>
  <c r="CX142" i="4"/>
  <c r="DR142" i="4"/>
  <c r="EP142" i="4"/>
  <c r="FJ142" i="4"/>
  <c r="GD142" i="4"/>
  <c r="HB142" i="4"/>
  <c r="HV142" i="4"/>
  <c r="IP142" i="4"/>
  <c r="JN142" i="4"/>
  <c r="KH142" i="4"/>
  <c r="S142" i="4"/>
  <c r="AM142" i="4"/>
  <c r="BJ142" i="4"/>
  <c r="CE142" i="4"/>
  <c r="CY142" i="4"/>
  <c r="DV142" i="4"/>
  <c r="EQ142" i="4"/>
  <c r="FK142" i="4"/>
  <c r="GH142" i="4"/>
  <c r="HC142" i="4"/>
  <c r="HW142" i="4"/>
  <c r="IT142" i="4"/>
  <c r="JO142" i="4"/>
  <c r="KI142" i="4"/>
  <c r="T142" i="4"/>
  <c r="AN142" i="4"/>
  <c r="BK142" i="4"/>
  <c r="CF142" i="4"/>
  <c r="CZ142" i="4"/>
  <c r="DW142" i="4"/>
  <c r="ER142" i="4"/>
  <c r="FL142" i="4"/>
  <c r="GI142" i="4"/>
  <c r="HD142" i="4"/>
  <c r="HX142" i="4"/>
  <c r="IU142" i="4"/>
  <c r="JP142" i="4"/>
  <c r="U142" i="4"/>
  <c r="AO142" i="4"/>
  <c r="BL142" i="4"/>
  <c r="CG142" i="4"/>
  <c r="DA142" i="4"/>
  <c r="DX142" i="4"/>
  <c r="ES142" i="4"/>
  <c r="FM142" i="4"/>
  <c r="GJ142" i="4"/>
  <c r="HE142" i="4"/>
  <c r="HY142" i="4"/>
  <c r="IV142" i="4"/>
  <c r="JQ142" i="4"/>
  <c r="W142" i="4"/>
  <c r="AT142" i="4"/>
  <c r="BO142" i="4"/>
  <c r="CI142" i="4"/>
  <c r="DF142" i="4"/>
  <c r="EA142" i="4"/>
  <c r="EU142" i="4"/>
  <c r="FR142" i="4"/>
  <c r="GM142" i="4"/>
  <c r="HG142" i="4"/>
  <c r="ID142" i="4"/>
  <c r="IY142" i="4"/>
  <c r="JS142" i="4"/>
  <c r="Y142" i="4"/>
  <c r="BC142" i="4"/>
  <c r="CP142" i="4"/>
  <c r="DZ142" i="4"/>
  <c r="FD142" i="4"/>
  <c r="GO142" i="4"/>
  <c r="HS142" i="4"/>
  <c r="JC142" i="4"/>
  <c r="Z142" i="4"/>
  <c r="BD142" i="4"/>
  <c r="CQ142" i="4"/>
  <c r="EB142" i="4"/>
  <c r="FF142" i="4"/>
  <c r="GP142" i="4"/>
  <c r="HT142" i="4"/>
  <c r="JD142" i="4"/>
  <c r="AD142" i="4"/>
  <c r="BN142" i="4"/>
  <c r="CR142" i="4"/>
  <c r="EC142" i="4"/>
  <c r="FG142" i="4"/>
  <c r="GQ142" i="4"/>
  <c r="HZ142" i="4"/>
  <c r="JE142" i="4"/>
  <c r="AE142" i="4"/>
  <c r="BP142" i="4"/>
  <c r="CT142" i="4"/>
  <c r="ED142" i="4"/>
  <c r="FH142" i="4"/>
  <c r="GR142" i="4"/>
  <c r="IE142" i="4"/>
  <c r="JF142" i="4"/>
  <c r="AF142" i="4"/>
  <c r="BQ142" i="4"/>
  <c r="CU142" i="4"/>
  <c r="EE142" i="4"/>
  <c r="FN142" i="4"/>
  <c r="GS142" i="4"/>
  <c r="IF142" i="4"/>
  <c r="JJ142" i="4"/>
  <c r="AI142" i="4"/>
  <c r="BS142" i="4"/>
  <c r="DB142" i="4"/>
  <c r="EG142" i="4"/>
  <c r="FT142" i="4"/>
  <c r="GX142" i="4"/>
  <c r="II142" i="4"/>
  <c r="JR142" i="4"/>
  <c r="I142" i="4"/>
  <c r="BR142" i="4"/>
  <c r="DM142" i="4"/>
  <c r="FW142" i="4"/>
  <c r="HP142" i="4"/>
  <c r="JZ142" i="4"/>
  <c r="J142" i="4"/>
  <c r="BT142" i="4"/>
  <c r="DN142" i="4"/>
  <c r="FX142" i="4"/>
  <c r="HR142" i="4"/>
  <c r="KA142" i="4"/>
  <c r="N142" i="4"/>
  <c r="BU142" i="4"/>
  <c r="DO142" i="4"/>
  <c r="FY142" i="4"/>
  <c r="IH142" i="4"/>
  <c r="KB142" i="4"/>
  <c r="O142" i="4"/>
  <c r="BV142" i="4"/>
  <c r="DP142" i="4"/>
  <c r="FZ142" i="4"/>
  <c r="IJ142" i="4"/>
  <c r="KD142" i="4"/>
  <c r="V142" i="4"/>
  <c r="BZ142" i="4"/>
  <c r="EF142" i="4"/>
  <c r="GA142" i="4"/>
  <c r="IK142" i="4"/>
  <c r="KE142" i="4"/>
  <c r="AH142" i="4"/>
  <c r="CH142" i="4"/>
  <c r="EL142" i="4"/>
  <c r="GL142" i="4"/>
  <c r="IM142" i="4"/>
  <c r="AV142" i="4"/>
  <c r="EH142" i="4"/>
  <c r="HI142" i="4"/>
  <c r="AX142" i="4"/>
  <c r="EM142" i="4"/>
  <c r="HJ142" i="4"/>
  <c r="AY142" i="4"/>
  <c r="ET142" i="4"/>
  <c r="HN142" i="4"/>
  <c r="AZ142" i="4"/>
  <c r="EV142" i="4"/>
  <c r="HO142" i="4"/>
  <c r="BA142" i="4"/>
  <c r="EW142" i="4"/>
  <c r="IL142" i="4"/>
  <c r="CA142" i="4"/>
  <c r="FB142" i="4"/>
  <c r="IX142" i="4"/>
  <c r="EX142" i="4"/>
  <c r="JU142" i="4"/>
  <c r="FC142" i="4"/>
  <c r="JV142" i="4"/>
  <c r="X142" i="4"/>
  <c r="FS142" i="4"/>
  <c r="KF142" i="4"/>
  <c r="AJ142" i="4"/>
  <c r="FV142" i="4"/>
  <c r="AP142" i="4"/>
  <c r="GB142" i="4"/>
  <c r="CL142" i="4"/>
  <c r="JK142" i="4"/>
  <c r="CV142" i="4"/>
  <c r="JT142" i="4"/>
  <c r="DG142" i="4"/>
  <c r="DH142" i="4"/>
  <c r="DJ142" i="4"/>
  <c r="HF142" i="4"/>
  <c r="AU142" i="4"/>
  <c r="BB142" i="4"/>
  <c r="CK142" i="4"/>
  <c r="GY142" i="4"/>
  <c r="CJ142" i="4"/>
  <c r="DK142" i="4"/>
  <c r="DL142" i="4"/>
  <c r="GN142" i="4"/>
  <c r="GT142" i="4"/>
  <c r="HH142" i="4"/>
  <c r="IN142" i="4"/>
  <c r="IZ142" i="4"/>
  <c r="JA142" i="4"/>
  <c r="JB142" i="4"/>
  <c r="L78" i="4"/>
  <c r="AB78" i="4"/>
  <c r="AR78" i="4"/>
  <c r="BH78" i="4"/>
  <c r="BX78" i="4"/>
  <c r="CN78" i="4"/>
  <c r="DD78" i="4"/>
  <c r="DT78" i="4"/>
  <c r="EJ78" i="4"/>
  <c r="EZ78" i="4"/>
  <c r="FP78" i="4"/>
  <c r="GF78" i="4"/>
  <c r="GV78" i="4"/>
  <c r="HL78" i="4"/>
  <c r="IB78" i="4"/>
  <c r="IR78" i="4"/>
  <c r="JH78" i="4"/>
  <c r="JX78" i="4"/>
  <c r="M78" i="4"/>
  <c r="AC78" i="4"/>
  <c r="AS78" i="4"/>
  <c r="BI78" i="4"/>
  <c r="BY78" i="4"/>
  <c r="CO78" i="4"/>
  <c r="DE78" i="4"/>
  <c r="DU78" i="4"/>
  <c r="EK78" i="4"/>
  <c r="FA78" i="4"/>
  <c r="FQ78" i="4"/>
  <c r="GG78" i="4"/>
  <c r="GW78" i="4"/>
  <c r="HM78" i="4"/>
  <c r="IC78" i="4"/>
  <c r="IS78" i="4"/>
  <c r="JI78" i="4"/>
  <c r="JY78" i="4"/>
  <c r="N78" i="4"/>
  <c r="AD78" i="4"/>
  <c r="AT78" i="4"/>
  <c r="BJ78" i="4"/>
  <c r="BZ78" i="4"/>
  <c r="CP78" i="4"/>
  <c r="DF78" i="4"/>
  <c r="DV78" i="4"/>
  <c r="EL78" i="4"/>
  <c r="FB78" i="4"/>
  <c r="FR78" i="4"/>
  <c r="GH78" i="4"/>
  <c r="GX78" i="4"/>
  <c r="HN78" i="4"/>
  <c r="ID78" i="4"/>
  <c r="IT78" i="4"/>
  <c r="JJ78" i="4"/>
  <c r="JZ78" i="4"/>
  <c r="O78" i="4"/>
  <c r="AE78" i="4"/>
  <c r="AU78" i="4"/>
  <c r="BK78" i="4"/>
  <c r="CA78" i="4"/>
  <c r="CQ78" i="4"/>
  <c r="DG78" i="4"/>
  <c r="DW78" i="4"/>
  <c r="EM78" i="4"/>
  <c r="FC78" i="4"/>
  <c r="FS78" i="4"/>
  <c r="GI78" i="4"/>
  <c r="GY78" i="4"/>
  <c r="HO78" i="4"/>
  <c r="IE78" i="4"/>
  <c r="IU78" i="4"/>
  <c r="JK78" i="4"/>
  <c r="KA78" i="4"/>
  <c r="P78" i="4"/>
  <c r="AF78" i="4"/>
  <c r="AV78" i="4"/>
  <c r="BL78" i="4"/>
  <c r="CB78" i="4"/>
  <c r="CR78" i="4"/>
  <c r="DH78" i="4"/>
  <c r="DX78" i="4"/>
  <c r="EN78" i="4"/>
  <c r="FD78" i="4"/>
  <c r="FT78" i="4"/>
  <c r="GJ78" i="4"/>
  <c r="GZ78" i="4"/>
  <c r="HP78" i="4"/>
  <c r="IF78" i="4"/>
  <c r="IV78" i="4"/>
  <c r="JL78" i="4"/>
  <c r="KB78" i="4"/>
  <c r="R78" i="4"/>
  <c r="AH78" i="4"/>
  <c r="AX78" i="4"/>
  <c r="BN78" i="4"/>
  <c r="CD78" i="4"/>
  <c r="CT78" i="4"/>
  <c r="DJ78" i="4"/>
  <c r="DZ78" i="4"/>
  <c r="EP78" i="4"/>
  <c r="FF78" i="4"/>
  <c r="FV78" i="4"/>
  <c r="GL78" i="4"/>
  <c r="HB78" i="4"/>
  <c r="HR78" i="4"/>
  <c r="IH78" i="4"/>
  <c r="IX78" i="4"/>
  <c r="JN78" i="4"/>
  <c r="KD78" i="4"/>
  <c r="J78" i="4"/>
  <c r="AL78" i="4"/>
  <c r="BM78" i="4"/>
  <c r="CJ78" i="4"/>
  <c r="DL78" i="4"/>
  <c r="EH78" i="4"/>
  <c r="FJ78" i="4"/>
  <c r="GK78" i="4"/>
  <c r="HH78" i="4"/>
  <c r="IJ78" i="4"/>
  <c r="JF78" i="4"/>
  <c r="KH78" i="4"/>
  <c r="K78" i="4"/>
  <c r="AM78" i="4"/>
  <c r="BO78" i="4"/>
  <c r="CK78" i="4"/>
  <c r="DM78" i="4"/>
  <c r="EI78" i="4"/>
  <c r="FK78" i="4"/>
  <c r="GM78" i="4"/>
  <c r="HI78" i="4"/>
  <c r="IK78" i="4"/>
  <c r="JG78" i="4"/>
  <c r="KI78" i="4"/>
  <c r="Q78" i="4"/>
  <c r="AN78" i="4"/>
  <c r="BP78" i="4"/>
  <c r="CL78" i="4"/>
  <c r="DN78" i="4"/>
  <c r="EO78" i="4"/>
  <c r="FL78" i="4"/>
  <c r="GN78" i="4"/>
  <c r="HJ78" i="4"/>
  <c r="IL78" i="4"/>
  <c r="JM78" i="4"/>
  <c r="S78" i="4"/>
  <c r="AO78" i="4"/>
  <c r="BQ78" i="4"/>
  <c r="CM78" i="4"/>
  <c r="DO78" i="4"/>
  <c r="EQ78" i="4"/>
  <c r="FM78" i="4"/>
  <c r="GO78" i="4"/>
  <c r="HK78" i="4"/>
  <c r="IM78" i="4"/>
  <c r="JO78" i="4"/>
  <c r="T78" i="4"/>
  <c r="AP78" i="4"/>
  <c r="BR78" i="4"/>
  <c r="CS78" i="4"/>
  <c r="DP78" i="4"/>
  <c r="ER78" i="4"/>
  <c r="FN78" i="4"/>
  <c r="GP78" i="4"/>
  <c r="HQ78" i="4"/>
  <c r="IN78" i="4"/>
  <c r="JP78" i="4"/>
  <c r="V78" i="4"/>
  <c r="AW78" i="4"/>
  <c r="BT78" i="4"/>
  <c r="CV78" i="4"/>
  <c r="DR78" i="4"/>
  <c r="ET78" i="4"/>
  <c r="FU78" i="4"/>
  <c r="GR78" i="4"/>
  <c r="HT78" i="4"/>
  <c r="IP78" i="4"/>
  <c r="JR78" i="4"/>
  <c r="BB78" i="4"/>
  <c r="CU78" i="4"/>
  <c r="ED78" i="4"/>
  <c r="FX78" i="4"/>
  <c r="HF78" i="4"/>
  <c r="IZ78" i="4"/>
  <c r="I78" i="4"/>
  <c r="BC78" i="4"/>
  <c r="CW78" i="4"/>
  <c r="EE78" i="4"/>
  <c r="FY78" i="4"/>
  <c r="HG78" i="4"/>
  <c r="JA78" i="4"/>
  <c r="U78" i="4"/>
  <c r="BD78" i="4"/>
  <c r="CX78" i="4"/>
  <c r="EF78" i="4"/>
  <c r="FZ78" i="4"/>
  <c r="HS78" i="4"/>
  <c r="JB78" i="4"/>
  <c r="W78" i="4"/>
  <c r="BE78" i="4"/>
  <c r="CY78" i="4"/>
  <c r="EG78" i="4"/>
  <c r="GA78" i="4"/>
  <c r="HU78" i="4"/>
  <c r="JC78" i="4"/>
  <c r="X78" i="4"/>
  <c r="BF78" i="4"/>
  <c r="CZ78" i="4"/>
  <c r="ES78" i="4"/>
  <c r="GB78" i="4"/>
  <c r="HV78" i="4"/>
  <c r="JD78" i="4"/>
  <c r="Z78" i="4"/>
  <c r="BS78" i="4"/>
  <c r="DB78" i="4"/>
  <c r="EV78" i="4"/>
  <c r="GD78" i="4"/>
  <c r="HX78" i="4"/>
  <c r="JQ78" i="4"/>
  <c r="AQ78" i="4"/>
  <c r="DI78" i="4"/>
  <c r="FO78" i="4"/>
  <c r="IG78" i="4"/>
  <c r="AY78" i="4"/>
  <c r="DK78" i="4"/>
  <c r="FW78" i="4"/>
  <c r="II78" i="4"/>
  <c r="AZ78" i="4"/>
  <c r="DQ78" i="4"/>
  <c r="GC78" i="4"/>
  <c r="IO78" i="4"/>
  <c r="BA78" i="4"/>
  <c r="DS78" i="4"/>
  <c r="GE78" i="4"/>
  <c r="IQ78" i="4"/>
  <c r="BG78" i="4"/>
  <c r="DY78" i="4"/>
  <c r="GQ78" i="4"/>
  <c r="IW78" i="4"/>
  <c r="BV78" i="4"/>
  <c r="EB78" i="4"/>
  <c r="GT78" i="4"/>
  <c r="JE78" i="4"/>
  <c r="AG78" i="4"/>
  <c r="EU78" i="4"/>
  <c r="HZ78" i="4"/>
  <c r="AI78" i="4"/>
  <c r="EW78" i="4"/>
  <c r="IA78" i="4"/>
  <c r="AJ78" i="4"/>
  <c r="EX78" i="4"/>
  <c r="IY78" i="4"/>
  <c r="AK78" i="4"/>
  <c r="EY78" i="4"/>
  <c r="JS78" i="4"/>
  <c r="BU78" i="4"/>
  <c r="FE78" i="4"/>
  <c r="JT78" i="4"/>
  <c r="CC78" i="4"/>
  <c r="FH78" i="4"/>
  <c r="JV78" i="4"/>
  <c r="CF78" i="4"/>
  <c r="HW78" i="4"/>
  <c r="CG78" i="4"/>
  <c r="HY78" i="4"/>
  <c r="CH78" i="4"/>
  <c r="JU78" i="4"/>
  <c r="CI78" i="4"/>
  <c r="JW78" i="4"/>
  <c r="DA78" i="4"/>
  <c r="KC78" i="4"/>
  <c r="EA78" i="4"/>
  <c r="KF78" i="4"/>
  <c r="HA78" i="4"/>
  <c r="HC78" i="4"/>
  <c r="HD78" i="4"/>
  <c r="HE78" i="4"/>
  <c r="KE78" i="4"/>
  <c r="Y78" i="4"/>
  <c r="BW78" i="4"/>
  <c r="CE78" i="4"/>
  <c r="DC78" i="4"/>
  <c r="EC78" i="4"/>
  <c r="FG78" i="4"/>
  <c r="GU78" i="4"/>
  <c r="AA78" i="4"/>
  <c r="FI78" i="4"/>
  <c r="GS78" i="4"/>
  <c r="KG78" i="4"/>
  <c r="O62" i="4"/>
  <c r="AE62" i="4"/>
  <c r="AU62" i="4"/>
  <c r="BK62" i="4"/>
  <c r="CA62" i="4"/>
  <c r="CQ62" i="4"/>
  <c r="DG62" i="4"/>
  <c r="DW62" i="4"/>
  <c r="EM62" i="4"/>
  <c r="FC62" i="4"/>
  <c r="FS62" i="4"/>
  <c r="GI62" i="4"/>
  <c r="GY62" i="4"/>
  <c r="HO62" i="4"/>
  <c r="IE62" i="4"/>
  <c r="IU62" i="4"/>
  <c r="JK62" i="4"/>
  <c r="KA62" i="4"/>
  <c r="P62" i="4"/>
  <c r="AF62" i="4"/>
  <c r="AV62" i="4"/>
  <c r="BL62" i="4"/>
  <c r="CB62" i="4"/>
  <c r="CR62" i="4"/>
  <c r="DH62" i="4"/>
  <c r="DX62" i="4"/>
  <c r="EN62" i="4"/>
  <c r="FD62" i="4"/>
  <c r="FT62" i="4"/>
  <c r="GJ62" i="4"/>
  <c r="GZ62" i="4"/>
  <c r="HP62" i="4"/>
  <c r="IF62" i="4"/>
  <c r="IV62" i="4"/>
  <c r="JL62" i="4"/>
  <c r="KB62" i="4"/>
  <c r="Q62" i="4"/>
  <c r="AG62" i="4"/>
  <c r="AW62" i="4"/>
  <c r="BM62" i="4"/>
  <c r="CC62" i="4"/>
  <c r="CS62" i="4"/>
  <c r="DI62" i="4"/>
  <c r="DY62" i="4"/>
  <c r="EO62" i="4"/>
  <c r="FE62" i="4"/>
  <c r="FU62" i="4"/>
  <c r="GK62" i="4"/>
  <c r="HA62" i="4"/>
  <c r="HQ62" i="4"/>
  <c r="IG62" i="4"/>
  <c r="IW62" i="4"/>
  <c r="JM62" i="4"/>
  <c r="KC62" i="4"/>
  <c r="U62" i="4"/>
  <c r="AK62" i="4"/>
  <c r="BA62" i="4"/>
  <c r="BQ62" i="4"/>
  <c r="CG62" i="4"/>
  <c r="CW62" i="4"/>
  <c r="DM62" i="4"/>
  <c r="EC62" i="4"/>
  <c r="ES62" i="4"/>
  <c r="FI62" i="4"/>
  <c r="FY62" i="4"/>
  <c r="GO62" i="4"/>
  <c r="HE62" i="4"/>
  <c r="HU62" i="4"/>
  <c r="IK62" i="4"/>
  <c r="JA62" i="4"/>
  <c r="JQ62" i="4"/>
  <c r="KG62" i="4"/>
  <c r="L62" i="4"/>
  <c r="AI62" i="4"/>
  <c r="BD62" i="4"/>
  <c r="BX62" i="4"/>
  <c r="CU62" i="4"/>
  <c r="DP62" i="4"/>
  <c r="EJ62" i="4"/>
  <c r="FG62" i="4"/>
  <c r="GB62" i="4"/>
  <c r="GV62" i="4"/>
  <c r="HS62" i="4"/>
  <c r="IN62" i="4"/>
  <c r="JH62" i="4"/>
  <c r="KE62" i="4"/>
  <c r="M62" i="4"/>
  <c r="AJ62" i="4"/>
  <c r="BE62" i="4"/>
  <c r="BY62" i="4"/>
  <c r="CV62" i="4"/>
  <c r="DQ62" i="4"/>
  <c r="EK62" i="4"/>
  <c r="FH62" i="4"/>
  <c r="GC62" i="4"/>
  <c r="GW62" i="4"/>
  <c r="HT62" i="4"/>
  <c r="IO62" i="4"/>
  <c r="JI62" i="4"/>
  <c r="KF62" i="4"/>
  <c r="N62" i="4"/>
  <c r="AL62" i="4"/>
  <c r="BF62" i="4"/>
  <c r="BZ62" i="4"/>
  <c r="CX62" i="4"/>
  <c r="DR62" i="4"/>
  <c r="EL62" i="4"/>
  <c r="FJ62" i="4"/>
  <c r="GD62" i="4"/>
  <c r="GX62" i="4"/>
  <c r="HV62" i="4"/>
  <c r="IP62" i="4"/>
  <c r="JJ62" i="4"/>
  <c r="KH62" i="4"/>
  <c r="R62" i="4"/>
  <c r="AM62" i="4"/>
  <c r="BG62" i="4"/>
  <c r="CD62" i="4"/>
  <c r="CY62" i="4"/>
  <c r="DS62" i="4"/>
  <c r="EP62" i="4"/>
  <c r="FK62" i="4"/>
  <c r="GE62" i="4"/>
  <c r="HB62" i="4"/>
  <c r="HW62" i="4"/>
  <c r="IQ62" i="4"/>
  <c r="JN62" i="4"/>
  <c r="KI62" i="4"/>
  <c r="S62" i="4"/>
  <c r="AN62" i="4"/>
  <c r="BH62" i="4"/>
  <c r="CE62" i="4"/>
  <c r="CZ62" i="4"/>
  <c r="DT62" i="4"/>
  <c r="EQ62" i="4"/>
  <c r="FL62" i="4"/>
  <c r="GF62" i="4"/>
  <c r="HC62" i="4"/>
  <c r="HX62" i="4"/>
  <c r="IR62" i="4"/>
  <c r="JO62" i="4"/>
  <c r="V62" i="4"/>
  <c r="AP62" i="4"/>
  <c r="BJ62" i="4"/>
  <c r="CH62" i="4"/>
  <c r="DB62" i="4"/>
  <c r="DV62" i="4"/>
  <c r="ET62" i="4"/>
  <c r="FN62" i="4"/>
  <c r="GH62" i="4"/>
  <c r="HF62" i="4"/>
  <c r="HZ62" i="4"/>
  <c r="IT62" i="4"/>
  <c r="JR62" i="4"/>
  <c r="Z62" i="4"/>
  <c r="BI62" i="4"/>
  <c r="CN62" i="4"/>
  <c r="EA62" i="4"/>
  <c r="FB62" i="4"/>
  <c r="GP62" i="4"/>
  <c r="HY62" i="4"/>
  <c r="JD62" i="4"/>
  <c r="AA62" i="4"/>
  <c r="BN62" i="4"/>
  <c r="CO62" i="4"/>
  <c r="EB62" i="4"/>
  <c r="FF62" i="4"/>
  <c r="GQ62" i="4"/>
  <c r="IA62" i="4"/>
  <c r="JE62" i="4"/>
  <c r="AB62" i="4"/>
  <c r="BO62" i="4"/>
  <c r="CP62" i="4"/>
  <c r="ED62" i="4"/>
  <c r="FM62" i="4"/>
  <c r="GR62" i="4"/>
  <c r="IB62" i="4"/>
  <c r="JF62" i="4"/>
  <c r="AC62" i="4"/>
  <c r="BP62" i="4"/>
  <c r="CT62" i="4"/>
  <c r="EE62" i="4"/>
  <c r="FO62" i="4"/>
  <c r="GS62" i="4"/>
  <c r="IC62" i="4"/>
  <c r="JG62" i="4"/>
  <c r="AD62" i="4"/>
  <c r="BR62" i="4"/>
  <c r="DA62" i="4"/>
  <c r="EF62" i="4"/>
  <c r="FP62" i="4"/>
  <c r="GT62" i="4"/>
  <c r="ID62" i="4"/>
  <c r="JP62" i="4"/>
  <c r="AO62" i="4"/>
  <c r="BT62" i="4"/>
  <c r="DD62" i="4"/>
  <c r="EH62" i="4"/>
  <c r="FR62" i="4"/>
  <c r="HD62" i="4"/>
  <c r="II62" i="4"/>
  <c r="JT62" i="4"/>
  <c r="AR62" i="4"/>
  <c r="CL62" i="4"/>
  <c r="EV62" i="4"/>
  <c r="GU62" i="4"/>
  <c r="IY62" i="4"/>
  <c r="AS62" i="4"/>
  <c r="CM62" i="4"/>
  <c r="EW62" i="4"/>
  <c r="HG62" i="4"/>
  <c r="IZ62" i="4"/>
  <c r="AT62" i="4"/>
  <c r="DC62" i="4"/>
  <c r="EX62" i="4"/>
  <c r="HH62" i="4"/>
  <c r="JB62" i="4"/>
  <c r="AX62" i="4"/>
  <c r="DE62" i="4"/>
  <c r="EY62" i="4"/>
  <c r="HI62" i="4"/>
  <c r="JC62" i="4"/>
  <c r="AY62" i="4"/>
  <c r="DF62" i="4"/>
  <c r="EZ62" i="4"/>
  <c r="HJ62" i="4"/>
  <c r="JS62" i="4"/>
  <c r="BB62" i="4"/>
  <c r="DK62" i="4"/>
  <c r="FQ62" i="4"/>
  <c r="HL62" i="4"/>
  <c r="JV62" i="4"/>
  <c r="CF62" i="4"/>
  <c r="FW62" i="4"/>
  <c r="IS62" i="4"/>
  <c r="I62" i="4"/>
  <c r="CI62" i="4"/>
  <c r="FX62" i="4"/>
  <c r="IX62" i="4"/>
  <c r="J62" i="4"/>
  <c r="CJ62" i="4"/>
  <c r="FZ62" i="4"/>
  <c r="JU62" i="4"/>
  <c r="K62" i="4"/>
  <c r="CK62" i="4"/>
  <c r="GA62" i="4"/>
  <c r="JW62" i="4"/>
  <c r="T62" i="4"/>
  <c r="DJ62" i="4"/>
  <c r="GG62" i="4"/>
  <c r="JX62" i="4"/>
  <c r="X62" i="4"/>
  <c r="DN62" i="4"/>
  <c r="GM62" i="4"/>
  <c r="JZ62" i="4"/>
  <c r="EG62" i="4"/>
  <c r="JY62" i="4"/>
  <c r="EI62" i="4"/>
  <c r="KD62" i="4"/>
  <c r="W62" i="4"/>
  <c r="ER62" i="4"/>
  <c r="Y62" i="4"/>
  <c r="EU62" i="4"/>
  <c r="AH62" i="4"/>
  <c r="FA62" i="4"/>
  <c r="AZ62" i="4"/>
  <c r="GL62" i="4"/>
  <c r="HN62" i="4"/>
  <c r="HR62" i="4"/>
  <c r="AQ62" i="4"/>
  <c r="IH62" i="4"/>
  <c r="BC62" i="4"/>
  <c r="IJ62" i="4"/>
  <c r="BS62" i="4"/>
  <c r="IL62" i="4"/>
  <c r="BV62" i="4"/>
  <c r="FV62" i="4"/>
  <c r="GN62" i="4"/>
  <c r="HK62" i="4"/>
  <c r="HM62" i="4"/>
  <c r="IM62" i="4"/>
  <c r="DU62" i="4"/>
  <c r="DZ62" i="4"/>
  <c r="DL62" i="4"/>
  <c r="DO62" i="4"/>
  <c r="BU62" i="4"/>
  <c r="BW62" i="4"/>
  <c r="J14" i="4"/>
  <c r="Z14" i="4"/>
  <c r="AP14" i="4"/>
  <c r="BF14" i="4"/>
  <c r="BV14" i="4"/>
  <c r="CL14" i="4"/>
  <c r="DB14" i="4"/>
  <c r="DR14" i="4"/>
  <c r="EH14" i="4"/>
  <c r="EX14" i="4"/>
  <c r="FN14" i="4"/>
  <c r="GD14" i="4"/>
  <c r="GT14" i="4"/>
  <c r="HJ14" i="4"/>
  <c r="HZ14" i="4"/>
  <c r="IP14" i="4"/>
  <c r="JF14" i="4"/>
  <c r="JV14" i="4"/>
  <c r="K14" i="4"/>
  <c r="AA14" i="4"/>
  <c r="AQ14" i="4"/>
  <c r="BG14" i="4"/>
  <c r="BW14" i="4"/>
  <c r="CM14" i="4"/>
  <c r="DC14" i="4"/>
  <c r="DS14" i="4"/>
  <c r="EI14" i="4"/>
  <c r="EY14" i="4"/>
  <c r="FO14" i="4"/>
  <c r="GE14" i="4"/>
  <c r="GU14" i="4"/>
  <c r="HK14" i="4"/>
  <c r="IA14" i="4"/>
  <c r="IQ14" i="4"/>
  <c r="JG14" i="4"/>
  <c r="JW14" i="4"/>
  <c r="L14" i="4"/>
  <c r="AB14" i="4"/>
  <c r="AR14" i="4"/>
  <c r="BH14" i="4"/>
  <c r="BX14" i="4"/>
  <c r="CN14" i="4"/>
  <c r="DD14" i="4"/>
  <c r="DT14" i="4"/>
  <c r="EJ14" i="4"/>
  <c r="EZ14" i="4"/>
  <c r="FP14" i="4"/>
  <c r="N14" i="4"/>
  <c r="AD14" i="4"/>
  <c r="AT14" i="4"/>
  <c r="BJ14" i="4"/>
  <c r="BZ14" i="4"/>
  <c r="CP14" i="4"/>
  <c r="DF14" i="4"/>
  <c r="DV14" i="4"/>
  <c r="EL14" i="4"/>
  <c r="FB14" i="4"/>
  <c r="FR14" i="4"/>
  <c r="GH14" i="4"/>
  <c r="GX14" i="4"/>
  <c r="HN14" i="4"/>
  <c r="ID14" i="4"/>
  <c r="IT14" i="4"/>
  <c r="JJ14" i="4"/>
  <c r="JZ14" i="4"/>
  <c r="T14" i="4"/>
  <c r="AN14" i="4"/>
  <c r="BL14" i="4"/>
  <c r="CF14" i="4"/>
  <c r="CZ14" i="4"/>
  <c r="DX14" i="4"/>
  <c r="ER14" i="4"/>
  <c r="FL14" i="4"/>
  <c r="GI14" i="4"/>
  <c r="HB14" i="4"/>
  <c r="HU14" i="4"/>
  <c r="IN14" i="4"/>
  <c r="JI14" i="4"/>
  <c r="KC14" i="4"/>
  <c r="U14" i="4"/>
  <c r="AO14" i="4"/>
  <c r="BM14" i="4"/>
  <c r="CG14" i="4"/>
  <c r="DA14" i="4"/>
  <c r="DY14" i="4"/>
  <c r="ES14" i="4"/>
  <c r="FM14" i="4"/>
  <c r="GJ14" i="4"/>
  <c r="HC14" i="4"/>
  <c r="HV14" i="4"/>
  <c r="IO14" i="4"/>
  <c r="JK14" i="4"/>
  <c r="KD14" i="4"/>
  <c r="V14" i="4"/>
  <c r="AS14" i="4"/>
  <c r="BN14" i="4"/>
  <c r="CH14" i="4"/>
  <c r="DE14" i="4"/>
  <c r="DZ14" i="4"/>
  <c r="ET14" i="4"/>
  <c r="FQ14" i="4"/>
  <c r="GK14" i="4"/>
  <c r="HD14" i="4"/>
  <c r="HW14" i="4"/>
  <c r="IR14" i="4"/>
  <c r="JL14" i="4"/>
  <c r="KE14" i="4"/>
  <c r="W14" i="4"/>
  <c r="AU14" i="4"/>
  <c r="BO14" i="4"/>
  <c r="CI14" i="4"/>
  <c r="DG14" i="4"/>
  <c r="EA14" i="4"/>
  <c r="EU14" i="4"/>
  <c r="FS14" i="4"/>
  <c r="GL14" i="4"/>
  <c r="HE14" i="4"/>
  <c r="HX14" i="4"/>
  <c r="IS14" i="4"/>
  <c r="JM14" i="4"/>
  <c r="KF14" i="4"/>
  <c r="X14" i="4"/>
  <c r="AV14" i="4"/>
  <c r="BP14" i="4"/>
  <c r="CJ14" i="4"/>
  <c r="DH14" i="4"/>
  <c r="EB14" i="4"/>
  <c r="EV14" i="4"/>
  <c r="FT14" i="4"/>
  <c r="GM14" i="4"/>
  <c r="HF14" i="4"/>
  <c r="HY14" i="4"/>
  <c r="AC14" i="4"/>
  <c r="AX14" i="4"/>
  <c r="BR14" i="4"/>
  <c r="CO14" i="4"/>
  <c r="DJ14" i="4"/>
  <c r="ED14" i="4"/>
  <c r="FA14" i="4"/>
  <c r="FV14" i="4"/>
  <c r="GO14" i="4"/>
  <c r="HH14" i="4"/>
  <c r="IC14" i="4"/>
  <c r="IW14" i="4"/>
  <c r="JP14" i="4"/>
  <c r="KI14" i="4"/>
  <c r="AH14" i="4"/>
  <c r="BQ14" i="4"/>
  <c r="CV14" i="4"/>
  <c r="EF14" i="4"/>
  <c r="FJ14" i="4"/>
  <c r="GS14" i="4"/>
  <c r="IB14" i="4"/>
  <c r="JB14" i="4"/>
  <c r="KG14" i="4"/>
  <c r="AI14" i="4"/>
  <c r="BS14" i="4"/>
  <c r="CW14" i="4"/>
  <c r="EG14" i="4"/>
  <c r="FK14" i="4"/>
  <c r="GV14" i="4"/>
  <c r="IE14" i="4"/>
  <c r="JC14" i="4"/>
  <c r="KH14" i="4"/>
  <c r="AJ14" i="4"/>
  <c r="BT14" i="4"/>
  <c r="CX14" i="4"/>
  <c r="EK14" i="4"/>
  <c r="FU14" i="4"/>
  <c r="GW14" i="4"/>
  <c r="IF14" i="4"/>
  <c r="JD14" i="4"/>
  <c r="AK14" i="4"/>
  <c r="BU14" i="4"/>
  <c r="CY14" i="4"/>
  <c r="EM14" i="4"/>
  <c r="FW14" i="4"/>
  <c r="GY14" i="4"/>
  <c r="IG14" i="4"/>
  <c r="JE14" i="4"/>
  <c r="AL14" i="4"/>
  <c r="BY14" i="4"/>
  <c r="DI14" i="4"/>
  <c r="EN14" i="4"/>
  <c r="FX14" i="4"/>
  <c r="GZ14" i="4"/>
  <c r="IH14" i="4"/>
  <c r="JH14" i="4"/>
  <c r="M14" i="4"/>
  <c r="AW14" i="4"/>
  <c r="CB14" i="4"/>
  <c r="DL14" i="4"/>
  <c r="EP14" i="4"/>
  <c r="FZ14" i="4"/>
  <c r="HG14" i="4"/>
  <c r="IJ14" i="4"/>
  <c r="JO14" i="4"/>
  <c r="AM14" i="4"/>
  <c r="CR14" i="4"/>
  <c r="EW14" i="4"/>
  <c r="GQ14" i="4"/>
  <c r="IU14" i="4"/>
  <c r="AY14" i="4"/>
  <c r="CS14" i="4"/>
  <c r="FC14" i="4"/>
  <c r="GR14" i="4"/>
  <c r="IV14" i="4"/>
  <c r="AZ14" i="4"/>
  <c r="CT14" i="4"/>
  <c r="FD14" i="4"/>
  <c r="HA14" i="4"/>
  <c r="IX14" i="4"/>
  <c r="BA14" i="4"/>
  <c r="CU14" i="4"/>
  <c r="FE14" i="4"/>
  <c r="HI14" i="4"/>
  <c r="IY14" i="4"/>
  <c r="BB14" i="4"/>
  <c r="DK14" i="4"/>
  <c r="FF14" i="4"/>
  <c r="HL14" i="4"/>
  <c r="IZ14" i="4"/>
  <c r="I14" i="4"/>
  <c r="BD14" i="4"/>
  <c r="DN14" i="4"/>
  <c r="FH14" i="4"/>
  <c r="HO14" i="4"/>
  <c r="JN14" i="4"/>
  <c r="BI14" i="4"/>
  <c r="EO14" i="4"/>
  <c r="HS14" i="4"/>
  <c r="BK14" i="4"/>
  <c r="EQ14" i="4"/>
  <c r="HT14" i="4"/>
  <c r="CA14" i="4"/>
  <c r="FG14" i="4"/>
  <c r="II14" i="4"/>
  <c r="CC14" i="4"/>
  <c r="FI14" i="4"/>
  <c r="IK14" i="4"/>
  <c r="CD14" i="4"/>
  <c r="FY14" i="4"/>
  <c r="IL14" i="4"/>
  <c r="P14" i="4"/>
  <c r="CK14" i="4"/>
  <c r="GB14" i="4"/>
  <c r="JA14" i="4"/>
  <c r="CE14" i="4"/>
  <c r="HM14" i="4"/>
  <c r="CQ14" i="4"/>
  <c r="HP14" i="4"/>
  <c r="DM14" i="4"/>
  <c r="HQ14" i="4"/>
  <c r="DO14" i="4"/>
  <c r="HR14" i="4"/>
  <c r="DP14" i="4"/>
  <c r="IM14" i="4"/>
  <c r="O14" i="4"/>
  <c r="DU14" i="4"/>
  <c r="JR14" i="4"/>
  <c r="BC14" i="4"/>
  <c r="JX14" i="4"/>
  <c r="BE14" i="4"/>
  <c r="JY14" i="4"/>
  <c r="DQ14" i="4"/>
  <c r="KA14" i="4"/>
  <c r="DW14" i="4"/>
  <c r="KB14" i="4"/>
  <c r="EC14" i="4"/>
  <c r="GA14" i="4"/>
  <c r="JT14" i="4"/>
  <c r="Q14" i="4"/>
  <c r="JU14" i="4"/>
  <c r="R14" i="4"/>
  <c r="S14" i="4"/>
  <c r="Y14" i="4"/>
  <c r="AF14" i="4"/>
  <c r="GN14" i="4"/>
  <c r="GP14" i="4"/>
  <c r="JQ14" i="4"/>
  <c r="JS14" i="4"/>
  <c r="EE14" i="4"/>
  <c r="GC14" i="4"/>
  <c r="GF14" i="4"/>
  <c r="GG14" i="4"/>
  <c r="AE14" i="4"/>
  <c r="AG14" i="4"/>
  <c r="O160" i="4"/>
  <c r="AE160" i="4"/>
  <c r="AU160" i="4"/>
  <c r="BK160" i="4"/>
  <c r="CA160" i="4"/>
  <c r="CQ160" i="4"/>
  <c r="DG160" i="4"/>
  <c r="DW160" i="4"/>
  <c r="EM160" i="4"/>
  <c r="FC160" i="4"/>
  <c r="FS160" i="4"/>
  <c r="GI160" i="4"/>
  <c r="GY160" i="4"/>
  <c r="HO160" i="4"/>
  <c r="IE160" i="4"/>
  <c r="IU160" i="4"/>
  <c r="JK160" i="4"/>
  <c r="KA160" i="4"/>
  <c r="S160" i="4"/>
  <c r="AI160" i="4"/>
  <c r="AY160" i="4"/>
  <c r="BO160" i="4"/>
  <c r="CE160" i="4"/>
  <c r="CU160" i="4"/>
  <c r="DK160" i="4"/>
  <c r="EA160" i="4"/>
  <c r="EQ160" i="4"/>
  <c r="FG160" i="4"/>
  <c r="FW160" i="4"/>
  <c r="GM160" i="4"/>
  <c r="HC160" i="4"/>
  <c r="HS160" i="4"/>
  <c r="II160" i="4"/>
  <c r="IY160" i="4"/>
  <c r="JO160" i="4"/>
  <c r="KE160" i="4"/>
  <c r="J160" i="4"/>
  <c r="AB160" i="4"/>
  <c r="AT160" i="4"/>
  <c r="BM160" i="4"/>
  <c r="CF160" i="4"/>
  <c r="CX160" i="4"/>
  <c r="DP160" i="4"/>
  <c r="EH160" i="4"/>
  <c r="EZ160" i="4"/>
  <c r="FR160" i="4"/>
  <c r="GK160" i="4"/>
  <c r="HD160" i="4"/>
  <c r="HV160" i="4"/>
  <c r="IN160" i="4"/>
  <c r="JF160" i="4"/>
  <c r="JX160" i="4"/>
  <c r="K160" i="4"/>
  <c r="AC160" i="4"/>
  <c r="AV160" i="4"/>
  <c r="BN160" i="4"/>
  <c r="CG160" i="4"/>
  <c r="CY160" i="4"/>
  <c r="DQ160" i="4"/>
  <c r="EI160" i="4"/>
  <c r="FA160" i="4"/>
  <c r="FT160" i="4"/>
  <c r="GL160" i="4"/>
  <c r="HE160" i="4"/>
  <c r="HW160" i="4"/>
  <c r="IO160" i="4"/>
  <c r="JG160" i="4"/>
  <c r="JY160" i="4"/>
  <c r="L160" i="4"/>
  <c r="AD160" i="4"/>
  <c r="AW160" i="4"/>
  <c r="BP160" i="4"/>
  <c r="CH160" i="4"/>
  <c r="CZ160" i="4"/>
  <c r="DR160" i="4"/>
  <c r="EJ160" i="4"/>
  <c r="FB160" i="4"/>
  <c r="FU160" i="4"/>
  <c r="GN160" i="4"/>
  <c r="HF160" i="4"/>
  <c r="HX160" i="4"/>
  <c r="IP160" i="4"/>
  <c r="JH160" i="4"/>
  <c r="JZ160" i="4"/>
  <c r="Q160" i="4"/>
  <c r="AJ160" i="4"/>
  <c r="BB160" i="4"/>
  <c r="BT160" i="4"/>
  <c r="CL160" i="4"/>
  <c r="DD160" i="4"/>
  <c r="DV160" i="4"/>
  <c r="EO160" i="4"/>
  <c r="FH160" i="4"/>
  <c r="FZ160" i="4"/>
  <c r="GR160" i="4"/>
  <c r="HJ160" i="4"/>
  <c r="IB160" i="4"/>
  <c r="IT160" i="4"/>
  <c r="JM160" i="4"/>
  <c r="KF160" i="4"/>
  <c r="AH160" i="4"/>
  <c r="BF160" i="4"/>
  <c r="CC160" i="4"/>
  <c r="DC160" i="4"/>
  <c r="EB160" i="4"/>
  <c r="EX160" i="4"/>
  <c r="FY160" i="4"/>
  <c r="GV160" i="4"/>
  <c r="HT160" i="4"/>
  <c r="IS160" i="4"/>
  <c r="JR160" i="4"/>
  <c r="I160" i="4"/>
  <c r="AK160" i="4"/>
  <c r="BG160" i="4"/>
  <c r="CD160" i="4"/>
  <c r="DE160" i="4"/>
  <c r="EC160" i="4"/>
  <c r="EY160" i="4"/>
  <c r="GA160" i="4"/>
  <c r="GW160" i="4"/>
  <c r="HU160" i="4"/>
  <c r="IV160" i="4"/>
  <c r="JS160" i="4"/>
  <c r="M160" i="4"/>
  <c r="AL160" i="4"/>
  <c r="BH160" i="4"/>
  <c r="CI160" i="4"/>
  <c r="DF160" i="4"/>
  <c r="ED160" i="4"/>
  <c r="FD160" i="4"/>
  <c r="GB160" i="4"/>
  <c r="GX160" i="4"/>
  <c r="HY160" i="4"/>
  <c r="IW160" i="4"/>
  <c r="JT160" i="4"/>
  <c r="N160" i="4"/>
  <c r="AM160" i="4"/>
  <c r="BI160" i="4"/>
  <c r="CJ160" i="4"/>
  <c r="DH160" i="4"/>
  <c r="EE160" i="4"/>
  <c r="FE160" i="4"/>
  <c r="GC160" i="4"/>
  <c r="GZ160" i="4"/>
  <c r="HZ160" i="4"/>
  <c r="IX160" i="4"/>
  <c r="JU160" i="4"/>
  <c r="P160" i="4"/>
  <c r="AN160" i="4"/>
  <c r="BJ160" i="4"/>
  <c r="CK160" i="4"/>
  <c r="DI160" i="4"/>
  <c r="EF160" i="4"/>
  <c r="FF160" i="4"/>
  <c r="GD160" i="4"/>
  <c r="HA160" i="4"/>
  <c r="IA160" i="4"/>
  <c r="IZ160" i="4"/>
  <c r="JV160" i="4"/>
  <c r="T160" i="4"/>
  <c r="AP160" i="4"/>
  <c r="BQ160" i="4"/>
  <c r="CN160" i="4"/>
  <c r="DL160" i="4"/>
  <c r="EK160" i="4"/>
  <c r="FJ160" i="4"/>
  <c r="GF160" i="4"/>
  <c r="HG160" i="4"/>
  <c r="ID160" i="4"/>
  <c r="JB160" i="4"/>
  <c r="KB160" i="4"/>
  <c r="X160" i="4"/>
  <c r="BL160" i="4"/>
  <c r="CV160" i="4"/>
  <c r="EN160" i="4"/>
  <c r="FV160" i="4"/>
  <c r="HL160" i="4"/>
  <c r="JA160" i="4"/>
  <c r="Y160" i="4"/>
  <c r="BR160" i="4"/>
  <c r="CW160" i="4"/>
  <c r="EP160" i="4"/>
  <c r="FX160" i="4"/>
  <c r="HM160" i="4"/>
  <c r="JC160" i="4"/>
  <c r="Z160" i="4"/>
  <c r="BS160" i="4"/>
  <c r="DA160" i="4"/>
  <c r="ER160" i="4"/>
  <c r="GE160" i="4"/>
  <c r="HN160" i="4"/>
  <c r="JD160" i="4"/>
  <c r="AA160" i="4"/>
  <c r="BU160" i="4"/>
  <c r="DB160" i="4"/>
  <c r="ES160" i="4"/>
  <c r="GG160" i="4"/>
  <c r="HP160" i="4"/>
  <c r="JE160" i="4"/>
  <c r="AF160" i="4"/>
  <c r="BV160" i="4"/>
  <c r="DJ160" i="4"/>
  <c r="ET160" i="4"/>
  <c r="GH160" i="4"/>
  <c r="HQ160" i="4"/>
  <c r="JI160" i="4"/>
  <c r="AO160" i="4"/>
  <c r="BX160" i="4"/>
  <c r="DN160" i="4"/>
  <c r="EV160" i="4"/>
  <c r="GO160" i="4"/>
  <c r="IC160" i="4"/>
  <c r="JL160" i="4"/>
  <c r="BD160" i="4"/>
  <c r="DU160" i="4"/>
  <c r="GJ160" i="4"/>
  <c r="IL160" i="4"/>
  <c r="BE160" i="4"/>
  <c r="DX160" i="4"/>
  <c r="GP160" i="4"/>
  <c r="IM160" i="4"/>
  <c r="BW160" i="4"/>
  <c r="DY160" i="4"/>
  <c r="GQ160" i="4"/>
  <c r="IQ160" i="4"/>
  <c r="BY160" i="4"/>
  <c r="DZ160" i="4"/>
  <c r="GS160" i="4"/>
  <c r="IR160" i="4"/>
  <c r="R160" i="4"/>
  <c r="BZ160" i="4"/>
  <c r="EG160" i="4"/>
  <c r="GT160" i="4"/>
  <c r="JJ160" i="4"/>
  <c r="V160" i="4"/>
  <c r="CM160" i="4"/>
  <c r="EU160" i="4"/>
  <c r="HB160" i="4"/>
  <c r="JP160" i="4"/>
  <c r="AG160" i="4"/>
  <c r="DS160" i="4"/>
  <c r="HR160" i="4"/>
  <c r="AQ160" i="4"/>
  <c r="DT160" i="4"/>
  <c r="IF160" i="4"/>
  <c r="AR160" i="4"/>
  <c r="EL160" i="4"/>
  <c r="IG160" i="4"/>
  <c r="AS160" i="4"/>
  <c r="EW160" i="4"/>
  <c r="IH160" i="4"/>
  <c r="AX160" i="4"/>
  <c r="FI160" i="4"/>
  <c r="IJ160" i="4"/>
  <c r="FK160" i="4"/>
  <c r="KD160" i="4"/>
  <c r="FL160" i="4"/>
  <c r="KG160" i="4"/>
  <c r="FM160" i="4"/>
  <c r="KH160" i="4"/>
  <c r="U160" i="4"/>
  <c r="FN160" i="4"/>
  <c r="KI160" i="4"/>
  <c r="W160" i="4"/>
  <c r="FO160" i="4"/>
  <c r="CP160" i="4"/>
  <c r="HK160" i="4"/>
  <c r="DM160" i="4"/>
  <c r="DO160" i="4"/>
  <c r="FP160" i="4"/>
  <c r="FQ160" i="4"/>
  <c r="HH160" i="4"/>
  <c r="BC160" i="4"/>
  <c r="JW160" i="4"/>
  <c r="CO160" i="4"/>
  <c r="CR160" i="4"/>
  <c r="CS160" i="4"/>
  <c r="CT160" i="4"/>
  <c r="GU160" i="4"/>
  <c r="HI160" i="4"/>
  <c r="AZ160" i="4"/>
  <c r="JQ160" i="4"/>
  <c r="KC160" i="4"/>
  <c r="BA160" i="4"/>
  <c r="CB160" i="4"/>
  <c r="JN160" i="4"/>
  <c r="IK160" i="4"/>
  <c r="U68" i="4"/>
  <c r="AK68" i="4"/>
  <c r="BA68" i="4"/>
  <c r="BQ68" i="4"/>
  <c r="CG68" i="4"/>
  <c r="CW68" i="4"/>
  <c r="DM68" i="4"/>
  <c r="EC68" i="4"/>
  <c r="ES68" i="4"/>
  <c r="FI68" i="4"/>
  <c r="FY68" i="4"/>
  <c r="GO68" i="4"/>
  <c r="HE68" i="4"/>
  <c r="HU68" i="4"/>
  <c r="IK68" i="4"/>
  <c r="JA68" i="4"/>
  <c r="JQ68" i="4"/>
  <c r="KG68" i="4"/>
  <c r="V68" i="4"/>
  <c r="AL68" i="4"/>
  <c r="BB68" i="4"/>
  <c r="BR68" i="4"/>
  <c r="CH68" i="4"/>
  <c r="CX68" i="4"/>
  <c r="DN68" i="4"/>
  <c r="ED68" i="4"/>
  <c r="ET68" i="4"/>
  <c r="FJ68" i="4"/>
  <c r="FZ68" i="4"/>
  <c r="GP68" i="4"/>
  <c r="HF68" i="4"/>
  <c r="HV68" i="4"/>
  <c r="IL68" i="4"/>
  <c r="JB68" i="4"/>
  <c r="JR68" i="4"/>
  <c r="KH68" i="4"/>
  <c r="W68" i="4"/>
  <c r="AM68" i="4"/>
  <c r="BC68" i="4"/>
  <c r="BS68" i="4"/>
  <c r="CI68" i="4"/>
  <c r="CY68" i="4"/>
  <c r="DO68" i="4"/>
  <c r="EE68" i="4"/>
  <c r="EU68" i="4"/>
  <c r="FK68" i="4"/>
  <c r="GA68" i="4"/>
  <c r="GQ68" i="4"/>
  <c r="HG68" i="4"/>
  <c r="HW68" i="4"/>
  <c r="IM68" i="4"/>
  <c r="JC68" i="4"/>
  <c r="JS68" i="4"/>
  <c r="KI68" i="4"/>
  <c r="K68" i="4"/>
  <c r="AA68" i="4"/>
  <c r="AQ68" i="4"/>
  <c r="BG68" i="4"/>
  <c r="BW68" i="4"/>
  <c r="CM68" i="4"/>
  <c r="DC68" i="4"/>
  <c r="DS68" i="4"/>
  <c r="EI68" i="4"/>
  <c r="EY68" i="4"/>
  <c r="FO68" i="4"/>
  <c r="GE68" i="4"/>
  <c r="GU68" i="4"/>
  <c r="HK68" i="4"/>
  <c r="IA68" i="4"/>
  <c r="IQ68" i="4"/>
  <c r="JG68" i="4"/>
  <c r="JW68" i="4"/>
  <c r="R68" i="4"/>
  <c r="AO68" i="4"/>
  <c r="BJ68" i="4"/>
  <c r="CD68" i="4"/>
  <c r="DA68" i="4"/>
  <c r="DV68" i="4"/>
  <c r="EP68" i="4"/>
  <c r="FM68" i="4"/>
  <c r="GH68" i="4"/>
  <c r="HB68" i="4"/>
  <c r="HY68" i="4"/>
  <c r="IT68" i="4"/>
  <c r="JN68" i="4"/>
  <c r="S68" i="4"/>
  <c r="AP68" i="4"/>
  <c r="BK68" i="4"/>
  <c r="CE68" i="4"/>
  <c r="DB68" i="4"/>
  <c r="DW68" i="4"/>
  <c r="EQ68" i="4"/>
  <c r="FN68" i="4"/>
  <c r="GI68" i="4"/>
  <c r="HC68" i="4"/>
  <c r="HZ68" i="4"/>
  <c r="IU68" i="4"/>
  <c r="JO68" i="4"/>
  <c r="T68" i="4"/>
  <c r="AR68" i="4"/>
  <c r="BL68" i="4"/>
  <c r="CF68" i="4"/>
  <c r="DD68" i="4"/>
  <c r="DX68" i="4"/>
  <c r="ER68" i="4"/>
  <c r="FP68" i="4"/>
  <c r="GJ68" i="4"/>
  <c r="HD68" i="4"/>
  <c r="IB68" i="4"/>
  <c r="IV68" i="4"/>
  <c r="JP68" i="4"/>
  <c r="X68" i="4"/>
  <c r="AS68" i="4"/>
  <c r="BM68" i="4"/>
  <c r="CJ68" i="4"/>
  <c r="DE68" i="4"/>
  <c r="DY68" i="4"/>
  <c r="EV68" i="4"/>
  <c r="FQ68" i="4"/>
  <c r="GK68" i="4"/>
  <c r="HH68" i="4"/>
  <c r="IC68" i="4"/>
  <c r="IW68" i="4"/>
  <c r="JT68" i="4"/>
  <c r="Y68" i="4"/>
  <c r="AT68" i="4"/>
  <c r="BN68" i="4"/>
  <c r="CK68" i="4"/>
  <c r="DF68" i="4"/>
  <c r="DZ68" i="4"/>
  <c r="EW68" i="4"/>
  <c r="FR68" i="4"/>
  <c r="GL68" i="4"/>
  <c r="HI68" i="4"/>
  <c r="ID68" i="4"/>
  <c r="IX68" i="4"/>
  <c r="JU68" i="4"/>
  <c r="AB68" i="4"/>
  <c r="AV68" i="4"/>
  <c r="BP68" i="4"/>
  <c r="CN68" i="4"/>
  <c r="DH68" i="4"/>
  <c r="EB68" i="4"/>
  <c r="EZ68" i="4"/>
  <c r="FT68" i="4"/>
  <c r="GN68" i="4"/>
  <c r="HL68" i="4"/>
  <c r="IF68" i="4"/>
  <c r="IZ68" i="4"/>
  <c r="JX68" i="4"/>
  <c r="L68" i="4"/>
  <c r="AU68" i="4"/>
  <c r="BZ68" i="4"/>
  <c r="DJ68" i="4"/>
  <c r="EN68" i="4"/>
  <c r="FX68" i="4"/>
  <c r="HJ68" i="4"/>
  <c r="IO68" i="4"/>
  <c r="JZ68" i="4"/>
  <c r="M68" i="4"/>
  <c r="AW68" i="4"/>
  <c r="CA68" i="4"/>
  <c r="DK68" i="4"/>
  <c r="EO68" i="4"/>
  <c r="GB68" i="4"/>
  <c r="HM68" i="4"/>
  <c r="IP68" i="4"/>
  <c r="KA68" i="4"/>
  <c r="N68" i="4"/>
  <c r="AX68" i="4"/>
  <c r="CB68" i="4"/>
  <c r="DL68" i="4"/>
  <c r="EX68" i="4"/>
  <c r="GC68" i="4"/>
  <c r="HN68" i="4"/>
  <c r="IR68" i="4"/>
  <c r="KB68" i="4"/>
  <c r="O68" i="4"/>
  <c r="AY68" i="4"/>
  <c r="CC68" i="4"/>
  <c r="DP68" i="4"/>
  <c r="FA68" i="4"/>
  <c r="GD68" i="4"/>
  <c r="HO68" i="4"/>
  <c r="IS68" i="4"/>
  <c r="KC68" i="4"/>
  <c r="P68" i="4"/>
  <c r="AZ68" i="4"/>
  <c r="CL68" i="4"/>
  <c r="DQ68" i="4"/>
  <c r="FB68" i="4"/>
  <c r="GF68" i="4"/>
  <c r="HP68" i="4"/>
  <c r="IY68" i="4"/>
  <c r="KD68" i="4"/>
  <c r="Z68" i="4"/>
  <c r="BE68" i="4"/>
  <c r="CP68" i="4"/>
  <c r="DT68" i="4"/>
  <c r="FD68" i="4"/>
  <c r="GM68" i="4"/>
  <c r="HR68" i="4"/>
  <c r="JE68" i="4"/>
  <c r="KF68" i="4"/>
  <c r="I68" i="4"/>
  <c r="BO68" i="4"/>
  <c r="DR68" i="4"/>
  <c r="FS68" i="4"/>
  <c r="HT68" i="4"/>
  <c r="JV68" i="4"/>
  <c r="J68" i="4"/>
  <c r="BT68" i="4"/>
  <c r="DU68" i="4"/>
  <c r="FU68" i="4"/>
  <c r="HX68" i="4"/>
  <c r="JY68" i="4"/>
  <c r="Q68" i="4"/>
  <c r="BU68" i="4"/>
  <c r="EA68" i="4"/>
  <c r="FV68" i="4"/>
  <c r="IE68" i="4"/>
  <c r="KE68" i="4"/>
  <c r="AC68" i="4"/>
  <c r="BV68" i="4"/>
  <c r="EF68" i="4"/>
  <c r="FW68" i="4"/>
  <c r="IG68" i="4"/>
  <c r="AD68" i="4"/>
  <c r="BX68" i="4"/>
  <c r="EG68" i="4"/>
  <c r="GG68" i="4"/>
  <c r="IH68" i="4"/>
  <c r="AF68" i="4"/>
  <c r="CO68" i="4"/>
  <c r="EJ68" i="4"/>
  <c r="GS68" i="4"/>
  <c r="IJ68" i="4"/>
  <c r="AE68" i="4"/>
  <c r="CV68" i="4"/>
  <c r="GV68" i="4"/>
  <c r="JL68" i="4"/>
  <c r="AG68" i="4"/>
  <c r="CZ68" i="4"/>
  <c r="GW68" i="4"/>
  <c r="JM68" i="4"/>
  <c r="AH68" i="4"/>
  <c r="DG68" i="4"/>
  <c r="GX68" i="4"/>
  <c r="AI68" i="4"/>
  <c r="DI68" i="4"/>
  <c r="GY68" i="4"/>
  <c r="AJ68" i="4"/>
  <c r="EH68" i="4"/>
  <c r="GZ68" i="4"/>
  <c r="BD68" i="4"/>
  <c r="EL68" i="4"/>
  <c r="HQ68" i="4"/>
  <c r="CR68" i="4"/>
  <c r="II68" i="4"/>
  <c r="CS68" i="4"/>
  <c r="IN68" i="4"/>
  <c r="CT68" i="4"/>
  <c r="JD68" i="4"/>
  <c r="CU68" i="4"/>
  <c r="JF68" i="4"/>
  <c r="EK68" i="4"/>
  <c r="JH68" i="4"/>
  <c r="FC68" i="4"/>
  <c r="JJ68" i="4"/>
  <c r="BH68" i="4"/>
  <c r="BI68" i="4"/>
  <c r="BY68" i="4"/>
  <c r="CQ68" i="4"/>
  <c r="EM68" i="4"/>
  <c r="FF68" i="4"/>
  <c r="HA68" i="4"/>
  <c r="HS68" i="4"/>
  <c r="JI68" i="4"/>
  <c r="JK68" i="4"/>
  <c r="FH68" i="4"/>
  <c r="FL68" i="4"/>
  <c r="GR68" i="4"/>
  <c r="GT68" i="4"/>
  <c r="AN68" i="4"/>
  <c r="BF68" i="4"/>
  <c r="FE68" i="4"/>
  <c r="FG68" i="4"/>
  <c r="X121" i="4"/>
  <c r="AN121" i="4"/>
  <c r="BD121" i="4"/>
  <c r="BT121" i="4"/>
  <c r="CJ121" i="4"/>
  <c r="CZ121" i="4"/>
  <c r="DP121" i="4"/>
  <c r="EF121" i="4"/>
  <c r="EV121" i="4"/>
  <c r="FL121" i="4"/>
  <c r="GB121" i="4"/>
  <c r="GR121" i="4"/>
  <c r="HH121" i="4"/>
  <c r="HX121" i="4"/>
  <c r="IN121" i="4"/>
  <c r="JD121" i="4"/>
  <c r="JT121" i="4"/>
  <c r="I121" i="4"/>
  <c r="Y121" i="4"/>
  <c r="AO121" i="4"/>
  <c r="BE121" i="4"/>
  <c r="BU121" i="4"/>
  <c r="CK121" i="4"/>
  <c r="DA121" i="4"/>
  <c r="DQ121" i="4"/>
  <c r="EG121" i="4"/>
  <c r="EW121" i="4"/>
  <c r="FM121" i="4"/>
  <c r="GC121" i="4"/>
  <c r="GS121" i="4"/>
  <c r="HI121" i="4"/>
  <c r="HY121" i="4"/>
  <c r="IO121" i="4"/>
  <c r="JE121" i="4"/>
  <c r="JU121" i="4"/>
  <c r="J121" i="4"/>
  <c r="Z121" i="4"/>
  <c r="AP121" i="4"/>
  <c r="BF121" i="4"/>
  <c r="BV121" i="4"/>
  <c r="CL121" i="4"/>
  <c r="DB121" i="4"/>
  <c r="DR121" i="4"/>
  <c r="EH121" i="4"/>
  <c r="EX121" i="4"/>
  <c r="FN121" i="4"/>
  <c r="GD121" i="4"/>
  <c r="GT121" i="4"/>
  <c r="HJ121" i="4"/>
  <c r="HZ121" i="4"/>
  <c r="IP121" i="4"/>
  <c r="JF121" i="4"/>
  <c r="JV121" i="4"/>
  <c r="N121" i="4"/>
  <c r="AD121" i="4"/>
  <c r="AT121" i="4"/>
  <c r="BJ121" i="4"/>
  <c r="BZ121" i="4"/>
  <c r="CP121" i="4"/>
  <c r="DF121" i="4"/>
  <c r="DV121" i="4"/>
  <c r="EL121" i="4"/>
  <c r="FB121" i="4"/>
  <c r="FR121" i="4"/>
  <c r="GH121" i="4"/>
  <c r="GX121" i="4"/>
  <c r="HN121" i="4"/>
  <c r="ID121" i="4"/>
  <c r="IT121" i="4"/>
  <c r="JJ121" i="4"/>
  <c r="JZ121" i="4"/>
  <c r="P121" i="4"/>
  <c r="AJ121" i="4"/>
  <c r="BG121" i="4"/>
  <c r="CB121" i="4"/>
  <c r="CV121" i="4"/>
  <c r="DS121" i="4"/>
  <c r="EN121" i="4"/>
  <c r="FH121" i="4"/>
  <c r="GE121" i="4"/>
  <c r="GZ121" i="4"/>
  <c r="HT121" i="4"/>
  <c r="IQ121" i="4"/>
  <c r="JL121" i="4"/>
  <c r="KF121" i="4"/>
  <c r="Q121" i="4"/>
  <c r="AK121" i="4"/>
  <c r="BH121" i="4"/>
  <c r="CC121" i="4"/>
  <c r="CW121" i="4"/>
  <c r="DT121" i="4"/>
  <c r="EO121" i="4"/>
  <c r="FI121" i="4"/>
  <c r="GF121" i="4"/>
  <c r="HA121" i="4"/>
  <c r="HU121" i="4"/>
  <c r="IR121" i="4"/>
  <c r="JM121" i="4"/>
  <c r="KG121" i="4"/>
  <c r="R121" i="4"/>
  <c r="AL121" i="4"/>
  <c r="BI121" i="4"/>
  <c r="CD121" i="4"/>
  <c r="CX121" i="4"/>
  <c r="DU121" i="4"/>
  <c r="EP121" i="4"/>
  <c r="FJ121" i="4"/>
  <c r="GG121" i="4"/>
  <c r="HB121" i="4"/>
  <c r="HV121" i="4"/>
  <c r="IS121" i="4"/>
  <c r="JN121" i="4"/>
  <c r="KH121" i="4"/>
  <c r="S121" i="4"/>
  <c r="AM121" i="4"/>
  <c r="BK121" i="4"/>
  <c r="CE121" i="4"/>
  <c r="CY121" i="4"/>
  <c r="DW121" i="4"/>
  <c r="EQ121" i="4"/>
  <c r="FK121" i="4"/>
  <c r="GI121" i="4"/>
  <c r="HC121" i="4"/>
  <c r="HW121" i="4"/>
  <c r="IU121" i="4"/>
  <c r="JO121" i="4"/>
  <c r="KI121" i="4"/>
  <c r="T121" i="4"/>
  <c r="AQ121" i="4"/>
  <c r="BL121" i="4"/>
  <c r="CF121" i="4"/>
  <c r="DC121" i="4"/>
  <c r="DX121" i="4"/>
  <c r="ER121" i="4"/>
  <c r="FO121" i="4"/>
  <c r="GJ121" i="4"/>
  <c r="HD121" i="4"/>
  <c r="IA121" i="4"/>
  <c r="IV121" i="4"/>
  <c r="JP121" i="4"/>
  <c r="V121" i="4"/>
  <c r="AS121" i="4"/>
  <c r="BN121" i="4"/>
  <c r="CH121" i="4"/>
  <c r="DE121" i="4"/>
  <c r="DZ121" i="4"/>
  <c r="ET121" i="4"/>
  <c r="FQ121" i="4"/>
  <c r="GL121" i="4"/>
  <c r="HF121" i="4"/>
  <c r="IC121" i="4"/>
  <c r="IX121" i="4"/>
  <c r="JR121" i="4"/>
  <c r="U121" i="4"/>
  <c r="AZ121" i="4"/>
  <c r="CM121" i="4"/>
  <c r="DN121" i="4"/>
  <c r="FA121" i="4"/>
  <c r="GK121" i="4"/>
  <c r="HP121" i="4"/>
  <c r="IZ121" i="4"/>
  <c r="KD121" i="4"/>
  <c r="W121" i="4"/>
  <c r="BA121" i="4"/>
  <c r="CN121" i="4"/>
  <c r="DO121" i="4"/>
  <c r="FC121" i="4"/>
  <c r="GM121" i="4"/>
  <c r="HQ121" i="4"/>
  <c r="JA121" i="4"/>
  <c r="KE121" i="4"/>
  <c r="AA121" i="4"/>
  <c r="BB121" i="4"/>
  <c r="CO121" i="4"/>
  <c r="DY121" i="4"/>
  <c r="FD121" i="4"/>
  <c r="GN121" i="4"/>
  <c r="HR121" i="4"/>
  <c r="JB121" i="4"/>
  <c r="AB121" i="4"/>
  <c r="BC121" i="4"/>
  <c r="CQ121" i="4"/>
  <c r="EA121" i="4"/>
  <c r="FE121" i="4"/>
  <c r="GO121" i="4"/>
  <c r="HS121" i="4"/>
  <c r="JC121" i="4"/>
  <c r="AC121" i="4"/>
  <c r="BM121" i="4"/>
  <c r="CR121" i="4"/>
  <c r="EB121" i="4"/>
  <c r="FF121" i="4"/>
  <c r="GP121" i="4"/>
  <c r="IB121" i="4"/>
  <c r="JG121" i="4"/>
  <c r="AF121" i="4"/>
  <c r="BP121" i="4"/>
  <c r="CT121" i="4"/>
  <c r="ED121" i="4"/>
  <c r="FP121" i="4"/>
  <c r="GU121" i="4"/>
  <c r="IF121" i="4"/>
  <c r="JI121" i="4"/>
  <c r="BO121" i="4"/>
  <c r="DJ121" i="4"/>
  <c r="FT121" i="4"/>
  <c r="HM121" i="4"/>
  <c r="JW121" i="4"/>
  <c r="BQ121" i="4"/>
  <c r="DK121" i="4"/>
  <c r="FU121" i="4"/>
  <c r="HO121" i="4"/>
  <c r="JX121" i="4"/>
  <c r="K121" i="4"/>
  <c r="BR121" i="4"/>
  <c r="DL121" i="4"/>
  <c r="FV121" i="4"/>
  <c r="IE121" i="4"/>
  <c r="JY121" i="4"/>
  <c r="L121" i="4"/>
  <c r="BS121" i="4"/>
  <c r="DM121" i="4"/>
  <c r="FW121" i="4"/>
  <c r="IG121" i="4"/>
  <c r="KA121" i="4"/>
  <c r="M121" i="4"/>
  <c r="BW121" i="4"/>
  <c r="EC121" i="4"/>
  <c r="FX121" i="4"/>
  <c r="IH121" i="4"/>
  <c r="KB121" i="4"/>
  <c r="AE121" i="4"/>
  <c r="BY121" i="4"/>
  <c r="EI121" i="4"/>
  <c r="FZ121" i="4"/>
  <c r="IJ121" i="4"/>
  <c r="AH121" i="4"/>
  <c r="DH121" i="4"/>
  <c r="GW121" i="4"/>
  <c r="KC121" i="4"/>
  <c r="AI121" i="4"/>
  <c r="DI121" i="4"/>
  <c r="GY121" i="4"/>
  <c r="AR121" i="4"/>
  <c r="EE121" i="4"/>
  <c r="HE121" i="4"/>
  <c r="AU121" i="4"/>
  <c r="EJ121" i="4"/>
  <c r="HG121" i="4"/>
  <c r="AV121" i="4"/>
  <c r="EK121" i="4"/>
  <c r="HK121" i="4"/>
  <c r="AX121" i="4"/>
  <c r="ES121" i="4"/>
  <c r="II121" i="4"/>
  <c r="EY121" i="4"/>
  <c r="JQ121" i="4"/>
  <c r="EZ121" i="4"/>
  <c r="JS121" i="4"/>
  <c r="O121" i="4"/>
  <c r="FG121" i="4"/>
  <c r="AG121" i="4"/>
  <c r="FS121" i="4"/>
  <c r="AW121" i="4"/>
  <c r="FY121" i="4"/>
  <c r="BX121" i="4"/>
  <c r="GQ121" i="4"/>
  <c r="IL121" i="4"/>
  <c r="IM121" i="4"/>
  <c r="AY121" i="4"/>
  <c r="IW121" i="4"/>
  <c r="CA121" i="4"/>
  <c r="IY121" i="4"/>
  <c r="CG121" i="4"/>
  <c r="JH121" i="4"/>
  <c r="EM121" i="4"/>
  <c r="JK121" i="4"/>
  <c r="DG121" i="4"/>
  <c r="DD121" i="4"/>
  <c r="CI121" i="4"/>
  <c r="CS121" i="4"/>
  <c r="CU121" i="4"/>
  <c r="EU121" i="4"/>
  <c r="HL121" i="4"/>
  <c r="IK121" i="4"/>
  <c r="GV121" i="4"/>
  <c r="GA121" i="4"/>
  <c r="S57" i="4"/>
  <c r="AI57" i="4"/>
  <c r="AY57" i="4"/>
  <c r="BO57" i="4"/>
  <c r="CE57" i="4"/>
  <c r="CU57" i="4"/>
  <c r="DK57" i="4"/>
  <c r="EA57" i="4"/>
  <c r="EQ57" i="4"/>
  <c r="FG57" i="4"/>
  <c r="FW57" i="4"/>
  <c r="GM57" i="4"/>
  <c r="HC57" i="4"/>
  <c r="HS57" i="4"/>
  <c r="II57" i="4"/>
  <c r="IY57" i="4"/>
  <c r="JO57" i="4"/>
  <c r="KE57" i="4"/>
  <c r="T57" i="4"/>
  <c r="U57" i="4"/>
  <c r="AK57" i="4"/>
  <c r="BA57" i="4"/>
  <c r="BQ57" i="4"/>
  <c r="CG57" i="4"/>
  <c r="CW57" i="4"/>
  <c r="DM57" i="4"/>
  <c r="EC57" i="4"/>
  <c r="I57" i="4"/>
  <c r="Y57" i="4"/>
  <c r="AO57" i="4"/>
  <c r="BE57" i="4"/>
  <c r="BU57" i="4"/>
  <c r="CK57" i="4"/>
  <c r="DA57" i="4"/>
  <c r="DQ57" i="4"/>
  <c r="EG57" i="4"/>
  <c r="EW57" i="4"/>
  <c r="FM57" i="4"/>
  <c r="GC57" i="4"/>
  <c r="GS57" i="4"/>
  <c r="HI57" i="4"/>
  <c r="HY57" i="4"/>
  <c r="IO57" i="4"/>
  <c r="JE57" i="4"/>
  <c r="JU57" i="4"/>
  <c r="AA57" i="4"/>
  <c r="AT57" i="4"/>
  <c r="BM57" i="4"/>
  <c r="CH57" i="4"/>
  <c r="DB57" i="4"/>
  <c r="DU57" i="4"/>
  <c r="EN57" i="4"/>
  <c r="FF57" i="4"/>
  <c r="FY57" i="4"/>
  <c r="GQ57" i="4"/>
  <c r="HJ57" i="4"/>
  <c r="IB57" i="4"/>
  <c r="IT57" i="4"/>
  <c r="JL57" i="4"/>
  <c r="KD57" i="4"/>
  <c r="AB57" i="4"/>
  <c r="AU57" i="4"/>
  <c r="BN57" i="4"/>
  <c r="CI57" i="4"/>
  <c r="DC57" i="4"/>
  <c r="DV57" i="4"/>
  <c r="EO57" i="4"/>
  <c r="FH57" i="4"/>
  <c r="FZ57" i="4"/>
  <c r="GR57" i="4"/>
  <c r="HK57" i="4"/>
  <c r="IC57" i="4"/>
  <c r="IU57" i="4"/>
  <c r="JM57" i="4"/>
  <c r="KF57" i="4"/>
  <c r="AC57" i="4"/>
  <c r="AV57" i="4"/>
  <c r="BP57" i="4"/>
  <c r="CJ57" i="4"/>
  <c r="DD57" i="4"/>
  <c r="DW57" i="4"/>
  <c r="EP57" i="4"/>
  <c r="FI57" i="4"/>
  <c r="GA57" i="4"/>
  <c r="GT57" i="4"/>
  <c r="HL57" i="4"/>
  <c r="ID57" i="4"/>
  <c r="IV57" i="4"/>
  <c r="JN57" i="4"/>
  <c r="KG57" i="4"/>
  <c r="M57" i="4"/>
  <c r="AG57" i="4"/>
  <c r="BB57" i="4"/>
  <c r="BV57" i="4"/>
  <c r="CO57" i="4"/>
  <c r="DH57" i="4"/>
  <c r="EB57" i="4"/>
  <c r="EU57" i="4"/>
  <c r="FN57" i="4"/>
  <c r="GF57" i="4"/>
  <c r="GX57" i="4"/>
  <c r="HP57" i="4"/>
  <c r="IH57" i="4"/>
  <c r="JA57" i="4"/>
  <c r="JS57" i="4"/>
  <c r="K57" i="4"/>
  <c r="AL57" i="4"/>
  <c r="BJ57" i="4"/>
  <c r="CM57" i="4"/>
  <c r="DL57" i="4"/>
  <c r="EK57" i="4"/>
  <c r="FK57" i="4"/>
  <c r="GI57" i="4"/>
  <c r="HF57" i="4"/>
  <c r="IF57" i="4"/>
  <c r="JD57" i="4"/>
  <c r="KA57" i="4"/>
  <c r="L57" i="4"/>
  <c r="AM57" i="4"/>
  <c r="BK57" i="4"/>
  <c r="CN57" i="4"/>
  <c r="DN57" i="4"/>
  <c r="EL57" i="4"/>
  <c r="FL57" i="4"/>
  <c r="GJ57" i="4"/>
  <c r="HG57" i="4"/>
  <c r="IG57" i="4"/>
  <c r="JF57" i="4"/>
  <c r="KB57" i="4"/>
  <c r="N57" i="4"/>
  <c r="AN57" i="4"/>
  <c r="BL57" i="4"/>
  <c r="CP57" i="4"/>
  <c r="DO57" i="4"/>
  <c r="EM57" i="4"/>
  <c r="FO57" i="4"/>
  <c r="GK57" i="4"/>
  <c r="HH57" i="4"/>
  <c r="IJ57" i="4"/>
  <c r="JG57" i="4"/>
  <c r="KC57" i="4"/>
  <c r="O57" i="4"/>
  <c r="AP57" i="4"/>
  <c r="BR57" i="4"/>
  <c r="CQ57" i="4"/>
  <c r="DP57" i="4"/>
  <c r="ER57" i="4"/>
  <c r="FP57" i="4"/>
  <c r="GL57" i="4"/>
  <c r="HM57" i="4"/>
  <c r="IK57" i="4"/>
  <c r="JH57" i="4"/>
  <c r="KH57" i="4"/>
  <c r="P57" i="4"/>
  <c r="AQ57" i="4"/>
  <c r="BS57" i="4"/>
  <c r="CR57" i="4"/>
  <c r="DR57" i="4"/>
  <c r="ES57" i="4"/>
  <c r="FQ57" i="4"/>
  <c r="GN57" i="4"/>
  <c r="HN57" i="4"/>
  <c r="IL57" i="4"/>
  <c r="JI57" i="4"/>
  <c r="KI57" i="4"/>
  <c r="R57" i="4"/>
  <c r="AS57" i="4"/>
  <c r="BW57" i="4"/>
  <c r="CT57" i="4"/>
  <c r="DT57" i="4"/>
  <c r="EV57" i="4"/>
  <c r="FS57" i="4"/>
  <c r="GP57" i="4"/>
  <c r="HQ57" i="4"/>
  <c r="IN57" i="4"/>
  <c r="JK57" i="4"/>
  <c r="Q57" i="4"/>
  <c r="BF57" i="4"/>
  <c r="CX57" i="4"/>
  <c r="EI57" i="4"/>
  <c r="FX57" i="4"/>
  <c r="HO57" i="4"/>
  <c r="IX57" i="4"/>
  <c r="V57" i="4"/>
  <c r="BG57" i="4"/>
  <c r="CY57" i="4"/>
  <c r="EJ57" i="4"/>
  <c r="GB57" i="4"/>
  <c r="HR57" i="4"/>
  <c r="IZ57" i="4"/>
  <c r="W57" i="4"/>
  <c r="BH57" i="4"/>
  <c r="CZ57" i="4"/>
  <c r="ET57" i="4"/>
  <c r="GD57" i="4"/>
  <c r="HT57" i="4"/>
  <c r="JB57" i="4"/>
  <c r="X57" i="4"/>
  <c r="BI57" i="4"/>
  <c r="DE57" i="4"/>
  <c r="EX57" i="4"/>
  <c r="GE57" i="4"/>
  <c r="HU57" i="4"/>
  <c r="JC57" i="4"/>
  <c r="Z57" i="4"/>
  <c r="BT57" i="4"/>
  <c r="DF57" i="4"/>
  <c r="EY57" i="4"/>
  <c r="GG57" i="4"/>
  <c r="HV57" i="4"/>
  <c r="JJ57" i="4"/>
  <c r="AE57" i="4"/>
  <c r="BY57" i="4"/>
  <c r="DI57" i="4"/>
  <c r="FA57" i="4"/>
  <c r="GO57" i="4"/>
  <c r="HX57" i="4"/>
  <c r="JQ57" i="4"/>
  <c r="BC57" i="4"/>
  <c r="DY57" i="4"/>
  <c r="GH57" i="4"/>
  <c r="IQ57" i="4"/>
  <c r="BD57" i="4"/>
  <c r="DZ57" i="4"/>
  <c r="GU57" i="4"/>
  <c r="IR57" i="4"/>
  <c r="BX57" i="4"/>
  <c r="ED57" i="4"/>
  <c r="GV57" i="4"/>
  <c r="IS57" i="4"/>
  <c r="BZ57" i="4"/>
  <c r="EE57" i="4"/>
  <c r="GW57" i="4"/>
  <c r="IW57" i="4"/>
  <c r="CA57" i="4"/>
  <c r="EF57" i="4"/>
  <c r="GY57" i="4"/>
  <c r="JP57" i="4"/>
  <c r="CC57" i="4"/>
  <c r="EZ57" i="4"/>
  <c r="HA57" i="4"/>
  <c r="JT57" i="4"/>
  <c r="DG57" i="4"/>
  <c r="HD57" i="4"/>
  <c r="J57" i="4"/>
  <c r="DJ57" i="4"/>
  <c r="HE57" i="4"/>
  <c r="AD57" i="4"/>
  <c r="DS57" i="4"/>
  <c r="HW57" i="4"/>
  <c r="AF57" i="4"/>
  <c r="DX57" i="4"/>
  <c r="HZ57" i="4"/>
  <c r="AH57" i="4"/>
  <c r="EH57" i="4"/>
  <c r="IA57" i="4"/>
  <c r="AR57" i="4"/>
  <c r="FC57" i="4"/>
  <c r="IM57" i="4"/>
  <c r="CB57" i="4"/>
  <c r="IE57" i="4"/>
  <c r="CD57" i="4"/>
  <c r="IP57" i="4"/>
  <c r="CF57" i="4"/>
  <c r="JR57" i="4"/>
  <c r="CL57" i="4"/>
  <c r="JV57" i="4"/>
  <c r="CS57" i="4"/>
  <c r="JW57" i="4"/>
  <c r="FB57" i="4"/>
  <c r="JY57" i="4"/>
  <c r="GZ57" i="4"/>
  <c r="HB57" i="4"/>
  <c r="JX57" i="4"/>
  <c r="JZ57" i="4"/>
  <c r="AJ57" i="4"/>
  <c r="AX57" i="4"/>
  <c r="CV57" i="4"/>
  <c r="FD57" i="4"/>
  <c r="FE57" i="4"/>
  <c r="FJ57" i="4"/>
  <c r="FR57" i="4"/>
  <c r="FU57" i="4"/>
  <c r="FT57" i="4"/>
  <c r="FV57" i="4"/>
  <c r="AW57" i="4"/>
  <c r="AZ57" i="4"/>
  <c r="Q130" i="4"/>
  <c r="AG130" i="4"/>
  <c r="AW130" i="4"/>
  <c r="BM130" i="4"/>
  <c r="CC130" i="4"/>
  <c r="CS130" i="4"/>
  <c r="DI130" i="4"/>
  <c r="DY130" i="4"/>
  <c r="EO130" i="4"/>
  <c r="FE130" i="4"/>
  <c r="FU130" i="4"/>
  <c r="GK130" i="4"/>
  <c r="HA130" i="4"/>
  <c r="HQ130" i="4"/>
  <c r="IG130" i="4"/>
  <c r="IW130" i="4"/>
  <c r="JM130" i="4"/>
  <c r="KC130" i="4"/>
  <c r="W130" i="4"/>
  <c r="AM130" i="4"/>
  <c r="BC130" i="4"/>
  <c r="BS130" i="4"/>
  <c r="CI130" i="4"/>
  <c r="CY130" i="4"/>
  <c r="DO130" i="4"/>
  <c r="EE130" i="4"/>
  <c r="EU130" i="4"/>
  <c r="FK130" i="4"/>
  <c r="GA130" i="4"/>
  <c r="GQ130" i="4"/>
  <c r="HG130" i="4"/>
  <c r="HW130" i="4"/>
  <c r="IM130" i="4"/>
  <c r="JC130" i="4"/>
  <c r="JS130" i="4"/>
  <c r="KI130" i="4"/>
  <c r="P130" i="4"/>
  <c r="AI130" i="4"/>
  <c r="BA130" i="4"/>
  <c r="BT130" i="4"/>
  <c r="CL130" i="4"/>
  <c r="DD130" i="4"/>
  <c r="DV130" i="4"/>
  <c r="EN130" i="4"/>
  <c r="FG130" i="4"/>
  <c r="FY130" i="4"/>
  <c r="GR130" i="4"/>
  <c r="HJ130" i="4"/>
  <c r="IB130" i="4"/>
  <c r="IT130" i="4"/>
  <c r="JL130" i="4"/>
  <c r="KE130" i="4"/>
  <c r="R130" i="4"/>
  <c r="AJ130" i="4"/>
  <c r="BB130" i="4"/>
  <c r="BU130" i="4"/>
  <c r="CM130" i="4"/>
  <c r="DE130" i="4"/>
  <c r="DW130" i="4"/>
  <c r="EP130" i="4"/>
  <c r="FH130" i="4"/>
  <c r="FZ130" i="4"/>
  <c r="GS130" i="4"/>
  <c r="HK130" i="4"/>
  <c r="IC130" i="4"/>
  <c r="IU130" i="4"/>
  <c r="JN130" i="4"/>
  <c r="KF130" i="4"/>
  <c r="S130" i="4"/>
  <c r="AK130" i="4"/>
  <c r="BD130" i="4"/>
  <c r="BV130" i="4"/>
  <c r="CN130" i="4"/>
  <c r="DF130" i="4"/>
  <c r="DX130" i="4"/>
  <c r="EQ130" i="4"/>
  <c r="FI130" i="4"/>
  <c r="GB130" i="4"/>
  <c r="GT130" i="4"/>
  <c r="HL130" i="4"/>
  <c r="ID130" i="4"/>
  <c r="IV130" i="4"/>
  <c r="JO130" i="4"/>
  <c r="KG130" i="4"/>
  <c r="X130" i="4"/>
  <c r="AP130" i="4"/>
  <c r="BH130" i="4"/>
  <c r="BZ130" i="4"/>
  <c r="CR130" i="4"/>
  <c r="DK130" i="4"/>
  <c r="EC130" i="4"/>
  <c r="EV130" i="4"/>
  <c r="FN130" i="4"/>
  <c r="GF130" i="4"/>
  <c r="GX130" i="4"/>
  <c r="HP130" i="4"/>
  <c r="II130" i="4"/>
  <c r="JA130" i="4"/>
  <c r="JT130" i="4"/>
  <c r="J130" i="4"/>
  <c r="AF130" i="4"/>
  <c r="BG130" i="4"/>
  <c r="CE130" i="4"/>
  <c r="DB130" i="4"/>
  <c r="EB130" i="4"/>
  <c r="EZ130" i="4"/>
  <c r="FW130" i="4"/>
  <c r="GW130" i="4"/>
  <c r="HU130" i="4"/>
  <c r="IR130" i="4"/>
  <c r="JR130" i="4"/>
  <c r="K130" i="4"/>
  <c r="AH130" i="4"/>
  <c r="BI130" i="4"/>
  <c r="CF130" i="4"/>
  <c r="DC130" i="4"/>
  <c r="ED130" i="4"/>
  <c r="FA130" i="4"/>
  <c r="FX130" i="4"/>
  <c r="GY130" i="4"/>
  <c r="HV130" i="4"/>
  <c r="IS130" i="4"/>
  <c r="JU130" i="4"/>
  <c r="L130" i="4"/>
  <c r="AL130" i="4"/>
  <c r="BJ130" i="4"/>
  <c r="CG130" i="4"/>
  <c r="DG130" i="4"/>
  <c r="EF130" i="4"/>
  <c r="FB130" i="4"/>
  <c r="GC130" i="4"/>
  <c r="GZ130" i="4"/>
  <c r="HX130" i="4"/>
  <c r="IX130" i="4"/>
  <c r="JV130" i="4"/>
  <c r="M130" i="4"/>
  <c r="AN130" i="4"/>
  <c r="BK130" i="4"/>
  <c r="CH130" i="4"/>
  <c r="DH130" i="4"/>
  <c r="EG130" i="4"/>
  <c r="FC130" i="4"/>
  <c r="GD130" i="4"/>
  <c r="HB130" i="4"/>
  <c r="HY130" i="4"/>
  <c r="IY130" i="4"/>
  <c r="JW130" i="4"/>
  <c r="N130" i="4"/>
  <c r="AO130" i="4"/>
  <c r="BL130" i="4"/>
  <c r="CJ130" i="4"/>
  <c r="DJ130" i="4"/>
  <c r="EH130" i="4"/>
  <c r="FD130" i="4"/>
  <c r="GE130" i="4"/>
  <c r="HC130" i="4"/>
  <c r="HZ130" i="4"/>
  <c r="IZ130" i="4"/>
  <c r="JX130" i="4"/>
  <c r="T130" i="4"/>
  <c r="AR130" i="4"/>
  <c r="BO130" i="4"/>
  <c r="CO130" i="4"/>
  <c r="DM130" i="4"/>
  <c r="EJ130" i="4"/>
  <c r="FJ130" i="4"/>
  <c r="GH130" i="4"/>
  <c r="HE130" i="4"/>
  <c r="IE130" i="4"/>
  <c r="JD130" i="4"/>
  <c r="JZ130" i="4"/>
  <c r="Z130" i="4"/>
  <c r="BN130" i="4"/>
  <c r="CW130" i="4"/>
  <c r="EL130" i="4"/>
  <c r="FT130" i="4"/>
  <c r="HM130" i="4"/>
  <c r="JB130" i="4"/>
  <c r="AA130" i="4"/>
  <c r="BP130" i="4"/>
  <c r="CX130" i="4"/>
  <c r="EM130" i="4"/>
  <c r="FV130" i="4"/>
  <c r="HN130" i="4"/>
  <c r="JE130" i="4"/>
  <c r="AB130" i="4"/>
  <c r="BQ130" i="4"/>
  <c r="CZ130" i="4"/>
  <c r="ER130" i="4"/>
  <c r="GG130" i="4"/>
  <c r="HO130" i="4"/>
  <c r="JF130" i="4"/>
  <c r="AC130" i="4"/>
  <c r="BR130" i="4"/>
  <c r="DA130" i="4"/>
  <c r="ES130" i="4"/>
  <c r="GI130" i="4"/>
  <c r="HR130" i="4"/>
  <c r="JG130" i="4"/>
  <c r="AD130" i="4"/>
  <c r="BW130" i="4"/>
  <c r="DL130" i="4"/>
  <c r="ET130" i="4"/>
  <c r="GJ130" i="4"/>
  <c r="HS130" i="4"/>
  <c r="JH130" i="4"/>
  <c r="AQ130" i="4"/>
  <c r="BY130" i="4"/>
  <c r="DP130" i="4"/>
  <c r="EX130" i="4"/>
  <c r="GM130" i="4"/>
  <c r="IA130" i="4"/>
  <c r="JJ130" i="4"/>
  <c r="O130" i="4"/>
  <c r="CB130" i="4"/>
  <c r="EI130" i="4"/>
  <c r="GU130" i="4"/>
  <c r="JI130" i="4"/>
  <c r="U130" i="4"/>
  <c r="CD130" i="4"/>
  <c r="EK130" i="4"/>
  <c r="GV130" i="4"/>
  <c r="JK130" i="4"/>
  <c r="V130" i="4"/>
  <c r="CK130" i="4"/>
  <c r="EW130" i="4"/>
  <c r="HD130" i="4"/>
  <c r="JP130" i="4"/>
  <c r="Y130" i="4"/>
  <c r="CP130" i="4"/>
  <c r="EY130" i="4"/>
  <c r="HF130" i="4"/>
  <c r="JQ130" i="4"/>
  <c r="AE130" i="4"/>
  <c r="CQ130" i="4"/>
  <c r="FF130" i="4"/>
  <c r="HH130" i="4"/>
  <c r="JY130" i="4"/>
  <c r="AT130" i="4"/>
  <c r="CU130" i="4"/>
  <c r="FM130" i="4"/>
  <c r="HT130" i="4"/>
  <c r="KB130" i="4"/>
  <c r="BX130" i="4"/>
  <c r="FR130" i="4"/>
  <c r="KA130" i="4"/>
  <c r="CA130" i="4"/>
  <c r="FS130" i="4"/>
  <c r="KD130" i="4"/>
  <c r="CT130" i="4"/>
  <c r="GL130" i="4"/>
  <c r="KH130" i="4"/>
  <c r="CV130" i="4"/>
  <c r="GN130" i="4"/>
  <c r="DN130" i="4"/>
  <c r="GO130" i="4"/>
  <c r="DR130" i="4"/>
  <c r="HI130" i="4"/>
  <c r="DT130" i="4"/>
  <c r="IP130" i="4"/>
  <c r="DU130" i="4"/>
  <c r="IQ130" i="4"/>
  <c r="DZ130" i="4"/>
  <c r="EA130" i="4"/>
  <c r="FL130" i="4"/>
  <c r="AY130" i="4"/>
  <c r="IH130" i="4"/>
  <c r="DQ130" i="4"/>
  <c r="DS130" i="4"/>
  <c r="FO130" i="4"/>
  <c r="FP130" i="4"/>
  <c r="FQ130" i="4"/>
  <c r="AU130" i="4"/>
  <c r="IN130" i="4"/>
  <c r="GP130" i="4"/>
  <c r="IF130" i="4"/>
  <c r="IJ130" i="4"/>
  <c r="IK130" i="4"/>
  <c r="IO130" i="4"/>
  <c r="AS130" i="4"/>
  <c r="I130" i="4"/>
  <c r="AV130" i="4"/>
  <c r="BE130" i="4"/>
  <c r="BF130" i="4"/>
  <c r="IL130" i="4"/>
  <c r="AX130" i="4"/>
  <c r="AZ130" i="4"/>
  <c r="X104" i="4"/>
  <c r="AN104" i="4"/>
  <c r="BD104" i="4"/>
  <c r="BT104" i="4"/>
  <c r="CJ104" i="4"/>
  <c r="CZ104" i="4"/>
  <c r="DP104" i="4"/>
  <c r="EF104" i="4"/>
  <c r="EV104" i="4"/>
  <c r="FL104" i="4"/>
  <c r="GB104" i="4"/>
  <c r="GR104" i="4"/>
  <c r="HH104" i="4"/>
  <c r="HX104" i="4"/>
  <c r="IN104" i="4"/>
  <c r="JD104" i="4"/>
  <c r="JT104" i="4"/>
  <c r="L104" i="4"/>
  <c r="AB104" i="4"/>
  <c r="AR104" i="4"/>
  <c r="BH104" i="4"/>
  <c r="BX104" i="4"/>
  <c r="CN104" i="4"/>
  <c r="DD104" i="4"/>
  <c r="DT104" i="4"/>
  <c r="EJ104" i="4"/>
  <c r="EZ104" i="4"/>
  <c r="FP104" i="4"/>
  <c r="GF104" i="4"/>
  <c r="GV104" i="4"/>
  <c r="HL104" i="4"/>
  <c r="IB104" i="4"/>
  <c r="IR104" i="4"/>
  <c r="JH104" i="4"/>
  <c r="JX104" i="4"/>
  <c r="O104" i="4"/>
  <c r="AG104" i="4"/>
  <c r="AY104" i="4"/>
  <c r="BQ104" i="4"/>
  <c r="CI104" i="4"/>
  <c r="DB104" i="4"/>
  <c r="DU104" i="4"/>
  <c r="EM104" i="4"/>
  <c r="FE104" i="4"/>
  <c r="FW104" i="4"/>
  <c r="GO104" i="4"/>
  <c r="HG104" i="4"/>
  <c r="HZ104" i="4"/>
  <c r="IS104" i="4"/>
  <c r="JK104" i="4"/>
  <c r="KC104" i="4"/>
  <c r="P104" i="4"/>
  <c r="AH104" i="4"/>
  <c r="AZ104" i="4"/>
  <c r="BR104" i="4"/>
  <c r="CK104" i="4"/>
  <c r="DC104" i="4"/>
  <c r="DV104" i="4"/>
  <c r="EN104" i="4"/>
  <c r="FF104" i="4"/>
  <c r="FX104" i="4"/>
  <c r="GP104" i="4"/>
  <c r="HI104" i="4"/>
  <c r="IA104" i="4"/>
  <c r="IT104" i="4"/>
  <c r="JL104" i="4"/>
  <c r="KD104" i="4"/>
  <c r="Q104" i="4"/>
  <c r="AI104" i="4"/>
  <c r="BA104" i="4"/>
  <c r="BS104" i="4"/>
  <c r="CL104" i="4"/>
  <c r="DE104" i="4"/>
  <c r="DW104" i="4"/>
  <c r="EO104" i="4"/>
  <c r="FG104" i="4"/>
  <c r="FY104" i="4"/>
  <c r="GQ104" i="4"/>
  <c r="HJ104" i="4"/>
  <c r="IC104" i="4"/>
  <c r="IU104" i="4"/>
  <c r="JM104" i="4"/>
  <c r="KE104" i="4"/>
  <c r="R104" i="4"/>
  <c r="AJ104" i="4"/>
  <c r="BB104" i="4"/>
  <c r="BU104" i="4"/>
  <c r="CM104" i="4"/>
  <c r="DF104" i="4"/>
  <c r="DX104" i="4"/>
  <c r="EP104" i="4"/>
  <c r="FH104" i="4"/>
  <c r="FZ104" i="4"/>
  <c r="GS104" i="4"/>
  <c r="HK104" i="4"/>
  <c r="ID104" i="4"/>
  <c r="IV104" i="4"/>
  <c r="JN104" i="4"/>
  <c r="KF104" i="4"/>
  <c r="U104" i="4"/>
  <c r="AM104" i="4"/>
  <c r="BF104" i="4"/>
  <c r="BY104" i="4"/>
  <c r="CQ104" i="4"/>
  <c r="DI104" i="4"/>
  <c r="EA104" i="4"/>
  <c r="ES104" i="4"/>
  <c r="FK104" i="4"/>
  <c r="GD104" i="4"/>
  <c r="GW104" i="4"/>
  <c r="HO104" i="4"/>
  <c r="IG104" i="4"/>
  <c r="IY104" i="4"/>
  <c r="JQ104" i="4"/>
  <c r="KI104" i="4"/>
  <c r="S104" i="4"/>
  <c r="AS104" i="4"/>
  <c r="BP104" i="4"/>
  <c r="CT104" i="4"/>
  <c r="DR104" i="4"/>
  <c r="EU104" i="4"/>
  <c r="FT104" i="4"/>
  <c r="GX104" i="4"/>
  <c r="HU104" i="4"/>
  <c r="IX104" i="4"/>
  <c r="JW104" i="4"/>
  <c r="T104" i="4"/>
  <c r="AT104" i="4"/>
  <c r="BV104" i="4"/>
  <c r="CU104" i="4"/>
  <c r="DS104" i="4"/>
  <c r="EW104" i="4"/>
  <c r="FU104" i="4"/>
  <c r="GY104" i="4"/>
  <c r="HV104" i="4"/>
  <c r="IZ104" i="4"/>
  <c r="JY104" i="4"/>
  <c r="V104" i="4"/>
  <c r="AU104" i="4"/>
  <c r="BW104" i="4"/>
  <c r="CV104" i="4"/>
  <c r="DY104" i="4"/>
  <c r="EX104" i="4"/>
  <c r="FV104" i="4"/>
  <c r="GZ104" i="4"/>
  <c r="HW104" i="4"/>
  <c r="JA104" i="4"/>
  <c r="JZ104" i="4"/>
  <c r="W104" i="4"/>
  <c r="AV104" i="4"/>
  <c r="BZ104" i="4"/>
  <c r="CW104" i="4"/>
  <c r="DZ104" i="4"/>
  <c r="EY104" i="4"/>
  <c r="GA104" i="4"/>
  <c r="HA104" i="4"/>
  <c r="HY104" i="4"/>
  <c r="JB104" i="4"/>
  <c r="KA104" i="4"/>
  <c r="Y104" i="4"/>
  <c r="AW104" i="4"/>
  <c r="CA104" i="4"/>
  <c r="CX104" i="4"/>
  <c r="EB104" i="4"/>
  <c r="FA104" i="4"/>
  <c r="GC104" i="4"/>
  <c r="HB104" i="4"/>
  <c r="IE104" i="4"/>
  <c r="JC104" i="4"/>
  <c r="KB104" i="4"/>
  <c r="AA104" i="4"/>
  <c r="BC104" i="4"/>
  <c r="CC104" i="4"/>
  <c r="DA104" i="4"/>
  <c r="ED104" i="4"/>
  <c r="FC104" i="4"/>
  <c r="GG104" i="4"/>
  <c r="HD104" i="4"/>
  <c r="IH104" i="4"/>
  <c r="JF104" i="4"/>
  <c r="KH104" i="4"/>
  <c r="J104" i="4"/>
  <c r="BG104" i="4"/>
  <c r="CR104" i="4"/>
  <c r="EI104" i="4"/>
  <c r="GE104" i="4"/>
  <c r="HQ104" i="4"/>
  <c r="JI104" i="4"/>
  <c r="K104" i="4"/>
  <c r="BI104" i="4"/>
  <c r="CS104" i="4"/>
  <c r="EK104" i="4"/>
  <c r="GH104" i="4"/>
  <c r="HR104" i="4"/>
  <c r="JJ104" i="4"/>
  <c r="M104" i="4"/>
  <c r="BJ104" i="4"/>
  <c r="CY104" i="4"/>
  <c r="EL104" i="4"/>
  <c r="GI104" i="4"/>
  <c r="HS104" i="4"/>
  <c r="JO104" i="4"/>
  <c r="N104" i="4"/>
  <c r="BK104" i="4"/>
  <c r="DG104" i="4"/>
  <c r="EQ104" i="4"/>
  <c r="GJ104" i="4"/>
  <c r="HT104" i="4"/>
  <c r="JP104" i="4"/>
  <c r="Z104" i="4"/>
  <c r="BL104" i="4"/>
  <c r="DH104" i="4"/>
  <c r="ER104" i="4"/>
  <c r="GK104" i="4"/>
  <c r="IF104" i="4"/>
  <c r="JR104" i="4"/>
  <c r="AD104" i="4"/>
  <c r="BN104" i="4"/>
  <c r="DK104" i="4"/>
  <c r="FB104" i="4"/>
  <c r="GM104" i="4"/>
  <c r="IJ104" i="4"/>
  <c r="JU104" i="4"/>
  <c r="AP104" i="4"/>
  <c r="DM104" i="4"/>
  <c r="FR104" i="4"/>
  <c r="IO104" i="4"/>
  <c r="AQ104" i="4"/>
  <c r="DN104" i="4"/>
  <c r="FS104" i="4"/>
  <c r="IP104" i="4"/>
  <c r="AX104" i="4"/>
  <c r="DO104" i="4"/>
  <c r="GL104" i="4"/>
  <c r="IQ104" i="4"/>
  <c r="BE104" i="4"/>
  <c r="DQ104" i="4"/>
  <c r="GN104" i="4"/>
  <c r="IW104" i="4"/>
  <c r="BM104" i="4"/>
  <c r="EC104" i="4"/>
  <c r="GT104" i="4"/>
  <c r="JE104" i="4"/>
  <c r="CB104" i="4"/>
  <c r="EG104" i="4"/>
  <c r="HC104" i="4"/>
  <c r="JS104" i="4"/>
  <c r="BO104" i="4"/>
  <c r="FM104" i="4"/>
  <c r="KG104" i="4"/>
  <c r="CD104" i="4"/>
  <c r="FN104" i="4"/>
  <c r="CE104" i="4"/>
  <c r="FO104" i="4"/>
  <c r="CF104" i="4"/>
  <c r="FQ104" i="4"/>
  <c r="CG104" i="4"/>
  <c r="GU104" i="4"/>
  <c r="CO104" i="4"/>
  <c r="HF104" i="4"/>
  <c r="EE104" i="4"/>
  <c r="EH104" i="4"/>
  <c r="ET104" i="4"/>
  <c r="FD104" i="4"/>
  <c r="FI104" i="4"/>
  <c r="AC104" i="4"/>
  <c r="HE104" i="4"/>
  <c r="DJ104" i="4"/>
  <c r="DL104" i="4"/>
  <c r="FJ104" i="4"/>
  <c r="HM104" i="4"/>
  <c r="HN104" i="4"/>
  <c r="AF104" i="4"/>
  <c r="JG104" i="4"/>
  <c r="IK104" i="4"/>
  <c r="IL104" i="4"/>
  <c r="IM104" i="4"/>
  <c r="JV104" i="4"/>
  <c r="AL104" i="4"/>
  <c r="CH104" i="4"/>
  <c r="I104" i="4"/>
  <c r="AE104" i="4"/>
  <c r="AK104" i="4"/>
  <c r="AO104" i="4"/>
  <c r="CP104" i="4"/>
  <c r="HP104" i="4"/>
  <c r="II104" i="4"/>
  <c r="J76" i="4"/>
  <c r="Z76" i="4"/>
  <c r="AP76" i="4"/>
  <c r="BF76" i="4"/>
  <c r="BV76" i="4"/>
  <c r="CL76" i="4"/>
  <c r="DB76" i="4"/>
  <c r="DR76" i="4"/>
  <c r="EH76" i="4"/>
  <c r="EX76" i="4"/>
  <c r="FN76" i="4"/>
  <c r="GD76" i="4"/>
  <c r="GT76" i="4"/>
  <c r="HJ76" i="4"/>
  <c r="HZ76" i="4"/>
  <c r="IP76" i="4"/>
  <c r="JF76" i="4"/>
  <c r="JV76" i="4"/>
  <c r="K76" i="4"/>
  <c r="AA76" i="4"/>
  <c r="AQ76" i="4"/>
  <c r="BG76" i="4"/>
  <c r="BW76" i="4"/>
  <c r="CM76" i="4"/>
  <c r="DC76" i="4"/>
  <c r="DS76" i="4"/>
  <c r="EI76" i="4"/>
  <c r="EY76" i="4"/>
  <c r="FO76" i="4"/>
  <c r="GE76" i="4"/>
  <c r="GU76" i="4"/>
  <c r="HK76" i="4"/>
  <c r="IA76" i="4"/>
  <c r="IQ76" i="4"/>
  <c r="JG76" i="4"/>
  <c r="JW76" i="4"/>
  <c r="L76" i="4"/>
  <c r="AB76" i="4"/>
  <c r="AR76" i="4"/>
  <c r="BH76" i="4"/>
  <c r="BX76" i="4"/>
  <c r="CN76" i="4"/>
  <c r="DD76" i="4"/>
  <c r="DT76" i="4"/>
  <c r="EJ76" i="4"/>
  <c r="EZ76" i="4"/>
  <c r="FP76" i="4"/>
  <c r="GF76" i="4"/>
  <c r="GV76" i="4"/>
  <c r="HL76" i="4"/>
  <c r="IB76" i="4"/>
  <c r="IR76" i="4"/>
  <c r="JH76" i="4"/>
  <c r="JX76" i="4"/>
  <c r="M76" i="4"/>
  <c r="AC76" i="4"/>
  <c r="AS76" i="4"/>
  <c r="BI76" i="4"/>
  <c r="BY76" i="4"/>
  <c r="CO76" i="4"/>
  <c r="DE76" i="4"/>
  <c r="DU76" i="4"/>
  <c r="EK76" i="4"/>
  <c r="FA76" i="4"/>
  <c r="FQ76" i="4"/>
  <c r="GG76" i="4"/>
  <c r="GW76" i="4"/>
  <c r="HM76" i="4"/>
  <c r="IC76" i="4"/>
  <c r="IS76" i="4"/>
  <c r="JI76" i="4"/>
  <c r="JY76" i="4"/>
  <c r="N76" i="4"/>
  <c r="AD76" i="4"/>
  <c r="AT76" i="4"/>
  <c r="BJ76" i="4"/>
  <c r="BZ76" i="4"/>
  <c r="CP76" i="4"/>
  <c r="DF76" i="4"/>
  <c r="DV76" i="4"/>
  <c r="EL76" i="4"/>
  <c r="FB76" i="4"/>
  <c r="FR76" i="4"/>
  <c r="GH76" i="4"/>
  <c r="GX76" i="4"/>
  <c r="HN76" i="4"/>
  <c r="ID76" i="4"/>
  <c r="IT76" i="4"/>
  <c r="JJ76" i="4"/>
  <c r="JZ76" i="4"/>
  <c r="P76" i="4"/>
  <c r="AF76" i="4"/>
  <c r="AV76" i="4"/>
  <c r="BL76" i="4"/>
  <c r="CB76" i="4"/>
  <c r="CR76" i="4"/>
  <c r="DH76" i="4"/>
  <c r="DX76" i="4"/>
  <c r="EN76" i="4"/>
  <c r="FD76" i="4"/>
  <c r="FT76" i="4"/>
  <c r="GJ76" i="4"/>
  <c r="GZ76" i="4"/>
  <c r="HP76" i="4"/>
  <c r="IF76" i="4"/>
  <c r="IV76" i="4"/>
  <c r="JL76" i="4"/>
  <c r="KB76" i="4"/>
  <c r="V76" i="4"/>
  <c r="AX76" i="4"/>
  <c r="BT76" i="4"/>
  <c r="CV76" i="4"/>
  <c r="DW76" i="4"/>
  <c r="ET76" i="4"/>
  <c r="FV76" i="4"/>
  <c r="GR76" i="4"/>
  <c r="HT76" i="4"/>
  <c r="IU76" i="4"/>
  <c r="JR76" i="4"/>
  <c r="W76" i="4"/>
  <c r="AY76" i="4"/>
  <c r="BU76" i="4"/>
  <c r="CW76" i="4"/>
  <c r="DY76" i="4"/>
  <c r="EU76" i="4"/>
  <c r="FW76" i="4"/>
  <c r="GS76" i="4"/>
  <c r="HU76" i="4"/>
  <c r="IW76" i="4"/>
  <c r="JS76" i="4"/>
  <c r="X76" i="4"/>
  <c r="AZ76" i="4"/>
  <c r="CA76" i="4"/>
  <c r="CX76" i="4"/>
  <c r="DZ76" i="4"/>
  <c r="EV76" i="4"/>
  <c r="FX76" i="4"/>
  <c r="GY76" i="4"/>
  <c r="HV76" i="4"/>
  <c r="IX76" i="4"/>
  <c r="JT76" i="4"/>
  <c r="Y76" i="4"/>
  <c r="BA76" i="4"/>
  <c r="CC76" i="4"/>
  <c r="CY76" i="4"/>
  <c r="EA76" i="4"/>
  <c r="EW76" i="4"/>
  <c r="FY76" i="4"/>
  <c r="HA76" i="4"/>
  <c r="HW76" i="4"/>
  <c r="IY76" i="4"/>
  <c r="JU76" i="4"/>
  <c r="AE76" i="4"/>
  <c r="BB76" i="4"/>
  <c r="CD76" i="4"/>
  <c r="CZ76" i="4"/>
  <c r="EB76" i="4"/>
  <c r="FC76" i="4"/>
  <c r="FZ76" i="4"/>
  <c r="HB76" i="4"/>
  <c r="HX76" i="4"/>
  <c r="IZ76" i="4"/>
  <c r="KA76" i="4"/>
  <c r="AH76" i="4"/>
  <c r="BD76" i="4"/>
  <c r="CF76" i="4"/>
  <c r="DG76" i="4"/>
  <c r="ED76" i="4"/>
  <c r="FF76" i="4"/>
  <c r="GB76" i="4"/>
  <c r="HD76" i="4"/>
  <c r="IE76" i="4"/>
  <c r="JB76" i="4"/>
  <c r="KD76" i="4"/>
  <c r="O76" i="4"/>
  <c r="BC76" i="4"/>
  <c r="CQ76" i="4"/>
  <c r="EF76" i="4"/>
  <c r="FS76" i="4"/>
  <c r="HH76" i="4"/>
  <c r="JA76" i="4"/>
  <c r="Q76" i="4"/>
  <c r="BE76" i="4"/>
  <c r="CS76" i="4"/>
  <c r="EG76" i="4"/>
  <c r="FU76" i="4"/>
  <c r="HI76" i="4"/>
  <c r="JC76" i="4"/>
  <c r="R76" i="4"/>
  <c r="BK76" i="4"/>
  <c r="CT76" i="4"/>
  <c r="EM76" i="4"/>
  <c r="GA76" i="4"/>
  <c r="HO76" i="4"/>
  <c r="JD76" i="4"/>
  <c r="S76" i="4"/>
  <c r="BM76" i="4"/>
  <c r="CU76" i="4"/>
  <c r="EO76" i="4"/>
  <c r="GC76" i="4"/>
  <c r="HQ76" i="4"/>
  <c r="JE76" i="4"/>
  <c r="T76" i="4"/>
  <c r="BN76" i="4"/>
  <c r="DA76" i="4"/>
  <c r="EP76" i="4"/>
  <c r="GI76" i="4"/>
  <c r="HR76" i="4"/>
  <c r="JK76" i="4"/>
  <c r="AG76" i="4"/>
  <c r="BP76" i="4"/>
  <c r="DJ76" i="4"/>
  <c r="ER76" i="4"/>
  <c r="GL76" i="4"/>
  <c r="HY76" i="4"/>
  <c r="JN76" i="4"/>
  <c r="AJ76" i="4"/>
  <c r="CJ76" i="4"/>
  <c r="FH76" i="4"/>
  <c r="HS76" i="4"/>
  <c r="KF76" i="4"/>
  <c r="AK76" i="4"/>
  <c r="CK76" i="4"/>
  <c r="FI76" i="4"/>
  <c r="IG76" i="4"/>
  <c r="KG76" i="4"/>
  <c r="AL76" i="4"/>
  <c r="DI76" i="4"/>
  <c r="FJ76" i="4"/>
  <c r="IH76" i="4"/>
  <c r="KH76" i="4"/>
  <c r="AM76" i="4"/>
  <c r="DK76" i="4"/>
  <c r="FK76" i="4"/>
  <c r="II76" i="4"/>
  <c r="KI76" i="4"/>
  <c r="AN76" i="4"/>
  <c r="DL76" i="4"/>
  <c r="FL76" i="4"/>
  <c r="IJ76" i="4"/>
  <c r="AU76" i="4"/>
  <c r="DN76" i="4"/>
  <c r="GK76" i="4"/>
  <c r="IL76" i="4"/>
  <c r="CE76" i="4"/>
  <c r="GN76" i="4"/>
  <c r="KC76" i="4"/>
  <c r="CG76" i="4"/>
  <c r="GO76" i="4"/>
  <c r="KE76" i="4"/>
  <c r="CH76" i="4"/>
  <c r="GP76" i="4"/>
  <c r="CI76" i="4"/>
  <c r="GQ76" i="4"/>
  <c r="DM76" i="4"/>
  <c r="HC76" i="4"/>
  <c r="DP76" i="4"/>
  <c r="HF76" i="4"/>
  <c r="EQ76" i="4"/>
  <c r="ES76" i="4"/>
  <c r="FE76" i="4"/>
  <c r="I76" i="4"/>
  <c r="FG76" i="4"/>
  <c r="U76" i="4"/>
  <c r="FM76" i="4"/>
  <c r="AO76" i="4"/>
  <c r="HE76" i="4"/>
  <c r="IN76" i="4"/>
  <c r="IO76" i="4"/>
  <c r="AI76" i="4"/>
  <c r="JM76" i="4"/>
  <c r="AW76" i="4"/>
  <c r="JO76" i="4"/>
  <c r="BO76" i="4"/>
  <c r="JP76" i="4"/>
  <c r="BR76" i="4"/>
  <c r="GM76" i="4"/>
  <c r="HG76" i="4"/>
  <c r="IK76" i="4"/>
  <c r="IM76" i="4"/>
  <c r="JQ76" i="4"/>
  <c r="BQ76" i="4"/>
  <c r="EC76" i="4"/>
  <c r="EE76" i="4"/>
  <c r="DO76" i="4"/>
  <c r="DQ76" i="4"/>
  <c r="BS76" i="4"/>
  <c r="J48" i="4"/>
  <c r="Z48" i="4"/>
  <c r="AP48" i="4"/>
  <c r="BF48" i="4"/>
  <c r="BV48" i="4"/>
  <c r="CL48" i="4"/>
  <c r="DB48" i="4"/>
  <c r="DR48" i="4"/>
  <c r="EH48" i="4"/>
  <c r="EX48" i="4"/>
  <c r="FN48" i="4"/>
  <c r="GD48" i="4"/>
  <c r="GT48" i="4"/>
  <c r="HJ48" i="4"/>
  <c r="HZ48" i="4"/>
  <c r="IP48" i="4"/>
  <c r="JF48" i="4"/>
  <c r="JV48" i="4"/>
  <c r="K48" i="4"/>
  <c r="AA48" i="4"/>
  <c r="AQ48" i="4"/>
  <c r="BG48" i="4"/>
  <c r="BW48" i="4"/>
  <c r="CM48" i="4"/>
  <c r="DC48" i="4"/>
  <c r="DS48" i="4"/>
  <c r="EI48" i="4"/>
  <c r="EY48" i="4"/>
  <c r="FO48" i="4"/>
  <c r="GE48" i="4"/>
  <c r="GU48" i="4"/>
  <c r="HK48" i="4"/>
  <c r="IA48" i="4"/>
  <c r="IQ48" i="4"/>
  <c r="JG48" i="4"/>
  <c r="JW48" i="4"/>
  <c r="L48" i="4"/>
  <c r="AB48" i="4"/>
  <c r="AR48" i="4"/>
  <c r="BH48" i="4"/>
  <c r="BX48" i="4"/>
  <c r="CN48" i="4"/>
  <c r="DD48" i="4"/>
  <c r="DT48" i="4"/>
  <c r="EJ48" i="4"/>
  <c r="EZ48" i="4"/>
  <c r="FP48" i="4"/>
  <c r="GF48" i="4"/>
  <c r="GV48" i="4"/>
  <c r="HL48" i="4"/>
  <c r="IB48" i="4"/>
  <c r="IR48" i="4"/>
  <c r="JH48" i="4"/>
  <c r="JX48" i="4"/>
  <c r="P48" i="4"/>
  <c r="AF48" i="4"/>
  <c r="AV48" i="4"/>
  <c r="BL48" i="4"/>
  <c r="CB48" i="4"/>
  <c r="CR48" i="4"/>
  <c r="DH48" i="4"/>
  <c r="DX48" i="4"/>
  <c r="EN48" i="4"/>
  <c r="FD48" i="4"/>
  <c r="FT48" i="4"/>
  <c r="GJ48" i="4"/>
  <c r="GZ48" i="4"/>
  <c r="HP48" i="4"/>
  <c r="IF48" i="4"/>
  <c r="IV48" i="4"/>
  <c r="JL48" i="4"/>
  <c r="KB48" i="4"/>
  <c r="AC48" i="4"/>
  <c r="AX48" i="4"/>
  <c r="BR48" i="4"/>
  <c r="CO48" i="4"/>
  <c r="DJ48" i="4"/>
  <c r="ED48" i="4"/>
  <c r="FA48" i="4"/>
  <c r="FV48" i="4"/>
  <c r="GP48" i="4"/>
  <c r="HM48" i="4"/>
  <c r="IH48" i="4"/>
  <c r="JB48" i="4"/>
  <c r="JY48" i="4"/>
  <c r="AD48" i="4"/>
  <c r="AY48" i="4"/>
  <c r="BS48" i="4"/>
  <c r="CP48" i="4"/>
  <c r="DK48" i="4"/>
  <c r="EE48" i="4"/>
  <c r="FB48" i="4"/>
  <c r="FW48" i="4"/>
  <c r="GQ48" i="4"/>
  <c r="HN48" i="4"/>
  <c r="II48" i="4"/>
  <c r="JC48" i="4"/>
  <c r="JZ48" i="4"/>
  <c r="AE48" i="4"/>
  <c r="AZ48" i="4"/>
  <c r="BT48" i="4"/>
  <c r="CQ48" i="4"/>
  <c r="DL48" i="4"/>
  <c r="EF48" i="4"/>
  <c r="FC48" i="4"/>
  <c r="FX48" i="4"/>
  <c r="GR48" i="4"/>
  <c r="HO48" i="4"/>
  <c r="IJ48" i="4"/>
  <c r="JD48" i="4"/>
  <c r="KA48" i="4"/>
  <c r="I48" i="4"/>
  <c r="AG48" i="4"/>
  <c r="BA48" i="4"/>
  <c r="BU48" i="4"/>
  <c r="CS48" i="4"/>
  <c r="DM48" i="4"/>
  <c r="EG48" i="4"/>
  <c r="FE48" i="4"/>
  <c r="FY48" i="4"/>
  <c r="GS48" i="4"/>
  <c r="HQ48" i="4"/>
  <c r="IK48" i="4"/>
  <c r="JE48" i="4"/>
  <c r="KC48" i="4"/>
  <c r="M48" i="4"/>
  <c r="AH48" i="4"/>
  <c r="BB48" i="4"/>
  <c r="BY48" i="4"/>
  <c r="CT48" i="4"/>
  <c r="DN48" i="4"/>
  <c r="EK48" i="4"/>
  <c r="FF48" i="4"/>
  <c r="FZ48" i="4"/>
  <c r="GW48" i="4"/>
  <c r="HR48" i="4"/>
  <c r="IL48" i="4"/>
  <c r="JI48" i="4"/>
  <c r="KD48" i="4"/>
  <c r="O48" i="4"/>
  <c r="AJ48" i="4"/>
  <c r="BD48" i="4"/>
  <c r="CA48" i="4"/>
  <c r="CV48" i="4"/>
  <c r="DP48" i="4"/>
  <c r="EM48" i="4"/>
  <c r="FH48" i="4"/>
  <c r="GB48" i="4"/>
  <c r="GY48" i="4"/>
  <c r="HT48" i="4"/>
  <c r="IN48" i="4"/>
  <c r="JK48" i="4"/>
  <c r="KF48" i="4"/>
  <c r="T48" i="4"/>
  <c r="BC48" i="4"/>
  <c r="CH48" i="4"/>
  <c r="DU48" i="4"/>
  <c r="EV48" i="4"/>
  <c r="GI48" i="4"/>
  <c r="HS48" i="4"/>
  <c r="IX48" i="4"/>
  <c r="KH48" i="4"/>
  <c r="U48" i="4"/>
  <c r="BE48" i="4"/>
  <c r="CI48" i="4"/>
  <c r="DV48" i="4"/>
  <c r="EW48" i="4"/>
  <c r="GK48" i="4"/>
  <c r="HU48" i="4"/>
  <c r="IY48" i="4"/>
  <c r="KI48" i="4"/>
  <c r="V48" i="4"/>
  <c r="BI48" i="4"/>
  <c r="CJ48" i="4"/>
  <c r="DW48" i="4"/>
  <c r="FG48" i="4"/>
  <c r="GL48" i="4"/>
  <c r="HV48" i="4"/>
  <c r="IZ48" i="4"/>
  <c r="W48" i="4"/>
  <c r="BJ48" i="4"/>
  <c r="CK48" i="4"/>
  <c r="DY48" i="4"/>
  <c r="FI48" i="4"/>
  <c r="GM48" i="4"/>
  <c r="HW48" i="4"/>
  <c r="JA48" i="4"/>
  <c r="X48" i="4"/>
  <c r="BK48" i="4"/>
  <c r="CU48" i="4"/>
  <c r="DZ48" i="4"/>
  <c r="FJ48" i="4"/>
  <c r="GN48" i="4"/>
  <c r="HX48" i="4"/>
  <c r="JJ48" i="4"/>
  <c r="AI48" i="4"/>
  <c r="BN48" i="4"/>
  <c r="CX48" i="4"/>
  <c r="EB48" i="4"/>
  <c r="FL48" i="4"/>
  <c r="GX48" i="4"/>
  <c r="IC48" i="4"/>
  <c r="JN48" i="4"/>
  <c r="AS48" i="4"/>
  <c r="CZ48" i="4"/>
  <c r="ET48" i="4"/>
  <c r="HD48" i="4"/>
  <c r="JM48" i="4"/>
  <c r="AT48" i="4"/>
  <c r="DA48" i="4"/>
  <c r="EU48" i="4"/>
  <c r="HE48" i="4"/>
  <c r="JO48" i="4"/>
  <c r="AU48" i="4"/>
  <c r="DE48" i="4"/>
  <c r="FK48" i="4"/>
  <c r="HF48" i="4"/>
  <c r="JP48" i="4"/>
  <c r="AW48" i="4"/>
  <c r="DF48" i="4"/>
  <c r="FM48" i="4"/>
  <c r="HG48" i="4"/>
  <c r="JQ48" i="4"/>
  <c r="BM48" i="4"/>
  <c r="DG48" i="4"/>
  <c r="FQ48" i="4"/>
  <c r="HH48" i="4"/>
  <c r="JR48" i="4"/>
  <c r="N48" i="4"/>
  <c r="BP48" i="4"/>
  <c r="DO48" i="4"/>
  <c r="FS48" i="4"/>
  <c r="HY48" i="4"/>
  <c r="JT48" i="4"/>
  <c r="BZ48" i="4"/>
  <c r="ER48" i="4"/>
  <c r="IM48" i="4"/>
  <c r="CC48" i="4"/>
  <c r="ES48" i="4"/>
  <c r="IO48" i="4"/>
  <c r="CD48" i="4"/>
  <c r="FR48" i="4"/>
  <c r="IS48" i="4"/>
  <c r="CE48" i="4"/>
  <c r="FU48" i="4"/>
  <c r="IT48" i="4"/>
  <c r="CF48" i="4"/>
  <c r="GA48" i="4"/>
  <c r="IU48" i="4"/>
  <c r="R48" i="4"/>
  <c r="CW48" i="4"/>
  <c r="GG48" i="4"/>
  <c r="JS48" i="4"/>
  <c r="AN48" i="4"/>
  <c r="GO48" i="4"/>
  <c r="AO48" i="4"/>
  <c r="HA48" i="4"/>
  <c r="BO48" i="4"/>
  <c r="HB48" i="4"/>
  <c r="BQ48" i="4"/>
  <c r="HC48" i="4"/>
  <c r="CG48" i="4"/>
  <c r="HI48" i="4"/>
  <c r="DI48" i="4"/>
  <c r="IE48" i="4"/>
  <c r="EA48" i="4"/>
  <c r="EC48" i="4"/>
  <c r="EL48" i="4"/>
  <c r="EO48" i="4"/>
  <c r="EP48" i="4"/>
  <c r="GC48" i="4"/>
  <c r="EQ48" i="4"/>
  <c r="GH48" i="4"/>
  <c r="ID48" i="4"/>
  <c r="IG48" i="4"/>
  <c r="IW48" i="4"/>
  <c r="KE48" i="4"/>
  <c r="Q48" i="4"/>
  <c r="S48" i="4"/>
  <c r="Y48" i="4"/>
  <c r="AK48" i="4"/>
  <c r="AL48" i="4"/>
  <c r="CY48" i="4"/>
  <c r="JU48" i="4"/>
  <c r="DQ48" i="4"/>
  <c r="AM48" i="4"/>
  <c r="KG48" i="4"/>
  <c r="W164" i="4"/>
  <c r="AM164" i="4"/>
  <c r="BC164" i="4"/>
  <c r="BS164" i="4"/>
  <c r="CI164" i="4"/>
  <c r="CY164" i="4"/>
  <c r="DO164" i="4"/>
  <c r="EE164" i="4"/>
  <c r="EU164" i="4"/>
  <c r="FK164" i="4"/>
  <c r="GA164" i="4"/>
  <c r="GQ164" i="4"/>
  <c r="HG164" i="4"/>
  <c r="HW164" i="4"/>
  <c r="IM164" i="4"/>
  <c r="JC164" i="4"/>
  <c r="JS164" i="4"/>
  <c r="KI164" i="4"/>
  <c r="U164" i="4"/>
  <c r="AL164" i="4"/>
  <c r="BD164" i="4"/>
  <c r="BU164" i="4"/>
  <c r="CL164" i="4"/>
  <c r="DC164" i="4"/>
  <c r="DT164" i="4"/>
  <c r="EK164" i="4"/>
  <c r="FB164" i="4"/>
  <c r="FS164" i="4"/>
  <c r="GJ164" i="4"/>
  <c r="HA164" i="4"/>
  <c r="HR164" i="4"/>
  <c r="II164" i="4"/>
  <c r="IZ164" i="4"/>
  <c r="JQ164" i="4"/>
  <c r="KH164" i="4"/>
  <c r="V164" i="4"/>
  <c r="AN164" i="4"/>
  <c r="BE164" i="4"/>
  <c r="BV164" i="4"/>
  <c r="CM164" i="4"/>
  <c r="DD164" i="4"/>
  <c r="DU164" i="4"/>
  <c r="EL164" i="4"/>
  <c r="FC164" i="4"/>
  <c r="FT164" i="4"/>
  <c r="GK164" i="4"/>
  <c r="HB164" i="4"/>
  <c r="HS164" i="4"/>
  <c r="IJ164" i="4"/>
  <c r="JA164" i="4"/>
  <c r="JR164" i="4"/>
  <c r="X164" i="4"/>
  <c r="AO164" i="4"/>
  <c r="BF164" i="4"/>
  <c r="BW164" i="4"/>
  <c r="CN164" i="4"/>
  <c r="DE164" i="4"/>
  <c r="DV164" i="4"/>
  <c r="EM164" i="4"/>
  <c r="FD164" i="4"/>
  <c r="FU164" i="4"/>
  <c r="GL164" i="4"/>
  <c r="HC164" i="4"/>
  <c r="HT164" i="4"/>
  <c r="IK164" i="4"/>
  <c r="JB164" i="4"/>
  <c r="JT164" i="4"/>
  <c r="K164" i="4"/>
  <c r="AB164" i="4"/>
  <c r="AS164" i="4"/>
  <c r="BJ164" i="4"/>
  <c r="CA164" i="4"/>
  <c r="CR164" i="4"/>
  <c r="DI164" i="4"/>
  <c r="DZ164" i="4"/>
  <c r="EQ164" i="4"/>
  <c r="FH164" i="4"/>
  <c r="FY164" i="4"/>
  <c r="GP164" i="4"/>
  <c r="HH164" i="4"/>
  <c r="HY164" i="4"/>
  <c r="IP164" i="4"/>
  <c r="JG164" i="4"/>
  <c r="JX164" i="4"/>
  <c r="J164" i="4"/>
  <c r="AF164" i="4"/>
  <c r="BA164" i="4"/>
  <c r="BZ164" i="4"/>
  <c r="CV164" i="4"/>
  <c r="DR164" i="4"/>
  <c r="EP164" i="4"/>
  <c r="FM164" i="4"/>
  <c r="GH164" i="4"/>
  <c r="HF164" i="4"/>
  <c r="IC164" i="4"/>
  <c r="IX164" i="4"/>
  <c r="JW164" i="4"/>
  <c r="L164" i="4"/>
  <c r="AG164" i="4"/>
  <c r="BB164" i="4"/>
  <c r="CB164" i="4"/>
  <c r="CW164" i="4"/>
  <c r="DS164" i="4"/>
  <c r="ER164" i="4"/>
  <c r="FN164" i="4"/>
  <c r="GI164" i="4"/>
  <c r="HI164" i="4"/>
  <c r="ID164" i="4"/>
  <c r="IY164" i="4"/>
  <c r="JY164" i="4"/>
  <c r="M164" i="4"/>
  <c r="AH164" i="4"/>
  <c r="BG164" i="4"/>
  <c r="CC164" i="4"/>
  <c r="CX164" i="4"/>
  <c r="DW164" i="4"/>
  <c r="ES164" i="4"/>
  <c r="FO164" i="4"/>
  <c r="GM164" i="4"/>
  <c r="HJ164" i="4"/>
  <c r="IE164" i="4"/>
  <c r="JD164" i="4"/>
  <c r="JZ164" i="4"/>
  <c r="N164" i="4"/>
  <c r="AI164" i="4"/>
  <c r="BH164" i="4"/>
  <c r="CD164" i="4"/>
  <c r="CZ164" i="4"/>
  <c r="DX164" i="4"/>
  <c r="ET164" i="4"/>
  <c r="FP164" i="4"/>
  <c r="GN164" i="4"/>
  <c r="HK164" i="4"/>
  <c r="IF164" i="4"/>
  <c r="JE164" i="4"/>
  <c r="KA164" i="4"/>
  <c r="O164" i="4"/>
  <c r="AJ164" i="4"/>
  <c r="BI164" i="4"/>
  <c r="CE164" i="4"/>
  <c r="DA164" i="4"/>
  <c r="DY164" i="4"/>
  <c r="EV164" i="4"/>
  <c r="FQ164" i="4"/>
  <c r="GO164" i="4"/>
  <c r="HL164" i="4"/>
  <c r="IG164" i="4"/>
  <c r="JF164" i="4"/>
  <c r="KB164" i="4"/>
  <c r="Q164" i="4"/>
  <c r="AP164" i="4"/>
  <c r="BL164" i="4"/>
  <c r="CG164" i="4"/>
  <c r="DF164" i="4"/>
  <c r="EB164" i="4"/>
  <c r="EX164" i="4"/>
  <c r="FV164" i="4"/>
  <c r="GS164" i="4"/>
  <c r="HN164" i="4"/>
  <c r="IL164" i="4"/>
  <c r="JI164" i="4"/>
  <c r="KD164" i="4"/>
  <c r="AK164" i="4"/>
  <c r="BR164" i="4"/>
  <c r="DH164" i="4"/>
  <c r="EN164" i="4"/>
  <c r="GB164" i="4"/>
  <c r="HM164" i="4"/>
  <c r="IT164" i="4"/>
  <c r="KF164" i="4"/>
  <c r="AQ164" i="4"/>
  <c r="BT164" i="4"/>
  <c r="DJ164" i="4"/>
  <c r="EO164" i="4"/>
  <c r="GC164" i="4"/>
  <c r="HO164" i="4"/>
  <c r="IU164" i="4"/>
  <c r="KG164" i="4"/>
  <c r="AR164" i="4"/>
  <c r="BX164" i="4"/>
  <c r="DK164" i="4"/>
  <c r="EW164" i="4"/>
  <c r="GD164" i="4"/>
  <c r="HP164" i="4"/>
  <c r="IV164" i="4"/>
  <c r="AT164" i="4"/>
  <c r="BY164" i="4"/>
  <c r="DL164" i="4"/>
  <c r="EY164" i="4"/>
  <c r="GE164" i="4"/>
  <c r="HQ164" i="4"/>
  <c r="IW164" i="4"/>
  <c r="AU164" i="4"/>
  <c r="CF164" i="4"/>
  <c r="DM164" i="4"/>
  <c r="EZ164" i="4"/>
  <c r="GF164" i="4"/>
  <c r="HU164" i="4"/>
  <c r="JH164" i="4"/>
  <c r="P164" i="4"/>
  <c r="AW164" i="4"/>
  <c r="CJ164" i="4"/>
  <c r="DP164" i="4"/>
  <c r="FE164" i="4"/>
  <c r="GR164" i="4"/>
  <c r="HX164" i="4"/>
  <c r="JK164" i="4"/>
  <c r="AY164" i="4"/>
  <c r="DB164" i="4"/>
  <c r="FJ164" i="4"/>
  <c r="HV164" i="4"/>
  <c r="JU164" i="4"/>
  <c r="AZ164" i="4"/>
  <c r="DG164" i="4"/>
  <c r="FL164" i="4"/>
  <c r="HZ164" i="4"/>
  <c r="JV164" i="4"/>
  <c r="BK164" i="4"/>
  <c r="DN164" i="4"/>
  <c r="FR164" i="4"/>
  <c r="IA164" i="4"/>
  <c r="KC164" i="4"/>
  <c r="BM164" i="4"/>
  <c r="DQ164" i="4"/>
  <c r="FW164" i="4"/>
  <c r="IB164" i="4"/>
  <c r="KE164" i="4"/>
  <c r="I164" i="4"/>
  <c r="BN164" i="4"/>
  <c r="EA164" i="4"/>
  <c r="FX164" i="4"/>
  <c r="IH164" i="4"/>
  <c r="S164" i="4"/>
  <c r="BP164" i="4"/>
  <c r="ED164" i="4"/>
  <c r="GG164" i="4"/>
  <c r="IO164" i="4"/>
  <c r="AA164" i="4"/>
  <c r="EC164" i="4"/>
  <c r="GY164" i="4"/>
  <c r="AC164" i="4"/>
  <c r="EF164" i="4"/>
  <c r="GZ164" i="4"/>
  <c r="AD164" i="4"/>
  <c r="EG164" i="4"/>
  <c r="HD164" i="4"/>
  <c r="AE164" i="4"/>
  <c r="EH164" i="4"/>
  <c r="HE164" i="4"/>
  <c r="AV164" i="4"/>
  <c r="EI164" i="4"/>
  <c r="IN164" i="4"/>
  <c r="CQ164" i="4"/>
  <c r="IR164" i="4"/>
  <c r="CS164" i="4"/>
  <c r="IS164" i="4"/>
  <c r="CT164" i="4"/>
  <c r="JJ164" i="4"/>
  <c r="CU164" i="4"/>
  <c r="JL164" i="4"/>
  <c r="EJ164" i="4"/>
  <c r="JM164" i="4"/>
  <c r="BO164" i="4"/>
  <c r="GT164" i="4"/>
  <c r="CO164" i="4"/>
  <c r="CP164" i="4"/>
  <c r="FA164" i="4"/>
  <c r="FF164" i="4"/>
  <c r="FI164" i="4"/>
  <c r="Y164" i="4"/>
  <c r="GX164" i="4"/>
  <c r="T164" i="4"/>
  <c r="Z164" i="4"/>
  <c r="AX164" i="4"/>
  <c r="BQ164" i="4"/>
  <c r="CH164" i="4"/>
  <c r="CK164" i="4"/>
  <c r="R164" i="4"/>
  <c r="FG164" i="4"/>
  <c r="FZ164" i="4"/>
  <c r="GU164" i="4"/>
  <c r="GV164" i="4"/>
  <c r="GW164" i="4"/>
  <c r="IQ164" i="4"/>
  <c r="JN164" i="4"/>
  <c r="JO164" i="4"/>
  <c r="JP164" i="4"/>
  <c r="Q148" i="4"/>
  <c r="AG148" i="4"/>
  <c r="AW148" i="4"/>
  <c r="BM148" i="4"/>
  <c r="CC148" i="4"/>
  <c r="CS148" i="4"/>
  <c r="DI148" i="4"/>
  <c r="DY148" i="4"/>
  <c r="EO148" i="4"/>
  <c r="FE148" i="4"/>
  <c r="FU148" i="4"/>
  <c r="GK148" i="4"/>
  <c r="HA148" i="4"/>
  <c r="HQ148" i="4"/>
  <c r="IG148" i="4"/>
  <c r="IW148" i="4"/>
  <c r="JM148" i="4"/>
  <c r="KC148" i="4"/>
  <c r="R148" i="4"/>
  <c r="AH148" i="4"/>
  <c r="AX148" i="4"/>
  <c r="BN148" i="4"/>
  <c r="CD148" i="4"/>
  <c r="CT148" i="4"/>
  <c r="DJ148" i="4"/>
  <c r="DZ148" i="4"/>
  <c r="EP148" i="4"/>
  <c r="FF148" i="4"/>
  <c r="FV148" i="4"/>
  <c r="GL148" i="4"/>
  <c r="HB148" i="4"/>
  <c r="HR148" i="4"/>
  <c r="IH148" i="4"/>
  <c r="IX148" i="4"/>
  <c r="JN148" i="4"/>
  <c r="KD148" i="4"/>
  <c r="S148" i="4"/>
  <c r="AI148" i="4"/>
  <c r="AY148" i="4"/>
  <c r="BO148" i="4"/>
  <c r="CE148" i="4"/>
  <c r="CU148" i="4"/>
  <c r="DK148" i="4"/>
  <c r="EA148" i="4"/>
  <c r="EQ148" i="4"/>
  <c r="FG148" i="4"/>
  <c r="FW148" i="4"/>
  <c r="GM148" i="4"/>
  <c r="HC148" i="4"/>
  <c r="HS148" i="4"/>
  <c r="II148" i="4"/>
  <c r="IY148" i="4"/>
  <c r="JO148" i="4"/>
  <c r="KE148" i="4"/>
  <c r="W148" i="4"/>
  <c r="AM148" i="4"/>
  <c r="BC148" i="4"/>
  <c r="BS148" i="4"/>
  <c r="CI148" i="4"/>
  <c r="CY148" i="4"/>
  <c r="DO148" i="4"/>
  <c r="EE148" i="4"/>
  <c r="EU148" i="4"/>
  <c r="FK148" i="4"/>
  <c r="GA148" i="4"/>
  <c r="GQ148" i="4"/>
  <c r="HG148" i="4"/>
  <c r="HW148" i="4"/>
  <c r="IM148" i="4"/>
  <c r="JC148" i="4"/>
  <c r="JS148" i="4"/>
  <c r="KI148" i="4"/>
  <c r="V148" i="4"/>
  <c r="AQ148" i="4"/>
  <c r="BK148" i="4"/>
  <c r="CH148" i="4"/>
  <c r="DC148" i="4"/>
  <c r="DW148" i="4"/>
  <c r="ET148" i="4"/>
  <c r="FO148" i="4"/>
  <c r="GI148" i="4"/>
  <c r="HF148" i="4"/>
  <c r="IA148" i="4"/>
  <c r="IU148" i="4"/>
  <c r="JR148" i="4"/>
  <c r="X148" i="4"/>
  <c r="AR148" i="4"/>
  <c r="BL148" i="4"/>
  <c r="CJ148" i="4"/>
  <c r="DD148" i="4"/>
  <c r="DX148" i="4"/>
  <c r="EV148" i="4"/>
  <c r="FP148" i="4"/>
  <c r="GJ148" i="4"/>
  <c r="HH148" i="4"/>
  <c r="IB148" i="4"/>
  <c r="IV148" i="4"/>
  <c r="JT148" i="4"/>
  <c r="Y148" i="4"/>
  <c r="AS148" i="4"/>
  <c r="BP148" i="4"/>
  <c r="CK148" i="4"/>
  <c r="DE148" i="4"/>
  <c r="EB148" i="4"/>
  <c r="EW148" i="4"/>
  <c r="FQ148" i="4"/>
  <c r="GN148" i="4"/>
  <c r="HI148" i="4"/>
  <c r="IC148" i="4"/>
  <c r="IZ148" i="4"/>
  <c r="JU148" i="4"/>
  <c r="Z148" i="4"/>
  <c r="AT148" i="4"/>
  <c r="BQ148" i="4"/>
  <c r="CL148" i="4"/>
  <c r="DF148" i="4"/>
  <c r="EC148" i="4"/>
  <c r="EX148" i="4"/>
  <c r="FR148" i="4"/>
  <c r="GO148" i="4"/>
  <c r="HJ148" i="4"/>
  <c r="ID148" i="4"/>
  <c r="JA148" i="4"/>
  <c r="JV148" i="4"/>
  <c r="I148" i="4"/>
  <c r="AC148" i="4"/>
  <c r="AZ148" i="4"/>
  <c r="BU148" i="4"/>
  <c r="CO148" i="4"/>
  <c r="DL148" i="4"/>
  <c r="EG148" i="4"/>
  <c r="FA148" i="4"/>
  <c r="FX148" i="4"/>
  <c r="GS148" i="4"/>
  <c r="HM148" i="4"/>
  <c r="IJ148" i="4"/>
  <c r="JE148" i="4"/>
  <c r="JY148" i="4"/>
  <c r="AB148" i="4"/>
  <c r="BF148" i="4"/>
  <c r="CM148" i="4"/>
  <c r="DQ148" i="4"/>
  <c r="ES148" i="4"/>
  <c r="GB148" i="4"/>
  <c r="HD148" i="4"/>
  <c r="IL148" i="4"/>
  <c r="JL148" i="4"/>
  <c r="AD148" i="4"/>
  <c r="BG148" i="4"/>
  <c r="CN148" i="4"/>
  <c r="DR148" i="4"/>
  <c r="EY148" i="4"/>
  <c r="GC148" i="4"/>
  <c r="HE148" i="4"/>
  <c r="IN148" i="4"/>
  <c r="JP148" i="4"/>
  <c r="AE148" i="4"/>
  <c r="BH148" i="4"/>
  <c r="CP148" i="4"/>
  <c r="DS148" i="4"/>
  <c r="EZ148" i="4"/>
  <c r="GD148" i="4"/>
  <c r="HK148" i="4"/>
  <c r="IO148" i="4"/>
  <c r="JQ148" i="4"/>
  <c r="AF148" i="4"/>
  <c r="BI148" i="4"/>
  <c r="CQ148" i="4"/>
  <c r="DT148" i="4"/>
  <c r="FB148" i="4"/>
  <c r="GE148" i="4"/>
  <c r="HL148" i="4"/>
  <c r="IP148" i="4"/>
  <c r="JW148" i="4"/>
  <c r="AJ148" i="4"/>
  <c r="BJ148" i="4"/>
  <c r="CR148" i="4"/>
  <c r="DU148" i="4"/>
  <c r="FC148" i="4"/>
  <c r="GF148" i="4"/>
  <c r="HN148" i="4"/>
  <c r="IQ148" i="4"/>
  <c r="JX148" i="4"/>
  <c r="J148" i="4"/>
  <c r="AL148" i="4"/>
  <c r="BT148" i="4"/>
  <c r="CW148" i="4"/>
  <c r="ED148" i="4"/>
  <c r="FH148" i="4"/>
  <c r="GH148" i="4"/>
  <c r="HP148" i="4"/>
  <c r="IS148" i="4"/>
  <c r="KA148" i="4"/>
  <c r="AO148" i="4"/>
  <c r="CF148" i="4"/>
  <c r="EJ148" i="4"/>
  <c r="GG148" i="4"/>
  <c r="HZ148" i="4"/>
  <c r="KF148" i="4"/>
  <c r="AP148" i="4"/>
  <c r="CG148" i="4"/>
  <c r="EK148" i="4"/>
  <c r="GP148" i="4"/>
  <c r="IE148" i="4"/>
  <c r="KG148" i="4"/>
  <c r="AU148" i="4"/>
  <c r="CV148" i="4"/>
  <c r="EL148" i="4"/>
  <c r="GR148" i="4"/>
  <c r="IF148" i="4"/>
  <c r="KH148" i="4"/>
  <c r="AV148" i="4"/>
  <c r="CX148" i="4"/>
  <c r="EM148" i="4"/>
  <c r="GT148" i="4"/>
  <c r="IK148" i="4"/>
  <c r="BA148" i="4"/>
  <c r="CZ148" i="4"/>
  <c r="EN148" i="4"/>
  <c r="GU148" i="4"/>
  <c r="IR148" i="4"/>
  <c r="L148" i="4"/>
  <c r="BD148" i="4"/>
  <c r="DB148" i="4"/>
  <c r="FD148" i="4"/>
  <c r="GW148" i="4"/>
  <c r="JB148" i="4"/>
  <c r="P148" i="4"/>
  <c r="DA148" i="4"/>
  <c r="FS148" i="4"/>
  <c r="JF148" i="4"/>
  <c r="T148" i="4"/>
  <c r="DG148" i="4"/>
  <c r="FT148" i="4"/>
  <c r="JG148" i="4"/>
  <c r="U148" i="4"/>
  <c r="DH148" i="4"/>
  <c r="FY148" i="4"/>
  <c r="JH148" i="4"/>
  <c r="AA148" i="4"/>
  <c r="DM148" i="4"/>
  <c r="FZ148" i="4"/>
  <c r="JI148" i="4"/>
  <c r="AK148" i="4"/>
  <c r="DN148" i="4"/>
  <c r="GV148" i="4"/>
  <c r="JJ148" i="4"/>
  <c r="BB148" i="4"/>
  <c r="DV148" i="4"/>
  <c r="GY148" i="4"/>
  <c r="JZ148" i="4"/>
  <c r="BR148" i="4"/>
  <c r="FM148" i="4"/>
  <c r="BV148" i="4"/>
  <c r="FN148" i="4"/>
  <c r="BW148" i="4"/>
  <c r="GX148" i="4"/>
  <c r="BX148" i="4"/>
  <c r="GZ148" i="4"/>
  <c r="BY148" i="4"/>
  <c r="HO148" i="4"/>
  <c r="EH148" i="4"/>
  <c r="EI148" i="4"/>
  <c r="ER148" i="4"/>
  <c r="FI148" i="4"/>
  <c r="FJ148" i="4"/>
  <c r="BE148" i="4"/>
  <c r="HY148" i="4"/>
  <c r="FL148" i="4"/>
  <c r="HT148" i="4"/>
  <c r="HU148" i="4"/>
  <c r="HV148" i="4"/>
  <c r="IT148" i="4"/>
  <c r="AN148" i="4"/>
  <c r="DP148" i="4"/>
  <c r="EF148" i="4"/>
  <c r="HX148" i="4"/>
  <c r="JD148" i="4"/>
  <c r="JK148" i="4"/>
  <c r="KB148" i="4"/>
  <c r="K148" i="4"/>
  <c r="M148" i="4"/>
  <c r="N148" i="4"/>
  <c r="O148" i="4"/>
  <c r="BZ148" i="4"/>
  <c r="CA148" i="4"/>
  <c r="CB148" i="4"/>
  <c r="R100" i="4"/>
  <c r="AH100" i="4"/>
  <c r="AX100" i="4"/>
  <c r="BN100" i="4"/>
  <c r="CD100" i="4"/>
  <c r="CT100" i="4"/>
  <c r="DJ100" i="4"/>
  <c r="DZ100" i="4"/>
  <c r="EP100" i="4"/>
  <c r="FF100" i="4"/>
  <c r="FV100" i="4"/>
  <c r="GL100" i="4"/>
  <c r="HB100" i="4"/>
  <c r="HR100" i="4"/>
  <c r="IH100" i="4"/>
  <c r="IX100" i="4"/>
  <c r="JN100" i="4"/>
  <c r="KD100" i="4"/>
  <c r="S100" i="4"/>
  <c r="AI100" i="4"/>
  <c r="AY100" i="4"/>
  <c r="BO100" i="4"/>
  <c r="CE100" i="4"/>
  <c r="CU100" i="4"/>
  <c r="DK100" i="4"/>
  <c r="EA100" i="4"/>
  <c r="EQ100" i="4"/>
  <c r="FG100" i="4"/>
  <c r="FW100" i="4"/>
  <c r="GM100" i="4"/>
  <c r="HC100" i="4"/>
  <c r="HS100" i="4"/>
  <c r="II100" i="4"/>
  <c r="IY100" i="4"/>
  <c r="JO100" i="4"/>
  <c r="KE100" i="4"/>
  <c r="T100" i="4"/>
  <c r="AJ100" i="4"/>
  <c r="AZ100" i="4"/>
  <c r="BP100" i="4"/>
  <c r="CF100" i="4"/>
  <c r="CV100" i="4"/>
  <c r="DL100" i="4"/>
  <c r="EB100" i="4"/>
  <c r="ER100" i="4"/>
  <c r="FH100" i="4"/>
  <c r="FX100" i="4"/>
  <c r="GN100" i="4"/>
  <c r="HD100" i="4"/>
  <c r="HT100" i="4"/>
  <c r="IJ100" i="4"/>
  <c r="IZ100" i="4"/>
  <c r="JP100" i="4"/>
  <c r="KF100" i="4"/>
  <c r="X100" i="4"/>
  <c r="AN100" i="4"/>
  <c r="BD100" i="4"/>
  <c r="BT100" i="4"/>
  <c r="CJ100" i="4"/>
  <c r="CZ100" i="4"/>
  <c r="DP100" i="4"/>
  <c r="EF100" i="4"/>
  <c r="EV100" i="4"/>
  <c r="FL100" i="4"/>
  <c r="GB100" i="4"/>
  <c r="GR100" i="4"/>
  <c r="HH100" i="4"/>
  <c r="HX100" i="4"/>
  <c r="IN100" i="4"/>
  <c r="JD100" i="4"/>
  <c r="JT100" i="4"/>
  <c r="J100" i="4"/>
  <c r="AD100" i="4"/>
  <c r="BA100" i="4"/>
  <c r="BV100" i="4"/>
  <c r="CP100" i="4"/>
  <c r="DM100" i="4"/>
  <c r="EH100" i="4"/>
  <c r="FB100" i="4"/>
  <c r="FY100" i="4"/>
  <c r="GT100" i="4"/>
  <c r="HN100" i="4"/>
  <c r="IK100" i="4"/>
  <c r="JF100" i="4"/>
  <c r="JZ100" i="4"/>
  <c r="K100" i="4"/>
  <c r="AE100" i="4"/>
  <c r="BB100" i="4"/>
  <c r="BW100" i="4"/>
  <c r="CQ100" i="4"/>
  <c r="DN100" i="4"/>
  <c r="EI100" i="4"/>
  <c r="FC100" i="4"/>
  <c r="FZ100" i="4"/>
  <c r="GU100" i="4"/>
  <c r="HO100" i="4"/>
  <c r="IL100" i="4"/>
  <c r="JG100" i="4"/>
  <c r="KA100" i="4"/>
  <c r="L100" i="4"/>
  <c r="AF100" i="4"/>
  <c r="BC100" i="4"/>
  <c r="BX100" i="4"/>
  <c r="CR100" i="4"/>
  <c r="DO100" i="4"/>
  <c r="EJ100" i="4"/>
  <c r="FD100" i="4"/>
  <c r="GA100" i="4"/>
  <c r="GV100" i="4"/>
  <c r="HP100" i="4"/>
  <c r="IM100" i="4"/>
  <c r="JH100" i="4"/>
  <c r="KB100" i="4"/>
  <c r="M100" i="4"/>
  <c r="AG100" i="4"/>
  <c r="BE100" i="4"/>
  <c r="BY100" i="4"/>
  <c r="CS100" i="4"/>
  <c r="DQ100" i="4"/>
  <c r="EK100" i="4"/>
  <c r="FE100" i="4"/>
  <c r="GC100" i="4"/>
  <c r="GW100" i="4"/>
  <c r="HQ100" i="4"/>
  <c r="IO100" i="4"/>
  <c r="JI100" i="4"/>
  <c r="KC100" i="4"/>
  <c r="N100" i="4"/>
  <c r="AK100" i="4"/>
  <c r="BF100" i="4"/>
  <c r="BZ100" i="4"/>
  <c r="CW100" i="4"/>
  <c r="DR100" i="4"/>
  <c r="EL100" i="4"/>
  <c r="FI100" i="4"/>
  <c r="GD100" i="4"/>
  <c r="GX100" i="4"/>
  <c r="HU100" i="4"/>
  <c r="IP100" i="4"/>
  <c r="JJ100" i="4"/>
  <c r="KG100" i="4"/>
  <c r="P100" i="4"/>
  <c r="AM100" i="4"/>
  <c r="BH100" i="4"/>
  <c r="CB100" i="4"/>
  <c r="CY100" i="4"/>
  <c r="DT100" i="4"/>
  <c r="EN100" i="4"/>
  <c r="FK100" i="4"/>
  <c r="GF100" i="4"/>
  <c r="GZ100" i="4"/>
  <c r="HW100" i="4"/>
  <c r="IR100" i="4"/>
  <c r="JL100" i="4"/>
  <c r="KI100" i="4"/>
  <c r="AR100" i="4"/>
  <c r="CA100" i="4"/>
  <c r="DF100" i="4"/>
  <c r="ES100" i="4"/>
  <c r="FT100" i="4"/>
  <c r="HG100" i="4"/>
  <c r="IQ100" i="4"/>
  <c r="JV100" i="4"/>
  <c r="I100" i="4"/>
  <c r="AS100" i="4"/>
  <c r="CC100" i="4"/>
  <c r="DG100" i="4"/>
  <c r="ET100" i="4"/>
  <c r="FU100" i="4"/>
  <c r="HI100" i="4"/>
  <c r="IS100" i="4"/>
  <c r="JW100" i="4"/>
  <c r="O100" i="4"/>
  <c r="AT100" i="4"/>
  <c r="CG100" i="4"/>
  <c r="DH100" i="4"/>
  <c r="EU100" i="4"/>
  <c r="GE100" i="4"/>
  <c r="HJ100" i="4"/>
  <c r="IT100" i="4"/>
  <c r="JX100" i="4"/>
  <c r="Q100" i="4"/>
  <c r="AU100" i="4"/>
  <c r="CH100" i="4"/>
  <c r="DI100" i="4"/>
  <c r="EW100" i="4"/>
  <c r="GG100" i="4"/>
  <c r="HK100" i="4"/>
  <c r="IU100" i="4"/>
  <c r="JY100" i="4"/>
  <c r="U100" i="4"/>
  <c r="AV100" i="4"/>
  <c r="CI100" i="4"/>
  <c r="DS100" i="4"/>
  <c r="EX100" i="4"/>
  <c r="GH100" i="4"/>
  <c r="HL100" i="4"/>
  <c r="IV100" i="4"/>
  <c r="KH100" i="4"/>
  <c r="W100" i="4"/>
  <c r="BG100" i="4"/>
  <c r="CL100" i="4"/>
  <c r="DV100" i="4"/>
  <c r="EZ100" i="4"/>
  <c r="GJ100" i="4"/>
  <c r="HV100" i="4"/>
  <c r="JA100" i="4"/>
  <c r="BL100" i="4"/>
  <c r="DU100" i="4"/>
  <c r="FP100" i="4"/>
  <c r="HZ100" i="4"/>
  <c r="JS100" i="4"/>
  <c r="BM100" i="4"/>
  <c r="DW100" i="4"/>
  <c r="FQ100" i="4"/>
  <c r="IA100" i="4"/>
  <c r="JU100" i="4"/>
  <c r="V100" i="4"/>
  <c r="BQ100" i="4"/>
  <c r="DX100" i="4"/>
  <c r="FR100" i="4"/>
  <c r="IB100" i="4"/>
  <c r="Y100" i="4"/>
  <c r="BR100" i="4"/>
  <c r="DY100" i="4"/>
  <c r="FS100" i="4"/>
  <c r="IC100" i="4"/>
  <c r="Z100" i="4"/>
  <c r="BS100" i="4"/>
  <c r="EC100" i="4"/>
  <c r="GI100" i="4"/>
  <c r="ID100" i="4"/>
  <c r="AB100" i="4"/>
  <c r="CK100" i="4"/>
  <c r="EE100" i="4"/>
  <c r="GO100" i="4"/>
  <c r="IF100" i="4"/>
  <c r="CN100" i="4"/>
  <c r="FN100" i="4"/>
  <c r="JC100" i="4"/>
  <c r="CO100" i="4"/>
  <c r="FO100" i="4"/>
  <c r="JE100" i="4"/>
  <c r="CX100" i="4"/>
  <c r="GK100" i="4"/>
  <c r="JK100" i="4"/>
  <c r="DA100" i="4"/>
  <c r="GP100" i="4"/>
  <c r="JM100" i="4"/>
  <c r="AA100" i="4"/>
  <c r="DB100" i="4"/>
  <c r="GQ100" i="4"/>
  <c r="JQ100" i="4"/>
  <c r="AL100" i="4"/>
  <c r="DD100" i="4"/>
  <c r="GY100" i="4"/>
  <c r="BJ100" i="4"/>
  <c r="HE100" i="4"/>
  <c r="BK100" i="4"/>
  <c r="HF100" i="4"/>
  <c r="BU100" i="4"/>
  <c r="HM100" i="4"/>
  <c r="CM100" i="4"/>
  <c r="HY100" i="4"/>
  <c r="DC100" i="4"/>
  <c r="IE100" i="4"/>
  <c r="ED100" i="4"/>
  <c r="IW100" i="4"/>
  <c r="AW100" i="4"/>
  <c r="BI100" i="4"/>
  <c r="DE100" i="4"/>
  <c r="EG100" i="4"/>
  <c r="EM100" i="4"/>
  <c r="EY100" i="4"/>
  <c r="AC100" i="4"/>
  <c r="AO100" i="4"/>
  <c r="AP100" i="4"/>
  <c r="GS100" i="4"/>
  <c r="FM100" i="4"/>
  <c r="AQ100" i="4"/>
  <c r="EO100" i="4"/>
  <c r="FA100" i="4"/>
  <c r="HA100" i="4"/>
  <c r="JB100" i="4"/>
  <c r="JR100" i="4"/>
  <c r="FJ100" i="4"/>
  <c r="IG100" i="4"/>
  <c r="R84" i="4"/>
  <c r="AH84" i="4"/>
  <c r="AX84" i="4"/>
  <c r="BN84" i="4"/>
  <c r="CD84" i="4"/>
  <c r="CT84" i="4"/>
  <c r="DJ84" i="4"/>
  <c r="DZ84" i="4"/>
  <c r="EP84" i="4"/>
  <c r="FF84" i="4"/>
  <c r="FV84" i="4"/>
  <c r="GL84" i="4"/>
  <c r="HB84" i="4"/>
  <c r="HR84" i="4"/>
  <c r="IH84" i="4"/>
  <c r="IX84" i="4"/>
  <c r="JN84" i="4"/>
  <c r="KD84" i="4"/>
  <c r="S84" i="4"/>
  <c r="AI84" i="4"/>
  <c r="AY84" i="4"/>
  <c r="BO84" i="4"/>
  <c r="CE84" i="4"/>
  <c r="CU84" i="4"/>
  <c r="DK84" i="4"/>
  <c r="EA84" i="4"/>
  <c r="EQ84" i="4"/>
  <c r="FG84" i="4"/>
  <c r="FW84" i="4"/>
  <c r="GM84" i="4"/>
  <c r="HC84" i="4"/>
  <c r="HS84" i="4"/>
  <c r="II84" i="4"/>
  <c r="IY84" i="4"/>
  <c r="JO84" i="4"/>
  <c r="KE84" i="4"/>
  <c r="T84" i="4"/>
  <c r="AJ84" i="4"/>
  <c r="AZ84" i="4"/>
  <c r="BP84" i="4"/>
  <c r="CF84" i="4"/>
  <c r="CV84" i="4"/>
  <c r="DL84" i="4"/>
  <c r="EB84" i="4"/>
  <c r="ER84" i="4"/>
  <c r="FH84" i="4"/>
  <c r="FX84" i="4"/>
  <c r="GN84" i="4"/>
  <c r="HD84" i="4"/>
  <c r="HT84" i="4"/>
  <c r="IJ84" i="4"/>
  <c r="IZ84" i="4"/>
  <c r="JP84" i="4"/>
  <c r="KF84" i="4"/>
  <c r="X84" i="4"/>
  <c r="AN84" i="4"/>
  <c r="BD84" i="4"/>
  <c r="BT84" i="4"/>
  <c r="CJ84" i="4"/>
  <c r="CZ84" i="4"/>
  <c r="DP84" i="4"/>
  <c r="EF84" i="4"/>
  <c r="EV84" i="4"/>
  <c r="FL84" i="4"/>
  <c r="GB84" i="4"/>
  <c r="GR84" i="4"/>
  <c r="HH84" i="4"/>
  <c r="HX84" i="4"/>
  <c r="IN84" i="4"/>
  <c r="JD84" i="4"/>
  <c r="JT84" i="4"/>
  <c r="N84" i="4"/>
  <c r="AK84" i="4"/>
  <c r="BF84" i="4"/>
  <c r="BZ84" i="4"/>
  <c r="CW84" i="4"/>
  <c r="DR84" i="4"/>
  <c r="EL84" i="4"/>
  <c r="FI84" i="4"/>
  <c r="GD84" i="4"/>
  <c r="GX84" i="4"/>
  <c r="HU84" i="4"/>
  <c r="IP84" i="4"/>
  <c r="JJ84" i="4"/>
  <c r="KG84" i="4"/>
  <c r="O84" i="4"/>
  <c r="AL84" i="4"/>
  <c r="BG84" i="4"/>
  <c r="CA84" i="4"/>
  <c r="CX84" i="4"/>
  <c r="DS84" i="4"/>
  <c r="EM84" i="4"/>
  <c r="FJ84" i="4"/>
  <c r="GE84" i="4"/>
  <c r="GY84" i="4"/>
  <c r="HV84" i="4"/>
  <c r="IQ84" i="4"/>
  <c r="JK84" i="4"/>
  <c r="KH84" i="4"/>
  <c r="P84" i="4"/>
  <c r="AM84" i="4"/>
  <c r="BH84" i="4"/>
  <c r="CB84" i="4"/>
  <c r="CY84" i="4"/>
  <c r="DT84" i="4"/>
  <c r="EN84" i="4"/>
  <c r="FK84" i="4"/>
  <c r="GF84" i="4"/>
  <c r="GZ84" i="4"/>
  <c r="HW84" i="4"/>
  <c r="IR84" i="4"/>
  <c r="JL84" i="4"/>
  <c r="KI84" i="4"/>
  <c r="Q84" i="4"/>
  <c r="AO84" i="4"/>
  <c r="BI84" i="4"/>
  <c r="CC84" i="4"/>
  <c r="DA84" i="4"/>
  <c r="DU84" i="4"/>
  <c r="EO84" i="4"/>
  <c r="FM84" i="4"/>
  <c r="GG84" i="4"/>
  <c r="HA84" i="4"/>
  <c r="HY84" i="4"/>
  <c r="IS84" i="4"/>
  <c r="JM84" i="4"/>
  <c r="U84" i="4"/>
  <c r="AP84" i="4"/>
  <c r="BJ84" i="4"/>
  <c r="CG84" i="4"/>
  <c r="DB84" i="4"/>
  <c r="DV84" i="4"/>
  <c r="ES84" i="4"/>
  <c r="FN84" i="4"/>
  <c r="GH84" i="4"/>
  <c r="HE84" i="4"/>
  <c r="HZ84" i="4"/>
  <c r="IT84" i="4"/>
  <c r="JQ84" i="4"/>
  <c r="W84" i="4"/>
  <c r="AR84" i="4"/>
  <c r="BL84" i="4"/>
  <c r="CI84" i="4"/>
  <c r="DD84" i="4"/>
  <c r="DX84" i="4"/>
  <c r="EU84" i="4"/>
  <c r="FP84" i="4"/>
  <c r="GJ84" i="4"/>
  <c r="HG84" i="4"/>
  <c r="IB84" i="4"/>
  <c r="IV84" i="4"/>
  <c r="JS84" i="4"/>
  <c r="AB84" i="4"/>
  <c r="BK84" i="4"/>
  <c r="CP84" i="4"/>
  <c r="EC84" i="4"/>
  <c r="FD84" i="4"/>
  <c r="GQ84" i="4"/>
  <c r="IA84" i="4"/>
  <c r="JF84" i="4"/>
  <c r="AC84" i="4"/>
  <c r="BM84" i="4"/>
  <c r="CQ84" i="4"/>
  <c r="ED84" i="4"/>
  <c r="FE84" i="4"/>
  <c r="GS84" i="4"/>
  <c r="IC84" i="4"/>
  <c r="JG84" i="4"/>
  <c r="AD84" i="4"/>
  <c r="BQ84" i="4"/>
  <c r="CR84" i="4"/>
  <c r="EE84" i="4"/>
  <c r="FO84" i="4"/>
  <c r="GT84" i="4"/>
  <c r="ID84" i="4"/>
  <c r="JH84" i="4"/>
  <c r="AE84" i="4"/>
  <c r="BR84" i="4"/>
  <c r="CS84" i="4"/>
  <c r="EG84" i="4"/>
  <c r="FQ84" i="4"/>
  <c r="GU84" i="4"/>
  <c r="IE84" i="4"/>
  <c r="JI84" i="4"/>
  <c r="AF84" i="4"/>
  <c r="BS84" i="4"/>
  <c r="DC84" i="4"/>
  <c r="EH84" i="4"/>
  <c r="FR84" i="4"/>
  <c r="GV84" i="4"/>
  <c r="IF84" i="4"/>
  <c r="JR84" i="4"/>
  <c r="AQ84" i="4"/>
  <c r="BV84" i="4"/>
  <c r="DF84" i="4"/>
  <c r="EJ84" i="4"/>
  <c r="FT84" i="4"/>
  <c r="HF84" i="4"/>
  <c r="IK84" i="4"/>
  <c r="JV84" i="4"/>
  <c r="L84" i="4"/>
  <c r="BU84" i="4"/>
  <c r="DO84" i="4"/>
  <c r="FY84" i="4"/>
  <c r="HP84" i="4"/>
  <c r="JZ84" i="4"/>
  <c r="M84" i="4"/>
  <c r="BW84" i="4"/>
  <c r="DQ84" i="4"/>
  <c r="FZ84" i="4"/>
  <c r="HQ84" i="4"/>
  <c r="KA84" i="4"/>
  <c r="V84" i="4"/>
  <c r="BX84" i="4"/>
  <c r="DW84" i="4"/>
  <c r="GA84" i="4"/>
  <c r="IG84" i="4"/>
  <c r="KB84" i="4"/>
  <c r="Y84" i="4"/>
  <c r="BY84" i="4"/>
  <c r="DY84" i="4"/>
  <c r="GC84" i="4"/>
  <c r="IL84" i="4"/>
  <c r="KC84" i="4"/>
  <c r="Z84" i="4"/>
  <c r="CH84" i="4"/>
  <c r="EI84" i="4"/>
  <c r="GI84" i="4"/>
  <c r="IM84" i="4"/>
  <c r="AG84" i="4"/>
  <c r="CL84" i="4"/>
  <c r="ET84" i="4"/>
  <c r="GO84" i="4"/>
  <c r="IU84" i="4"/>
  <c r="AV84" i="4"/>
  <c r="EK84" i="4"/>
  <c r="HL84" i="4"/>
  <c r="AW84" i="4"/>
  <c r="EW84" i="4"/>
  <c r="HM84" i="4"/>
  <c r="BA84" i="4"/>
  <c r="EX84" i="4"/>
  <c r="HN84" i="4"/>
  <c r="BB84" i="4"/>
  <c r="EY84" i="4"/>
  <c r="HO84" i="4"/>
  <c r="BC84" i="4"/>
  <c r="EZ84" i="4"/>
  <c r="IO84" i="4"/>
  <c r="CK84" i="4"/>
  <c r="FB84" i="4"/>
  <c r="JA84" i="4"/>
  <c r="AT84" i="4"/>
  <c r="GK84" i="4"/>
  <c r="AU84" i="4"/>
  <c r="GP84" i="4"/>
  <c r="BE84" i="4"/>
  <c r="GW84" i="4"/>
  <c r="CM84" i="4"/>
  <c r="HI84" i="4"/>
  <c r="CN84" i="4"/>
  <c r="HJ84" i="4"/>
  <c r="DE84" i="4"/>
  <c r="IW84" i="4"/>
  <c r="FS84" i="4"/>
  <c r="FU84" i="4"/>
  <c r="HK84" i="4"/>
  <c r="I84" i="4"/>
  <c r="JB84" i="4"/>
  <c r="J84" i="4"/>
  <c r="JC84" i="4"/>
  <c r="AA84" i="4"/>
  <c r="JU84" i="4"/>
  <c r="JX84" i="4"/>
  <c r="JY84" i="4"/>
  <c r="K84" i="4"/>
  <c r="DM84" i="4"/>
  <c r="AS84" i="4"/>
  <c r="FA84" i="4"/>
  <c r="CO84" i="4"/>
  <c r="DG84" i="4"/>
  <c r="DH84" i="4"/>
  <c r="DI84" i="4"/>
  <c r="FC84" i="4"/>
  <c r="DN84" i="4"/>
  <c r="JE84" i="4"/>
  <c r="JW84" i="4"/>
  <c r="S36" i="4"/>
  <c r="AI36" i="4"/>
  <c r="AY36" i="4"/>
  <c r="BO36" i="4"/>
  <c r="CE36" i="4"/>
  <c r="CU36" i="4"/>
  <c r="DK36" i="4"/>
  <c r="EA36" i="4"/>
  <c r="EQ36" i="4"/>
  <c r="FG36" i="4"/>
  <c r="FW36" i="4"/>
  <c r="GM36" i="4"/>
  <c r="I36" i="4"/>
  <c r="Z36" i="4"/>
  <c r="AQ36" i="4"/>
  <c r="BH36" i="4"/>
  <c r="BY36" i="4"/>
  <c r="CP36" i="4"/>
  <c r="DG36" i="4"/>
  <c r="DX36" i="4"/>
  <c r="EO36" i="4"/>
  <c r="FF36" i="4"/>
  <c r="FX36" i="4"/>
  <c r="GO36" i="4"/>
  <c r="HE36" i="4"/>
  <c r="HU36" i="4"/>
  <c r="IK36" i="4"/>
  <c r="JA36" i="4"/>
  <c r="JQ36" i="4"/>
  <c r="KG36" i="4"/>
  <c r="J36" i="4"/>
  <c r="AA36" i="4"/>
  <c r="AR36" i="4"/>
  <c r="BI36" i="4"/>
  <c r="BZ36" i="4"/>
  <c r="CQ36" i="4"/>
  <c r="DH36" i="4"/>
  <c r="DY36" i="4"/>
  <c r="EP36" i="4"/>
  <c r="FH36" i="4"/>
  <c r="FY36" i="4"/>
  <c r="GP36" i="4"/>
  <c r="HF36" i="4"/>
  <c r="HV36" i="4"/>
  <c r="IL36" i="4"/>
  <c r="JB36" i="4"/>
  <c r="JR36" i="4"/>
  <c r="KH36" i="4"/>
  <c r="K36" i="4"/>
  <c r="AB36" i="4"/>
  <c r="AS36" i="4"/>
  <c r="BJ36" i="4"/>
  <c r="CA36" i="4"/>
  <c r="CR36" i="4"/>
  <c r="DI36" i="4"/>
  <c r="DZ36" i="4"/>
  <c r="ER36" i="4"/>
  <c r="FI36" i="4"/>
  <c r="FZ36" i="4"/>
  <c r="GQ36" i="4"/>
  <c r="HG36" i="4"/>
  <c r="HW36" i="4"/>
  <c r="IM36" i="4"/>
  <c r="JC36" i="4"/>
  <c r="JS36" i="4"/>
  <c r="KI36" i="4"/>
  <c r="O36" i="4"/>
  <c r="AF36" i="4"/>
  <c r="AW36" i="4"/>
  <c r="BN36" i="4"/>
  <c r="CF36" i="4"/>
  <c r="CW36" i="4"/>
  <c r="DN36" i="4"/>
  <c r="EE36" i="4"/>
  <c r="EV36" i="4"/>
  <c r="FM36" i="4"/>
  <c r="GD36" i="4"/>
  <c r="GU36" i="4"/>
  <c r="HK36" i="4"/>
  <c r="IA36" i="4"/>
  <c r="IQ36" i="4"/>
  <c r="JG36" i="4"/>
  <c r="JW36" i="4"/>
  <c r="AG36" i="4"/>
  <c r="BC36" i="4"/>
  <c r="BX36" i="4"/>
  <c r="CX36" i="4"/>
  <c r="DS36" i="4"/>
  <c r="EN36" i="4"/>
  <c r="FN36" i="4"/>
  <c r="GI36" i="4"/>
  <c r="HD36" i="4"/>
  <c r="IB36" i="4"/>
  <c r="IV36" i="4"/>
  <c r="JP36" i="4"/>
  <c r="L36" i="4"/>
  <c r="AH36" i="4"/>
  <c r="BD36" i="4"/>
  <c r="CB36" i="4"/>
  <c r="CY36" i="4"/>
  <c r="DT36" i="4"/>
  <c r="ES36" i="4"/>
  <c r="FO36" i="4"/>
  <c r="GJ36" i="4"/>
  <c r="HH36" i="4"/>
  <c r="IC36" i="4"/>
  <c r="IW36" i="4"/>
  <c r="JT36" i="4"/>
  <c r="M36" i="4"/>
  <c r="AJ36" i="4"/>
  <c r="BE36" i="4"/>
  <c r="CC36" i="4"/>
  <c r="CZ36" i="4"/>
  <c r="DU36" i="4"/>
  <c r="ET36" i="4"/>
  <c r="FP36" i="4"/>
  <c r="GK36" i="4"/>
  <c r="HI36" i="4"/>
  <c r="ID36" i="4"/>
  <c r="IX36" i="4"/>
  <c r="JU36" i="4"/>
  <c r="N36" i="4"/>
  <c r="AK36" i="4"/>
  <c r="BF36" i="4"/>
  <c r="CD36" i="4"/>
  <c r="DA36" i="4"/>
  <c r="DV36" i="4"/>
  <c r="EU36" i="4"/>
  <c r="FQ36" i="4"/>
  <c r="GL36" i="4"/>
  <c r="HJ36" i="4"/>
  <c r="IE36" i="4"/>
  <c r="IY36" i="4"/>
  <c r="JV36" i="4"/>
  <c r="P36" i="4"/>
  <c r="AL36" i="4"/>
  <c r="BG36" i="4"/>
  <c r="CG36" i="4"/>
  <c r="DB36" i="4"/>
  <c r="DW36" i="4"/>
  <c r="EW36" i="4"/>
  <c r="FR36" i="4"/>
  <c r="GN36" i="4"/>
  <c r="HL36" i="4"/>
  <c r="IF36" i="4"/>
  <c r="IZ36" i="4"/>
  <c r="JX36" i="4"/>
  <c r="R36" i="4"/>
  <c r="AN36" i="4"/>
  <c r="BL36" i="4"/>
  <c r="CI36" i="4"/>
  <c r="DD36" i="4"/>
  <c r="EC36" i="4"/>
  <c r="EY36" i="4"/>
  <c r="FT36" i="4"/>
  <c r="GS36" i="4"/>
  <c r="HN36" i="4"/>
  <c r="IH36" i="4"/>
  <c r="JE36" i="4"/>
  <c r="JZ36" i="4"/>
  <c r="U36" i="4"/>
  <c r="BA36" i="4"/>
  <c r="CM36" i="4"/>
  <c r="EB36" i="4"/>
  <c r="FE36" i="4"/>
  <c r="GV36" i="4"/>
  <c r="HY36" i="4"/>
  <c r="JJ36" i="4"/>
  <c r="V36" i="4"/>
  <c r="BB36" i="4"/>
  <c r="CN36" i="4"/>
  <c r="ED36" i="4"/>
  <c r="FJ36" i="4"/>
  <c r="GW36" i="4"/>
  <c r="HZ36" i="4"/>
  <c r="JK36" i="4"/>
  <c r="W36" i="4"/>
  <c r="BK36" i="4"/>
  <c r="CO36" i="4"/>
  <c r="EF36" i="4"/>
  <c r="FK36" i="4"/>
  <c r="GX36" i="4"/>
  <c r="IG36" i="4"/>
  <c r="JL36" i="4"/>
  <c r="X36" i="4"/>
  <c r="BM36" i="4"/>
  <c r="CS36" i="4"/>
  <c r="EG36" i="4"/>
  <c r="FL36" i="4"/>
  <c r="GY36" i="4"/>
  <c r="II36" i="4"/>
  <c r="JM36" i="4"/>
  <c r="Y36" i="4"/>
  <c r="BP36" i="4"/>
  <c r="CT36" i="4"/>
  <c r="EH36" i="4"/>
  <c r="FS36" i="4"/>
  <c r="GZ36" i="4"/>
  <c r="IJ36" i="4"/>
  <c r="JN36" i="4"/>
  <c r="AD36" i="4"/>
  <c r="BR36" i="4"/>
  <c r="DC36" i="4"/>
  <c r="EJ36" i="4"/>
  <c r="FV36" i="4"/>
  <c r="HB36" i="4"/>
  <c r="IO36" i="4"/>
  <c r="JY36" i="4"/>
  <c r="BT36" i="4"/>
  <c r="DQ36" i="4"/>
  <c r="GE36" i="4"/>
  <c r="IN36" i="4"/>
  <c r="KF36" i="4"/>
  <c r="BU36" i="4"/>
  <c r="DR36" i="4"/>
  <c r="GF36" i="4"/>
  <c r="IP36" i="4"/>
  <c r="Q36" i="4"/>
  <c r="BV36" i="4"/>
  <c r="EI36" i="4"/>
  <c r="GG36" i="4"/>
  <c r="IR36" i="4"/>
  <c r="T36" i="4"/>
  <c r="BW36" i="4"/>
  <c r="EK36" i="4"/>
  <c r="GH36" i="4"/>
  <c r="IS36" i="4"/>
  <c r="AC36" i="4"/>
  <c r="CH36" i="4"/>
  <c r="EL36" i="4"/>
  <c r="GR36" i="4"/>
  <c r="IT36" i="4"/>
  <c r="AM36" i="4"/>
  <c r="CK36" i="4"/>
  <c r="EX36" i="4"/>
  <c r="HA36" i="4"/>
  <c r="JD36" i="4"/>
  <c r="AU36" i="4"/>
  <c r="EM36" i="4"/>
  <c r="HR36" i="4"/>
  <c r="AV36" i="4"/>
  <c r="EZ36" i="4"/>
  <c r="HS36" i="4"/>
  <c r="AX36" i="4"/>
  <c r="FA36" i="4"/>
  <c r="HT36" i="4"/>
  <c r="AZ36" i="4"/>
  <c r="FB36" i="4"/>
  <c r="HX36" i="4"/>
  <c r="BQ36" i="4"/>
  <c r="FC36" i="4"/>
  <c r="IU36" i="4"/>
  <c r="CJ36" i="4"/>
  <c r="FU36" i="4"/>
  <c r="JH36" i="4"/>
  <c r="FD36" i="4"/>
  <c r="KD36" i="4"/>
  <c r="GA36" i="4"/>
  <c r="KE36" i="4"/>
  <c r="AE36" i="4"/>
  <c r="GB36" i="4"/>
  <c r="AO36" i="4"/>
  <c r="GC36" i="4"/>
  <c r="AP36" i="4"/>
  <c r="GT36" i="4"/>
  <c r="BS36" i="4"/>
  <c r="HM36" i="4"/>
  <c r="DL36" i="4"/>
  <c r="DM36" i="4"/>
  <c r="DO36" i="4"/>
  <c r="DP36" i="4"/>
  <c r="HC36" i="4"/>
  <c r="HP36" i="4"/>
  <c r="AT36" i="4"/>
  <c r="CL36" i="4"/>
  <c r="CV36" i="4"/>
  <c r="DE36" i="4"/>
  <c r="DF36" i="4"/>
  <c r="HO36" i="4"/>
  <c r="JF36" i="4"/>
  <c r="JI36" i="4"/>
  <c r="JO36" i="4"/>
  <c r="KA36" i="4"/>
  <c r="KB36" i="4"/>
  <c r="DJ36" i="4"/>
  <c r="HQ36" i="4"/>
  <c r="KC36" i="4"/>
  <c r="Q20" i="4"/>
  <c r="AG20" i="4"/>
  <c r="AW20" i="4"/>
  <c r="BM20" i="4"/>
  <c r="CC20" i="4"/>
  <c r="CS20" i="4"/>
  <c r="DI20" i="4"/>
  <c r="DY20" i="4"/>
  <c r="EO20" i="4"/>
  <c r="FE20" i="4"/>
  <c r="FU20" i="4"/>
  <c r="GK20" i="4"/>
  <c r="HA20" i="4"/>
  <c r="HQ20" i="4"/>
  <c r="IG20" i="4"/>
  <c r="IW20" i="4"/>
  <c r="JM20" i="4"/>
  <c r="KC20" i="4"/>
  <c r="R20" i="4"/>
  <c r="AI20" i="4"/>
  <c r="AZ20" i="4"/>
  <c r="BQ20" i="4"/>
  <c r="CH20" i="4"/>
  <c r="CY20" i="4"/>
  <c r="DP20" i="4"/>
  <c r="EG20" i="4"/>
  <c r="EX20" i="4"/>
  <c r="FO20" i="4"/>
  <c r="GF20" i="4"/>
  <c r="GW20" i="4"/>
  <c r="HN20" i="4"/>
  <c r="IE20" i="4"/>
  <c r="IV20" i="4"/>
  <c r="JN20" i="4"/>
  <c r="KE20" i="4"/>
  <c r="S20" i="4"/>
  <c r="AJ20" i="4"/>
  <c r="BA20" i="4"/>
  <c r="BR20" i="4"/>
  <c r="CI20" i="4"/>
  <c r="CZ20" i="4"/>
  <c r="DQ20" i="4"/>
  <c r="EH20" i="4"/>
  <c r="EY20" i="4"/>
  <c r="FP20" i="4"/>
  <c r="GG20" i="4"/>
  <c r="GX20" i="4"/>
  <c r="HO20" i="4"/>
  <c r="IF20" i="4"/>
  <c r="IX20" i="4"/>
  <c r="JO20" i="4"/>
  <c r="KF20" i="4"/>
  <c r="T20" i="4"/>
  <c r="AK20" i="4"/>
  <c r="BB20" i="4"/>
  <c r="BS20" i="4"/>
  <c r="CJ20" i="4"/>
  <c r="DA20" i="4"/>
  <c r="DR20" i="4"/>
  <c r="EI20" i="4"/>
  <c r="EZ20" i="4"/>
  <c r="FQ20" i="4"/>
  <c r="GH20" i="4"/>
  <c r="GY20" i="4"/>
  <c r="HP20" i="4"/>
  <c r="IH20" i="4"/>
  <c r="IY20" i="4"/>
  <c r="JP20" i="4"/>
  <c r="KG20" i="4"/>
  <c r="X20" i="4"/>
  <c r="AO20" i="4"/>
  <c r="BF20" i="4"/>
  <c r="BW20" i="4"/>
  <c r="CN20" i="4"/>
  <c r="DE20" i="4"/>
  <c r="DV20" i="4"/>
  <c r="EM20" i="4"/>
  <c r="FD20" i="4"/>
  <c r="FV20" i="4"/>
  <c r="GM20" i="4"/>
  <c r="HD20" i="4"/>
  <c r="HU20" i="4"/>
  <c r="IL20" i="4"/>
  <c r="JC20" i="4"/>
  <c r="JT20" i="4"/>
  <c r="V20" i="4"/>
  <c r="AR20" i="4"/>
  <c r="BN20" i="4"/>
  <c r="CL20" i="4"/>
  <c r="DH20" i="4"/>
  <c r="ED20" i="4"/>
  <c r="FB20" i="4"/>
  <c r="FY20" i="4"/>
  <c r="GT20" i="4"/>
  <c r="HS20" i="4"/>
  <c r="IO20" i="4"/>
  <c r="JJ20" i="4"/>
  <c r="KI20" i="4"/>
  <c r="W20" i="4"/>
  <c r="AS20" i="4"/>
  <c r="BO20" i="4"/>
  <c r="CM20" i="4"/>
  <c r="DJ20" i="4"/>
  <c r="EE20" i="4"/>
  <c r="FC20" i="4"/>
  <c r="FZ20" i="4"/>
  <c r="GU20" i="4"/>
  <c r="HT20" i="4"/>
  <c r="IP20" i="4"/>
  <c r="JK20" i="4"/>
  <c r="Y20" i="4"/>
  <c r="AT20" i="4"/>
  <c r="BP20" i="4"/>
  <c r="CO20" i="4"/>
  <c r="DK20" i="4"/>
  <c r="EF20" i="4"/>
  <c r="FF20" i="4"/>
  <c r="GA20" i="4"/>
  <c r="GV20" i="4"/>
  <c r="HV20" i="4"/>
  <c r="IQ20" i="4"/>
  <c r="JL20" i="4"/>
  <c r="Z20" i="4"/>
  <c r="AU20" i="4"/>
  <c r="BT20" i="4"/>
  <c r="CP20" i="4"/>
  <c r="DL20" i="4"/>
  <c r="EJ20" i="4"/>
  <c r="FG20" i="4"/>
  <c r="GB20" i="4"/>
  <c r="GZ20" i="4"/>
  <c r="HW20" i="4"/>
  <c r="IR20" i="4"/>
  <c r="JQ20" i="4"/>
  <c r="AA20" i="4"/>
  <c r="AV20" i="4"/>
  <c r="BU20" i="4"/>
  <c r="CQ20" i="4"/>
  <c r="DM20" i="4"/>
  <c r="EK20" i="4"/>
  <c r="FH20" i="4"/>
  <c r="GC20" i="4"/>
  <c r="HB20" i="4"/>
  <c r="HX20" i="4"/>
  <c r="IS20" i="4"/>
  <c r="JR20" i="4"/>
  <c r="AC20" i="4"/>
  <c r="AY20" i="4"/>
  <c r="BX20" i="4"/>
  <c r="CT20" i="4"/>
  <c r="DO20" i="4"/>
  <c r="EN20" i="4"/>
  <c r="FJ20" i="4"/>
  <c r="GE20" i="4"/>
  <c r="HE20" i="4"/>
  <c r="HZ20" i="4"/>
  <c r="IU20" i="4"/>
  <c r="JU20" i="4"/>
  <c r="L20" i="4"/>
  <c r="AX20" i="4"/>
  <c r="CE20" i="4"/>
  <c r="DT20" i="4"/>
  <c r="EW20" i="4"/>
  <c r="GN20" i="4"/>
  <c r="HY20" i="4"/>
  <c r="JF20" i="4"/>
  <c r="M20" i="4"/>
  <c r="BC20" i="4"/>
  <c r="CF20" i="4"/>
  <c r="DU20" i="4"/>
  <c r="FA20" i="4"/>
  <c r="GO20" i="4"/>
  <c r="IA20" i="4"/>
  <c r="JG20" i="4"/>
  <c r="N20" i="4"/>
  <c r="BD20" i="4"/>
  <c r="CG20" i="4"/>
  <c r="DW20" i="4"/>
  <c r="FI20" i="4"/>
  <c r="GP20" i="4"/>
  <c r="IB20" i="4"/>
  <c r="JH20" i="4"/>
  <c r="O20" i="4"/>
  <c r="BE20" i="4"/>
  <c r="CK20" i="4"/>
  <c r="DX20" i="4"/>
  <c r="FK20" i="4"/>
  <c r="GQ20" i="4"/>
  <c r="IC20" i="4"/>
  <c r="JI20" i="4"/>
  <c r="P20" i="4"/>
  <c r="BG20" i="4"/>
  <c r="CR20" i="4"/>
  <c r="DZ20" i="4"/>
  <c r="FL20" i="4"/>
  <c r="GR20" i="4"/>
  <c r="ID20" i="4"/>
  <c r="JS20" i="4"/>
  <c r="AB20" i="4"/>
  <c r="BI20" i="4"/>
  <c r="CV20" i="4"/>
  <c r="EB20" i="4"/>
  <c r="FN20" i="4"/>
  <c r="HC20" i="4"/>
  <c r="IJ20" i="4"/>
  <c r="JW20" i="4"/>
  <c r="BK20" i="4"/>
  <c r="DN20" i="4"/>
  <c r="FW20" i="4"/>
  <c r="II20" i="4"/>
  <c r="KD20" i="4"/>
  <c r="I20" i="4"/>
  <c r="BL20" i="4"/>
  <c r="DS20" i="4"/>
  <c r="FX20" i="4"/>
  <c r="IK20" i="4"/>
  <c r="KH20" i="4"/>
  <c r="J20" i="4"/>
  <c r="BV20" i="4"/>
  <c r="EA20" i="4"/>
  <c r="GD20" i="4"/>
  <c r="IM20" i="4"/>
  <c r="K20" i="4"/>
  <c r="BY20" i="4"/>
  <c r="EC20" i="4"/>
  <c r="GI20" i="4"/>
  <c r="IN20" i="4"/>
  <c r="U20" i="4"/>
  <c r="BZ20" i="4"/>
  <c r="EL20" i="4"/>
  <c r="GJ20" i="4"/>
  <c r="IT20" i="4"/>
  <c r="AE20" i="4"/>
  <c r="CB20" i="4"/>
  <c r="EQ20" i="4"/>
  <c r="GS20" i="4"/>
  <c r="JA20" i="4"/>
  <c r="AD20" i="4"/>
  <c r="DC20" i="4"/>
  <c r="HG20" i="4"/>
  <c r="KA20" i="4"/>
  <c r="AF20" i="4"/>
  <c r="DD20" i="4"/>
  <c r="HH20" i="4"/>
  <c r="KB20" i="4"/>
  <c r="AH20" i="4"/>
  <c r="DF20" i="4"/>
  <c r="HI20" i="4"/>
  <c r="AL20" i="4"/>
  <c r="DG20" i="4"/>
  <c r="HJ20" i="4"/>
  <c r="AM20" i="4"/>
  <c r="EP20" i="4"/>
  <c r="HK20" i="4"/>
  <c r="AP20" i="4"/>
  <c r="ES20" i="4"/>
  <c r="HM20" i="4"/>
  <c r="CX20" i="4"/>
  <c r="JD20" i="4"/>
  <c r="DB20" i="4"/>
  <c r="JE20" i="4"/>
  <c r="ER20" i="4"/>
  <c r="JV20" i="4"/>
  <c r="ET20" i="4"/>
  <c r="JX20" i="4"/>
  <c r="EU20" i="4"/>
  <c r="JY20" i="4"/>
  <c r="FM20" i="4"/>
  <c r="GL20" i="4"/>
  <c r="HF20" i="4"/>
  <c r="HL20" i="4"/>
  <c r="HR20" i="4"/>
  <c r="AN20" i="4"/>
  <c r="IZ20" i="4"/>
  <c r="BH20" i="4"/>
  <c r="JZ20" i="4"/>
  <c r="JB20" i="4"/>
  <c r="AQ20" i="4"/>
  <c r="CU20" i="4"/>
  <c r="CW20" i="4"/>
  <c r="EV20" i="4"/>
  <c r="FR20" i="4"/>
  <c r="FS20" i="4"/>
  <c r="BJ20" i="4"/>
  <c r="CA20" i="4"/>
  <c r="FT20" i="4"/>
  <c r="CD20" i="4"/>
  <c r="U152" i="4"/>
  <c r="AK152" i="4"/>
  <c r="BA152" i="4"/>
  <c r="BQ152" i="4"/>
  <c r="CG152" i="4"/>
  <c r="CW152" i="4"/>
  <c r="DM152" i="4"/>
  <c r="EC152" i="4"/>
  <c r="ES152" i="4"/>
  <c r="FI152" i="4"/>
  <c r="FY152" i="4"/>
  <c r="GO152" i="4"/>
  <c r="HE152" i="4"/>
  <c r="HU152" i="4"/>
  <c r="IK152" i="4"/>
  <c r="JA152" i="4"/>
  <c r="JQ152" i="4"/>
  <c r="KG152" i="4"/>
  <c r="V152" i="4"/>
  <c r="AL152" i="4"/>
  <c r="BB152" i="4"/>
  <c r="BR152" i="4"/>
  <c r="CH152" i="4"/>
  <c r="CX152" i="4"/>
  <c r="DN152" i="4"/>
  <c r="ED152" i="4"/>
  <c r="ET152" i="4"/>
  <c r="FJ152" i="4"/>
  <c r="FZ152" i="4"/>
  <c r="GP152" i="4"/>
  <c r="HF152" i="4"/>
  <c r="HV152" i="4"/>
  <c r="IL152" i="4"/>
  <c r="JB152" i="4"/>
  <c r="JR152" i="4"/>
  <c r="KH152" i="4"/>
  <c r="W152" i="4"/>
  <c r="AM152" i="4"/>
  <c r="BC152" i="4"/>
  <c r="BS152" i="4"/>
  <c r="CI152" i="4"/>
  <c r="CY152" i="4"/>
  <c r="DO152" i="4"/>
  <c r="EE152" i="4"/>
  <c r="EU152" i="4"/>
  <c r="FK152" i="4"/>
  <c r="GA152" i="4"/>
  <c r="GQ152" i="4"/>
  <c r="HG152" i="4"/>
  <c r="HW152" i="4"/>
  <c r="IM152" i="4"/>
  <c r="JC152" i="4"/>
  <c r="JS152" i="4"/>
  <c r="KI152" i="4"/>
  <c r="K152" i="4"/>
  <c r="AA152" i="4"/>
  <c r="AQ152" i="4"/>
  <c r="BG152" i="4"/>
  <c r="BW152" i="4"/>
  <c r="CM152" i="4"/>
  <c r="DC152" i="4"/>
  <c r="DS152" i="4"/>
  <c r="EI152" i="4"/>
  <c r="EY152" i="4"/>
  <c r="FO152" i="4"/>
  <c r="GE152" i="4"/>
  <c r="GU152" i="4"/>
  <c r="HK152" i="4"/>
  <c r="IA152" i="4"/>
  <c r="IQ152" i="4"/>
  <c r="JG152" i="4"/>
  <c r="JW152" i="4"/>
  <c r="Z152" i="4"/>
  <c r="AU152" i="4"/>
  <c r="BO152" i="4"/>
  <c r="CL152" i="4"/>
  <c r="DG152" i="4"/>
  <c r="EA152" i="4"/>
  <c r="EX152" i="4"/>
  <c r="FS152" i="4"/>
  <c r="GM152" i="4"/>
  <c r="HJ152" i="4"/>
  <c r="IE152" i="4"/>
  <c r="IY152" i="4"/>
  <c r="JV152" i="4"/>
  <c r="AB152" i="4"/>
  <c r="AV152" i="4"/>
  <c r="BP152" i="4"/>
  <c r="CN152" i="4"/>
  <c r="DH152" i="4"/>
  <c r="EB152" i="4"/>
  <c r="EZ152" i="4"/>
  <c r="FT152" i="4"/>
  <c r="GN152" i="4"/>
  <c r="HL152" i="4"/>
  <c r="IF152" i="4"/>
  <c r="IZ152" i="4"/>
  <c r="JX152" i="4"/>
  <c r="AC152" i="4"/>
  <c r="AW152" i="4"/>
  <c r="BT152" i="4"/>
  <c r="CO152" i="4"/>
  <c r="DI152" i="4"/>
  <c r="EF152" i="4"/>
  <c r="FA152" i="4"/>
  <c r="FU152" i="4"/>
  <c r="GR152" i="4"/>
  <c r="HM152" i="4"/>
  <c r="IG152" i="4"/>
  <c r="JD152" i="4"/>
  <c r="JY152" i="4"/>
  <c r="M152" i="4"/>
  <c r="AG152" i="4"/>
  <c r="BD152" i="4"/>
  <c r="BY152" i="4"/>
  <c r="CS152" i="4"/>
  <c r="DP152" i="4"/>
  <c r="EK152" i="4"/>
  <c r="FE152" i="4"/>
  <c r="GB152" i="4"/>
  <c r="GW152" i="4"/>
  <c r="HQ152" i="4"/>
  <c r="IN152" i="4"/>
  <c r="JI152" i="4"/>
  <c r="KC152" i="4"/>
  <c r="L152" i="4"/>
  <c r="AN152" i="4"/>
  <c r="BM152" i="4"/>
  <c r="CR152" i="4"/>
  <c r="DU152" i="4"/>
  <c r="EV152" i="4"/>
  <c r="FX152" i="4"/>
  <c r="HA152" i="4"/>
  <c r="IC152" i="4"/>
  <c r="JH152" i="4"/>
  <c r="N152" i="4"/>
  <c r="AO152" i="4"/>
  <c r="BN152" i="4"/>
  <c r="CT152" i="4"/>
  <c r="DV152" i="4"/>
  <c r="EW152" i="4"/>
  <c r="GC152" i="4"/>
  <c r="HB152" i="4"/>
  <c r="ID152" i="4"/>
  <c r="JJ152" i="4"/>
  <c r="O152" i="4"/>
  <c r="AP152" i="4"/>
  <c r="BU152" i="4"/>
  <c r="CU152" i="4"/>
  <c r="DW152" i="4"/>
  <c r="FB152" i="4"/>
  <c r="GD152" i="4"/>
  <c r="HC152" i="4"/>
  <c r="IH152" i="4"/>
  <c r="JK152" i="4"/>
  <c r="P152" i="4"/>
  <c r="AR152" i="4"/>
  <c r="BV152" i="4"/>
  <c r="CV152" i="4"/>
  <c r="DX152" i="4"/>
  <c r="FC152" i="4"/>
  <c r="GF152" i="4"/>
  <c r="HD152" i="4"/>
  <c r="II152" i="4"/>
  <c r="JL152" i="4"/>
  <c r="Q152" i="4"/>
  <c r="AS152" i="4"/>
  <c r="BX152" i="4"/>
  <c r="CZ152" i="4"/>
  <c r="DY152" i="4"/>
  <c r="FD152" i="4"/>
  <c r="GG152" i="4"/>
  <c r="HH152" i="4"/>
  <c r="IJ152" i="4"/>
  <c r="JM152" i="4"/>
  <c r="S152" i="4"/>
  <c r="AX152" i="4"/>
  <c r="CA152" i="4"/>
  <c r="DB152" i="4"/>
  <c r="EG152" i="4"/>
  <c r="FG152" i="4"/>
  <c r="GI152" i="4"/>
  <c r="HN152" i="4"/>
  <c r="IP152" i="4"/>
  <c r="JO152" i="4"/>
  <c r="R152" i="4"/>
  <c r="BI152" i="4"/>
  <c r="DE152" i="4"/>
  <c r="EQ152" i="4"/>
  <c r="GS152" i="4"/>
  <c r="IO152" i="4"/>
  <c r="KB152" i="4"/>
  <c r="T152" i="4"/>
  <c r="BJ152" i="4"/>
  <c r="DF152" i="4"/>
  <c r="ER152" i="4"/>
  <c r="GT152" i="4"/>
  <c r="IR152" i="4"/>
  <c r="KD152" i="4"/>
  <c r="X152" i="4"/>
  <c r="BK152" i="4"/>
  <c r="DJ152" i="4"/>
  <c r="FF152" i="4"/>
  <c r="GV152" i="4"/>
  <c r="IS152" i="4"/>
  <c r="KE152" i="4"/>
  <c r="Y152" i="4"/>
  <c r="BL152" i="4"/>
  <c r="DK152" i="4"/>
  <c r="FH152" i="4"/>
  <c r="GX152" i="4"/>
  <c r="IT152" i="4"/>
  <c r="KF152" i="4"/>
  <c r="AD152" i="4"/>
  <c r="BZ152" i="4"/>
  <c r="DL152" i="4"/>
  <c r="FL152" i="4"/>
  <c r="GY152" i="4"/>
  <c r="IU152" i="4"/>
  <c r="AF152" i="4"/>
  <c r="CC152" i="4"/>
  <c r="DR152" i="4"/>
  <c r="FN152" i="4"/>
  <c r="HI152" i="4"/>
  <c r="IW152" i="4"/>
  <c r="AT152" i="4"/>
  <c r="DQ152" i="4"/>
  <c r="GH152" i="4"/>
  <c r="JE152" i="4"/>
  <c r="AY152" i="4"/>
  <c r="DT152" i="4"/>
  <c r="GJ152" i="4"/>
  <c r="JF152" i="4"/>
  <c r="AZ152" i="4"/>
  <c r="DZ152" i="4"/>
  <c r="GK152" i="4"/>
  <c r="JN152" i="4"/>
  <c r="BE152" i="4"/>
  <c r="EH152" i="4"/>
  <c r="GL152" i="4"/>
  <c r="JP152" i="4"/>
  <c r="BF152" i="4"/>
  <c r="EJ152" i="4"/>
  <c r="GZ152" i="4"/>
  <c r="JT152" i="4"/>
  <c r="CB152" i="4"/>
  <c r="EM152" i="4"/>
  <c r="HP152" i="4"/>
  <c r="JZ152" i="4"/>
  <c r="AE152" i="4"/>
  <c r="EO152" i="4"/>
  <c r="IV152" i="4"/>
  <c r="AH152" i="4"/>
  <c r="EP152" i="4"/>
  <c r="IX152" i="4"/>
  <c r="AI152" i="4"/>
  <c r="FM152" i="4"/>
  <c r="JU152" i="4"/>
  <c r="AJ152" i="4"/>
  <c r="FP152" i="4"/>
  <c r="KA152" i="4"/>
  <c r="BH152" i="4"/>
  <c r="FQ152" i="4"/>
  <c r="CF152" i="4"/>
  <c r="HX152" i="4"/>
  <c r="CJ152" i="4"/>
  <c r="HY152" i="4"/>
  <c r="CK152" i="4"/>
  <c r="HZ152" i="4"/>
  <c r="CP152" i="4"/>
  <c r="IB152" i="4"/>
  <c r="CQ152" i="4"/>
  <c r="FV152" i="4"/>
  <c r="FR152" i="4"/>
  <c r="FW152" i="4"/>
  <c r="HO152" i="4"/>
  <c r="HR152" i="4"/>
  <c r="HT152" i="4"/>
  <c r="CD152" i="4"/>
  <c r="I152" i="4"/>
  <c r="J152" i="4"/>
  <c r="CE152" i="4"/>
  <c r="HS152" i="4"/>
  <c r="DA152" i="4"/>
  <c r="DD152" i="4"/>
  <c r="EL152" i="4"/>
  <c r="EN152" i="4"/>
  <c r="W120" i="4"/>
  <c r="AM120" i="4"/>
  <c r="BC120" i="4"/>
  <c r="BS120" i="4"/>
  <c r="CI120" i="4"/>
  <c r="CY120" i="4"/>
  <c r="DO120" i="4"/>
  <c r="EE120" i="4"/>
  <c r="EU120" i="4"/>
  <c r="FK120" i="4"/>
  <c r="GA120" i="4"/>
  <c r="GQ120" i="4"/>
  <c r="HG120" i="4"/>
  <c r="HW120" i="4"/>
  <c r="IM120" i="4"/>
  <c r="JC120" i="4"/>
  <c r="JS120" i="4"/>
  <c r="KI120" i="4"/>
  <c r="X120" i="4"/>
  <c r="AN120" i="4"/>
  <c r="BD120" i="4"/>
  <c r="BT120" i="4"/>
  <c r="CJ120" i="4"/>
  <c r="CZ120" i="4"/>
  <c r="DP120" i="4"/>
  <c r="EF120" i="4"/>
  <c r="EV120" i="4"/>
  <c r="FL120" i="4"/>
  <c r="GB120" i="4"/>
  <c r="GR120" i="4"/>
  <c r="HH120" i="4"/>
  <c r="HX120" i="4"/>
  <c r="IN120" i="4"/>
  <c r="JD120" i="4"/>
  <c r="JT120" i="4"/>
  <c r="I120" i="4"/>
  <c r="Y120" i="4"/>
  <c r="AO120" i="4"/>
  <c r="BE120" i="4"/>
  <c r="BU120" i="4"/>
  <c r="CK120" i="4"/>
  <c r="DA120" i="4"/>
  <c r="DQ120" i="4"/>
  <c r="EG120" i="4"/>
  <c r="EW120" i="4"/>
  <c r="FM120" i="4"/>
  <c r="GC120" i="4"/>
  <c r="GS120" i="4"/>
  <c r="HI120" i="4"/>
  <c r="HY120" i="4"/>
  <c r="IO120" i="4"/>
  <c r="JE120" i="4"/>
  <c r="JU120" i="4"/>
  <c r="M120" i="4"/>
  <c r="AC120" i="4"/>
  <c r="AS120" i="4"/>
  <c r="BI120" i="4"/>
  <c r="BY120" i="4"/>
  <c r="CO120" i="4"/>
  <c r="DE120" i="4"/>
  <c r="DU120" i="4"/>
  <c r="EK120" i="4"/>
  <c r="FA120" i="4"/>
  <c r="FQ120" i="4"/>
  <c r="GG120" i="4"/>
  <c r="GW120" i="4"/>
  <c r="HM120" i="4"/>
  <c r="IC120" i="4"/>
  <c r="IS120" i="4"/>
  <c r="JI120" i="4"/>
  <c r="JY120" i="4"/>
  <c r="Z120" i="4"/>
  <c r="AU120" i="4"/>
  <c r="BO120" i="4"/>
  <c r="CL120" i="4"/>
  <c r="DG120" i="4"/>
  <c r="EA120" i="4"/>
  <c r="EX120" i="4"/>
  <c r="FS120" i="4"/>
  <c r="GM120" i="4"/>
  <c r="HJ120" i="4"/>
  <c r="IE120" i="4"/>
  <c r="IY120" i="4"/>
  <c r="JV120" i="4"/>
  <c r="AA120" i="4"/>
  <c r="AV120" i="4"/>
  <c r="BP120" i="4"/>
  <c r="CM120" i="4"/>
  <c r="DH120" i="4"/>
  <c r="EB120" i="4"/>
  <c r="EY120" i="4"/>
  <c r="FT120" i="4"/>
  <c r="GN120" i="4"/>
  <c r="HK120" i="4"/>
  <c r="IF120" i="4"/>
  <c r="IZ120" i="4"/>
  <c r="JW120" i="4"/>
  <c r="AB120" i="4"/>
  <c r="AW120" i="4"/>
  <c r="BQ120" i="4"/>
  <c r="CN120" i="4"/>
  <c r="DI120" i="4"/>
  <c r="EC120" i="4"/>
  <c r="EZ120" i="4"/>
  <c r="FU120" i="4"/>
  <c r="GO120" i="4"/>
  <c r="HL120" i="4"/>
  <c r="IG120" i="4"/>
  <c r="JA120" i="4"/>
  <c r="JX120" i="4"/>
  <c r="AD120" i="4"/>
  <c r="AX120" i="4"/>
  <c r="BR120" i="4"/>
  <c r="CP120" i="4"/>
  <c r="DJ120" i="4"/>
  <c r="ED120" i="4"/>
  <c r="FB120" i="4"/>
  <c r="FV120" i="4"/>
  <c r="GP120" i="4"/>
  <c r="HN120" i="4"/>
  <c r="IH120" i="4"/>
  <c r="JB120" i="4"/>
  <c r="JZ120" i="4"/>
  <c r="J120" i="4"/>
  <c r="AE120" i="4"/>
  <c r="AY120" i="4"/>
  <c r="BV120" i="4"/>
  <c r="CQ120" i="4"/>
  <c r="DK120" i="4"/>
  <c r="EH120" i="4"/>
  <c r="FC120" i="4"/>
  <c r="FW120" i="4"/>
  <c r="GT120" i="4"/>
  <c r="HO120" i="4"/>
  <c r="II120" i="4"/>
  <c r="JF120" i="4"/>
  <c r="KA120" i="4"/>
  <c r="L120" i="4"/>
  <c r="AG120" i="4"/>
  <c r="BA120" i="4"/>
  <c r="BX120" i="4"/>
  <c r="CS120" i="4"/>
  <c r="DM120" i="4"/>
  <c r="EJ120" i="4"/>
  <c r="FE120" i="4"/>
  <c r="FY120" i="4"/>
  <c r="GV120" i="4"/>
  <c r="HQ120" i="4"/>
  <c r="IK120" i="4"/>
  <c r="JH120" i="4"/>
  <c r="KC120" i="4"/>
  <c r="AI120" i="4"/>
  <c r="BM120" i="4"/>
  <c r="CW120" i="4"/>
  <c r="EI120" i="4"/>
  <c r="FN120" i="4"/>
  <c r="GY120" i="4"/>
  <c r="IB120" i="4"/>
  <c r="JM120" i="4"/>
  <c r="AJ120" i="4"/>
  <c r="BN120" i="4"/>
  <c r="CX120" i="4"/>
  <c r="EL120" i="4"/>
  <c r="FO120" i="4"/>
  <c r="GZ120" i="4"/>
  <c r="ID120" i="4"/>
  <c r="JN120" i="4"/>
  <c r="AK120" i="4"/>
  <c r="BW120" i="4"/>
  <c r="DB120" i="4"/>
  <c r="EM120" i="4"/>
  <c r="FP120" i="4"/>
  <c r="HA120" i="4"/>
  <c r="IJ120" i="4"/>
  <c r="JO120" i="4"/>
  <c r="AL120" i="4"/>
  <c r="BZ120" i="4"/>
  <c r="DC120" i="4"/>
  <c r="EN120" i="4"/>
  <c r="FR120" i="4"/>
  <c r="HB120" i="4"/>
  <c r="IL120" i="4"/>
  <c r="JP120" i="4"/>
  <c r="K120" i="4"/>
  <c r="AP120" i="4"/>
  <c r="CA120" i="4"/>
  <c r="DD120" i="4"/>
  <c r="EO120" i="4"/>
  <c r="FX120" i="4"/>
  <c r="HC120" i="4"/>
  <c r="IP120" i="4"/>
  <c r="JQ120" i="4"/>
  <c r="O120" i="4"/>
  <c r="AR120" i="4"/>
  <c r="CC120" i="4"/>
  <c r="DL120" i="4"/>
  <c r="EQ120" i="4"/>
  <c r="GD120" i="4"/>
  <c r="HE120" i="4"/>
  <c r="IR120" i="4"/>
  <c r="KB120" i="4"/>
  <c r="S120" i="4"/>
  <c r="CB120" i="4"/>
  <c r="DW120" i="4"/>
  <c r="GF120" i="4"/>
  <c r="HZ120" i="4"/>
  <c r="KG120" i="4"/>
  <c r="T120" i="4"/>
  <c r="CD120" i="4"/>
  <c r="DX120" i="4"/>
  <c r="GH120" i="4"/>
  <c r="IA120" i="4"/>
  <c r="KH120" i="4"/>
  <c r="U120" i="4"/>
  <c r="CE120" i="4"/>
  <c r="DY120" i="4"/>
  <c r="GI120" i="4"/>
  <c r="IQ120" i="4"/>
  <c r="V120" i="4"/>
  <c r="CF120" i="4"/>
  <c r="DZ120" i="4"/>
  <c r="GJ120" i="4"/>
  <c r="IT120" i="4"/>
  <c r="AF120" i="4"/>
  <c r="CG120" i="4"/>
  <c r="EP120" i="4"/>
  <c r="GK120" i="4"/>
  <c r="IU120" i="4"/>
  <c r="AQ120" i="4"/>
  <c r="CR120" i="4"/>
  <c r="ES120" i="4"/>
  <c r="GU120" i="4"/>
  <c r="IW120" i="4"/>
  <c r="BF120" i="4"/>
  <c r="ER120" i="4"/>
  <c r="HS120" i="4"/>
  <c r="BG120" i="4"/>
  <c r="ET120" i="4"/>
  <c r="HT120" i="4"/>
  <c r="BH120" i="4"/>
  <c r="FD120" i="4"/>
  <c r="HU120" i="4"/>
  <c r="BJ120" i="4"/>
  <c r="FF120" i="4"/>
  <c r="HV120" i="4"/>
  <c r="BK120" i="4"/>
  <c r="FG120" i="4"/>
  <c r="IV120" i="4"/>
  <c r="CH120" i="4"/>
  <c r="FI120" i="4"/>
  <c r="JG120" i="4"/>
  <c r="Q120" i="4"/>
  <c r="FH120" i="4"/>
  <c r="KE120" i="4"/>
  <c r="R120" i="4"/>
  <c r="FJ120" i="4"/>
  <c r="KF120" i="4"/>
  <c r="AH120" i="4"/>
  <c r="FZ120" i="4"/>
  <c r="AT120" i="4"/>
  <c r="GE120" i="4"/>
  <c r="AZ120" i="4"/>
  <c r="GL120" i="4"/>
  <c r="BL120" i="4"/>
  <c r="HD120" i="4"/>
  <c r="CU120" i="4"/>
  <c r="JR120" i="4"/>
  <c r="CV120" i="4"/>
  <c r="KD120" i="4"/>
  <c r="DF120" i="4"/>
  <c r="DN120" i="4"/>
  <c r="DR120" i="4"/>
  <c r="HP120" i="4"/>
  <c r="HF120" i="4"/>
  <c r="HR120" i="4"/>
  <c r="IX120" i="4"/>
  <c r="JJ120" i="4"/>
  <c r="JK120" i="4"/>
  <c r="BB120" i="4"/>
  <c r="P120" i="4"/>
  <c r="CT120" i="4"/>
  <c r="DS120" i="4"/>
  <c r="DT120" i="4"/>
  <c r="GX120" i="4"/>
  <c r="DV120" i="4"/>
  <c r="JL120" i="4"/>
  <c r="N120" i="4"/>
  <c r="M95" i="4"/>
  <c r="AC95" i="4"/>
  <c r="AS95" i="4"/>
  <c r="BI95" i="4"/>
  <c r="BY95" i="4"/>
  <c r="CO95" i="4"/>
  <c r="DE95" i="4"/>
  <c r="DU95" i="4"/>
  <c r="EK95" i="4"/>
  <c r="FA95" i="4"/>
  <c r="FQ95" i="4"/>
  <c r="GG95" i="4"/>
  <c r="GW95" i="4"/>
  <c r="HM95" i="4"/>
  <c r="IC95" i="4"/>
  <c r="IS95" i="4"/>
  <c r="JI95" i="4"/>
  <c r="JY95" i="4"/>
  <c r="N95" i="4"/>
  <c r="AD95" i="4"/>
  <c r="AT95" i="4"/>
  <c r="BJ95" i="4"/>
  <c r="BZ95" i="4"/>
  <c r="CP95" i="4"/>
  <c r="DF95" i="4"/>
  <c r="DV95" i="4"/>
  <c r="EL95" i="4"/>
  <c r="FB95" i="4"/>
  <c r="FR95" i="4"/>
  <c r="GH95" i="4"/>
  <c r="GX95" i="4"/>
  <c r="HN95" i="4"/>
  <c r="ID95" i="4"/>
  <c r="IT95" i="4"/>
  <c r="JJ95" i="4"/>
  <c r="JZ95" i="4"/>
  <c r="O95" i="4"/>
  <c r="AE95" i="4"/>
  <c r="AU95" i="4"/>
  <c r="BK95" i="4"/>
  <c r="CA95" i="4"/>
  <c r="CQ95" i="4"/>
  <c r="DG95" i="4"/>
  <c r="DW95" i="4"/>
  <c r="EM95" i="4"/>
  <c r="FC95" i="4"/>
  <c r="FS95" i="4"/>
  <c r="GI95" i="4"/>
  <c r="GY95" i="4"/>
  <c r="HO95" i="4"/>
  <c r="IE95" i="4"/>
  <c r="IU95" i="4"/>
  <c r="JK95" i="4"/>
  <c r="KA95" i="4"/>
  <c r="S95" i="4"/>
  <c r="AI95" i="4"/>
  <c r="AY95" i="4"/>
  <c r="BO95" i="4"/>
  <c r="CE95" i="4"/>
  <c r="CU95" i="4"/>
  <c r="DK95" i="4"/>
  <c r="EA95" i="4"/>
  <c r="EQ95" i="4"/>
  <c r="FG95" i="4"/>
  <c r="FW95" i="4"/>
  <c r="GM95" i="4"/>
  <c r="HC95" i="4"/>
  <c r="HS95" i="4"/>
  <c r="II95" i="4"/>
  <c r="IY95" i="4"/>
  <c r="JO95" i="4"/>
  <c r="KE95" i="4"/>
  <c r="P95" i="4"/>
  <c r="AK95" i="4"/>
  <c r="BE95" i="4"/>
  <c r="CB95" i="4"/>
  <c r="CW95" i="4"/>
  <c r="DQ95" i="4"/>
  <c r="EN95" i="4"/>
  <c r="FI95" i="4"/>
  <c r="GC95" i="4"/>
  <c r="GZ95" i="4"/>
  <c r="HU95" i="4"/>
  <c r="IO95" i="4"/>
  <c r="JL95" i="4"/>
  <c r="KG95" i="4"/>
  <c r="Q95" i="4"/>
  <c r="AL95" i="4"/>
  <c r="BF95" i="4"/>
  <c r="CC95" i="4"/>
  <c r="CX95" i="4"/>
  <c r="DR95" i="4"/>
  <c r="EO95" i="4"/>
  <c r="FJ95" i="4"/>
  <c r="GD95" i="4"/>
  <c r="HA95" i="4"/>
  <c r="HV95" i="4"/>
  <c r="IP95" i="4"/>
  <c r="JM95" i="4"/>
  <c r="KH95" i="4"/>
  <c r="R95" i="4"/>
  <c r="AM95" i="4"/>
  <c r="BG95" i="4"/>
  <c r="CD95" i="4"/>
  <c r="CY95" i="4"/>
  <c r="DS95" i="4"/>
  <c r="EP95" i="4"/>
  <c r="FK95" i="4"/>
  <c r="GE95" i="4"/>
  <c r="HB95" i="4"/>
  <c r="HW95" i="4"/>
  <c r="IQ95" i="4"/>
  <c r="JN95" i="4"/>
  <c r="KI95" i="4"/>
  <c r="T95" i="4"/>
  <c r="AN95" i="4"/>
  <c r="BH95" i="4"/>
  <c r="CF95" i="4"/>
  <c r="CZ95" i="4"/>
  <c r="DT95" i="4"/>
  <c r="ER95" i="4"/>
  <c r="FL95" i="4"/>
  <c r="GF95" i="4"/>
  <c r="HD95" i="4"/>
  <c r="HX95" i="4"/>
  <c r="IR95" i="4"/>
  <c r="JP95" i="4"/>
  <c r="U95" i="4"/>
  <c r="AO95" i="4"/>
  <c r="BL95" i="4"/>
  <c r="CG95" i="4"/>
  <c r="DA95" i="4"/>
  <c r="DX95" i="4"/>
  <c r="ES95" i="4"/>
  <c r="FM95" i="4"/>
  <c r="GJ95" i="4"/>
  <c r="HE95" i="4"/>
  <c r="HY95" i="4"/>
  <c r="IV95" i="4"/>
  <c r="JQ95" i="4"/>
  <c r="W95" i="4"/>
  <c r="AQ95" i="4"/>
  <c r="BN95" i="4"/>
  <c r="CI95" i="4"/>
  <c r="DC95" i="4"/>
  <c r="DZ95" i="4"/>
  <c r="EU95" i="4"/>
  <c r="FO95" i="4"/>
  <c r="GL95" i="4"/>
  <c r="HG95" i="4"/>
  <c r="IA95" i="4"/>
  <c r="IX95" i="4"/>
  <c r="JS95" i="4"/>
  <c r="I95" i="4"/>
  <c r="AV95" i="4"/>
  <c r="BW95" i="4"/>
  <c r="DJ95" i="4"/>
  <c r="ET95" i="4"/>
  <c r="FY95" i="4"/>
  <c r="HI95" i="4"/>
  <c r="IM95" i="4"/>
  <c r="JW95" i="4"/>
  <c r="J95" i="4"/>
  <c r="AW95" i="4"/>
  <c r="BX95" i="4"/>
  <c r="DL95" i="4"/>
  <c r="EV95" i="4"/>
  <c r="FZ95" i="4"/>
  <c r="HJ95" i="4"/>
  <c r="IN95" i="4"/>
  <c r="JX95" i="4"/>
  <c r="K95" i="4"/>
  <c r="AX95" i="4"/>
  <c r="CH95" i="4"/>
  <c r="DM95" i="4"/>
  <c r="EW95" i="4"/>
  <c r="GA95" i="4"/>
  <c r="HK95" i="4"/>
  <c r="IW95" i="4"/>
  <c r="KB95" i="4"/>
  <c r="L95" i="4"/>
  <c r="AZ95" i="4"/>
  <c r="CJ95" i="4"/>
  <c r="DN95" i="4"/>
  <c r="EX95" i="4"/>
  <c r="GB95" i="4"/>
  <c r="HL95" i="4"/>
  <c r="IZ95" i="4"/>
  <c r="KC95" i="4"/>
  <c r="V95" i="4"/>
  <c r="BA95" i="4"/>
  <c r="CK95" i="4"/>
  <c r="DO95" i="4"/>
  <c r="EY95" i="4"/>
  <c r="GK95" i="4"/>
  <c r="HP95" i="4"/>
  <c r="JA95" i="4"/>
  <c r="KD95" i="4"/>
  <c r="Y95" i="4"/>
  <c r="BC95" i="4"/>
  <c r="CM95" i="4"/>
  <c r="DY95" i="4"/>
  <c r="FD95" i="4"/>
  <c r="GO95" i="4"/>
  <c r="HR95" i="4"/>
  <c r="JC95" i="4"/>
  <c r="AA95" i="4"/>
  <c r="BU95" i="4"/>
  <c r="EE95" i="4"/>
  <c r="GN95" i="4"/>
  <c r="IH95" i="4"/>
  <c r="AB95" i="4"/>
  <c r="BV95" i="4"/>
  <c r="EF95" i="4"/>
  <c r="GP95" i="4"/>
  <c r="IJ95" i="4"/>
  <c r="AF95" i="4"/>
  <c r="CL95" i="4"/>
  <c r="EG95" i="4"/>
  <c r="GQ95" i="4"/>
  <c r="IK95" i="4"/>
  <c r="AG95" i="4"/>
  <c r="CN95" i="4"/>
  <c r="EH95" i="4"/>
  <c r="GR95" i="4"/>
  <c r="IL95" i="4"/>
  <c r="AH95" i="4"/>
  <c r="CR95" i="4"/>
  <c r="EI95" i="4"/>
  <c r="GS95" i="4"/>
  <c r="JB95" i="4"/>
  <c r="AP95" i="4"/>
  <c r="CT95" i="4"/>
  <c r="EZ95" i="4"/>
  <c r="GU95" i="4"/>
  <c r="JE95" i="4"/>
  <c r="AJ95" i="4"/>
  <c r="DP95" i="4"/>
  <c r="HF95" i="4"/>
  <c r="KF95" i="4"/>
  <c r="AR95" i="4"/>
  <c r="EB95" i="4"/>
  <c r="HH95" i="4"/>
  <c r="BB95" i="4"/>
  <c r="EC95" i="4"/>
  <c r="HQ95" i="4"/>
  <c r="BD95" i="4"/>
  <c r="ED95" i="4"/>
  <c r="HT95" i="4"/>
  <c r="BM95" i="4"/>
  <c r="EJ95" i="4"/>
  <c r="HZ95" i="4"/>
  <c r="BQ95" i="4"/>
  <c r="FF95" i="4"/>
  <c r="IF95" i="4"/>
  <c r="DB95" i="4"/>
  <c r="JD95" i="4"/>
  <c r="DD95" i="4"/>
  <c r="JF95" i="4"/>
  <c r="DH95" i="4"/>
  <c r="JG95" i="4"/>
  <c r="DI95" i="4"/>
  <c r="JH95" i="4"/>
  <c r="FE95" i="4"/>
  <c r="JR95" i="4"/>
  <c r="FN95" i="4"/>
  <c r="JU95" i="4"/>
  <c r="FT95" i="4"/>
  <c r="FU95" i="4"/>
  <c r="FV95" i="4"/>
  <c r="FX95" i="4"/>
  <c r="GT95" i="4"/>
  <c r="X95" i="4"/>
  <c r="IB95" i="4"/>
  <c r="Z95" i="4"/>
  <c r="BP95" i="4"/>
  <c r="BR95" i="4"/>
  <c r="BS95" i="4"/>
  <c r="GV95" i="4"/>
  <c r="CV95" i="4"/>
  <c r="FH95" i="4"/>
  <c r="FP95" i="4"/>
  <c r="IG95" i="4"/>
  <c r="JT95" i="4"/>
  <c r="BT95" i="4"/>
  <c r="CS95" i="4"/>
  <c r="JV95" i="4"/>
  <c r="T67" i="4"/>
  <c r="AJ67" i="4"/>
  <c r="AZ67" i="4"/>
  <c r="BP67" i="4"/>
  <c r="CF67" i="4"/>
  <c r="CV67" i="4"/>
  <c r="DL67" i="4"/>
  <c r="EB67" i="4"/>
  <c r="ER67" i="4"/>
  <c r="FH67" i="4"/>
  <c r="FX67" i="4"/>
  <c r="GN67" i="4"/>
  <c r="HD67" i="4"/>
  <c r="HT67" i="4"/>
  <c r="IJ67" i="4"/>
  <c r="IZ67" i="4"/>
  <c r="JP67" i="4"/>
  <c r="KF67" i="4"/>
  <c r="U67" i="4"/>
  <c r="AK67" i="4"/>
  <c r="BA67" i="4"/>
  <c r="BQ67" i="4"/>
  <c r="CG67" i="4"/>
  <c r="CW67" i="4"/>
  <c r="DM67" i="4"/>
  <c r="EC67" i="4"/>
  <c r="ES67" i="4"/>
  <c r="FI67" i="4"/>
  <c r="FY67" i="4"/>
  <c r="GO67" i="4"/>
  <c r="HE67" i="4"/>
  <c r="HU67" i="4"/>
  <c r="IK67" i="4"/>
  <c r="JA67" i="4"/>
  <c r="JQ67" i="4"/>
  <c r="KG67" i="4"/>
  <c r="V67" i="4"/>
  <c r="AL67" i="4"/>
  <c r="BB67" i="4"/>
  <c r="BR67" i="4"/>
  <c r="CH67" i="4"/>
  <c r="CX67" i="4"/>
  <c r="DN67" i="4"/>
  <c r="ED67" i="4"/>
  <c r="ET67" i="4"/>
  <c r="FJ67" i="4"/>
  <c r="FZ67" i="4"/>
  <c r="GP67" i="4"/>
  <c r="HF67" i="4"/>
  <c r="HV67" i="4"/>
  <c r="IL67" i="4"/>
  <c r="JB67" i="4"/>
  <c r="JR67" i="4"/>
  <c r="KH67" i="4"/>
  <c r="J67" i="4"/>
  <c r="Z67" i="4"/>
  <c r="AP67" i="4"/>
  <c r="BF67" i="4"/>
  <c r="BV67" i="4"/>
  <c r="CL67" i="4"/>
  <c r="DB67" i="4"/>
  <c r="DR67" i="4"/>
  <c r="EH67" i="4"/>
  <c r="EX67" i="4"/>
  <c r="FN67" i="4"/>
  <c r="GD67" i="4"/>
  <c r="GT67" i="4"/>
  <c r="HJ67" i="4"/>
  <c r="HZ67" i="4"/>
  <c r="IP67" i="4"/>
  <c r="JF67" i="4"/>
  <c r="JV67" i="4"/>
  <c r="AC67" i="4"/>
  <c r="AW67" i="4"/>
  <c r="BT67" i="4"/>
  <c r="CO67" i="4"/>
  <c r="DI67" i="4"/>
  <c r="EF67" i="4"/>
  <c r="FA67" i="4"/>
  <c r="FU67" i="4"/>
  <c r="GR67" i="4"/>
  <c r="HM67" i="4"/>
  <c r="IG67" i="4"/>
  <c r="JD67" i="4"/>
  <c r="JY67" i="4"/>
  <c r="I67" i="4"/>
  <c r="AD67" i="4"/>
  <c r="AX67" i="4"/>
  <c r="BU67" i="4"/>
  <c r="CP67" i="4"/>
  <c r="DJ67" i="4"/>
  <c r="EG67" i="4"/>
  <c r="FB67" i="4"/>
  <c r="FV67" i="4"/>
  <c r="GS67" i="4"/>
  <c r="HN67" i="4"/>
  <c r="IH67" i="4"/>
  <c r="JE67" i="4"/>
  <c r="JZ67" i="4"/>
  <c r="K67" i="4"/>
  <c r="AE67" i="4"/>
  <c r="AY67" i="4"/>
  <c r="BW67" i="4"/>
  <c r="CQ67" i="4"/>
  <c r="DK67" i="4"/>
  <c r="EI67" i="4"/>
  <c r="FC67" i="4"/>
  <c r="FW67" i="4"/>
  <c r="GU67" i="4"/>
  <c r="HO67" i="4"/>
  <c r="II67" i="4"/>
  <c r="JG67" i="4"/>
  <c r="KA67" i="4"/>
  <c r="L67" i="4"/>
  <c r="AF67" i="4"/>
  <c r="BC67" i="4"/>
  <c r="BX67" i="4"/>
  <c r="CR67" i="4"/>
  <c r="DO67" i="4"/>
  <c r="EJ67" i="4"/>
  <c r="FD67" i="4"/>
  <c r="GA67" i="4"/>
  <c r="GV67" i="4"/>
  <c r="HP67" i="4"/>
  <c r="IM67" i="4"/>
  <c r="JH67" i="4"/>
  <c r="KB67" i="4"/>
  <c r="M67" i="4"/>
  <c r="AG67" i="4"/>
  <c r="BD67" i="4"/>
  <c r="BY67" i="4"/>
  <c r="CS67" i="4"/>
  <c r="DP67" i="4"/>
  <c r="EK67" i="4"/>
  <c r="FE67" i="4"/>
  <c r="GB67" i="4"/>
  <c r="GW67" i="4"/>
  <c r="HQ67" i="4"/>
  <c r="IN67" i="4"/>
  <c r="JI67" i="4"/>
  <c r="KC67" i="4"/>
  <c r="O67" i="4"/>
  <c r="AI67" i="4"/>
  <c r="BG67" i="4"/>
  <c r="CA67" i="4"/>
  <c r="CU67" i="4"/>
  <c r="DS67" i="4"/>
  <c r="EM67" i="4"/>
  <c r="FG67" i="4"/>
  <c r="GE67" i="4"/>
  <c r="GY67" i="4"/>
  <c r="HS67" i="4"/>
  <c r="IQ67" i="4"/>
  <c r="JK67" i="4"/>
  <c r="KE67" i="4"/>
  <c r="X67" i="4"/>
  <c r="BI67" i="4"/>
  <c r="CM67" i="4"/>
  <c r="DW67" i="4"/>
  <c r="FF67" i="4"/>
  <c r="GK67" i="4"/>
  <c r="HX67" i="4"/>
  <c r="IY67" i="4"/>
  <c r="Y67" i="4"/>
  <c r="BJ67" i="4"/>
  <c r="CN67" i="4"/>
  <c r="DX67" i="4"/>
  <c r="FK67" i="4"/>
  <c r="GL67" i="4"/>
  <c r="HY67" i="4"/>
  <c r="JC67" i="4"/>
  <c r="AA67" i="4"/>
  <c r="BK67" i="4"/>
  <c r="CT67" i="4"/>
  <c r="DY67" i="4"/>
  <c r="FL67" i="4"/>
  <c r="GM67" i="4"/>
  <c r="IA67" i="4"/>
  <c r="JJ67" i="4"/>
  <c r="AB67" i="4"/>
  <c r="BL67" i="4"/>
  <c r="CY67" i="4"/>
  <c r="DZ67" i="4"/>
  <c r="FM67" i="4"/>
  <c r="GQ67" i="4"/>
  <c r="IB67" i="4"/>
  <c r="JL67" i="4"/>
  <c r="AH67" i="4"/>
  <c r="BM67" i="4"/>
  <c r="CZ67" i="4"/>
  <c r="EA67" i="4"/>
  <c r="FO67" i="4"/>
  <c r="GX67" i="4"/>
  <c r="IC67" i="4"/>
  <c r="JM67" i="4"/>
  <c r="AN67" i="4"/>
  <c r="BO67" i="4"/>
  <c r="DC67" i="4"/>
  <c r="EL67" i="4"/>
  <c r="FQ67" i="4"/>
  <c r="HA67" i="4"/>
  <c r="IE67" i="4"/>
  <c r="JO67" i="4"/>
  <c r="S67" i="4"/>
  <c r="CC67" i="4"/>
  <c r="EE67" i="4"/>
  <c r="GG67" i="4"/>
  <c r="IO67" i="4"/>
  <c r="W67" i="4"/>
  <c r="CD67" i="4"/>
  <c r="EN67" i="4"/>
  <c r="GH67" i="4"/>
  <c r="IR67" i="4"/>
  <c r="AM67" i="4"/>
  <c r="CE67" i="4"/>
  <c r="EO67" i="4"/>
  <c r="GI67" i="4"/>
  <c r="IS67" i="4"/>
  <c r="AO67" i="4"/>
  <c r="CI67" i="4"/>
  <c r="EP67" i="4"/>
  <c r="GJ67" i="4"/>
  <c r="IT67" i="4"/>
  <c r="AQ67" i="4"/>
  <c r="CJ67" i="4"/>
  <c r="EQ67" i="4"/>
  <c r="GZ67" i="4"/>
  <c r="IU67" i="4"/>
  <c r="AS67" i="4"/>
  <c r="DA67" i="4"/>
  <c r="EV67" i="4"/>
  <c r="HC67" i="4"/>
  <c r="IW67" i="4"/>
  <c r="AU67" i="4"/>
  <c r="DU67" i="4"/>
  <c r="HK67" i="4"/>
  <c r="AV67" i="4"/>
  <c r="DV67" i="4"/>
  <c r="HL67" i="4"/>
  <c r="BE67" i="4"/>
  <c r="EU67" i="4"/>
  <c r="HR67" i="4"/>
  <c r="BH67" i="4"/>
  <c r="EW67" i="4"/>
  <c r="HW67" i="4"/>
  <c r="BN67" i="4"/>
  <c r="EY67" i="4"/>
  <c r="ID67" i="4"/>
  <c r="BZ67" i="4"/>
  <c r="FP67" i="4"/>
  <c r="IV67" i="4"/>
  <c r="DE67" i="4"/>
  <c r="IF67" i="4"/>
  <c r="DF67" i="4"/>
  <c r="IX67" i="4"/>
  <c r="DG67" i="4"/>
  <c r="JN67" i="4"/>
  <c r="DH67" i="4"/>
  <c r="JS67" i="4"/>
  <c r="DQ67" i="4"/>
  <c r="JT67" i="4"/>
  <c r="N67" i="4"/>
  <c r="EZ67" i="4"/>
  <c r="JW67" i="4"/>
  <c r="DT67" i="4"/>
  <c r="FR67" i="4"/>
  <c r="FS67" i="4"/>
  <c r="FT67" i="4"/>
  <c r="GC67" i="4"/>
  <c r="HB67" i="4"/>
  <c r="GF67" i="4"/>
  <c r="HG67" i="4"/>
  <c r="HH67" i="4"/>
  <c r="HI67" i="4"/>
  <c r="JU67" i="4"/>
  <c r="KD67" i="4"/>
  <c r="P67" i="4"/>
  <c r="Q67" i="4"/>
  <c r="R67" i="4"/>
  <c r="AR67" i="4"/>
  <c r="JX67" i="4"/>
  <c r="DD67" i="4"/>
  <c r="BS67" i="4"/>
  <c r="CB67" i="4"/>
  <c r="CK67" i="4"/>
  <c r="KI67" i="4"/>
  <c r="AT67" i="4"/>
  <c r="O146" i="4"/>
  <c r="AE146" i="4"/>
  <c r="AU146" i="4"/>
  <c r="BK146" i="4"/>
  <c r="CA146" i="4"/>
  <c r="CQ146" i="4"/>
  <c r="DG146" i="4"/>
  <c r="DW146" i="4"/>
  <c r="EM146" i="4"/>
  <c r="FC146" i="4"/>
  <c r="FS146" i="4"/>
  <c r="GI146" i="4"/>
  <c r="GY146" i="4"/>
  <c r="HO146" i="4"/>
  <c r="IE146" i="4"/>
  <c r="IU146" i="4"/>
  <c r="JK146" i="4"/>
  <c r="KA146" i="4"/>
  <c r="P146" i="4"/>
  <c r="AF146" i="4"/>
  <c r="AV146" i="4"/>
  <c r="BL146" i="4"/>
  <c r="CB146" i="4"/>
  <c r="CR146" i="4"/>
  <c r="DH146" i="4"/>
  <c r="DX146" i="4"/>
  <c r="EN146" i="4"/>
  <c r="FD146" i="4"/>
  <c r="FT146" i="4"/>
  <c r="GJ146" i="4"/>
  <c r="GZ146" i="4"/>
  <c r="HP146" i="4"/>
  <c r="IF146" i="4"/>
  <c r="IV146" i="4"/>
  <c r="JL146" i="4"/>
  <c r="KB146" i="4"/>
  <c r="Q146" i="4"/>
  <c r="AG146" i="4"/>
  <c r="AW146" i="4"/>
  <c r="BM146" i="4"/>
  <c r="CC146" i="4"/>
  <c r="CS146" i="4"/>
  <c r="DI146" i="4"/>
  <c r="DY146" i="4"/>
  <c r="EO146" i="4"/>
  <c r="FE146" i="4"/>
  <c r="FU146" i="4"/>
  <c r="GK146" i="4"/>
  <c r="HA146" i="4"/>
  <c r="HQ146" i="4"/>
  <c r="IG146" i="4"/>
  <c r="IW146" i="4"/>
  <c r="JM146" i="4"/>
  <c r="KC146" i="4"/>
  <c r="U146" i="4"/>
  <c r="AK146" i="4"/>
  <c r="BA146" i="4"/>
  <c r="BQ146" i="4"/>
  <c r="CG146" i="4"/>
  <c r="CW146" i="4"/>
  <c r="DM146" i="4"/>
  <c r="EC146" i="4"/>
  <c r="ES146" i="4"/>
  <c r="FI146" i="4"/>
  <c r="FY146" i="4"/>
  <c r="GO146" i="4"/>
  <c r="HE146" i="4"/>
  <c r="HU146" i="4"/>
  <c r="IK146" i="4"/>
  <c r="JA146" i="4"/>
  <c r="JQ146" i="4"/>
  <c r="KG146" i="4"/>
  <c r="T146" i="4"/>
  <c r="AO146" i="4"/>
  <c r="BI146" i="4"/>
  <c r="CF146" i="4"/>
  <c r="DA146" i="4"/>
  <c r="DU146" i="4"/>
  <c r="ER146" i="4"/>
  <c r="FM146" i="4"/>
  <c r="GG146" i="4"/>
  <c r="HD146" i="4"/>
  <c r="HY146" i="4"/>
  <c r="IS146" i="4"/>
  <c r="JP146" i="4"/>
  <c r="V146" i="4"/>
  <c r="AP146" i="4"/>
  <c r="BJ146" i="4"/>
  <c r="CH146" i="4"/>
  <c r="DB146" i="4"/>
  <c r="DV146" i="4"/>
  <c r="ET146" i="4"/>
  <c r="FN146" i="4"/>
  <c r="GH146" i="4"/>
  <c r="HF146" i="4"/>
  <c r="HZ146" i="4"/>
  <c r="IT146" i="4"/>
  <c r="JR146" i="4"/>
  <c r="W146" i="4"/>
  <c r="AQ146" i="4"/>
  <c r="BN146" i="4"/>
  <c r="CI146" i="4"/>
  <c r="DC146" i="4"/>
  <c r="DZ146" i="4"/>
  <c r="EU146" i="4"/>
  <c r="FO146" i="4"/>
  <c r="GL146" i="4"/>
  <c r="HG146" i="4"/>
  <c r="IA146" i="4"/>
  <c r="IX146" i="4"/>
  <c r="JS146" i="4"/>
  <c r="X146" i="4"/>
  <c r="AR146" i="4"/>
  <c r="BO146" i="4"/>
  <c r="CJ146" i="4"/>
  <c r="DD146" i="4"/>
  <c r="EA146" i="4"/>
  <c r="EV146" i="4"/>
  <c r="FP146" i="4"/>
  <c r="GM146" i="4"/>
  <c r="HH146" i="4"/>
  <c r="IB146" i="4"/>
  <c r="IY146" i="4"/>
  <c r="JT146" i="4"/>
  <c r="Y146" i="4"/>
  <c r="AS146" i="4"/>
  <c r="BP146" i="4"/>
  <c r="CK146" i="4"/>
  <c r="AA146" i="4"/>
  <c r="AX146" i="4"/>
  <c r="BS146" i="4"/>
  <c r="CM146" i="4"/>
  <c r="DJ146" i="4"/>
  <c r="EE146" i="4"/>
  <c r="EY146" i="4"/>
  <c r="FV146" i="4"/>
  <c r="GQ146" i="4"/>
  <c r="HK146" i="4"/>
  <c r="IH146" i="4"/>
  <c r="JC146" i="4"/>
  <c r="JW146" i="4"/>
  <c r="AJ146" i="4"/>
  <c r="BU146" i="4"/>
  <c r="CY146" i="4"/>
  <c r="EG146" i="4"/>
  <c r="FJ146" i="4"/>
  <c r="GR146" i="4"/>
  <c r="HT146" i="4"/>
  <c r="JB146" i="4"/>
  <c r="KE146" i="4"/>
  <c r="AL146" i="4"/>
  <c r="BV146" i="4"/>
  <c r="CZ146" i="4"/>
  <c r="EH146" i="4"/>
  <c r="FK146" i="4"/>
  <c r="GS146" i="4"/>
  <c r="HV146" i="4"/>
  <c r="JD146" i="4"/>
  <c r="KF146" i="4"/>
  <c r="I146" i="4"/>
  <c r="AM146" i="4"/>
  <c r="BW146" i="4"/>
  <c r="DE146" i="4"/>
  <c r="EI146" i="4"/>
  <c r="FL146" i="4"/>
  <c r="GT146" i="4"/>
  <c r="HW146" i="4"/>
  <c r="JE146" i="4"/>
  <c r="KH146" i="4"/>
  <c r="J146" i="4"/>
  <c r="AN146" i="4"/>
  <c r="BX146" i="4"/>
  <c r="DF146" i="4"/>
  <c r="EJ146" i="4"/>
  <c r="FQ146" i="4"/>
  <c r="GU146" i="4"/>
  <c r="HX146" i="4"/>
  <c r="JF146" i="4"/>
  <c r="KI146" i="4"/>
  <c r="K146" i="4"/>
  <c r="AT146" i="4"/>
  <c r="BY146" i="4"/>
  <c r="DK146" i="4"/>
  <c r="EK146" i="4"/>
  <c r="FR146" i="4"/>
  <c r="GV146" i="4"/>
  <c r="IC146" i="4"/>
  <c r="JG146" i="4"/>
  <c r="M146" i="4"/>
  <c r="AZ146" i="4"/>
  <c r="CD146" i="4"/>
  <c r="DN146" i="4"/>
  <c r="EP146" i="4"/>
  <c r="FX146" i="4"/>
  <c r="GX146" i="4"/>
  <c r="II146" i="4"/>
  <c r="JI146" i="4"/>
  <c r="L146" i="4"/>
  <c r="BG146" i="4"/>
  <c r="DP146" i="4"/>
  <c r="FG146" i="4"/>
  <c r="HJ146" i="4"/>
  <c r="JH146" i="4"/>
  <c r="N146" i="4"/>
  <c r="BH146" i="4"/>
  <c r="DQ146" i="4"/>
  <c r="FH146" i="4"/>
  <c r="HL146" i="4"/>
  <c r="JJ146" i="4"/>
  <c r="R146" i="4"/>
  <c r="BR146" i="4"/>
  <c r="DR146" i="4"/>
  <c r="FW146" i="4"/>
  <c r="HM146" i="4"/>
  <c r="JN146" i="4"/>
  <c r="S146" i="4"/>
  <c r="BT146" i="4"/>
  <c r="DS146" i="4"/>
  <c r="FZ146" i="4"/>
  <c r="HN146" i="4"/>
  <c r="JO146" i="4"/>
  <c r="Z146" i="4"/>
  <c r="BZ146" i="4"/>
  <c r="DT146" i="4"/>
  <c r="GA146" i="4"/>
  <c r="HR146" i="4"/>
  <c r="JU146" i="4"/>
  <c r="AC146" i="4"/>
  <c r="CL146" i="4"/>
  <c r="ED146" i="4"/>
  <c r="GC146" i="4"/>
  <c r="ID146" i="4"/>
  <c r="JX146" i="4"/>
  <c r="AH146" i="4"/>
  <c r="DL146" i="4"/>
  <c r="GN146" i="4"/>
  <c r="JV146" i="4"/>
  <c r="AI146" i="4"/>
  <c r="DO146" i="4"/>
  <c r="GP146" i="4"/>
  <c r="JY146" i="4"/>
  <c r="AY146" i="4"/>
  <c r="EB146" i="4"/>
  <c r="GW146" i="4"/>
  <c r="JZ146" i="4"/>
  <c r="BB146" i="4"/>
  <c r="EF146" i="4"/>
  <c r="HB146" i="4"/>
  <c r="KD146" i="4"/>
  <c r="BC146" i="4"/>
  <c r="EL146" i="4"/>
  <c r="HC146" i="4"/>
  <c r="BE146" i="4"/>
  <c r="EW146" i="4"/>
  <c r="HS146" i="4"/>
  <c r="CV146" i="4"/>
  <c r="IN146" i="4"/>
  <c r="CX146" i="4"/>
  <c r="IO146" i="4"/>
  <c r="EQ146" i="4"/>
  <c r="IP146" i="4"/>
  <c r="EX146" i="4"/>
  <c r="IQ146" i="4"/>
  <c r="EZ146" i="4"/>
  <c r="IR146" i="4"/>
  <c r="FB146" i="4"/>
  <c r="FF146" i="4"/>
  <c r="GB146" i="4"/>
  <c r="GD146" i="4"/>
  <c r="GE146" i="4"/>
  <c r="CN146" i="4"/>
  <c r="IZ146" i="4"/>
  <c r="CU146" i="4"/>
  <c r="FA146" i="4"/>
  <c r="GF146" i="4"/>
  <c r="HI146" i="4"/>
  <c r="IL146" i="4"/>
  <c r="BD146" i="4"/>
  <c r="AB146" i="4"/>
  <c r="AD146" i="4"/>
  <c r="BF146" i="4"/>
  <c r="CE146" i="4"/>
  <c r="CO146" i="4"/>
  <c r="CP146" i="4"/>
  <c r="CT146" i="4"/>
  <c r="IJ146" i="4"/>
  <c r="IM146" i="4"/>
  <c r="R115" i="4"/>
  <c r="AH115" i="4"/>
  <c r="AX115" i="4"/>
  <c r="BN115" i="4"/>
  <c r="CD115" i="4"/>
  <c r="CT115" i="4"/>
  <c r="DJ115" i="4"/>
  <c r="DZ115" i="4"/>
  <c r="EP115" i="4"/>
  <c r="FF115" i="4"/>
  <c r="FV115" i="4"/>
  <c r="GL115" i="4"/>
  <c r="HB115" i="4"/>
  <c r="HR115" i="4"/>
  <c r="IH115" i="4"/>
  <c r="IX115" i="4"/>
  <c r="JN115" i="4"/>
  <c r="KD115" i="4"/>
  <c r="S115" i="4"/>
  <c r="AI115" i="4"/>
  <c r="AY115" i="4"/>
  <c r="BO115" i="4"/>
  <c r="CE115" i="4"/>
  <c r="CU115" i="4"/>
  <c r="DK115" i="4"/>
  <c r="EA115" i="4"/>
  <c r="EQ115" i="4"/>
  <c r="FG115" i="4"/>
  <c r="FW115" i="4"/>
  <c r="GM115" i="4"/>
  <c r="HC115" i="4"/>
  <c r="HS115" i="4"/>
  <c r="II115" i="4"/>
  <c r="IY115" i="4"/>
  <c r="JO115" i="4"/>
  <c r="KE115" i="4"/>
  <c r="T115" i="4"/>
  <c r="AJ115" i="4"/>
  <c r="AZ115" i="4"/>
  <c r="BP115" i="4"/>
  <c r="CF115" i="4"/>
  <c r="CV115" i="4"/>
  <c r="DL115" i="4"/>
  <c r="EB115" i="4"/>
  <c r="ER115" i="4"/>
  <c r="FH115" i="4"/>
  <c r="FX115" i="4"/>
  <c r="GN115" i="4"/>
  <c r="HD115" i="4"/>
  <c r="HT115" i="4"/>
  <c r="IJ115" i="4"/>
  <c r="IZ115" i="4"/>
  <c r="JP115" i="4"/>
  <c r="KF115" i="4"/>
  <c r="X115" i="4"/>
  <c r="AN115" i="4"/>
  <c r="BD115" i="4"/>
  <c r="BT115" i="4"/>
  <c r="CJ115" i="4"/>
  <c r="CZ115" i="4"/>
  <c r="DP115" i="4"/>
  <c r="EF115" i="4"/>
  <c r="EV115" i="4"/>
  <c r="FL115" i="4"/>
  <c r="GB115" i="4"/>
  <c r="GR115" i="4"/>
  <c r="HH115" i="4"/>
  <c r="HX115" i="4"/>
  <c r="IN115" i="4"/>
  <c r="JD115" i="4"/>
  <c r="JT115" i="4"/>
  <c r="J115" i="4"/>
  <c r="AD115" i="4"/>
  <c r="BA115" i="4"/>
  <c r="BV115" i="4"/>
  <c r="CP115" i="4"/>
  <c r="DM115" i="4"/>
  <c r="EH115" i="4"/>
  <c r="FB115" i="4"/>
  <c r="FY115" i="4"/>
  <c r="GT115" i="4"/>
  <c r="HN115" i="4"/>
  <c r="IK115" i="4"/>
  <c r="JF115" i="4"/>
  <c r="JZ115" i="4"/>
  <c r="K115" i="4"/>
  <c r="AE115" i="4"/>
  <c r="BB115" i="4"/>
  <c r="BW115" i="4"/>
  <c r="CQ115" i="4"/>
  <c r="DN115" i="4"/>
  <c r="EI115" i="4"/>
  <c r="FC115" i="4"/>
  <c r="FZ115" i="4"/>
  <c r="GU115" i="4"/>
  <c r="HO115" i="4"/>
  <c r="IL115" i="4"/>
  <c r="JG115" i="4"/>
  <c r="KA115" i="4"/>
  <c r="L115" i="4"/>
  <c r="AF115" i="4"/>
  <c r="BC115" i="4"/>
  <c r="BX115" i="4"/>
  <c r="CR115" i="4"/>
  <c r="DO115" i="4"/>
  <c r="EJ115" i="4"/>
  <c r="FD115" i="4"/>
  <c r="GA115" i="4"/>
  <c r="GV115" i="4"/>
  <c r="HP115" i="4"/>
  <c r="IM115" i="4"/>
  <c r="JH115" i="4"/>
  <c r="KB115" i="4"/>
  <c r="M115" i="4"/>
  <c r="AG115" i="4"/>
  <c r="BE115" i="4"/>
  <c r="BY115" i="4"/>
  <c r="CS115" i="4"/>
  <c r="DQ115" i="4"/>
  <c r="EK115" i="4"/>
  <c r="FE115" i="4"/>
  <c r="GC115" i="4"/>
  <c r="GW115" i="4"/>
  <c r="HQ115" i="4"/>
  <c r="IO115" i="4"/>
  <c r="JI115" i="4"/>
  <c r="KC115" i="4"/>
  <c r="N115" i="4"/>
  <c r="AK115" i="4"/>
  <c r="BF115" i="4"/>
  <c r="BZ115" i="4"/>
  <c r="CW115" i="4"/>
  <c r="DR115" i="4"/>
  <c r="EL115" i="4"/>
  <c r="FI115" i="4"/>
  <c r="GD115" i="4"/>
  <c r="GX115" i="4"/>
  <c r="HU115" i="4"/>
  <c r="IP115" i="4"/>
  <c r="JJ115" i="4"/>
  <c r="KG115" i="4"/>
  <c r="P115" i="4"/>
  <c r="AM115" i="4"/>
  <c r="BH115" i="4"/>
  <c r="CB115" i="4"/>
  <c r="CY115" i="4"/>
  <c r="DT115" i="4"/>
  <c r="EN115" i="4"/>
  <c r="FK115" i="4"/>
  <c r="GF115" i="4"/>
  <c r="GZ115" i="4"/>
  <c r="HW115" i="4"/>
  <c r="IR115" i="4"/>
  <c r="JL115" i="4"/>
  <c r="KI115" i="4"/>
  <c r="AL115" i="4"/>
  <c r="BQ115" i="4"/>
  <c r="DB115" i="4"/>
  <c r="EE115" i="4"/>
  <c r="FP115" i="4"/>
  <c r="GY115" i="4"/>
  <c r="ID115" i="4"/>
  <c r="JQ115" i="4"/>
  <c r="AO115" i="4"/>
  <c r="BR115" i="4"/>
  <c r="DC115" i="4"/>
  <c r="EG115" i="4"/>
  <c r="FQ115" i="4"/>
  <c r="HA115" i="4"/>
  <c r="IE115" i="4"/>
  <c r="JR115" i="4"/>
  <c r="AP115" i="4"/>
  <c r="BS115" i="4"/>
  <c r="DD115" i="4"/>
  <c r="EM115" i="4"/>
  <c r="FR115" i="4"/>
  <c r="HE115" i="4"/>
  <c r="IF115" i="4"/>
  <c r="JS115" i="4"/>
  <c r="AQ115" i="4"/>
  <c r="BU115" i="4"/>
  <c r="DE115" i="4"/>
  <c r="EO115" i="4"/>
  <c r="FS115" i="4"/>
  <c r="HF115" i="4"/>
  <c r="IG115" i="4"/>
  <c r="JU115" i="4"/>
  <c r="AR115" i="4"/>
  <c r="CA115" i="4"/>
  <c r="DF115" i="4"/>
  <c r="ES115" i="4"/>
  <c r="FT115" i="4"/>
  <c r="HG115" i="4"/>
  <c r="IQ115" i="4"/>
  <c r="JV115" i="4"/>
  <c r="O115" i="4"/>
  <c r="AT115" i="4"/>
  <c r="CG115" i="4"/>
  <c r="DH115" i="4"/>
  <c r="EU115" i="4"/>
  <c r="GE115" i="4"/>
  <c r="HJ115" i="4"/>
  <c r="IT115" i="4"/>
  <c r="JX115" i="4"/>
  <c r="AB115" i="4"/>
  <c r="CL115" i="4"/>
  <c r="ET115" i="4"/>
  <c r="GO115" i="4"/>
  <c r="IV115" i="4"/>
  <c r="AC115" i="4"/>
  <c r="CM115" i="4"/>
  <c r="EW115" i="4"/>
  <c r="GP115" i="4"/>
  <c r="IW115" i="4"/>
  <c r="AS115" i="4"/>
  <c r="CN115" i="4"/>
  <c r="EX115" i="4"/>
  <c r="GQ115" i="4"/>
  <c r="JA115" i="4"/>
  <c r="AU115" i="4"/>
  <c r="CO115" i="4"/>
  <c r="EY115" i="4"/>
  <c r="GS115" i="4"/>
  <c r="JB115" i="4"/>
  <c r="AV115" i="4"/>
  <c r="CX115" i="4"/>
  <c r="EZ115" i="4"/>
  <c r="HI115" i="4"/>
  <c r="JC115" i="4"/>
  <c r="BG115" i="4"/>
  <c r="DG115" i="4"/>
  <c r="FJ115" i="4"/>
  <c r="HL115" i="4"/>
  <c r="JK115" i="4"/>
  <c r="I115" i="4"/>
  <c r="CI115" i="4"/>
  <c r="FU115" i="4"/>
  <c r="JE115" i="4"/>
  <c r="Q115" i="4"/>
  <c r="CK115" i="4"/>
  <c r="GG115" i="4"/>
  <c r="JM115" i="4"/>
  <c r="U115" i="4"/>
  <c r="DA115" i="4"/>
  <c r="GH115" i="4"/>
  <c r="JW115" i="4"/>
  <c r="V115" i="4"/>
  <c r="DI115" i="4"/>
  <c r="GI115" i="4"/>
  <c r="JY115" i="4"/>
  <c r="W115" i="4"/>
  <c r="DS115" i="4"/>
  <c r="GJ115" i="4"/>
  <c r="KH115" i="4"/>
  <c r="Z115" i="4"/>
  <c r="DV115" i="4"/>
  <c r="HK115" i="4"/>
  <c r="BJ115" i="4"/>
  <c r="GK115" i="4"/>
  <c r="BK115" i="4"/>
  <c r="HM115" i="4"/>
  <c r="BL115" i="4"/>
  <c r="HV115" i="4"/>
  <c r="BM115" i="4"/>
  <c r="HY115" i="4"/>
  <c r="CC115" i="4"/>
  <c r="HZ115" i="4"/>
  <c r="DU115" i="4"/>
  <c r="IB115" i="4"/>
  <c r="FA115" i="4"/>
  <c r="FM115" i="4"/>
  <c r="FN115" i="4"/>
  <c r="FO115" i="4"/>
  <c r="IA115" i="4"/>
  <c r="CH115" i="4"/>
  <c r="IC115" i="4"/>
  <c r="IS115" i="4"/>
  <c r="IU115" i="4"/>
  <c r="BI115" i="4"/>
  <c r="DX115" i="4"/>
  <c r="Y115" i="4"/>
  <c r="AA115" i="4"/>
  <c r="AW115" i="4"/>
  <c r="DW115" i="4"/>
  <c r="DY115" i="4"/>
  <c r="EC115" i="4"/>
  <c r="ED115" i="4"/>
  <c r="R65" i="4"/>
  <c r="AH65" i="4"/>
  <c r="AX65" i="4"/>
  <c r="BN65" i="4"/>
  <c r="CD65" i="4"/>
  <c r="CT65" i="4"/>
  <c r="DJ65" i="4"/>
  <c r="DZ65" i="4"/>
  <c r="EP65" i="4"/>
  <c r="FF65" i="4"/>
  <c r="FV65" i="4"/>
  <c r="GL65" i="4"/>
  <c r="HB65" i="4"/>
  <c r="HR65" i="4"/>
  <c r="IH65" i="4"/>
  <c r="IX65" i="4"/>
  <c r="JN65" i="4"/>
  <c r="KD65" i="4"/>
  <c r="S65" i="4"/>
  <c r="AI65" i="4"/>
  <c r="AY65" i="4"/>
  <c r="BO65" i="4"/>
  <c r="CE65" i="4"/>
  <c r="CU65" i="4"/>
  <c r="DK65" i="4"/>
  <c r="EA65" i="4"/>
  <c r="EQ65" i="4"/>
  <c r="FG65" i="4"/>
  <c r="FW65" i="4"/>
  <c r="GM65" i="4"/>
  <c r="HC65" i="4"/>
  <c r="HS65" i="4"/>
  <c r="II65" i="4"/>
  <c r="IY65" i="4"/>
  <c r="JO65" i="4"/>
  <c r="KE65" i="4"/>
  <c r="T65" i="4"/>
  <c r="AJ65" i="4"/>
  <c r="AZ65" i="4"/>
  <c r="BP65" i="4"/>
  <c r="CF65" i="4"/>
  <c r="CV65" i="4"/>
  <c r="DL65" i="4"/>
  <c r="EB65" i="4"/>
  <c r="ER65" i="4"/>
  <c r="FH65" i="4"/>
  <c r="FX65" i="4"/>
  <c r="GN65" i="4"/>
  <c r="HD65" i="4"/>
  <c r="HT65" i="4"/>
  <c r="IJ65" i="4"/>
  <c r="IZ65" i="4"/>
  <c r="JP65" i="4"/>
  <c r="KF65" i="4"/>
  <c r="X65" i="4"/>
  <c r="AN65" i="4"/>
  <c r="BD65" i="4"/>
  <c r="BT65" i="4"/>
  <c r="CJ65" i="4"/>
  <c r="CZ65" i="4"/>
  <c r="DP65" i="4"/>
  <c r="EF65" i="4"/>
  <c r="EV65" i="4"/>
  <c r="FL65" i="4"/>
  <c r="GB65" i="4"/>
  <c r="GR65" i="4"/>
  <c r="HH65" i="4"/>
  <c r="HX65" i="4"/>
  <c r="IN65" i="4"/>
  <c r="JD65" i="4"/>
  <c r="JT65" i="4"/>
  <c r="AA65" i="4"/>
  <c r="AU65" i="4"/>
  <c r="BR65" i="4"/>
  <c r="CM65" i="4"/>
  <c r="DG65" i="4"/>
  <c r="ED65" i="4"/>
  <c r="EY65" i="4"/>
  <c r="FS65" i="4"/>
  <c r="GP65" i="4"/>
  <c r="HK65" i="4"/>
  <c r="IE65" i="4"/>
  <c r="JB65" i="4"/>
  <c r="JW65" i="4"/>
  <c r="AB65" i="4"/>
  <c r="AV65" i="4"/>
  <c r="BS65" i="4"/>
  <c r="CN65" i="4"/>
  <c r="DH65" i="4"/>
  <c r="EE65" i="4"/>
  <c r="EZ65" i="4"/>
  <c r="FT65" i="4"/>
  <c r="GQ65" i="4"/>
  <c r="HL65" i="4"/>
  <c r="IF65" i="4"/>
  <c r="JC65" i="4"/>
  <c r="JX65" i="4"/>
  <c r="I65" i="4"/>
  <c r="AC65" i="4"/>
  <c r="AW65" i="4"/>
  <c r="BU65" i="4"/>
  <c r="CO65" i="4"/>
  <c r="DI65" i="4"/>
  <c r="EG65" i="4"/>
  <c r="FA65" i="4"/>
  <c r="FU65" i="4"/>
  <c r="GS65" i="4"/>
  <c r="HM65" i="4"/>
  <c r="IG65" i="4"/>
  <c r="JE65" i="4"/>
  <c r="JY65" i="4"/>
  <c r="J65" i="4"/>
  <c r="AD65" i="4"/>
  <c r="BA65" i="4"/>
  <c r="BV65" i="4"/>
  <c r="CP65" i="4"/>
  <c r="DM65" i="4"/>
  <c r="EH65" i="4"/>
  <c r="FB65" i="4"/>
  <c r="FY65" i="4"/>
  <c r="GT65" i="4"/>
  <c r="HN65" i="4"/>
  <c r="IK65" i="4"/>
  <c r="JF65" i="4"/>
  <c r="JZ65" i="4"/>
  <c r="K65" i="4"/>
  <c r="AE65" i="4"/>
  <c r="BB65" i="4"/>
  <c r="BW65" i="4"/>
  <c r="CQ65" i="4"/>
  <c r="DN65" i="4"/>
  <c r="EI65" i="4"/>
  <c r="FC65" i="4"/>
  <c r="FZ65" i="4"/>
  <c r="GU65" i="4"/>
  <c r="HO65" i="4"/>
  <c r="IL65" i="4"/>
  <c r="JG65" i="4"/>
  <c r="KA65" i="4"/>
  <c r="M65" i="4"/>
  <c r="AG65" i="4"/>
  <c r="BE65" i="4"/>
  <c r="BY65" i="4"/>
  <c r="CS65" i="4"/>
  <c r="DQ65" i="4"/>
  <c r="EK65" i="4"/>
  <c r="FE65" i="4"/>
  <c r="GC65" i="4"/>
  <c r="GW65" i="4"/>
  <c r="HQ65" i="4"/>
  <c r="IO65" i="4"/>
  <c r="JI65" i="4"/>
  <c r="KC65" i="4"/>
  <c r="Q65" i="4"/>
  <c r="BC65" i="4"/>
  <c r="CH65" i="4"/>
  <c r="DS65" i="4"/>
  <c r="EW65" i="4"/>
  <c r="GG65" i="4"/>
  <c r="HP65" i="4"/>
  <c r="IU65" i="4"/>
  <c r="KH65" i="4"/>
  <c r="U65" i="4"/>
  <c r="BF65" i="4"/>
  <c r="CI65" i="4"/>
  <c r="DT65" i="4"/>
  <c r="EX65" i="4"/>
  <c r="GH65" i="4"/>
  <c r="HU65" i="4"/>
  <c r="IV65" i="4"/>
  <c r="KI65" i="4"/>
  <c r="V65" i="4"/>
  <c r="BG65" i="4"/>
  <c r="CK65" i="4"/>
  <c r="DU65" i="4"/>
  <c r="FD65" i="4"/>
  <c r="GI65" i="4"/>
  <c r="HV65" i="4"/>
  <c r="IW65" i="4"/>
  <c r="W65" i="4"/>
  <c r="BH65" i="4"/>
  <c r="CL65" i="4"/>
  <c r="DV65" i="4"/>
  <c r="FI65" i="4"/>
  <c r="GJ65" i="4"/>
  <c r="HW65" i="4"/>
  <c r="JA65" i="4"/>
  <c r="Y65" i="4"/>
  <c r="BI65" i="4"/>
  <c r="CR65" i="4"/>
  <c r="DW65" i="4"/>
  <c r="FJ65" i="4"/>
  <c r="GK65" i="4"/>
  <c r="HY65" i="4"/>
  <c r="JH65" i="4"/>
  <c r="AF65" i="4"/>
  <c r="BK65" i="4"/>
  <c r="CX65" i="4"/>
  <c r="DY65" i="4"/>
  <c r="FM65" i="4"/>
  <c r="GV65" i="4"/>
  <c r="IA65" i="4"/>
  <c r="JK65" i="4"/>
  <c r="AS65" i="4"/>
  <c r="DC65" i="4"/>
  <c r="FK65" i="4"/>
  <c r="HF65" i="4"/>
  <c r="JM65" i="4"/>
  <c r="AT65" i="4"/>
  <c r="DD65" i="4"/>
  <c r="FN65" i="4"/>
  <c r="HG65" i="4"/>
  <c r="JQ65" i="4"/>
  <c r="BJ65" i="4"/>
  <c r="DE65" i="4"/>
  <c r="FO65" i="4"/>
  <c r="HI65" i="4"/>
  <c r="JR65" i="4"/>
  <c r="BL65" i="4"/>
  <c r="DF65" i="4"/>
  <c r="FP65" i="4"/>
  <c r="HJ65" i="4"/>
  <c r="JS65" i="4"/>
  <c r="L65" i="4"/>
  <c r="BM65" i="4"/>
  <c r="DO65" i="4"/>
  <c r="FQ65" i="4"/>
  <c r="HZ65" i="4"/>
  <c r="JU65" i="4"/>
  <c r="O65" i="4"/>
  <c r="BX65" i="4"/>
  <c r="DX65" i="4"/>
  <c r="GA65" i="4"/>
  <c r="IC65" i="4"/>
  <c r="KB65" i="4"/>
  <c r="N65" i="4"/>
  <c r="CW65" i="4"/>
  <c r="GE65" i="4"/>
  <c r="JJ65" i="4"/>
  <c r="P65" i="4"/>
  <c r="CY65" i="4"/>
  <c r="GF65" i="4"/>
  <c r="JL65" i="4"/>
  <c r="Z65" i="4"/>
  <c r="DA65" i="4"/>
  <c r="GO65" i="4"/>
  <c r="JV65" i="4"/>
  <c r="AK65" i="4"/>
  <c r="DB65" i="4"/>
  <c r="GX65" i="4"/>
  <c r="KG65" i="4"/>
  <c r="AL65" i="4"/>
  <c r="DR65" i="4"/>
  <c r="GY65" i="4"/>
  <c r="AO65" i="4"/>
  <c r="EJ65" i="4"/>
  <c r="HA65" i="4"/>
  <c r="EC65" i="4"/>
  <c r="IQ65" i="4"/>
  <c r="EL65" i="4"/>
  <c r="IR65" i="4"/>
  <c r="EM65" i="4"/>
  <c r="IS65" i="4"/>
  <c r="EN65" i="4"/>
  <c r="IT65" i="4"/>
  <c r="EO65" i="4"/>
  <c r="AM65" i="4"/>
  <c r="ET65" i="4"/>
  <c r="AQ65" i="4"/>
  <c r="IM65" i="4"/>
  <c r="AR65" i="4"/>
  <c r="IP65" i="4"/>
  <c r="BQ65" i="4"/>
  <c r="BZ65" i="4"/>
  <c r="CA65" i="4"/>
  <c r="CC65" i="4"/>
  <c r="AP65" i="4"/>
  <c r="CB65" i="4"/>
  <c r="CG65" i="4"/>
  <c r="ES65" i="4"/>
  <c r="FR65" i="4"/>
  <c r="IB65" i="4"/>
  <c r="HE65" i="4"/>
  <c r="ID65" i="4"/>
  <c r="EU65" i="4"/>
  <c r="GD65" i="4"/>
  <c r="GZ65" i="4"/>
  <c r="N145" i="4"/>
  <c r="AD145" i="4"/>
  <c r="AT145" i="4"/>
  <c r="BJ145" i="4"/>
  <c r="BZ145" i="4"/>
  <c r="CP145" i="4"/>
  <c r="DF145" i="4"/>
  <c r="DV145" i="4"/>
  <c r="EL145" i="4"/>
  <c r="FB145" i="4"/>
  <c r="FR145" i="4"/>
  <c r="GH145" i="4"/>
  <c r="GX145" i="4"/>
  <c r="HN145" i="4"/>
  <c r="ID145" i="4"/>
  <c r="IT145" i="4"/>
  <c r="JJ145" i="4"/>
  <c r="JZ145" i="4"/>
  <c r="O145" i="4"/>
  <c r="AE145" i="4"/>
  <c r="AU145" i="4"/>
  <c r="BK145" i="4"/>
  <c r="CA145" i="4"/>
  <c r="CQ145" i="4"/>
  <c r="DG145" i="4"/>
  <c r="DW145" i="4"/>
  <c r="EM145" i="4"/>
  <c r="FC145" i="4"/>
  <c r="FS145" i="4"/>
  <c r="GI145" i="4"/>
  <c r="GY145" i="4"/>
  <c r="HO145" i="4"/>
  <c r="IE145" i="4"/>
  <c r="IU145" i="4"/>
  <c r="JK145" i="4"/>
  <c r="KA145" i="4"/>
  <c r="P145" i="4"/>
  <c r="AF145" i="4"/>
  <c r="AV145" i="4"/>
  <c r="BL145" i="4"/>
  <c r="CB145" i="4"/>
  <c r="CR145" i="4"/>
  <c r="DH145" i="4"/>
  <c r="DX145" i="4"/>
  <c r="EN145" i="4"/>
  <c r="FD145" i="4"/>
  <c r="FT145" i="4"/>
  <c r="GJ145" i="4"/>
  <c r="GZ145" i="4"/>
  <c r="HP145" i="4"/>
  <c r="IF145" i="4"/>
  <c r="IV145" i="4"/>
  <c r="JL145" i="4"/>
  <c r="KB145" i="4"/>
  <c r="T145" i="4"/>
  <c r="AJ145" i="4"/>
  <c r="AZ145" i="4"/>
  <c r="BP145" i="4"/>
  <c r="CF145" i="4"/>
  <c r="CV145" i="4"/>
  <c r="DL145" i="4"/>
  <c r="EB145" i="4"/>
  <c r="ER145" i="4"/>
  <c r="FH145" i="4"/>
  <c r="FX145" i="4"/>
  <c r="GN145" i="4"/>
  <c r="HD145" i="4"/>
  <c r="HT145" i="4"/>
  <c r="IJ145" i="4"/>
  <c r="IZ145" i="4"/>
  <c r="JP145" i="4"/>
  <c r="KF145" i="4"/>
  <c r="AB145" i="4"/>
  <c r="AY145" i="4"/>
  <c r="BT145" i="4"/>
  <c r="CN145" i="4"/>
  <c r="DK145" i="4"/>
  <c r="EF145" i="4"/>
  <c r="EZ145" i="4"/>
  <c r="FW145" i="4"/>
  <c r="GR145" i="4"/>
  <c r="HL145" i="4"/>
  <c r="II145" i="4"/>
  <c r="JD145" i="4"/>
  <c r="JX145" i="4"/>
  <c r="I145" i="4"/>
  <c r="AC145" i="4"/>
  <c r="BA145" i="4"/>
  <c r="BU145" i="4"/>
  <c r="CO145" i="4"/>
  <c r="DM145" i="4"/>
  <c r="EG145" i="4"/>
  <c r="FA145" i="4"/>
  <c r="FY145" i="4"/>
  <c r="GS145" i="4"/>
  <c r="HM145" i="4"/>
  <c r="IK145" i="4"/>
  <c r="JE145" i="4"/>
  <c r="JY145" i="4"/>
  <c r="J145" i="4"/>
  <c r="AG145" i="4"/>
  <c r="BB145" i="4"/>
  <c r="BV145" i="4"/>
  <c r="CS145" i="4"/>
  <c r="DN145" i="4"/>
  <c r="EH145" i="4"/>
  <c r="FE145" i="4"/>
  <c r="FZ145" i="4"/>
  <c r="GT145" i="4"/>
  <c r="HQ145" i="4"/>
  <c r="IL145" i="4"/>
  <c r="JF145" i="4"/>
  <c r="KC145" i="4"/>
  <c r="K145" i="4"/>
  <c r="AH145" i="4"/>
  <c r="BC145" i="4"/>
  <c r="BW145" i="4"/>
  <c r="CT145" i="4"/>
  <c r="DO145" i="4"/>
  <c r="EI145" i="4"/>
  <c r="FF145" i="4"/>
  <c r="GA145" i="4"/>
  <c r="GU145" i="4"/>
  <c r="HR145" i="4"/>
  <c r="IM145" i="4"/>
  <c r="JG145" i="4"/>
  <c r="KD145" i="4"/>
  <c r="L145" i="4"/>
  <c r="AI145" i="4"/>
  <c r="BD145" i="4"/>
  <c r="BX145" i="4"/>
  <c r="CU145" i="4"/>
  <c r="DP145" i="4"/>
  <c r="EJ145" i="4"/>
  <c r="FG145" i="4"/>
  <c r="GB145" i="4"/>
  <c r="GV145" i="4"/>
  <c r="HS145" i="4"/>
  <c r="IN145" i="4"/>
  <c r="JH145" i="4"/>
  <c r="KE145" i="4"/>
  <c r="Q145" i="4"/>
  <c r="AL145" i="4"/>
  <c r="BF145" i="4"/>
  <c r="CC145" i="4"/>
  <c r="CX145" i="4"/>
  <c r="DR145" i="4"/>
  <c r="EO145" i="4"/>
  <c r="FJ145" i="4"/>
  <c r="GD145" i="4"/>
  <c r="HA145" i="4"/>
  <c r="HV145" i="4"/>
  <c r="IP145" i="4"/>
  <c r="JM145" i="4"/>
  <c r="KH145" i="4"/>
  <c r="S145" i="4"/>
  <c r="AW145" i="4"/>
  <c r="CH145" i="4"/>
  <c r="DQ145" i="4"/>
  <c r="EV145" i="4"/>
  <c r="GF145" i="4"/>
  <c r="HJ145" i="4"/>
  <c r="IW145" i="4"/>
  <c r="KG145" i="4"/>
  <c r="U145" i="4"/>
  <c r="AX145" i="4"/>
  <c r="CI145" i="4"/>
  <c r="DS145" i="4"/>
  <c r="EW145" i="4"/>
  <c r="GG145" i="4"/>
  <c r="HK145" i="4"/>
  <c r="IX145" i="4"/>
  <c r="KI145" i="4"/>
  <c r="V145" i="4"/>
  <c r="BE145" i="4"/>
  <c r="CJ145" i="4"/>
  <c r="DT145" i="4"/>
  <c r="EX145" i="4"/>
  <c r="GK145" i="4"/>
  <c r="HU145" i="4"/>
  <c r="IY145" i="4"/>
  <c r="W145" i="4"/>
  <c r="BG145" i="4"/>
  <c r="CK145" i="4"/>
  <c r="DU145" i="4"/>
  <c r="EY145" i="4"/>
  <c r="GL145" i="4"/>
  <c r="HW145" i="4"/>
  <c r="JA145" i="4"/>
  <c r="X145" i="4"/>
  <c r="BH145" i="4"/>
  <c r="CL145" i="4"/>
  <c r="DY145" i="4"/>
  <c r="FI145" i="4"/>
  <c r="GM145" i="4"/>
  <c r="HX145" i="4"/>
  <c r="JB145" i="4"/>
  <c r="Z145" i="4"/>
  <c r="BM145" i="4"/>
  <c r="CW145" i="4"/>
  <c r="EA145" i="4"/>
  <c r="FL145" i="4"/>
  <c r="GP145" i="4"/>
  <c r="HZ145" i="4"/>
  <c r="JI145" i="4"/>
  <c r="Y145" i="4"/>
  <c r="BY145" i="4"/>
  <c r="ED145" i="4"/>
  <c r="GC145" i="4"/>
  <c r="IG145" i="4"/>
  <c r="AA145" i="4"/>
  <c r="CD145" i="4"/>
  <c r="EE145" i="4"/>
  <c r="GE145" i="4"/>
  <c r="IH145" i="4"/>
  <c r="AK145" i="4"/>
  <c r="CE145" i="4"/>
  <c r="EK145" i="4"/>
  <c r="GO145" i="4"/>
  <c r="IO145" i="4"/>
  <c r="AM145" i="4"/>
  <c r="CG145" i="4"/>
  <c r="EP145" i="4"/>
  <c r="GQ145" i="4"/>
  <c r="IQ145" i="4"/>
  <c r="AN145" i="4"/>
  <c r="CM145" i="4"/>
  <c r="EQ145" i="4"/>
  <c r="GW145" i="4"/>
  <c r="IR145" i="4"/>
  <c r="AP145" i="4"/>
  <c r="CZ145" i="4"/>
  <c r="ET145" i="4"/>
  <c r="HC145" i="4"/>
  <c r="JC145" i="4"/>
  <c r="BI145" i="4"/>
  <c r="ES145" i="4"/>
  <c r="HY145" i="4"/>
  <c r="BN145" i="4"/>
  <c r="EU145" i="4"/>
  <c r="IA145" i="4"/>
  <c r="BO145" i="4"/>
  <c r="FK145" i="4"/>
  <c r="IB145" i="4"/>
  <c r="BQ145" i="4"/>
  <c r="FM145" i="4"/>
  <c r="IC145" i="4"/>
  <c r="BR145" i="4"/>
  <c r="FN145" i="4"/>
  <c r="IS145" i="4"/>
  <c r="CY145" i="4"/>
  <c r="FP145" i="4"/>
  <c r="JO145" i="4"/>
  <c r="DI145" i="4"/>
  <c r="JR145" i="4"/>
  <c r="DJ145" i="4"/>
  <c r="JS145" i="4"/>
  <c r="DZ145" i="4"/>
  <c r="JT145" i="4"/>
  <c r="EC145" i="4"/>
  <c r="JU145" i="4"/>
  <c r="M145" i="4"/>
  <c r="FO145" i="4"/>
  <c r="JV145" i="4"/>
  <c r="AQ145" i="4"/>
  <c r="HH145" i="4"/>
  <c r="AR145" i="4"/>
  <c r="HI145" i="4"/>
  <c r="AS145" i="4"/>
  <c r="JN145" i="4"/>
  <c r="BS145" i="4"/>
  <c r="JQ145" i="4"/>
  <c r="DA145" i="4"/>
  <c r="JW145" i="4"/>
  <c r="FU145" i="4"/>
  <c r="DD145" i="4"/>
  <c r="DE145" i="4"/>
  <c r="FQ145" i="4"/>
  <c r="FV145" i="4"/>
  <c r="HE145" i="4"/>
  <c r="R145" i="4"/>
  <c r="AO145" i="4"/>
  <c r="DB145" i="4"/>
  <c r="DC145" i="4"/>
  <c r="HB145" i="4"/>
  <c r="HF145" i="4"/>
  <c r="HG145" i="4"/>
  <c r="Q114" i="4"/>
  <c r="AG114" i="4"/>
  <c r="AW114" i="4"/>
  <c r="BM114" i="4"/>
  <c r="CC114" i="4"/>
  <c r="CS114" i="4"/>
  <c r="DI114" i="4"/>
  <c r="DY114" i="4"/>
  <c r="EO114" i="4"/>
  <c r="FE114" i="4"/>
  <c r="FU114" i="4"/>
  <c r="GK114" i="4"/>
  <c r="HA114" i="4"/>
  <c r="HQ114" i="4"/>
  <c r="IG114" i="4"/>
  <c r="IW114" i="4"/>
  <c r="JM114" i="4"/>
  <c r="KC114" i="4"/>
  <c r="R114" i="4"/>
  <c r="AH114" i="4"/>
  <c r="AX114" i="4"/>
  <c r="BN114" i="4"/>
  <c r="CD114" i="4"/>
  <c r="CT114" i="4"/>
  <c r="DJ114" i="4"/>
  <c r="DZ114" i="4"/>
  <c r="EP114" i="4"/>
  <c r="FF114" i="4"/>
  <c r="FV114" i="4"/>
  <c r="GL114" i="4"/>
  <c r="HB114" i="4"/>
  <c r="HR114" i="4"/>
  <c r="IH114" i="4"/>
  <c r="IX114" i="4"/>
  <c r="JN114" i="4"/>
  <c r="KD114" i="4"/>
  <c r="S114" i="4"/>
  <c r="AI114" i="4"/>
  <c r="AY114" i="4"/>
  <c r="BO114" i="4"/>
  <c r="CE114" i="4"/>
  <c r="CU114" i="4"/>
  <c r="DK114" i="4"/>
  <c r="EA114" i="4"/>
  <c r="EQ114" i="4"/>
  <c r="FG114" i="4"/>
  <c r="FW114" i="4"/>
  <c r="GM114" i="4"/>
  <c r="HC114" i="4"/>
  <c r="HS114" i="4"/>
  <c r="II114" i="4"/>
  <c r="IY114" i="4"/>
  <c r="JO114" i="4"/>
  <c r="KE114" i="4"/>
  <c r="W114" i="4"/>
  <c r="AM114" i="4"/>
  <c r="BC114" i="4"/>
  <c r="BS114" i="4"/>
  <c r="CI114" i="4"/>
  <c r="CY114" i="4"/>
  <c r="DO114" i="4"/>
  <c r="EE114" i="4"/>
  <c r="EU114" i="4"/>
  <c r="FK114" i="4"/>
  <c r="GA114" i="4"/>
  <c r="GQ114" i="4"/>
  <c r="HG114" i="4"/>
  <c r="HW114" i="4"/>
  <c r="IM114" i="4"/>
  <c r="JC114" i="4"/>
  <c r="JS114" i="4"/>
  <c r="KI114" i="4"/>
  <c r="T114" i="4"/>
  <c r="AO114" i="4"/>
  <c r="BI114" i="4"/>
  <c r="CF114" i="4"/>
  <c r="DA114" i="4"/>
  <c r="DU114" i="4"/>
  <c r="ER114" i="4"/>
  <c r="FM114" i="4"/>
  <c r="GG114" i="4"/>
  <c r="HD114" i="4"/>
  <c r="HY114" i="4"/>
  <c r="IS114" i="4"/>
  <c r="JP114" i="4"/>
  <c r="U114" i="4"/>
  <c r="AP114" i="4"/>
  <c r="BJ114" i="4"/>
  <c r="CG114" i="4"/>
  <c r="DB114" i="4"/>
  <c r="DV114" i="4"/>
  <c r="ES114" i="4"/>
  <c r="FN114" i="4"/>
  <c r="GH114" i="4"/>
  <c r="HE114" i="4"/>
  <c r="HZ114" i="4"/>
  <c r="IT114" i="4"/>
  <c r="JQ114" i="4"/>
  <c r="V114" i="4"/>
  <c r="AQ114" i="4"/>
  <c r="BK114" i="4"/>
  <c r="CH114" i="4"/>
  <c r="DC114" i="4"/>
  <c r="DW114" i="4"/>
  <c r="ET114" i="4"/>
  <c r="FO114" i="4"/>
  <c r="GI114" i="4"/>
  <c r="HF114" i="4"/>
  <c r="IA114" i="4"/>
  <c r="IU114" i="4"/>
  <c r="JR114" i="4"/>
  <c r="X114" i="4"/>
  <c r="AR114" i="4"/>
  <c r="BL114" i="4"/>
  <c r="CJ114" i="4"/>
  <c r="DD114" i="4"/>
  <c r="DX114" i="4"/>
  <c r="EV114" i="4"/>
  <c r="FP114" i="4"/>
  <c r="GJ114" i="4"/>
  <c r="HH114" i="4"/>
  <c r="IB114" i="4"/>
  <c r="IV114" i="4"/>
  <c r="JT114" i="4"/>
  <c r="Y114" i="4"/>
  <c r="AS114" i="4"/>
  <c r="BP114" i="4"/>
  <c r="CK114" i="4"/>
  <c r="DE114" i="4"/>
  <c r="EB114" i="4"/>
  <c r="EW114" i="4"/>
  <c r="FQ114" i="4"/>
  <c r="GN114" i="4"/>
  <c r="HI114" i="4"/>
  <c r="IC114" i="4"/>
  <c r="IZ114" i="4"/>
  <c r="JU114" i="4"/>
  <c r="AA114" i="4"/>
  <c r="AU114" i="4"/>
  <c r="BR114" i="4"/>
  <c r="CM114" i="4"/>
  <c r="DG114" i="4"/>
  <c r="ED114" i="4"/>
  <c r="EY114" i="4"/>
  <c r="FS114" i="4"/>
  <c r="GP114" i="4"/>
  <c r="HK114" i="4"/>
  <c r="IE114" i="4"/>
  <c r="JB114" i="4"/>
  <c r="JW114" i="4"/>
  <c r="M114" i="4"/>
  <c r="AZ114" i="4"/>
  <c r="CA114" i="4"/>
  <c r="DN114" i="4"/>
  <c r="EX114" i="4"/>
  <c r="GC114" i="4"/>
  <c r="HM114" i="4"/>
  <c r="IQ114" i="4"/>
  <c r="KA114" i="4"/>
  <c r="N114" i="4"/>
  <c r="BA114" i="4"/>
  <c r="CB114" i="4"/>
  <c r="DP114" i="4"/>
  <c r="EZ114" i="4"/>
  <c r="GD114" i="4"/>
  <c r="HN114" i="4"/>
  <c r="IR114" i="4"/>
  <c r="KB114" i="4"/>
  <c r="O114" i="4"/>
  <c r="BB114" i="4"/>
  <c r="CL114" i="4"/>
  <c r="DQ114" i="4"/>
  <c r="FA114" i="4"/>
  <c r="GE114" i="4"/>
  <c r="HO114" i="4"/>
  <c r="JA114" i="4"/>
  <c r="KF114" i="4"/>
  <c r="P114" i="4"/>
  <c r="BD114" i="4"/>
  <c r="CN114" i="4"/>
  <c r="DR114" i="4"/>
  <c r="FB114" i="4"/>
  <c r="GF114" i="4"/>
  <c r="HP114" i="4"/>
  <c r="JD114" i="4"/>
  <c r="KG114" i="4"/>
  <c r="Z114" i="4"/>
  <c r="BE114" i="4"/>
  <c r="CO114" i="4"/>
  <c r="DS114" i="4"/>
  <c r="FC114" i="4"/>
  <c r="GO114" i="4"/>
  <c r="HT114" i="4"/>
  <c r="JE114" i="4"/>
  <c r="KH114" i="4"/>
  <c r="AC114" i="4"/>
  <c r="BG114" i="4"/>
  <c r="CQ114" i="4"/>
  <c r="EC114" i="4"/>
  <c r="FH114" i="4"/>
  <c r="GS114" i="4"/>
  <c r="HV114" i="4"/>
  <c r="JG114" i="4"/>
  <c r="AT114" i="4"/>
  <c r="CX114" i="4"/>
  <c r="FD114" i="4"/>
  <c r="GY114" i="4"/>
  <c r="JI114" i="4"/>
  <c r="AV114" i="4"/>
  <c r="CZ114" i="4"/>
  <c r="FI114" i="4"/>
  <c r="GZ114" i="4"/>
  <c r="JJ114" i="4"/>
  <c r="BF114" i="4"/>
  <c r="DF114" i="4"/>
  <c r="FJ114" i="4"/>
  <c r="HJ114" i="4"/>
  <c r="JK114" i="4"/>
  <c r="BH114" i="4"/>
  <c r="DH114" i="4"/>
  <c r="FL114" i="4"/>
  <c r="HL114" i="4"/>
  <c r="JL114" i="4"/>
  <c r="I114" i="4"/>
  <c r="BQ114" i="4"/>
  <c r="DL114" i="4"/>
  <c r="FR114" i="4"/>
  <c r="HU114" i="4"/>
  <c r="JV114" i="4"/>
  <c r="K114" i="4"/>
  <c r="BU114" i="4"/>
  <c r="DT114" i="4"/>
  <c r="FX114" i="4"/>
  <c r="ID114" i="4"/>
  <c r="JY114" i="4"/>
  <c r="AE114" i="4"/>
  <c r="DM114" i="4"/>
  <c r="GU114" i="4"/>
  <c r="AF114" i="4"/>
  <c r="EF114" i="4"/>
  <c r="GV114" i="4"/>
  <c r="AJ114" i="4"/>
  <c r="EG114" i="4"/>
  <c r="GW114" i="4"/>
  <c r="AK114" i="4"/>
  <c r="EH114" i="4"/>
  <c r="GX114" i="4"/>
  <c r="AL114" i="4"/>
  <c r="EI114" i="4"/>
  <c r="HX114" i="4"/>
  <c r="BT114" i="4"/>
  <c r="EK114" i="4"/>
  <c r="IJ114" i="4"/>
  <c r="BW114" i="4"/>
  <c r="GR114" i="4"/>
  <c r="BX114" i="4"/>
  <c r="GT114" i="4"/>
  <c r="BY114" i="4"/>
  <c r="IF114" i="4"/>
  <c r="BZ114" i="4"/>
  <c r="IK114" i="4"/>
  <c r="CP114" i="4"/>
  <c r="IL114" i="4"/>
  <c r="CV114" i="4"/>
  <c r="IO114" i="4"/>
  <c r="J114" i="4"/>
  <c r="IN114" i="4"/>
  <c r="L114" i="4"/>
  <c r="IP114" i="4"/>
  <c r="AB114" i="4"/>
  <c r="JF114" i="4"/>
  <c r="AD114" i="4"/>
  <c r="JH114" i="4"/>
  <c r="AN114" i="4"/>
  <c r="JX114" i="4"/>
  <c r="EM114" i="4"/>
  <c r="EL114" i="4"/>
  <c r="EN114" i="4"/>
  <c r="FT114" i="4"/>
  <c r="FY114" i="4"/>
  <c r="FZ114" i="4"/>
  <c r="BV114" i="4"/>
  <c r="CR114" i="4"/>
  <c r="CW114" i="4"/>
  <c r="EJ114" i="4"/>
  <c r="JZ114" i="4"/>
  <c r="GB114" i="4"/>
  <c r="J92" i="4"/>
  <c r="Z92" i="4"/>
  <c r="AP92" i="4"/>
  <c r="BF92" i="4"/>
  <c r="BV92" i="4"/>
  <c r="CL92" i="4"/>
  <c r="DB92" i="4"/>
  <c r="DR92" i="4"/>
  <c r="EH92" i="4"/>
  <c r="EX92" i="4"/>
  <c r="FN92" i="4"/>
  <c r="GD92" i="4"/>
  <c r="GT92" i="4"/>
  <c r="HJ92" i="4"/>
  <c r="HZ92" i="4"/>
  <c r="IP92" i="4"/>
  <c r="JF92" i="4"/>
  <c r="JV92" i="4"/>
  <c r="K92" i="4"/>
  <c r="AA92" i="4"/>
  <c r="AQ92" i="4"/>
  <c r="BG92" i="4"/>
  <c r="BW92" i="4"/>
  <c r="CM92" i="4"/>
  <c r="DC92" i="4"/>
  <c r="DS92" i="4"/>
  <c r="EI92" i="4"/>
  <c r="EY92" i="4"/>
  <c r="FO92" i="4"/>
  <c r="GE92" i="4"/>
  <c r="GU92" i="4"/>
  <c r="HK92" i="4"/>
  <c r="IA92" i="4"/>
  <c r="IQ92" i="4"/>
  <c r="JG92" i="4"/>
  <c r="JW92" i="4"/>
  <c r="L92" i="4"/>
  <c r="AB92" i="4"/>
  <c r="AR92" i="4"/>
  <c r="BH92" i="4"/>
  <c r="BX92" i="4"/>
  <c r="CN92" i="4"/>
  <c r="DD92" i="4"/>
  <c r="DT92" i="4"/>
  <c r="EJ92" i="4"/>
  <c r="EZ92" i="4"/>
  <c r="FP92" i="4"/>
  <c r="GF92" i="4"/>
  <c r="GV92" i="4"/>
  <c r="HL92" i="4"/>
  <c r="IB92" i="4"/>
  <c r="IR92" i="4"/>
  <c r="JH92" i="4"/>
  <c r="JX92" i="4"/>
  <c r="P92" i="4"/>
  <c r="AF92" i="4"/>
  <c r="AV92" i="4"/>
  <c r="BL92" i="4"/>
  <c r="CB92" i="4"/>
  <c r="CR92" i="4"/>
  <c r="DH92" i="4"/>
  <c r="DX92" i="4"/>
  <c r="EN92" i="4"/>
  <c r="FD92" i="4"/>
  <c r="FT92" i="4"/>
  <c r="GJ92" i="4"/>
  <c r="GZ92" i="4"/>
  <c r="HP92" i="4"/>
  <c r="IF92" i="4"/>
  <c r="IV92" i="4"/>
  <c r="JL92" i="4"/>
  <c r="KB92" i="4"/>
  <c r="V92" i="4"/>
  <c r="AS92" i="4"/>
  <c r="BN92" i="4"/>
  <c r="CH92" i="4"/>
  <c r="DE92" i="4"/>
  <c r="DZ92" i="4"/>
  <c r="ET92" i="4"/>
  <c r="FQ92" i="4"/>
  <c r="GL92" i="4"/>
  <c r="HF92" i="4"/>
  <c r="IC92" i="4"/>
  <c r="IX92" i="4"/>
  <c r="JR92" i="4"/>
  <c r="W92" i="4"/>
  <c r="AT92" i="4"/>
  <c r="BO92" i="4"/>
  <c r="CI92" i="4"/>
  <c r="DF92" i="4"/>
  <c r="EA92" i="4"/>
  <c r="EU92" i="4"/>
  <c r="FR92" i="4"/>
  <c r="GM92" i="4"/>
  <c r="HG92" i="4"/>
  <c r="ID92" i="4"/>
  <c r="IY92" i="4"/>
  <c r="JS92" i="4"/>
  <c r="X92" i="4"/>
  <c r="AU92" i="4"/>
  <c r="BP92" i="4"/>
  <c r="CJ92" i="4"/>
  <c r="DG92" i="4"/>
  <c r="EB92" i="4"/>
  <c r="EV92" i="4"/>
  <c r="FS92" i="4"/>
  <c r="GN92" i="4"/>
  <c r="HH92" i="4"/>
  <c r="IE92" i="4"/>
  <c r="IZ92" i="4"/>
  <c r="JT92" i="4"/>
  <c r="Y92" i="4"/>
  <c r="AW92" i="4"/>
  <c r="BQ92" i="4"/>
  <c r="CK92" i="4"/>
  <c r="DI92" i="4"/>
  <c r="EC92" i="4"/>
  <c r="EW92" i="4"/>
  <c r="FU92" i="4"/>
  <c r="GO92" i="4"/>
  <c r="HI92" i="4"/>
  <c r="IG92" i="4"/>
  <c r="JA92" i="4"/>
  <c r="JU92" i="4"/>
  <c r="AC92" i="4"/>
  <c r="AX92" i="4"/>
  <c r="BR92" i="4"/>
  <c r="CO92" i="4"/>
  <c r="DJ92" i="4"/>
  <c r="ED92" i="4"/>
  <c r="FA92" i="4"/>
  <c r="FV92" i="4"/>
  <c r="GP92" i="4"/>
  <c r="HM92" i="4"/>
  <c r="IH92" i="4"/>
  <c r="JB92" i="4"/>
  <c r="JY92" i="4"/>
  <c r="AE92" i="4"/>
  <c r="AZ92" i="4"/>
  <c r="BT92" i="4"/>
  <c r="CQ92" i="4"/>
  <c r="DL92" i="4"/>
  <c r="EF92" i="4"/>
  <c r="FC92" i="4"/>
  <c r="FX92" i="4"/>
  <c r="GR92" i="4"/>
  <c r="HO92" i="4"/>
  <c r="IJ92" i="4"/>
  <c r="JD92" i="4"/>
  <c r="KA92" i="4"/>
  <c r="R92" i="4"/>
  <c r="BB92" i="4"/>
  <c r="CF92" i="4"/>
  <c r="DP92" i="4"/>
  <c r="FB92" i="4"/>
  <c r="GG92" i="4"/>
  <c r="HR92" i="4"/>
  <c r="IU92" i="4"/>
  <c r="KF92" i="4"/>
  <c r="S92" i="4"/>
  <c r="BC92" i="4"/>
  <c r="CG92" i="4"/>
  <c r="DQ92" i="4"/>
  <c r="FE92" i="4"/>
  <c r="GH92" i="4"/>
  <c r="HS92" i="4"/>
  <c r="IW92" i="4"/>
  <c r="KG92" i="4"/>
  <c r="T92" i="4"/>
  <c r="BD92" i="4"/>
  <c r="CP92" i="4"/>
  <c r="DU92" i="4"/>
  <c r="FF92" i="4"/>
  <c r="GI92" i="4"/>
  <c r="HT92" i="4"/>
  <c r="JC92" i="4"/>
  <c r="KH92" i="4"/>
  <c r="U92" i="4"/>
  <c r="BE92" i="4"/>
  <c r="CS92" i="4"/>
  <c r="DV92" i="4"/>
  <c r="FG92" i="4"/>
  <c r="GK92" i="4"/>
  <c r="HU92" i="4"/>
  <c r="JE92" i="4"/>
  <c r="KI92" i="4"/>
  <c r="AD92" i="4"/>
  <c r="BI92" i="4"/>
  <c r="CT92" i="4"/>
  <c r="DW92" i="4"/>
  <c r="FH92" i="4"/>
  <c r="GQ92" i="4"/>
  <c r="HV92" i="4"/>
  <c r="JI92" i="4"/>
  <c r="AH92" i="4"/>
  <c r="BK92" i="4"/>
  <c r="CV92" i="4"/>
  <c r="EE92" i="4"/>
  <c r="FJ92" i="4"/>
  <c r="GW92" i="4"/>
  <c r="HX92" i="4"/>
  <c r="JK92" i="4"/>
  <c r="M92" i="4"/>
  <c r="BS92" i="4"/>
  <c r="DN92" i="4"/>
  <c r="FW92" i="4"/>
  <c r="HW92" i="4"/>
  <c r="JZ92" i="4"/>
  <c r="N92" i="4"/>
  <c r="BU92" i="4"/>
  <c r="DO92" i="4"/>
  <c r="FY92" i="4"/>
  <c r="HY92" i="4"/>
  <c r="KC92" i="4"/>
  <c r="O92" i="4"/>
  <c r="BY92" i="4"/>
  <c r="DY92" i="4"/>
  <c r="FZ92" i="4"/>
  <c r="II92" i="4"/>
  <c r="KD92" i="4"/>
  <c r="Q92" i="4"/>
  <c r="BZ92" i="4"/>
  <c r="EG92" i="4"/>
  <c r="GA92" i="4"/>
  <c r="IK92" i="4"/>
  <c r="KE92" i="4"/>
  <c r="AG92" i="4"/>
  <c r="CA92" i="4"/>
  <c r="EK92" i="4"/>
  <c r="GB92" i="4"/>
  <c r="IL92" i="4"/>
  <c r="AJ92" i="4"/>
  <c r="CD92" i="4"/>
  <c r="EM92" i="4"/>
  <c r="GS92" i="4"/>
  <c r="IN92" i="4"/>
  <c r="AI92" i="4"/>
  <c r="CZ92" i="4"/>
  <c r="GY92" i="4"/>
  <c r="JP92" i="4"/>
  <c r="AK92" i="4"/>
  <c r="DA92" i="4"/>
  <c r="HA92" i="4"/>
  <c r="JQ92" i="4"/>
  <c r="AL92" i="4"/>
  <c r="DK92" i="4"/>
  <c r="HB92" i="4"/>
  <c r="AM92" i="4"/>
  <c r="DM92" i="4"/>
  <c r="HC92" i="4"/>
  <c r="AN92" i="4"/>
  <c r="EL92" i="4"/>
  <c r="HD92" i="4"/>
  <c r="AY92" i="4"/>
  <c r="EP92" i="4"/>
  <c r="HN92" i="4"/>
  <c r="EO92" i="4"/>
  <c r="JJ92" i="4"/>
  <c r="EQ92" i="4"/>
  <c r="JM92" i="4"/>
  <c r="ER92" i="4"/>
  <c r="JN92" i="4"/>
  <c r="ES92" i="4"/>
  <c r="JO92" i="4"/>
  <c r="FI92" i="4"/>
  <c r="AO92" i="4"/>
  <c r="FL92" i="4"/>
  <c r="CX92" i="4"/>
  <c r="CY92" i="4"/>
  <c r="FK92" i="4"/>
  <c r="FM92" i="4"/>
  <c r="GC92" i="4"/>
  <c r="HE92" i="4"/>
  <c r="CU92" i="4"/>
  <c r="CW92" i="4"/>
  <c r="GX92" i="4"/>
  <c r="HQ92" i="4"/>
  <c r="IM92" i="4"/>
  <c r="I92" i="4"/>
  <c r="IO92" i="4"/>
  <c r="BM92" i="4"/>
  <c r="IT92" i="4"/>
  <c r="CE92" i="4"/>
  <c r="IS92" i="4"/>
  <c r="BJ92" i="4"/>
  <c r="CC92" i="4"/>
  <c r="BA92" i="4"/>
  <c r="M144" i="4"/>
  <c r="AC144" i="4"/>
  <c r="AS144" i="4"/>
  <c r="BI144" i="4"/>
  <c r="BY144" i="4"/>
  <c r="CO144" i="4"/>
  <c r="DE144" i="4"/>
  <c r="DU144" i="4"/>
  <c r="EK144" i="4"/>
  <c r="FA144" i="4"/>
  <c r="FQ144" i="4"/>
  <c r="GG144" i="4"/>
  <c r="GW144" i="4"/>
  <c r="HM144" i="4"/>
  <c r="IC144" i="4"/>
  <c r="IS144" i="4"/>
  <c r="JI144" i="4"/>
  <c r="JY144" i="4"/>
  <c r="N144" i="4"/>
  <c r="AD144" i="4"/>
  <c r="AT144" i="4"/>
  <c r="BJ144" i="4"/>
  <c r="BZ144" i="4"/>
  <c r="CP144" i="4"/>
  <c r="DF144" i="4"/>
  <c r="DV144" i="4"/>
  <c r="EL144" i="4"/>
  <c r="FB144" i="4"/>
  <c r="FR144" i="4"/>
  <c r="GH144" i="4"/>
  <c r="GX144" i="4"/>
  <c r="HN144" i="4"/>
  <c r="ID144" i="4"/>
  <c r="IT144" i="4"/>
  <c r="JJ144" i="4"/>
  <c r="JZ144" i="4"/>
  <c r="O144" i="4"/>
  <c r="AE144" i="4"/>
  <c r="AU144" i="4"/>
  <c r="BK144" i="4"/>
  <c r="CA144" i="4"/>
  <c r="CQ144" i="4"/>
  <c r="DG144" i="4"/>
  <c r="DW144" i="4"/>
  <c r="EM144" i="4"/>
  <c r="FC144" i="4"/>
  <c r="FS144" i="4"/>
  <c r="GI144" i="4"/>
  <c r="GY144" i="4"/>
  <c r="HO144" i="4"/>
  <c r="IE144" i="4"/>
  <c r="IU144" i="4"/>
  <c r="JK144" i="4"/>
  <c r="KA144" i="4"/>
  <c r="S144" i="4"/>
  <c r="AI144" i="4"/>
  <c r="AY144" i="4"/>
  <c r="BO144" i="4"/>
  <c r="CE144" i="4"/>
  <c r="CU144" i="4"/>
  <c r="DK144" i="4"/>
  <c r="EA144" i="4"/>
  <c r="EQ144" i="4"/>
  <c r="FG144" i="4"/>
  <c r="FW144" i="4"/>
  <c r="GM144" i="4"/>
  <c r="HC144" i="4"/>
  <c r="HS144" i="4"/>
  <c r="II144" i="4"/>
  <c r="IY144" i="4"/>
  <c r="JO144" i="4"/>
  <c r="KE144" i="4"/>
  <c r="R144" i="4"/>
  <c r="AM144" i="4"/>
  <c r="BG144" i="4"/>
  <c r="CD144" i="4"/>
  <c r="CY144" i="4"/>
  <c r="DS144" i="4"/>
  <c r="EP144" i="4"/>
  <c r="FK144" i="4"/>
  <c r="GE144" i="4"/>
  <c r="HB144" i="4"/>
  <c r="HW144" i="4"/>
  <c r="IQ144" i="4"/>
  <c r="JN144" i="4"/>
  <c r="KI144" i="4"/>
  <c r="T144" i="4"/>
  <c r="AN144" i="4"/>
  <c r="BH144" i="4"/>
  <c r="CF144" i="4"/>
  <c r="CZ144" i="4"/>
  <c r="DT144" i="4"/>
  <c r="ER144" i="4"/>
  <c r="FL144" i="4"/>
  <c r="GF144" i="4"/>
  <c r="HD144" i="4"/>
  <c r="HX144" i="4"/>
  <c r="IR144" i="4"/>
  <c r="JP144" i="4"/>
  <c r="U144" i="4"/>
  <c r="AO144" i="4"/>
  <c r="BL144" i="4"/>
  <c r="CG144" i="4"/>
  <c r="DA144" i="4"/>
  <c r="DX144" i="4"/>
  <c r="ES144" i="4"/>
  <c r="FM144" i="4"/>
  <c r="GJ144" i="4"/>
  <c r="HE144" i="4"/>
  <c r="HY144" i="4"/>
  <c r="IV144" i="4"/>
  <c r="JQ144" i="4"/>
  <c r="V144" i="4"/>
  <c r="AP144" i="4"/>
  <c r="BM144" i="4"/>
  <c r="CH144" i="4"/>
  <c r="DB144" i="4"/>
  <c r="DY144" i="4"/>
  <c r="ET144" i="4"/>
  <c r="FN144" i="4"/>
  <c r="GK144" i="4"/>
  <c r="HF144" i="4"/>
  <c r="HZ144" i="4"/>
  <c r="IW144" i="4"/>
  <c r="JR144" i="4"/>
  <c r="W144" i="4"/>
  <c r="AQ144" i="4"/>
  <c r="BN144" i="4"/>
  <c r="CI144" i="4"/>
  <c r="DC144" i="4"/>
  <c r="DZ144" i="4"/>
  <c r="EU144" i="4"/>
  <c r="FO144" i="4"/>
  <c r="GL144" i="4"/>
  <c r="HG144" i="4"/>
  <c r="IA144" i="4"/>
  <c r="IX144" i="4"/>
  <c r="JS144" i="4"/>
  <c r="Y144" i="4"/>
  <c r="AV144" i="4"/>
  <c r="BQ144" i="4"/>
  <c r="CK144" i="4"/>
  <c r="DH144" i="4"/>
  <c r="EC144" i="4"/>
  <c r="EW144" i="4"/>
  <c r="FT144" i="4"/>
  <c r="GO144" i="4"/>
  <c r="HI144" i="4"/>
  <c r="IF144" i="4"/>
  <c r="JA144" i="4"/>
  <c r="JU144" i="4"/>
  <c r="AF144" i="4"/>
  <c r="BP144" i="4"/>
  <c r="CT144" i="4"/>
  <c r="EE144" i="4"/>
  <c r="FI144" i="4"/>
  <c r="GS144" i="4"/>
  <c r="IB144" i="4"/>
  <c r="JG144" i="4"/>
  <c r="AG144" i="4"/>
  <c r="BR144" i="4"/>
  <c r="CV144" i="4"/>
  <c r="EF144" i="4"/>
  <c r="FJ144" i="4"/>
  <c r="GT144" i="4"/>
  <c r="IG144" i="4"/>
  <c r="JH144" i="4"/>
  <c r="AH144" i="4"/>
  <c r="BS144" i="4"/>
  <c r="CW144" i="4"/>
  <c r="EG144" i="4"/>
  <c r="FP144" i="4"/>
  <c r="GU144" i="4"/>
  <c r="IH144" i="4"/>
  <c r="JL144" i="4"/>
  <c r="AJ144" i="4"/>
  <c r="BT144" i="4"/>
  <c r="CX144" i="4"/>
  <c r="EH144" i="4"/>
  <c r="FU144" i="4"/>
  <c r="GV144" i="4"/>
  <c r="IJ144" i="4"/>
  <c r="JM144" i="4"/>
  <c r="AK144" i="4"/>
  <c r="BU144" i="4"/>
  <c r="DD144" i="4"/>
  <c r="EI144" i="4"/>
  <c r="FV144" i="4"/>
  <c r="GZ144" i="4"/>
  <c r="IK144" i="4"/>
  <c r="JT144" i="4"/>
  <c r="I144" i="4"/>
  <c r="AR144" i="4"/>
  <c r="BW144" i="4"/>
  <c r="DJ144" i="4"/>
  <c r="EN144" i="4"/>
  <c r="FY144" i="4"/>
  <c r="HH144" i="4"/>
  <c r="IM144" i="4"/>
  <c r="JW144" i="4"/>
  <c r="AL144" i="4"/>
  <c r="CM144" i="4"/>
  <c r="EV144" i="4"/>
  <c r="GQ144" i="4"/>
  <c r="IZ144" i="4"/>
  <c r="AW144" i="4"/>
  <c r="CN144" i="4"/>
  <c r="EX144" i="4"/>
  <c r="GR144" i="4"/>
  <c r="JB144" i="4"/>
  <c r="AX144" i="4"/>
  <c r="CR144" i="4"/>
  <c r="EY144" i="4"/>
  <c r="HA144" i="4"/>
  <c r="JC144" i="4"/>
  <c r="AZ144" i="4"/>
  <c r="CS144" i="4"/>
  <c r="EZ144" i="4"/>
  <c r="HJ144" i="4"/>
  <c r="JD144" i="4"/>
  <c r="BA144" i="4"/>
  <c r="DI144" i="4"/>
  <c r="FD144" i="4"/>
  <c r="HK144" i="4"/>
  <c r="JE144" i="4"/>
  <c r="BC144" i="4"/>
  <c r="DM144" i="4"/>
  <c r="FF144" i="4"/>
  <c r="HP144" i="4"/>
  <c r="JV144" i="4"/>
  <c r="CB144" i="4"/>
  <c r="FX144" i="4"/>
  <c r="IO144" i="4"/>
  <c r="J144" i="4"/>
  <c r="CC144" i="4"/>
  <c r="FZ144" i="4"/>
  <c r="IP144" i="4"/>
  <c r="K144" i="4"/>
  <c r="CJ144" i="4"/>
  <c r="GA144" i="4"/>
  <c r="JF144" i="4"/>
  <c r="L144" i="4"/>
  <c r="CL144" i="4"/>
  <c r="GB144" i="4"/>
  <c r="JX144" i="4"/>
  <c r="P144" i="4"/>
  <c r="DL144" i="4"/>
  <c r="GC144" i="4"/>
  <c r="KB144" i="4"/>
  <c r="X144" i="4"/>
  <c r="DO144" i="4"/>
  <c r="GN144" i="4"/>
  <c r="KD144" i="4"/>
  <c r="EB144" i="4"/>
  <c r="KC144" i="4"/>
  <c r="ED144" i="4"/>
  <c r="KF144" i="4"/>
  <c r="Q144" i="4"/>
  <c r="EJ144" i="4"/>
  <c r="KG144" i="4"/>
  <c r="Z144" i="4"/>
  <c r="EO144" i="4"/>
  <c r="KH144" i="4"/>
  <c r="AA144" i="4"/>
  <c r="FE144" i="4"/>
  <c r="DP144" i="4"/>
  <c r="DQ144" i="4"/>
  <c r="DR144" i="4"/>
  <c r="FH144" i="4"/>
  <c r="GD144" i="4"/>
  <c r="BD144" i="4"/>
  <c r="HU144" i="4"/>
  <c r="BF144" i="4"/>
  <c r="BV144" i="4"/>
  <c r="BX144" i="4"/>
  <c r="DN144" i="4"/>
  <c r="HL144" i="4"/>
  <c r="IL144" i="4"/>
  <c r="HR144" i="4"/>
  <c r="HT144" i="4"/>
  <c r="HV144" i="4"/>
  <c r="IN144" i="4"/>
  <c r="BB144" i="4"/>
  <c r="BE144" i="4"/>
  <c r="GP144" i="4"/>
  <c r="HQ144" i="4"/>
  <c r="AB144" i="4"/>
  <c r="O128" i="4"/>
  <c r="AE128" i="4"/>
  <c r="AU128" i="4"/>
  <c r="BK128" i="4"/>
  <c r="CA128" i="4"/>
  <c r="CQ128" i="4"/>
  <c r="DG128" i="4"/>
  <c r="DW128" i="4"/>
  <c r="EM128" i="4"/>
  <c r="FC128" i="4"/>
  <c r="FS128" i="4"/>
  <c r="GI128" i="4"/>
  <c r="GY128" i="4"/>
  <c r="HO128" i="4"/>
  <c r="IE128" i="4"/>
  <c r="IU128" i="4"/>
  <c r="JK128" i="4"/>
  <c r="KA128" i="4"/>
  <c r="P128" i="4"/>
  <c r="AF128" i="4"/>
  <c r="AV128" i="4"/>
  <c r="BL128" i="4"/>
  <c r="CB128" i="4"/>
  <c r="Q128" i="4"/>
  <c r="AG128" i="4"/>
  <c r="AW128" i="4"/>
  <c r="BM128" i="4"/>
  <c r="CC128" i="4"/>
  <c r="CS128" i="4"/>
  <c r="U128" i="4"/>
  <c r="AK128" i="4"/>
  <c r="BA128" i="4"/>
  <c r="BQ128" i="4"/>
  <c r="CG128" i="4"/>
  <c r="CW128" i="4"/>
  <c r="DM128" i="4"/>
  <c r="EC128" i="4"/>
  <c r="ES128" i="4"/>
  <c r="FI128" i="4"/>
  <c r="FY128" i="4"/>
  <c r="GO128" i="4"/>
  <c r="HE128" i="4"/>
  <c r="HU128" i="4"/>
  <c r="IK128" i="4"/>
  <c r="JA128" i="4"/>
  <c r="JQ128" i="4"/>
  <c r="KG128" i="4"/>
  <c r="K128" i="4"/>
  <c r="AH128" i="4"/>
  <c r="BC128" i="4"/>
  <c r="BW128" i="4"/>
  <c r="CR128" i="4"/>
  <c r="DK128" i="4"/>
  <c r="ED128" i="4"/>
  <c r="EV128" i="4"/>
  <c r="FN128" i="4"/>
  <c r="GF128" i="4"/>
  <c r="GX128" i="4"/>
  <c r="HQ128" i="4"/>
  <c r="II128" i="4"/>
  <c r="JB128" i="4"/>
  <c r="JT128" i="4"/>
  <c r="L128" i="4"/>
  <c r="AI128" i="4"/>
  <c r="BD128" i="4"/>
  <c r="BX128" i="4"/>
  <c r="CT128" i="4"/>
  <c r="DL128" i="4"/>
  <c r="EE128" i="4"/>
  <c r="EW128" i="4"/>
  <c r="FO128" i="4"/>
  <c r="GG128" i="4"/>
  <c r="GZ128" i="4"/>
  <c r="HR128" i="4"/>
  <c r="IJ128" i="4"/>
  <c r="JC128" i="4"/>
  <c r="JU128" i="4"/>
  <c r="M128" i="4"/>
  <c r="AJ128" i="4"/>
  <c r="BE128" i="4"/>
  <c r="BY128" i="4"/>
  <c r="CU128" i="4"/>
  <c r="DN128" i="4"/>
  <c r="EF128" i="4"/>
  <c r="EX128" i="4"/>
  <c r="FP128" i="4"/>
  <c r="GH128" i="4"/>
  <c r="HA128" i="4"/>
  <c r="HS128" i="4"/>
  <c r="IL128" i="4"/>
  <c r="JD128" i="4"/>
  <c r="JV128" i="4"/>
  <c r="T128" i="4"/>
  <c r="AO128" i="4"/>
  <c r="BI128" i="4"/>
  <c r="CF128" i="4"/>
  <c r="CZ128" i="4"/>
  <c r="DR128" i="4"/>
  <c r="EJ128" i="4"/>
  <c r="FB128" i="4"/>
  <c r="FU128" i="4"/>
  <c r="GM128" i="4"/>
  <c r="HF128" i="4"/>
  <c r="HX128" i="4"/>
  <c r="IP128" i="4"/>
  <c r="JH128" i="4"/>
  <c r="JZ128" i="4"/>
  <c r="I128" i="4"/>
  <c r="AN128" i="4"/>
  <c r="BP128" i="4"/>
  <c r="CO128" i="4"/>
  <c r="DQ128" i="4"/>
  <c r="EO128" i="4"/>
  <c r="FL128" i="4"/>
  <c r="GL128" i="4"/>
  <c r="HJ128" i="4"/>
  <c r="IG128" i="4"/>
  <c r="JG128" i="4"/>
  <c r="KE128" i="4"/>
  <c r="J128" i="4"/>
  <c r="AP128" i="4"/>
  <c r="BR128" i="4"/>
  <c r="CP128" i="4"/>
  <c r="DS128" i="4"/>
  <c r="EP128" i="4"/>
  <c r="FM128" i="4"/>
  <c r="GN128" i="4"/>
  <c r="HK128" i="4"/>
  <c r="IH128" i="4"/>
  <c r="JI128" i="4"/>
  <c r="KF128" i="4"/>
  <c r="N128" i="4"/>
  <c r="AQ128" i="4"/>
  <c r="BS128" i="4"/>
  <c r="CV128" i="4"/>
  <c r="DT128" i="4"/>
  <c r="EQ128" i="4"/>
  <c r="FQ128" i="4"/>
  <c r="GP128" i="4"/>
  <c r="HL128" i="4"/>
  <c r="IM128" i="4"/>
  <c r="JJ128" i="4"/>
  <c r="KH128" i="4"/>
  <c r="R128" i="4"/>
  <c r="AR128" i="4"/>
  <c r="BT128" i="4"/>
  <c r="CX128" i="4"/>
  <c r="DU128" i="4"/>
  <c r="ER128" i="4"/>
  <c r="FR128" i="4"/>
  <c r="GQ128" i="4"/>
  <c r="HM128" i="4"/>
  <c r="IN128" i="4"/>
  <c r="JL128" i="4"/>
  <c r="KI128" i="4"/>
  <c r="S128" i="4"/>
  <c r="AS128" i="4"/>
  <c r="BU128" i="4"/>
  <c r="CY128" i="4"/>
  <c r="DV128" i="4"/>
  <c r="ET128" i="4"/>
  <c r="FT128" i="4"/>
  <c r="GR128" i="4"/>
  <c r="HN128" i="4"/>
  <c r="IO128" i="4"/>
  <c r="JM128" i="4"/>
  <c r="W128" i="4"/>
  <c r="AX128" i="4"/>
  <c r="BZ128" i="4"/>
  <c r="DB128" i="4"/>
  <c r="DY128" i="4"/>
  <c r="EY128" i="4"/>
  <c r="FW128" i="4"/>
  <c r="GT128" i="4"/>
  <c r="HT128" i="4"/>
  <c r="IR128" i="4"/>
  <c r="JO128" i="4"/>
  <c r="AT128" i="4"/>
  <c r="CK128" i="4"/>
  <c r="EA128" i="4"/>
  <c r="FJ128" i="4"/>
  <c r="HB128" i="4"/>
  <c r="IQ128" i="4"/>
  <c r="JY128" i="4"/>
  <c r="AY128" i="4"/>
  <c r="CL128" i="4"/>
  <c r="EB128" i="4"/>
  <c r="FK128" i="4"/>
  <c r="HC128" i="4"/>
  <c r="IS128" i="4"/>
  <c r="KB128" i="4"/>
  <c r="AZ128" i="4"/>
  <c r="CM128" i="4"/>
  <c r="EG128" i="4"/>
  <c r="FV128" i="4"/>
  <c r="HD128" i="4"/>
  <c r="IT128" i="4"/>
  <c r="KC128" i="4"/>
  <c r="BB128" i="4"/>
  <c r="CN128" i="4"/>
  <c r="EH128" i="4"/>
  <c r="FX128" i="4"/>
  <c r="HG128" i="4"/>
  <c r="IV128" i="4"/>
  <c r="KD128" i="4"/>
  <c r="BF128" i="4"/>
  <c r="DA128" i="4"/>
  <c r="EI128" i="4"/>
  <c r="FZ128" i="4"/>
  <c r="HH128" i="4"/>
  <c r="IW128" i="4"/>
  <c r="V128" i="4"/>
  <c r="BH128" i="4"/>
  <c r="DD128" i="4"/>
  <c r="EL128" i="4"/>
  <c r="GB128" i="4"/>
  <c r="HP128" i="4"/>
  <c r="IY128" i="4"/>
  <c r="Y128" i="4"/>
  <c r="CI128" i="4"/>
  <c r="FA128" i="4"/>
  <c r="HI128" i="4"/>
  <c r="JR128" i="4"/>
  <c r="Z128" i="4"/>
  <c r="CJ128" i="4"/>
  <c r="FD128" i="4"/>
  <c r="HV128" i="4"/>
  <c r="JS128" i="4"/>
  <c r="AA128" i="4"/>
  <c r="DC128" i="4"/>
  <c r="FE128" i="4"/>
  <c r="HW128" i="4"/>
  <c r="JW128" i="4"/>
  <c r="AB128" i="4"/>
  <c r="DE128" i="4"/>
  <c r="FF128" i="4"/>
  <c r="HY128" i="4"/>
  <c r="JX128" i="4"/>
  <c r="AC128" i="4"/>
  <c r="DF128" i="4"/>
  <c r="FG128" i="4"/>
  <c r="HZ128" i="4"/>
  <c r="AL128" i="4"/>
  <c r="DI128" i="4"/>
  <c r="GA128" i="4"/>
  <c r="IB128" i="4"/>
  <c r="BG128" i="4"/>
  <c r="EU128" i="4"/>
  <c r="IX128" i="4"/>
  <c r="BJ128" i="4"/>
  <c r="EZ128" i="4"/>
  <c r="IZ128" i="4"/>
  <c r="BN128" i="4"/>
  <c r="FH128" i="4"/>
  <c r="JE128" i="4"/>
  <c r="BO128" i="4"/>
  <c r="GC128" i="4"/>
  <c r="JF128" i="4"/>
  <c r="BV128" i="4"/>
  <c r="GD128" i="4"/>
  <c r="JN128" i="4"/>
  <c r="CE128" i="4"/>
  <c r="GJ128" i="4"/>
  <c r="AD128" i="4"/>
  <c r="GV128" i="4"/>
  <c r="AM128" i="4"/>
  <c r="GW128" i="4"/>
  <c r="CD128" i="4"/>
  <c r="IA128" i="4"/>
  <c r="CH128" i="4"/>
  <c r="IC128" i="4"/>
  <c r="DH128" i="4"/>
  <c r="ID128" i="4"/>
  <c r="EK128" i="4"/>
  <c r="GE128" i="4"/>
  <c r="GK128" i="4"/>
  <c r="GS128" i="4"/>
  <c r="GU128" i="4"/>
  <c r="IF128" i="4"/>
  <c r="DJ128" i="4"/>
  <c r="DZ128" i="4"/>
  <c r="DX128" i="4"/>
  <c r="EN128" i="4"/>
  <c r="JP128" i="4"/>
  <c r="X128" i="4"/>
  <c r="DO128" i="4"/>
  <c r="DP128" i="4"/>
  <c r="N80" i="4"/>
  <c r="AD80" i="4"/>
  <c r="AT80" i="4"/>
  <c r="BJ80" i="4"/>
  <c r="BZ80" i="4"/>
  <c r="CP80" i="4"/>
  <c r="DF80" i="4"/>
  <c r="DV80" i="4"/>
  <c r="EL80" i="4"/>
  <c r="FB80" i="4"/>
  <c r="FR80" i="4"/>
  <c r="GH80" i="4"/>
  <c r="GX80" i="4"/>
  <c r="HN80" i="4"/>
  <c r="ID80" i="4"/>
  <c r="IT80" i="4"/>
  <c r="JJ80" i="4"/>
  <c r="JZ80" i="4"/>
  <c r="O80" i="4"/>
  <c r="AE80" i="4"/>
  <c r="AU80" i="4"/>
  <c r="BK80" i="4"/>
  <c r="CA80" i="4"/>
  <c r="CQ80" i="4"/>
  <c r="DG80" i="4"/>
  <c r="DW80" i="4"/>
  <c r="EM80" i="4"/>
  <c r="FC80" i="4"/>
  <c r="FS80" i="4"/>
  <c r="GI80" i="4"/>
  <c r="GY80" i="4"/>
  <c r="HO80" i="4"/>
  <c r="IE80" i="4"/>
  <c r="IU80" i="4"/>
  <c r="JK80" i="4"/>
  <c r="KA80" i="4"/>
  <c r="P80" i="4"/>
  <c r="AF80" i="4"/>
  <c r="AV80" i="4"/>
  <c r="BL80" i="4"/>
  <c r="CB80" i="4"/>
  <c r="CR80" i="4"/>
  <c r="DH80" i="4"/>
  <c r="DX80" i="4"/>
  <c r="EN80" i="4"/>
  <c r="FD80" i="4"/>
  <c r="FT80" i="4"/>
  <c r="GJ80" i="4"/>
  <c r="GZ80" i="4"/>
  <c r="HP80" i="4"/>
  <c r="IF80" i="4"/>
  <c r="IV80" i="4"/>
  <c r="JL80" i="4"/>
  <c r="KB80" i="4"/>
  <c r="Q80" i="4"/>
  <c r="AG80" i="4"/>
  <c r="AW80" i="4"/>
  <c r="BM80" i="4"/>
  <c r="CC80" i="4"/>
  <c r="CS80" i="4"/>
  <c r="DI80" i="4"/>
  <c r="DY80" i="4"/>
  <c r="EO80" i="4"/>
  <c r="FE80" i="4"/>
  <c r="FU80" i="4"/>
  <c r="GK80" i="4"/>
  <c r="HA80" i="4"/>
  <c r="HQ80" i="4"/>
  <c r="IG80" i="4"/>
  <c r="IW80" i="4"/>
  <c r="JM80" i="4"/>
  <c r="KC80" i="4"/>
  <c r="R80" i="4"/>
  <c r="AH80" i="4"/>
  <c r="AX80" i="4"/>
  <c r="BN80" i="4"/>
  <c r="CD80" i="4"/>
  <c r="T80" i="4"/>
  <c r="AJ80" i="4"/>
  <c r="AZ80" i="4"/>
  <c r="BP80" i="4"/>
  <c r="CF80" i="4"/>
  <c r="CV80" i="4"/>
  <c r="DL80" i="4"/>
  <c r="EB80" i="4"/>
  <c r="ER80" i="4"/>
  <c r="FH80" i="4"/>
  <c r="FX80" i="4"/>
  <c r="GN80" i="4"/>
  <c r="HD80" i="4"/>
  <c r="HT80" i="4"/>
  <c r="IJ80" i="4"/>
  <c r="IZ80" i="4"/>
  <c r="JP80" i="4"/>
  <c r="KF80" i="4"/>
  <c r="Z80" i="4"/>
  <c r="BB80" i="4"/>
  <c r="BX80" i="4"/>
  <c r="CY80" i="4"/>
  <c r="DT80" i="4"/>
  <c r="ET80" i="4"/>
  <c r="FO80" i="4"/>
  <c r="GO80" i="4"/>
  <c r="HJ80" i="4"/>
  <c r="II80" i="4"/>
  <c r="JE80" i="4"/>
  <c r="KD80" i="4"/>
  <c r="AA80" i="4"/>
  <c r="BC80" i="4"/>
  <c r="BY80" i="4"/>
  <c r="CZ80" i="4"/>
  <c r="DU80" i="4"/>
  <c r="EU80" i="4"/>
  <c r="FP80" i="4"/>
  <c r="GP80" i="4"/>
  <c r="HK80" i="4"/>
  <c r="IK80" i="4"/>
  <c r="JF80" i="4"/>
  <c r="KE80" i="4"/>
  <c r="AB80" i="4"/>
  <c r="BD80" i="4"/>
  <c r="CE80" i="4"/>
  <c r="DA80" i="4"/>
  <c r="DZ80" i="4"/>
  <c r="EV80" i="4"/>
  <c r="FQ80" i="4"/>
  <c r="GQ80" i="4"/>
  <c r="HL80" i="4"/>
  <c r="IL80" i="4"/>
  <c r="JG80" i="4"/>
  <c r="KG80" i="4"/>
  <c r="AC80" i="4"/>
  <c r="BE80" i="4"/>
  <c r="CG80" i="4"/>
  <c r="DB80" i="4"/>
  <c r="EA80" i="4"/>
  <c r="EW80" i="4"/>
  <c r="FV80" i="4"/>
  <c r="GR80" i="4"/>
  <c r="HM80" i="4"/>
  <c r="IM80" i="4"/>
  <c r="JH80" i="4"/>
  <c r="KH80" i="4"/>
  <c r="AI80" i="4"/>
  <c r="BF80" i="4"/>
  <c r="CH80" i="4"/>
  <c r="DC80" i="4"/>
  <c r="EC80" i="4"/>
  <c r="EX80" i="4"/>
  <c r="FW80" i="4"/>
  <c r="GS80" i="4"/>
  <c r="HR80" i="4"/>
  <c r="IN80" i="4"/>
  <c r="JI80" i="4"/>
  <c r="KI80" i="4"/>
  <c r="J80" i="4"/>
  <c r="AL80" i="4"/>
  <c r="BH80" i="4"/>
  <c r="CJ80" i="4"/>
  <c r="DE80" i="4"/>
  <c r="EE80" i="4"/>
  <c r="EZ80" i="4"/>
  <c r="FZ80" i="4"/>
  <c r="GU80" i="4"/>
  <c r="HU80" i="4"/>
  <c r="IP80" i="4"/>
  <c r="JO80" i="4"/>
  <c r="L80" i="4"/>
  <c r="AY80" i="4"/>
  <c r="CN80" i="4"/>
  <c r="ED80" i="4"/>
  <c r="FK80" i="4"/>
  <c r="GW80" i="4"/>
  <c r="IC80" i="4"/>
  <c r="JT80" i="4"/>
  <c r="M80" i="4"/>
  <c r="BA80" i="4"/>
  <c r="CO80" i="4"/>
  <c r="EF80" i="4"/>
  <c r="FL80" i="4"/>
  <c r="HB80" i="4"/>
  <c r="IH80" i="4"/>
  <c r="JU80" i="4"/>
  <c r="S80" i="4"/>
  <c r="BG80" i="4"/>
  <c r="CT80" i="4"/>
  <c r="EG80" i="4"/>
  <c r="FM80" i="4"/>
  <c r="HC80" i="4"/>
  <c r="IO80" i="4"/>
  <c r="JV80" i="4"/>
  <c r="U80" i="4"/>
  <c r="BI80" i="4"/>
  <c r="CU80" i="4"/>
  <c r="EH80" i="4"/>
  <c r="FN80" i="4"/>
  <c r="HE80" i="4"/>
  <c r="IQ80" i="4"/>
  <c r="JW80" i="4"/>
  <c r="V80" i="4"/>
  <c r="BO80" i="4"/>
  <c r="CW80" i="4"/>
  <c r="EI80" i="4"/>
  <c r="FY80" i="4"/>
  <c r="HF80" i="4"/>
  <c r="IR80" i="4"/>
  <c r="JX80" i="4"/>
  <c r="X80" i="4"/>
  <c r="BR80" i="4"/>
  <c r="DD80" i="4"/>
  <c r="EK80" i="4"/>
  <c r="GB80" i="4"/>
  <c r="HH80" i="4"/>
  <c r="IX80" i="4"/>
  <c r="BQ80" i="4"/>
  <c r="DP80" i="4"/>
  <c r="GD80" i="4"/>
  <c r="IA80" i="4"/>
  <c r="BS80" i="4"/>
  <c r="DQ80" i="4"/>
  <c r="GE80" i="4"/>
  <c r="IB80" i="4"/>
  <c r="BT80" i="4"/>
  <c r="DR80" i="4"/>
  <c r="GF80" i="4"/>
  <c r="IS80" i="4"/>
  <c r="BU80" i="4"/>
  <c r="DS80" i="4"/>
  <c r="GG80" i="4"/>
  <c r="IY80" i="4"/>
  <c r="I80" i="4"/>
  <c r="BV80" i="4"/>
  <c r="EJ80" i="4"/>
  <c r="GL80" i="4"/>
  <c r="JA80" i="4"/>
  <c r="W80" i="4"/>
  <c r="CI80" i="4"/>
  <c r="EQ80" i="4"/>
  <c r="GT80" i="4"/>
  <c r="JC80" i="4"/>
  <c r="CL80" i="4"/>
  <c r="GA80" i="4"/>
  <c r="JR80" i="4"/>
  <c r="CM80" i="4"/>
  <c r="GC80" i="4"/>
  <c r="JS80" i="4"/>
  <c r="CX80" i="4"/>
  <c r="GM80" i="4"/>
  <c r="JY80" i="4"/>
  <c r="DJ80" i="4"/>
  <c r="GV80" i="4"/>
  <c r="K80" i="4"/>
  <c r="DK80" i="4"/>
  <c r="HG80" i="4"/>
  <c r="AK80" i="4"/>
  <c r="DN80" i="4"/>
  <c r="HS80" i="4"/>
  <c r="Y80" i="4"/>
  <c r="FF80" i="4"/>
  <c r="AM80" i="4"/>
  <c r="FG80" i="4"/>
  <c r="AN80" i="4"/>
  <c r="FI80" i="4"/>
  <c r="AO80" i="4"/>
  <c r="FJ80" i="4"/>
  <c r="AP80" i="4"/>
  <c r="HI80" i="4"/>
  <c r="AR80" i="4"/>
  <c r="HW80" i="4"/>
  <c r="EY80" i="4"/>
  <c r="FA80" i="4"/>
  <c r="HV80" i="4"/>
  <c r="HX80" i="4"/>
  <c r="HY80" i="4"/>
  <c r="JB80" i="4"/>
  <c r="AQ80" i="4"/>
  <c r="EP80" i="4"/>
  <c r="DO80" i="4"/>
  <c r="DM80" i="4"/>
  <c r="ES80" i="4"/>
  <c r="HZ80" i="4"/>
  <c r="JD80" i="4"/>
  <c r="JQ80" i="4"/>
  <c r="AS80" i="4"/>
  <c r="BW80" i="4"/>
  <c r="CK80" i="4"/>
  <c r="JN80" i="4"/>
  <c r="Q64" i="4"/>
  <c r="AG64" i="4"/>
  <c r="AW64" i="4"/>
  <c r="BM64" i="4"/>
  <c r="CC64" i="4"/>
  <c r="CS64" i="4"/>
  <c r="DI64" i="4"/>
  <c r="DY64" i="4"/>
  <c r="EO64" i="4"/>
  <c r="FE64" i="4"/>
  <c r="FU64" i="4"/>
  <c r="GK64" i="4"/>
  <c r="HA64" i="4"/>
  <c r="HQ64" i="4"/>
  <c r="IG64" i="4"/>
  <c r="IW64" i="4"/>
  <c r="JM64" i="4"/>
  <c r="KC64" i="4"/>
  <c r="R64" i="4"/>
  <c r="AH64" i="4"/>
  <c r="AX64" i="4"/>
  <c r="BN64" i="4"/>
  <c r="CD64" i="4"/>
  <c r="CT64" i="4"/>
  <c r="DJ64" i="4"/>
  <c r="DZ64" i="4"/>
  <c r="EP64" i="4"/>
  <c r="FF64" i="4"/>
  <c r="FV64" i="4"/>
  <c r="GL64" i="4"/>
  <c r="HB64" i="4"/>
  <c r="HR64" i="4"/>
  <c r="IH64" i="4"/>
  <c r="IX64" i="4"/>
  <c r="JN64" i="4"/>
  <c r="KD64" i="4"/>
  <c r="S64" i="4"/>
  <c r="AI64" i="4"/>
  <c r="AY64" i="4"/>
  <c r="BO64" i="4"/>
  <c r="CE64" i="4"/>
  <c r="CU64" i="4"/>
  <c r="DK64" i="4"/>
  <c r="EA64" i="4"/>
  <c r="EQ64" i="4"/>
  <c r="FG64" i="4"/>
  <c r="FW64" i="4"/>
  <c r="GM64" i="4"/>
  <c r="HC64" i="4"/>
  <c r="HS64" i="4"/>
  <c r="II64" i="4"/>
  <c r="IY64" i="4"/>
  <c r="JO64" i="4"/>
  <c r="KE64" i="4"/>
  <c r="W64" i="4"/>
  <c r="AM64" i="4"/>
  <c r="BC64" i="4"/>
  <c r="BS64" i="4"/>
  <c r="CI64" i="4"/>
  <c r="CY64" i="4"/>
  <c r="DO64" i="4"/>
  <c r="EE64" i="4"/>
  <c r="EU64" i="4"/>
  <c r="FK64" i="4"/>
  <c r="GA64" i="4"/>
  <c r="GQ64" i="4"/>
  <c r="HG64" i="4"/>
  <c r="HW64" i="4"/>
  <c r="IM64" i="4"/>
  <c r="JC64" i="4"/>
  <c r="JS64" i="4"/>
  <c r="KI64" i="4"/>
  <c r="N64" i="4"/>
  <c r="AK64" i="4"/>
  <c r="BF64" i="4"/>
  <c r="BZ64" i="4"/>
  <c r="CW64" i="4"/>
  <c r="DR64" i="4"/>
  <c r="EL64" i="4"/>
  <c r="FI64" i="4"/>
  <c r="GD64" i="4"/>
  <c r="GX64" i="4"/>
  <c r="HU64" i="4"/>
  <c r="IP64" i="4"/>
  <c r="JJ64" i="4"/>
  <c r="KG64" i="4"/>
  <c r="O64" i="4"/>
  <c r="AL64" i="4"/>
  <c r="BG64" i="4"/>
  <c r="CA64" i="4"/>
  <c r="CX64" i="4"/>
  <c r="DS64" i="4"/>
  <c r="EM64" i="4"/>
  <c r="FJ64" i="4"/>
  <c r="GE64" i="4"/>
  <c r="GY64" i="4"/>
  <c r="HV64" i="4"/>
  <c r="IQ64" i="4"/>
  <c r="JK64" i="4"/>
  <c r="KH64" i="4"/>
  <c r="P64" i="4"/>
  <c r="AN64" i="4"/>
  <c r="BH64" i="4"/>
  <c r="CB64" i="4"/>
  <c r="CZ64" i="4"/>
  <c r="DT64" i="4"/>
  <c r="EN64" i="4"/>
  <c r="FL64" i="4"/>
  <c r="GF64" i="4"/>
  <c r="GZ64" i="4"/>
  <c r="HX64" i="4"/>
  <c r="IR64" i="4"/>
  <c r="JL64" i="4"/>
  <c r="T64" i="4"/>
  <c r="AO64" i="4"/>
  <c r="BI64" i="4"/>
  <c r="CF64" i="4"/>
  <c r="DA64" i="4"/>
  <c r="DU64" i="4"/>
  <c r="ER64" i="4"/>
  <c r="FM64" i="4"/>
  <c r="GG64" i="4"/>
  <c r="HD64" i="4"/>
  <c r="HY64" i="4"/>
  <c r="IS64" i="4"/>
  <c r="JP64" i="4"/>
  <c r="U64" i="4"/>
  <c r="AP64" i="4"/>
  <c r="BJ64" i="4"/>
  <c r="CG64" i="4"/>
  <c r="DB64" i="4"/>
  <c r="DV64" i="4"/>
  <c r="ES64" i="4"/>
  <c r="FN64" i="4"/>
  <c r="GH64" i="4"/>
  <c r="HE64" i="4"/>
  <c r="HZ64" i="4"/>
  <c r="IT64" i="4"/>
  <c r="JQ64" i="4"/>
  <c r="X64" i="4"/>
  <c r="AR64" i="4"/>
  <c r="BL64" i="4"/>
  <c r="CJ64" i="4"/>
  <c r="DD64" i="4"/>
  <c r="DX64" i="4"/>
  <c r="EV64" i="4"/>
  <c r="FP64" i="4"/>
  <c r="GJ64" i="4"/>
  <c r="HH64" i="4"/>
  <c r="IB64" i="4"/>
  <c r="IV64" i="4"/>
  <c r="JT64" i="4"/>
  <c r="AD64" i="4"/>
  <c r="BQ64" i="4"/>
  <c r="CR64" i="4"/>
  <c r="EF64" i="4"/>
  <c r="FO64" i="4"/>
  <c r="GT64" i="4"/>
  <c r="ID64" i="4"/>
  <c r="JH64" i="4"/>
  <c r="AE64" i="4"/>
  <c r="BR64" i="4"/>
  <c r="CV64" i="4"/>
  <c r="EG64" i="4"/>
  <c r="FQ64" i="4"/>
  <c r="GU64" i="4"/>
  <c r="IE64" i="4"/>
  <c r="JI64" i="4"/>
  <c r="AF64" i="4"/>
  <c r="BT64" i="4"/>
  <c r="DC64" i="4"/>
  <c r="EH64" i="4"/>
  <c r="FR64" i="4"/>
  <c r="GV64" i="4"/>
  <c r="IF64" i="4"/>
  <c r="JR64" i="4"/>
  <c r="AJ64" i="4"/>
  <c r="BU64" i="4"/>
  <c r="DE64" i="4"/>
  <c r="EI64" i="4"/>
  <c r="FS64" i="4"/>
  <c r="GW64" i="4"/>
  <c r="IJ64" i="4"/>
  <c r="JU64" i="4"/>
  <c r="AQ64" i="4"/>
  <c r="BV64" i="4"/>
  <c r="DF64" i="4"/>
  <c r="EJ64" i="4"/>
  <c r="FT64" i="4"/>
  <c r="HF64" i="4"/>
  <c r="IK64" i="4"/>
  <c r="JV64" i="4"/>
  <c r="J64" i="4"/>
  <c r="AT64" i="4"/>
  <c r="BX64" i="4"/>
  <c r="DH64" i="4"/>
  <c r="ET64" i="4"/>
  <c r="FY64" i="4"/>
  <c r="HJ64" i="4"/>
  <c r="IN64" i="4"/>
  <c r="JX64" i="4"/>
  <c r="L64" i="4"/>
  <c r="BK64" i="4"/>
  <c r="DP64" i="4"/>
  <c r="FX64" i="4"/>
  <c r="HP64" i="4"/>
  <c r="JZ64" i="4"/>
  <c r="M64" i="4"/>
  <c r="BP64" i="4"/>
  <c r="DQ64" i="4"/>
  <c r="FZ64" i="4"/>
  <c r="HT64" i="4"/>
  <c r="KA64" i="4"/>
  <c r="V64" i="4"/>
  <c r="BW64" i="4"/>
  <c r="DW64" i="4"/>
  <c r="GB64" i="4"/>
  <c r="IA64" i="4"/>
  <c r="KB64" i="4"/>
  <c r="Y64" i="4"/>
  <c r="BY64" i="4"/>
  <c r="EB64" i="4"/>
  <c r="GC64" i="4"/>
  <c r="IC64" i="4"/>
  <c r="KF64" i="4"/>
  <c r="Z64" i="4"/>
  <c r="CH64" i="4"/>
  <c r="EC64" i="4"/>
  <c r="GI64" i="4"/>
  <c r="IL64" i="4"/>
  <c r="AB64" i="4"/>
  <c r="CL64" i="4"/>
  <c r="EK64" i="4"/>
  <c r="GO64" i="4"/>
  <c r="IU64" i="4"/>
  <c r="AS64" i="4"/>
  <c r="DM64" i="4"/>
  <c r="HI64" i="4"/>
  <c r="AU64" i="4"/>
  <c r="DN64" i="4"/>
  <c r="HK64" i="4"/>
  <c r="AV64" i="4"/>
  <c r="ED64" i="4"/>
  <c r="HL64" i="4"/>
  <c r="AZ64" i="4"/>
  <c r="EW64" i="4"/>
  <c r="HM64" i="4"/>
  <c r="BA64" i="4"/>
  <c r="EX64" i="4"/>
  <c r="HN64" i="4"/>
  <c r="BD64" i="4"/>
  <c r="EZ64" i="4"/>
  <c r="IO64" i="4"/>
  <c r="DG64" i="4"/>
  <c r="JD64" i="4"/>
  <c r="DL64" i="4"/>
  <c r="JE64" i="4"/>
  <c r="EY64" i="4"/>
  <c r="JF64" i="4"/>
  <c r="FA64" i="4"/>
  <c r="JG64" i="4"/>
  <c r="I64" i="4"/>
  <c r="FB64" i="4"/>
  <c r="JW64" i="4"/>
  <c r="AA64" i="4"/>
  <c r="FD64" i="4"/>
  <c r="CN64" i="4"/>
  <c r="CO64" i="4"/>
  <c r="CP64" i="4"/>
  <c r="CQ64" i="4"/>
  <c r="FC64" i="4"/>
  <c r="GN64" i="4"/>
  <c r="JY64" i="4"/>
  <c r="K64" i="4"/>
  <c r="AC64" i="4"/>
  <c r="BB64" i="4"/>
  <c r="CK64" i="4"/>
  <c r="GR64" i="4"/>
  <c r="GS64" i="4"/>
  <c r="HO64" i="4"/>
  <c r="IZ64" i="4"/>
  <c r="JA64" i="4"/>
  <c r="FH64" i="4"/>
  <c r="BE64" i="4"/>
  <c r="GP64" i="4"/>
  <c r="CM64" i="4"/>
  <c r="JB64" i="4"/>
  <c r="L16" i="4"/>
  <c r="AB16" i="4"/>
  <c r="AR16" i="4"/>
  <c r="BH16" i="4"/>
  <c r="BX16" i="4"/>
  <c r="CN16" i="4"/>
  <c r="DD16" i="4"/>
  <c r="DT16" i="4"/>
  <c r="EJ16" i="4"/>
  <c r="EZ16" i="4"/>
  <c r="FP16" i="4"/>
  <c r="GF16" i="4"/>
  <c r="GV16" i="4"/>
  <c r="HL16" i="4"/>
  <c r="IB16" i="4"/>
  <c r="IR16" i="4"/>
  <c r="JH16" i="4"/>
  <c r="JX16" i="4"/>
  <c r="M16" i="4"/>
  <c r="AC16" i="4"/>
  <c r="AS16" i="4"/>
  <c r="BI16" i="4"/>
  <c r="BY16" i="4"/>
  <c r="CO16" i="4"/>
  <c r="DE16" i="4"/>
  <c r="DU16" i="4"/>
  <c r="EK16" i="4"/>
  <c r="FA16" i="4"/>
  <c r="FQ16" i="4"/>
  <c r="GG16" i="4"/>
  <c r="GW16" i="4"/>
  <c r="HM16" i="4"/>
  <c r="IC16" i="4"/>
  <c r="IS16" i="4"/>
  <c r="JI16" i="4"/>
  <c r="JY16" i="4"/>
  <c r="P16" i="4"/>
  <c r="AF16" i="4"/>
  <c r="AV16" i="4"/>
  <c r="BL16" i="4"/>
  <c r="CB16" i="4"/>
  <c r="CR16" i="4"/>
  <c r="DH16" i="4"/>
  <c r="DX16" i="4"/>
  <c r="EN16" i="4"/>
  <c r="FD16" i="4"/>
  <c r="FT16" i="4"/>
  <c r="GJ16" i="4"/>
  <c r="GZ16" i="4"/>
  <c r="HP16" i="4"/>
  <c r="IF16" i="4"/>
  <c r="IV16" i="4"/>
  <c r="JL16" i="4"/>
  <c r="KB16" i="4"/>
  <c r="I16" i="4"/>
  <c r="AD16" i="4"/>
  <c r="AX16" i="4"/>
  <c r="BQ16" i="4"/>
  <c r="CJ16" i="4"/>
  <c r="DC16" i="4"/>
  <c r="DY16" i="4"/>
  <c r="ER16" i="4"/>
  <c r="FK16" i="4"/>
  <c r="GD16" i="4"/>
  <c r="GY16" i="4"/>
  <c r="HS16" i="4"/>
  <c r="IL16" i="4"/>
  <c r="JE16" i="4"/>
  <c r="JZ16" i="4"/>
  <c r="J16" i="4"/>
  <c r="AE16" i="4"/>
  <c r="AY16" i="4"/>
  <c r="BR16" i="4"/>
  <c r="CK16" i="4"/>
  <c r="DF16" i="4"/>
  <c r="DZ16" i="4"/>
  <c r="ES16" i="4"/>
  <c r="FL16" i="4"/>
  <c r="GE16" i="4"/>
  <c r="HA16" i="4"/>
  <c r="HT16" i="4"/>
  <c r="IM16" i="4"/>
  <c r="JF16" i="4"/>
  <c r="KA16" i="4"/>
  <c r="K16" i="4"/>
  <c r="AG16" i="4"/>
  <c r="AZ16" i="4"/>
  <c r="BS16" i="4"/>
  <c r="CL16" i="4"/>
  <c r="DG16" i="4"/>
  <c r="EA16" i="4"/>
  <c r="ET16" i="4"/>
  <c r="FM16" i="4"/>
  <c r="GH16" i="4"/>
  <c r="HB16" i="4"/>
  <c r="HU16" i="4"/>
  <c r="IN16" i="4"/>
  <c r="JG16" i="4"/>
  <c r="KC16" i="4"/>
  <c r="N16" i="4"/>
  <c r="AH16" i="4"/>
  <c r="BA16" i="4"/>
  <c r="BT16" i="4"/>
  <c r="CM16" i="4"/>
  <c r="DI16" i="4"/>
  <c r="EB16" i="4"/>
  <c r="EU16" i="4"/>
  <c r="FN16" i="4"/>
  <c r="GI16" i="4"/>
  <c r="HC16" i="4"/>
  <c r="HV16" i="4"/>
  <c r="IO16" i="4"/>
  <c r="JJ16" i="4"/>
  <c r="KD16" i="4"/>
  <c r="R16" i="4"/>
  <c r="AK16" i="4"/>
  <c r="BD16" i="4"/>
  <c r="BW16" i="4"/>
  <c r="CS16" i="4"/>
  <c r="DL16" i="4"/>
  <c r="EE16" i="4"/>
  <c r="EX16" i="4"/>
  <c r="FS16" i="4"/>
  <c r="GM16" i="4"/>
  <c r="HF16" i="4"/>
  <c r="HY16" i="4"/>
  <c r="IT16" i="4"/>
  <c r="JN16" i="4"/>
  <c r="KG16" i="4"/>
  <c r="AI16" i="4"/>
  <c r="BJ16" i="4"/>
  <c r="CI16" i="4"/>
  <c r="DO16" i="4"/>
  <c r="EP16" i="4"/>
  <c r="FV16" i="4"/>
  <c r="GT16" i="4"/>
  <c r="HZ16" i="4"/>
  <c r="JA16" i="4"/>
  <c r="KF16" i="4"/>
  <c r="AJ16" i="4"/>
  <c r="BK16" i="4"/>
  <c r="CP16" i="4"/>
  <c r="DP16" i="4"/>
  <c r="EQ16" i="4"/>
  <c r="FW16" i="4"/>
  <c r="GU16" i="4"/>
  <c r="IA16" i="4"/>
  <c r="JB16" i="4"/>
  <c r="KH16" i="4"/>
  <c r="AL16" i="4"/>
  <c r="BM16" i="4"/>
  <c r="CQ16" i="4"/>
  <c r="DQ16" i="4"/>
  <c r="EV16" i="4"/>
  <c r="FX16" i="4"/>
  <c r="GX16" i="4"/>
  <c r="ID16" i="4"/>
  <c r="JC16" i="4"/>
  <c r="KI16" i="4"/>
  <c r="AM16" i="4"/>
  <c r="BN16" i="4"/>
  <c r="CT16" i="4"/>
  <c r="DR16" i="4"/>
  <c r="EW16" i="4"/>
  <c r="FY16" i="4"/>
  <c r="HD16" i="4"/>
  <c r="IE16" i="4"/>
  <c r="JD16" i="4"/>
  <c r="AN16" i="4"/>
  <c r="BO16" i="4"/>
  <c r="CU16" i="4"/>
  <c r="DS16" i="4"/>
  <c r="EY16" i="4"/>
  <c r="FZ16" i="4"/>
  <c r="HE16" i="4"/>
  <c r="IG16" i="4"/>
  <c r="JK16" i="4"/>
  <c r="Q16" i="4"/>
  <c r="AP16" i="4"/>
  <c r="BU16" i="4"/>
  <c r="CW16" i="4"/>
  <c r="DW16" i="4"/>
  <c r="FC16" i="4"/>
  <c r="GB16" i="4"/>
  <c r="HH16" i="4"/>
  <c r="II16" i="4"/>
  <c r="JO16" i="4"/>
  <c r="AT16" i="4"/>
  <c r="CG16" i="4"/>
  <c r="EG16" i="4"/>
  <c r="GA16" i="4"/>
  <c r="HQ16" i="4"/>
  <c r="JQ16" i="4"/>
  <c r="AU16" i="4"/>
  <c r="CH16" i="4"/>
  <c r="EH16" i="4"/>
  <c r="GC16" i="4"/>
  <c r="HR16" i="4"/>
  <c r="JR16" i="4"/>
  <c r="AW16" i="4"/>
  <c r="CV16" i="4"/>
  <c r="EI16" i="4"/>
  <c r="GK16" i="4"/>
  <c r="HW16" i="4"/>
  <c r="JS16" i="4"/>
  <c r="BB16" i="4"/>
  <c r="CX16" i="4"/>
  <c r="EL16" i="4"/>
  <c r="GL16" i="4"/>
  <c r="HX16" i="4"/>
  <c r="JT16" i="4"/>
  <c r="O16" i="4"/>
  <c r="BC16" i="4"/>
  <c r="CY16" i="4"/>
  <c r="EM16" i="4"/>
  <c r="GN16" i="4"/>
  <c r="IH16" i="4"/>
  <c r="JU16" i="4"/>
  <c r="T16" i="4"/>
  <c r="BF16" i="4"/>
  <c r="DA16" i="4"/>
  <c r="FB16" i="4"/>
  <c r="GP16" i="4"/>
  <c r="IK16" i="4"/>
  <c r="JW16" i="4"/>
  <c r="X16" i="4"/>
  <c r="CZ16" i="4"/>
  <c r="FJ16" i="4"/>
  <c r="IQ16" i="4"/>
  <c r="Y16" i="4"/>
  <c r="DB16" i="4"/>
  <c r="FO16" i="4"/>
  <c r="IU16" i="4"/>
  <c r="Z16" i="4"/>
  <c r="DJ16" i="4"/>
  <c r="FR16" i="4"/>
  <c r="IW16" i="4"/>
  <c r="AA16" i="4"/>
  <c r="DK16" i="4"/>
  <c r="FU16" i="4"/>
  <c r="IX16" i="4"/>
  <c r="AO16" i="4"/>
  <c r="DM16" i="4"/>
  <c r="GO16" i="4"/>
  <c r="IY16" i="4"/>
  <c r="BE16" i="4"/>
  <c r="DV16" i="4"/>
  <c r="GR16" i="4"/>
  <c r="JM16" i="4"/>
  <c r="DN16" i="4"/>
  <c r="HN16" i="4"/>
  <c r="EC16" i="4"/>
  <c r="HO16" i="4"/>
  <c r="S16" i="4"/>
  <c r="ED16" i="4"/>
  <c r="IJ16" i="4"/>
  <c r="U16" i="4"/>
  <c r="EF16" i="4"/>
  <c r="IP16" i="4"/>
  <c r="V16" i="4"/>
  <c r="EO16" i="4"/>
  <c r="IZ16" i="4"/>
  <c r="AQ16" i="4"/>
  <c r="FF16" i="4"/>
  <c r="JV16" i="4"/>
  <c r="CC16" i="4"/>
  <c r="CD16" i="4"/>
  <c r="CE16" i="4"/>
  <c r="CF16" i="4"/>
  <c r="FE16" i="4"/>
  <c r="FH16" i="4"/>
  <c r="W16" i="4"/>
  <c r="BG16" i="4"/>
  <c r="BP16" i="4"/>
  <c r="BV16" i="4"/>
  <c r="BZ16" i="4"/>
  <c r="FG16" i="4"/>
  <c r="GQ16" i="4"/>
  <c r="GS16" i="4"/>
  <c r="HG16" i="4"/>
  <c r="HI16" i="4"/>
  <c r="HJ16" i="4"/>
  <c r="JP16" i="4"/>
  <c r="CA16" i="4"/>
  <c r="FI16" i="4"/>
  <c r="HK16" i="4"/>
  <c r="KE16" i="4"/>
  <c r="U113" i="4"/>
  <c r="AK113" i="4"/>
  <c r="BA113" i="4"/>
  <c r="BQ113" i="4"/>
  <c r="CG113" i="4"/>
  <c r="CW113" i="4"/>
  <c r="DM113" i="4"/>
  <c r="EC113" i="4"/>
  <c r="ES113" i="4"/>
  <c r="FI113" i="4"/>
  <c r="FY113" i="4"/>
  <c r="GO113" i="4"/>
  <c r="T113" i="4"/>
  <c r="AL113" i="4"/>
  <c r="BC113" i="4"/>
  <c r="BT113" i="4"/>
  <c r="CK113" i="4"/>
  <c r="DB113" i="4"/>
  <c r="DS113" i="4"/>
  <c r="EJ113" i="4"/>
  <c r="FA113" i="4"/>
  <c r="FR113" i="4"/>
  <c r="GI113" i="4"/>
  <c r="GZ113" i="4"/>
  <c r="HP113" i="4"/>
  <c r="IF113" i="4"/>
  <c r="IV113" i="4"/>
  <c r="JL113" i="4"/>
  <c r="KB113" i="4"/>
  <c r="V113" i="4"/>
  <c r="AM113" i="4"/>
  <c r="BD113" i="4"/>
  <c r="BU113" i="4"/>
  <c r="CL113" i="4"/>
  <c r="DC113" i="4"/>
  <c r="DT113" i="4"/>
  <c r="EK113" i="4"/>
  <c r="FB113" i="4"/>
  <c r="FS113" i="4"/>
  <c r="GJ113" i="4"/>
  <c r="HA113" i="4"/>
  <c r="HQ113" i="4"/>
  <c r="IG113" i="4"/>
  <c r="IW113" i="4"/>
  <c r="JM113" i="4"/>
  <c r="KC113" i="4"/>
  <c r="W113" i="4"/>
  <c r="AN113" i="4"/>
  <c r="BE113" i="4"/>
  <c r="BV113" i="4"/>
  <c r="CM113" i="4"/>
  <c r="DD113" i="4"/>
  <c r="DU113" i="4"/>
  <c r="EL113" i="4"/>
  <c r="FC113" i="4"/>
  <c r="FT113" i="4"/>
  <c r="GK113" i="4"/>
  <c r="HB113" i="4"/>
  <c r="HR113" i="4"/>
  <c r="IH113" i="4"/>
  <c r="IX113" i="4"/>
  <c r="JN113" i="4"/>
  <c r="KD113" i="4"/>
  <c r="J113" i="4"/>
  <c r="AA113" i="4"/>
  <c r="AR113" i="4"/>
  <c r="BI113" i="4"/>
  <c r="BZ113" i="4"/>
  <c r="CQ113" i="4"/>
  <c r="DH113" i="4"/>
  <c r="DY113" i="4"/>
  <c r="EP113" i="4"/>
  <c r="FG113" i="4"/>
  <c r="FX113" i="4"/>
  <c r="GP113" i="4"/>
  <c r="HF113" i="4"/>
  <c r="HV113" i="4"/>
  <c r="IL113" i="4"/>
  <c r="JB113" i="4"/>
  <c r="JR113" i="4"/>
  <c r="KH113" i="4"/>
  <c r="P113" i="4"/>
  <c r="AO113" i="4"/>
  <c r="BK113" i="4"/>
  <c r="CF113" i="4"/>
  <c r="DE113" i="4"/>
  <c r="EA113" i="4"/>
  <c r="EW113" i="4"/>
  <c r="FU113" i="4"/>
  <c r="GR113" i="4"/>
  <c r="HL113" i="4"/>
  <c r="II113" i="4"/>
  <c r="JD113" i="4"/>
  <c r="JX113" i="4"/>
  <c r="Q113" i="4"/>
  <c r="AP113" i="4"/>
  <c r="BL113" i="4"/>
  <c r="CH113" i="4"/>
  <c r="DF113" i="4"/>
  <c r="EB113" i="4"/>
  <c r="EX113" i="4"/>
  <c r="FV113" i="4"/>
  <c r="GS113" i="4"/>
  <c r="HM113" i="4"/>
  <c r="IJ113" i="4"/>
  <c r="JE113" i="4"/>
  <c r="JY113" i="4"/>
  <c r="R113" i="4"/>
  <c r="AQ113" i="4"/>
  <c r="BM113" i="4"/>
  <c r="CI113" i="4"/>
  <c r="DG113" i="4"/>
  <c r="ED113" i="4"/>
  <c r="EY113" i="4"/>
  <c r="FW113" i="4"/>
  <c r="GT113" i="4"/>
  <c r="HN113" i="4"/>
  <c r="IK113" i="4"/>
  <c r="JF113" i="4"/>
  <c r="JZ113" i="4"/>
  <c r="S113" i="4"/>
  <c r="AS113" i="4"/>
  <c r="BN113" i="4"/>
  <c r="CJ113" i="4"/>
  <c r="DI113" i="4"/>
  <c r="EE113" i="4"/>
  <c r="EZ113" i="4"/>
  <c r="FZ113" i="4"/>
  <c r="GU113" i="4"/>
  <c r="HO113" i="4"/>
  <c r="IM113" i="4"/>
  <c r="JG113" i="4"/>
  <c r="KA113" i="4"/>
  <c r="X113" i="4"/>
  <c r="AT113" i="4"/>
  <c r="BO113" i="4"/>
  <c r="CN113" i="4"/>
  <c r="DJ113" i="4"/>
  <c r="EF113" i="4"/>
  <c r="FD113" i="4"/>
  <c r="GA113" i="4"/>
  <c r="GV113" i="4"/>
  <c r="HS113" i="4"/>
  <c r="IN113" i="4"/>
  <c r="JH113" i="4"/>
  <c r="KE113" i="4"/>
  <c r="Z113" i="4"/>
  <c r="AV113" i="4"/>
  <c r="BR113" i="4"/>
  <c r="CP113" i="4"/>
  <c r="DL113" i="4"/>
  <c r="EH113" i="4"/>
  <c r="FF113" i="4"/>
  <c r="GC113" i="4"/>
  <c r="GX113" i="4"/>
  <c r="HU113" i="4"/>
  <c r="IP113" i="4"/>
  <c r="JJ113" i="4"/>
  <c r="KG113" i="4"/>
  <c r="N113" i="4"/>
  <c r="AZ113" i="4"/>
  <c r="CO113" i="4"/>
  <c r="DV113" i="4"/>
  <c r="FJ113" i="4"/>
  <c r="GN113" i="4"/>
  <c r="HZ113" i="4"/>
  <c r="JI113" i="4"/>
  <c r="O113" i="4"/>
  <c r="BB113" i="4"/>
  <c r="CR113" i="4"/>
  <c r="DW113" i="4"/>
  <c r="FK113" i="4"/>
  <c r="GQ113" i="4"/>
  <c r="IA113" i="4"/>
  <c r="JK113" i="4"/>
  <c r="Y113" i="4"/>
  <c r="BF113" i="4"/>
  <c r="CS113" i="4"/>
  <c r="DX113" i="4"/>
  <c r="FL113" i="4"/>
  <c r="GW113" i="4"/>
  <c r="IB113" i="4"/>
  <c r="JO113" i="4"/>
  <c r="AB113" i="4"/>
  <c r="BG113" i="4"/>
  <c r="CT113" i="4"/>
  <c r="DZ113" i="4"/>
  <c r="FM113" i="4"/>
  <c r="GY113" i="4"/>
  <c r="IC113" i="4"/>
  <c r="JP113" i="4"/>
  <c r="AC113" i="4"/>
  <c r="BH113" i="4"/>
  <c r="CU113" i="4"/>
  <c r="EG113" i="4"/>
  <c r="FN113" i="4"/>
  <c r="HC113" i="4"/>
  <c r="ID113" i="4"/>
  <c r="JQ113" i="4"/>
  <c r="AE113" i="4"/>
  <c r="BP113" i="4"/>
  <c r="CX113" i="4"/>
  <c r="EM113" i="4"/>
  <c r="FP113" i="4"/>
  <c r="HE113" i="4"/>
  <c r="IO113" i="4"/>
  <c r="JT113" i="4"/>
  <c r="AX113" i="4"/>
  <c r="DK113" i="4"/>
  <c r="FO113" i="4"/>
  <c r="HT113" i="4"/>
  <c r="JV113" i="4"/>
  <c r="AY113" i="4"/>
  <c r="DN113" i="4"/>
  <c r="FQ113" i="4"/>
  <c r="HW113" i="4"/>
  <c r="JW113" i="4"/>
  <c r="BJ113" i="4"/>
  <c r="DO113" i="4"/>
  <c r="GB113" i="4"/>
  <c r="HX113" i="4"/>
  <c r="KF113" i="4"/>
  <c r="BS113" i="4"/>
  <c r="DP113" i="4"/>
  <c r="GD113" i="4"/>
  <c r="HY113" i="4"/>
  <c r="KI113" i="4"/>
  <c r="I113" i="4"/>
  <c r="BW113" i="4"/>
  <c r="DQ113" i="4"/>
  <c r="GE113" i="4"/>
  <c r="IE113" i="4"/>
  <c r="L113" i="4"/>
  <c r="BY113" i="4"/>
  <c r="EI113" i="4"/>
  <c r="GG113" i="4"/>
  <c r="IR113" i="4"/>
  <c r="AI113" i="4"/>
  <c r="EO113" i="4"/>
  <c r="HJ113" i="4"/>
  <c r="AJ113" i="4"/>
  <c r="EQ113" i="4"/>
  <c r="HK113" i="4"/>
  <c r="AU113" i="4"/>
  <c r="ER113" i="4"/>
  <c r="IQ113" i="4"/>
  <c r="AW113" i="4"/>
  <c r="ET113" i="4"/>
  <c r="IS113" i="4"/>
  <c r="BX113" i="4"/>
  <c r="EU113" i="4"/>
  <c r="IT113" i="4"/>
  <c r="CB113" i="4"/>
  <c r="FE113" i="4"/>
  <c r="IY113" i="4"/>
  <c r="CA113" i="4"/>
  <c r="HD113" i="4"/>
  <c r="CC113" i="4"/>
  <c r="HG113" i="4"/>
  <c r="CD113" i="4"/>
  <c r="HH113" i="4"/>
  <c r="CE113" i="4"/>
  <c r="HI113" i="4"/>
  <c r="CV113" i="4"/>
  <c r="IU113" i="4"/>
  <c r="CZ113" i="4"/>
  <c r="JA113" i="4"/>
  <c r="AG113" i="4"/>
  <c r="AH113" i="4"/>
  <c r="CY113" i="4"/>
  <c r="DA113" i="4"/>
  <c r="DR113" i="4"/>
  <c r="GL113" i="4"/>
  <c r="AD113" i="4"/>
  <c r="AF113" i="4"/>
  <c r="EN113" i="4"/>
  <c r="EV113" i="4"/>
  <c r="FH113" i="4"/>
  <c r="JS113" i="4"/>
  <c r="GF113" i="4"/>
  <c r="JC113" i="4"/>
  <c r="JU113" i="4"/>
  <c r="GM113" i="4"/>
  <c r="IZ113" i="4"/>
  <c r="M113" i="4"/>
  <c r="GH113" i="4"/>
  <c r="K113" i="4"/>
  <c r="P33" i="4"/>
  <c r="AF33" i="4"/>
  <c r="AV33" i="4"/>
  <c r="BL33" i="4"/>
  <c r="CB33" i="4"/>
  <c r="CR33" i="4"/>
  <c r="DH33" i="4"/>
  <c r="DX33" i="4"/>
  <c r="EN33" i="4"/>
  <c r="FD33" i="4"/>
  <c r="FT33" i="4"/>
  <c r="GJ33" i="4"/>
  <c r="GZ33" i="4"/>
  <c r="HP33" i="4"/>
  <c r="IF33" i="4"/>
  <c r="IV33" i="4"/>
  <c r="JL33" i="4"/>
  <c r="KB33" i="4"/>
  <c r="Q33" i="4"/>
  <c r="AH33" i="4"/>
  <c r="AY33" i="4"/>
  <c r="BP33" i="4"/>
  <c r="CG33" i="4"/>
  <c r="CX33" i="4"/>
  <c r="DO33" i="4"/>
  <c r="EF33" i="4"/>
  <c r="EW33" i="4"/>
  <c r="FN33" i="4"/>
  <c r="GE33" i="4"/>
  <c r="GV33" i="4"/>
  <c r="HM33" i="4"/>
  <c r="ID33" i="4"/>
  <c r="IU33" i="4"/>
  <c r="JM33" i="4"/>
  <c r="KD33" i="4"/>
  <c r="R33" i="4"/>
  <c r="AI33" i="4"/>
  <c r="AZ33" i="4"/>
  <c r="BQ33" i="4"/>
  <c r="CH33" i="4"/>
  <c r="CY33" i="4"/>
  <c r="DP33" i="4"/>
  <c r="EG33" i="4"/>
  <c r="EX33" i="4"/>
  <c r="FO33" i="4"/>
  <c r="GF33" i="4"/>
  <c r="GW33" i="4"/>
  <c r="HN33" i="4"/>
  <c r="IE33" i="4"/>
  <c r="IW33" i="4"/>
  <c r="JN33" i="4"/>
  <c r="KE33" i="4"/>
  <c r="S33" i="4"/>
  <c r="AJ33" i="4"/>
  <c r="BA33" i="4"/>
  <c r="BR33" i="4"/>
  <c r="CI33" i="4"/>
  <c r="CZ33" i="4"/>
  <c r="DQ33" i="4"/>
  <c r="EH33" i="4"/>
  <c r="EY33" i="4"/>
  <c r="FP33" i="4"/>
  <c r="GG33" i="4"/>
  <c r="GX33" i="4"/>
  <c r="HO33" i="4"/>
  <c r="IG33" i="4"/>
  <c r="IX33" i="4"/>
  <c r="JO33" i="4"/>
  <c r="KF33" i="4"/>
  <c r="W33" i="4"/>
  <c r="AN33" i="4"/>
  <c r="BE33" i="4"/>
  <c r="BV33" i="4"/>
  <c r="CM33" i="4"/>
  <c r="DD33" i="4"/>
  <c r="DU33" i="4"/>
  <c r="EL33" i="4"/>
  <c r="FC33" i="4"/>
  <c r="FU33" i="4"/>
  <c r="GL33" i="4"/>
  <c r="HC33" i="4"/>
  <c r="HT33" i="4"/>
  <c r="IK33" i="4"/>
  <c r="JB33" i="4"/>
  <c r="JS33" i="4"/>
  <c r="AB33" i="4"/>
  <c r="AX33" i="4"/>
  <c r="BW33" i="4"/>
  <c r="CS33" i="4"/>
  <c r="DN33" i="4"/>
  <c r="EM33" i="4"/>
  <c r="FI33" i="4"/>
  <c r="GD33" i="4"/>
  <c r="HD33" i="4"/>
  <c r="HY33" i="4"/>
  <c r="IT33" i="4"/>
  <c r="JT33" i="4"/>
  <c r="AC33" i="4"/>
  <c r="BB33" i="4"/>
  <c r="BX33" i="4"/>
  <c r="CT33" i="4"/>
  <c r="DR33" i="4"/>
  <c r="EO33" i="4"/>
  <c r="FJ33" i="4"/>
  <c r="GH33" i="4"/>
  <c r="HE33" i="4"/>
  <c r="HZ33" i="4"/>
  <c r="IY33" i="4"/>
  <c r="JU33" i="4"/>
  <c r="I33" i="4"/>
  <c r="AD33" i="4"/>
  <c r="BC33" i="4"/>
  <c r="BY33" i="4"/>
  <c r="CU33" i="4"/>
  <c r="DS33" i="4"/>
  <c r="EP33" i="4"/>
  <c r="FK33" i="4"/>
  <c r="GI33" i="4"/>
  <c r="HF33" i="4"/>
  <c r="IA33" i="4"/>
  <c r="IZ33" i="4"/>
  <c r="JV33" i="4"/>
  <c r="J33" i="4"/>
  <c r="AE33" i="4"/>
  <c r="BD33" i="4"/>
  <c r="BZ33" i="4"/>
  <c r="CV33" i="4"/>
  <c r="DT33" i="4"/>
  <c r="EQ33" i="4"/>
  <c r="FL33" i="4"/>
  <c r="GK33" i="4"/>
  <c r="HG33" i="4"/>
  <c r="IB33" i="4"/>
  <c r="JA33" i="4"/>
  <c r="JW33" i="4"/>
  <c r="K33" i="4"/>
  <c r="AG33" i="4"/>
  <c r="BF33" i="4"/>
  <c r="CA33" i="4"/>
  <c r="CW33" i="4"/>
  <c r="DV33" i="4"/>
  <c r="ER33" i="4"/>
  <c r="FM33" i="4"/>
  <c r="GM33" i="4"/>
  <c r="HH33" i="4"/>
  <c r="IC33" i="4"/>
  <c r="JC33" i="4"/>
  <c r="JX33" i="4"/>
  <c r="M33" i="4"/>
  <c r="AL33" i="4"/>
  <c r="BH33" i="4"/>
  <c r="CD33" i="4"/>
  <c r="DB33" i="4"/>
  <c r="DY33" i="4"/>
  <c r="ET33" i="4"/>
  <c r="FR33" i="4"/>
  <c r="GO33" i="4"/>
  <c r="HJ33" i="4"/>
  <c r="II33" i="4"/>
  <c r="JE33" i="4"/>
  <c r="JZ33" i="4"/>
  <c r="AQ33" i="4"/>
  <c r="CC33" i="4"/>
  <c r="DJ33" i="4"/>
  <c r="EV33" i="4"/>
  <c r="GB33" i="4"/>
  <c r="HR33" i="4"/>
  <c r="JD33" i="4"/>
  <c r="AR33" i="4"/>
  <c r="CE33" i="4"/>
  <c r="DK33" i="4"/>
  <c r="EZ33" i="4"/>
  <c r="GC33" i="4"/>
  <c r="HS33" i="4"/>
  <c r="JF33" i="4"/>
  <c r="L33" i="4"/>
  <c r="AS33" i="4"/>
  <c r="CF33" i="4"/>
  <c r="DL33" i="4"/>
  <c r="FA33" i="4"/>
  <c r="GN33" i="4"/>
  <c r="HU33" i="4"/>
  <c r="JG33" i="4"/>
  <c r="N33" i="4"/>
  <c r="AT33" i="4"/>
  <c r="CJ33" i="4"/>
  <c r="DM33" i="4"/>
  <c r="FB33" i="4"/>
  <c r="GP33" i="4"/>
  <c r="HV33" i="4"/>
  <c r="JH33" i="4"/>
  <c r="O33" i="4"/>
  <c r="AU33" i="4"/>
  <c r="CK33" i="4"/>
  <c r="DW33" i="4"/>
  <c r="FE33" i="4"/>
  <c r="GQ33" i="4"/>
  <c r="HW33" i="4"/>
  <c r="JI33" i="4"/>
  <c r="U33" i="4"/>
  <c r="BG33" i="4"/>
  <c r="CN33" i="4"/>
  <c r="EA33" i="4"/>
  <c r="FG33" i="4"/>
  <c r="GS33" i="4"/>
  <c r="IH33" i="4"/>
  <c r="JK33" i="4"/>
  <c r="BJ33" i="4"/>
  <c r="DG33" i="4"/>
  <c r="FV33" i="4"/>
  <c r="HX33" i="4"/>
  <c r="KC33" i="4"/>
  <c r="BK33" i="4"/>
  <c r="DI33" i="4"/>
  <c r="FW33" i="4"/>
  <c r="IJ33" i="4"/>
  <c r="KG33" i="4"/>
  <c r="BM33" i="4"/>
  <c r="DZ33" i="4"/>
  <c r="FX33" i="4"/>
  <c r="IL33" i="4"/>
  <c r="KH33" i="4"/>
  <c r="BN33" i="4"/>
  <c r="EB33" i="4"/>
  <c r="FY33" i="4"/>
  <c r="IM33" i="4"/>
  <c r="KI33" i="4"/>
  <c r="T33" i="4"/>
  <c r="BO33" i="4"/>
  <c r="EC33" i="4"/>
  <c r="FZ33" i="4"/>
  <c r="IN33" i="4"/>
  <c r="X33" i="4"/>
  <c r="BT33" i="4"/>
  <c r="EE33" i="4"/>
  <c r="GR33" i="4"/>
  <c r="IP33" i="4"/>
  <c r="BS33" i="4"/>
  <c r="FF33" i="4"/>
  <c r="IR33" i="4"/>
  <c r="BU33" i="4"/>
  <c r="FH33" i="4"/>
  <c r="IS33" i="4"/>
  <c r="CL33" i="4"/>
  <c r="FQ33" i="4"/>
  <c r="JJ33" i="4"/>
  <c r="CO33" i="4"/>
  <c r="FS33" i="4"/>
  <c r="JP33" i="4"/>
  <c r="CP33" i="4"/>
  <c r="GA33" i="4"/>
  <c r="JQ33" i="4"/>
  <c r="V33" i="4"/>
  <c r="DA33" i="4"/>
  <c r="GU33" i="4"/>
  <c r="JY33" i="4"/>
  <c r="ED33" i="4"/>
  <c r="JR33" i="4"/>
  <c r="EI33" i="4"/>
  <c r="KA33" i="4"/>
  <c r="EJ33" i="4"/>
  <c r="Y33" i="4"/>
  <c r="EK33" i="4"/>
  <c r="Z33" i="4"/>
  <c r="ES33" i="4"/>
  <c r="AK33" i="4"/>
  <c r="GT33" i="4"/>
  <c r="AO33" i="4"/>
  <c r="IO33" i="4"/>
  <c r="AP33" i="4"/>
  <c r="IQ33" i="4"/>
  <c r="AW33" i="4"/>
  <c r="BI33" i="4"/>
  <c r="CQ33" i="4"/>
  <c r="DE33" i="4"/>
  <c r="EU33" i="4"/>
  <c r="GY33" i="4"/>
  <c r="HA33" i="4"/>
  <c r="HB33" i="4"/>
  <c r="HI33" i="4"/>
  <c r="HL33" i="4"/>
  <c r="AA33" i="4"/>
  <c r="DC33" i="4"/>
  <c r="AM33" i="4"/>
  <c r="HK33" i="4"/>
  <c r="DF33" i="4"/>
  <c r="HQ33" i="4"/>
  <c r="T8" i="4"/>
  <c r="AJ8" i="4"/>
  <c r="AZ8" i="4"/>
  <c r="BP8" i="4"/>
  <c r="CF8" i="4"/>
  <c r="CV8" i="4"/>
  <c r="DL8" i="4"/>
  <c r="EB8" i="4"/>
  <c r="ER8" i="4"/>
  <c r="FH8" i="4"/>
  <c r="FX8" i="4"/>
  <c r="GN8" i="4"/>
  <c r="HD8" i="4"/>
  <c r="HT8" i="4"/>
  <c r="IJ8" i="4"/>
  <c r="IZ8" i="4"/>
  <c r="JP8" i="4"/>
  <c r="KF8" i="4"/>
  <c r="U8" i="4"/>
  <c r="AK8" i="4"/>
  <c r="BA8" i="4"/>
  <c r="BQ8" i="4"/>
  <c r="CG8" i="4"/>
  <c r="CW8" i="4"/>
  <c r="DM8" i="4"/>
  <c r="EC8" i="4"/>
  <c r="ES8" i="4"/>
  <c r="FI8" i="4"/>
  <c r="FY8" i="4"/>
  <c r="GO8" i="4"/>
  <c r="HE8" i="4"/>
  <c r="HU8" i="4"/>
  <c r="IK8" i="4"/>
  <c r="JA8" i="4"/>
  <c r="JQ8" i="4"/>
  <c r="KG8" i="4"/>
  <c r="V8" i="4"/>
  <c r="AL8" i="4"/>
  <c r="BB8" i="4"/>
  <c r="BR8" i="4"/>
  <c r="CH8" i="4"/>
  <c r="CX8" i="4"/>
  <c r="DN8" i="4"/>
  <c r="ED8" i="4"/>
  <c r="ET8" i="4"/>
  <c r="FJ8" i="4"/>
  <c r="FZ8" i="4"/>
  <c r="GP8" i="4"/>
  <c r="HF8" i="4"/>
  <c r="HV8" i="4"/>
  <c r="IL8" i="4"/>
  <c r="JB8" i="4"/>
  <c r="JR8" i="4"/>
  <c r="KH8" i="4"/>
  <c r="W8" i="4"/>
  <c r="AM8" i="4"/>
  <c r="BC8" i="4"/>
  <c r="BS8" i="4"/>
  <c r="CI8" i="4"/>
  <c r="CY8" i="4"/>
  <c r="DO8" i="4"/>
  <c r="EE8" i="4"/>
  <c r="EU8" i="4"/>
  <c r="FK8" i="4"/>
  <c r="GA8" i="4"/>
  <c r="GQ8" i="4"/>
  <c r="HG8" i="4"/>
  <c r="HW8" i="4"/>
  <c r="IM8" i="4"/>
  <c r="JC8" i="4"/>
  <c r="JS8" i="4"/>
  <c r="KI8" i="4"/>
  <c r="X8" i="4"/>
  <c r="AN8" i="4"/>
  <c r="BD8" i="4"/>
  <c r="BT8" i="4"/>
  <c r="CJ8" i="4"/>
  <c r="CZ8" i="4"/>
  <c r="DP8" i="4"/>
  <c r="EF8" i="4"/>
  <c r="EV8" i="4"/>
  <c r="FL8" i="4"/>
  <c r="GB8" i="4"/>
  <c r="GR8" i="4"/>
  <c r="HH8" i="4"/>
  <c r="HX8" i="4"/>
  <c r="IN8" i="4"/>
  <c r="JD8" i="4"/>
  <c r="JT8" i="4"/>
  <c r="R8" i="4"/>
  <c r="AR8" i="4"/>
  <c r="BM8" i="4"/>
  <c r="CM8" i="4"/>
  <c r="DH8" i="4"/>
  <c r="EH8" i="4"/>
  <c r="FC8" i="4"/>
  <c r="GC8" i="4"/>
  <c r="GX8" i="4"/>
  <c r="HS8" i="4"/>
  <c r="IS8" i="4"/>
  <c r="JN8" i="4"/>
  <c r="S8" i="4"/>
  <c r="AS8" i="4"/>
  <c r="BN8" i="4"/>
  <c r="CN8" i="4"/>
  <c r="DI8" i="4"/>
  <c r="EI8" i="4"/>
  <c r="FD8" i="4"/>
  <c r="GD8" i="4"/>
  <c r="GY8" i="4"/>
  <c r="HY8" i="4"/>
  <c r="IT8" i="4"/>
  <c r="JO8" i="4"/>
  <c r="Y8" i="4"/>
  <c r="AT8" i="4"/>
  <c r="BO8" i="4"/>
  <c r="CO8" i="4"/>
  <c r="DJ8" i="4"/>
  <c r="EJ8" i="4"/>
  <c r="FE8" i="4"/>
  <c r="GE8" i="4"/>
  <c r="GZ8" i="4"/>
  <c r="HZ8" i="4"/>
  <c r="IU8" i="4"/>
  <c r="JU8" i="4"/>
  <c r="Z8" i="4"/>
  <c r="AU8" i="4"/>
  <c r="BU8" i="4"/>
  <c r="CP8" i="4"/>
  <c r="DK8" i="4"/>
  <c r="EK8" i="4"/>
  <c r="FF8" i="4"/>
  <c r="GF8" i="4"/>
  <c r="HA8" i="4"/>
  <c r="IA8" i="4"/>
  <c r="IV8" i="4"/>
  <c r="JV8" i="4"/>
  <c r="AA8" i="4"/>
  <c r="AV8" i="4"/>
  <c r="BV8" i="4"/>
  <c r="CQ8" i="4"/>
  <c r="DQ8" i="4"/>
  <c r="EL8" i="4"/>
  <c r="FG8" i="4"/>
  <c r="GG8" i="4"/>
  <c r="HB8" i="4"/>
  <c r="IB8" i="4"/>
  <c r="IW8" i="4"/>
  <c r="JW8" i="4"/>
  <c r="AC8" i="4"/>
  <c r="AX8" i="4"/>
  <c r="BX8" i="4"/>
  <c r="CS8" i="4"/>
  <c r="DS8" i="4"/>
  <c r="EN8" i="4"/>
  <c r="FN8" i="4"/>
  <c r="GI8" i="4"/>
  <c r="HI8" i="4"/>
  <c r="ID8" i="4"/>
  <c r="IY8" i="4"/>
  <c r="JY8" i="4"/>
  <c r="L8" i="4"/>
  <c r="AW8" i="4"/>
  <c r="CD8" i="4"/>
  <c r="DU8" i="4"/>
  <c r="FA8" i="4"/>
  <c r="GM8" i="4"/>
  <c r="IC8" i="4"/>
  <c r="JJ8" i="4"/>
  <c r="M8" i="4"/>
  <c r="AY8" i="4"/>
  <c r="CE8" i="4"/>
  <c r="DV8" i="4"/>
  <c r="FB8" i="4"/>
  <c r="GS8" i="4"/>
  <c r="IE8" i="4"/>
  <c r="JK8" i="4"/>
  <c r="N8" i="4"/>
  <c r="BE8" i="4"/>
  <c r="CK8" i="4"/>
  <c r="DW8" i="4"/>
  <c r="FM8" i="4"/>
  <c r="GT8" i="4"/>
  <c r="IF8" i="4"/>
  <c r="JL8" i="4"/>
  <c r="O8" i="4"/>
  <c r="BF8" i="4"/>
  <c r="CL8" i="4"/>
  <c r="DX8" i="4"/>
  <c r="FO8" i="4"/>
  <c r="GU8" i="4"/>
  <c r="IG8" i="4"/>
  <c r="JM8" i="4"/>
  <c r="P8" i="4"/>
  <c r="BG8" i="4"/>
  <c r="CR8" i="4"/>
  <c r="DY8" i="4"/>
  <c r="FP8" i="4"/>
  <c r="GV8" i="4"/>
  <c r="IH8" i="4"/>
  <c r="JX8" i="4"/>
  <c r="AB8" i="4"/>
  <c r="BI8" i="4"/>
  <c r="CU8" i="4"/>
  <c r="EA8" i="4"/>
  <c r="FR8" i="4"/>
  <c r="HC8" i="4"/>
  <c r="IO8" i="4"/>
  <c r="KA8" i="4"/>
  <c r="AG8" i="4"/>
  <c r="CT8" i="4"/>
  <c r="EW8" i="4"/>
  <c r="HK8" i="4"/>
  <c r="JH8" i="4"/>
  <c r="AH8" i="4"/>
  <c r="DA8" i="4"/>
  <c r="EX8" i="4"/>
  <c r="HL8" i="4"/>
  <c r="JI8" i="4"/>
  <c r="AI8" i="4"/>
  <c r="DB8" i="4"/>
  <c r="EY8" i="4"/>
  <c r="HM8" i="4"/>
  <c r="JZ8" i="4"/>
  <c r="AO8" i="4"/>
  <c r="DC8" i="4"/>
  <c r="EZ8" i="4"/>
  <c r="HN8" i="4"/>
  <c r="KB8" i="4"/>
  <c r="AP8" i="4"/>
  <c r="DD8" i="4"/>
  <c r="FQ8" i="4"/>
  <c r="HO8" i="4"/>
  <c r="KC8" i="4"/>
  <c r="BH8" i="4"/>
  <c r="DF8" i="4"/>
  <c r="FT8" i="4"/>
  <c r="HQ8" i="4"/>
  <c r="KE8" i="4"/>
  <c r="CB8" i="4"/>
  <c r="GH8" i="4"/>
  <c r="KD8" i="4"/>
  <c r="I8" i="4"/>
  <c r="CC8" i="4"/>
  <c r="GJ8" i="4"/>
  <c r="J8" i="4"/>
  <c r="DE8" i="4"/>
  <c r="GK8" i="4"/>
  <c r="K8" i="4"/>
  <c r="DG8" i="4"/>
  <c r="GL8" i="4"/>
  <c r="Q8" i="4"/>
  <c r="DR8" i="4"/>
  <c r="GW8" i="4"/>
  <c r="AE8" i="4"/>
  <c r="DZ8" i="4"/>
  <c r="HP8" i="4"/>
  <c r="BZ8" i="4"/>
  <c r="IQ8" i="4"/>
  <c r="CA8" i="4"/>
  <c r="IR8" i="4"/>
  <c r="DT8" i="4"/>
  <c r="IX8" i="4"/>
  <c r="EG8" i="4"/>
  <c r="JE8" i="4"/>
  <c r="EM8" i="4"/>
  <c r="JF8" i="4"/>
  <c r="EP8" i="4"/>
  <c r="HJ8" i="4"/>
  <c r="HR8" i="4"/>
  <c r="AD8" i="4"/>
  <c r="II8" i="4"/>
  <c r="AF8" i="4"/>
  <c r="IP8" i="4"/>
  <c r="AQ8" i="4"/>
  <c r="JG8" i="4"/>
  <c r="BK8" i="4"/>
  <c r="FV8" i="4"/>
  <c r="FW8" i="4"/>
  <c r="FS8" i="4"/>
  <c r="FU8" i="4"/>
  <c r="EO8" i="4"/>
  <c r="EQ8" i="4"/>
  <c r="BW8" i="4"/>
  <c r="BY8" i="4"/>
  <c r="BJ8" i="4"/>
  <c r="BL8" i="4"/>
  <c r="L143" i="4"/>
  <c r="AB143" i="4"/>
  <c r="AR143" i="4"/>
  <c r="BH143" i="4"/>
  <c r="BX143" i="4"/>
  <c r="CN143" i="4"/>
  <c r="DD143" i="4"/>
  <c r="DT143" i="4"/>
  <c r="EJ143" i="4"/>
  <c r="EZ143" i="4"/>
  <c r="FP143" i="4"/>
  <c r="GF143" i="4"/>
  <c r="GV143" i="4"/>
  <c r="HL143" i="4"/>
  <c r="IB143" i="4"/>
  <c r="IR143" i="4"/>
  <c r="JH143" i="4"/>
  <c r="JX143" i="4"/>
  <c r="M143" i="4"/>
  <c r="AC143" i="4"/>
  <c r="AS143" i="4"/>
  <c r="BI143" i="4"/>
  <c r="BY143" i="4"/>
  <c r="CO143" i="4"/>
  <c r="DE143" i="4"/>
  <c r="DU143" i="4"/>
  <c r="EK143" i="4"/>
  <c r="FA143" i="4"/>
  <c r="FQ143" i="4"/>
  <c r="GG143" i="4"/>
  <c r="GW143" i="4"/>
  <c r="HM143" i="4"/>
  <c r="IC143" i="4"/>
  <c r="IS143" i="4"/>
  <c r="JI143" i="4"/>
  <c r="JY143" i="4"/>
  <c r="N143" i="4"/>
  <c r="AD143" i="4"/>
  <c r="AT143" i="4"/>
  <c r="BJ143" i="4"/>
  <c r="BZ143" i="4"/>
  <c r="CP143" i="4"/>
  <c r="DF143" i="4"/>
  <c r="DV143" i="4"/>
  <c r="EL143" i="4"/>
  <c r="FB143" i="4"/>
  <c r="FR143" i="4"/>
  <c r="GH143" i="4"/>
  <c r="GX143" i="4"/>
  <c r="HN143" i="4"/>
  <c r="ID143" i="4"/>
  <c r="IT143" i="4"/>
  <c r="JJ143" i="4"/>
  <c r="JZ143" i="4"/>
  <c r="R143" i="4"/>
  <c r="AH143" i="4"/>
  <c r="AX143" i="4"/>
  <c r="BN143" i="4"/>
  <c r="CD143" i="4"/>
  <c r="CT143" i="4"/>
  <c r="DJ143" i="4"/>
  <c r="DZ143" i="4"/>
  <c r="EP143" i="4"/>
  <c r="FF143" i="4"/>
  <c r="FV143" i="4"/>
  <c r="GL143" i="4"/>
  <c r="HB143" i="4"/>
  <c r="HR143" i="4"/>
  <c r="IH143" i="4"/>
  <c r="IX143" i="4"/>
  <c r="JN143" i="4"/>
  <c r="KD143" i="4"/>
  <c r="Z143" i="4"/>
  <c r="AW143" i="4"/>
  <c r="BR143" i="4"/>
  <c r="CL143" i="4"/>
  <c r="DI143" i="4"/>
  <c r="ED143" i="4"/>
  <c r="EX143" i="4"/>
  <c r="FU143" i="4"/>
  <c r="GP143" i="4"/>
  <c r="HJ143" i="4"/>
  <c r="IG143" i="4"/>
  <c r="JB143" i="4"/>
  <c r="JV143" i="4"/>
  <c r="AA143" i="4"/>
  <c r="AY143" i="4"/>
  <c r="BS143" i="4"/>
  <c r="CM143" i="4"/>
  <c r="DK143" i="4"/>
  <c r="EE143" i="4"/>
  <c r="EY143" i="4"/>
  <c r="FW143" i="4"/>
  <c r="GQ143" i="4"/>
  <c r="HK143" i="4"/>
  <c r="II143" i="4"/>
  <c r="JC143" i="4"/>
  <c r="JW143" i="4"/>
  <c r="AE143" i="4"/>
  <c r="AZ143" i="4"/>
  <c r="BT143" i="4"/>
  <c r="CQ143" i="4"/>
  <c r="DL143" i="4"/>
  <c r="EF143" i="4"/>
  <c r="FC143" i="4"/>
  <c r="FX143" i="4"/>
  <c r="GR143" i="4"/>
  <c r="HO143" i="4"/>
  <c r="IJ143" i="4"/>
  <c r="JD143" i="4"/>
  <c r="KA143" i="4"/>
  <c r="I143" i="4"/>
  <c r="AF143" i="4"/>
  <c r="BA143" i="4"/>
  <c r="BU143" i="4"/>
  <c r="CR143" i="4"/>
  <c r="DM143" i="4"/>
  <c r="EG143" i="4"/>
  <c r="FD143" i="4"/>
  <c r="FY143" i="4"/>
  <c r="GS143" i="4"/>
  <c r="HP143" i="4"/>
  <c r="IK143" i="4"/>
  <c r="JE143" i="4"/>
  <c r="KB143" i="4"/>
  <c r="J143" i="4"/>
  <c r="AG143" i="4"/>
  <c r="BB143" i="4"/>
  <c r="BV143" i="4"/>
  <c r="CS143" i="4"/>
  <c r="DN143" i="4"/>
  <c r="EH143" i="4"/>
  <c r="FE143" i="4"/>
  <c r="FZ143" i="4"/>
  <c r="GT143" i="4"/>
  <c r="HQ143" i="4"/>
  <c r="IL143" i="4"/>
  <c r="JF143" i="4"/>
  <c r="KC143" i="4"/>
  <c r="O143" i="4"/>
  <c r="AJ143" i="4"/>
  <c r="BD143" i="4"/>
  <c r="CA143" i="4"/>
  <c r="CV143" i="4"/>
  <c r="DP143" i="4"/>
  <c r="EM143" i="4"/>
  <c r="FH143" i="4"/>
  <c r="GB143" i="4"/>
  <c r="GY143" i="4"/>
  <c r="HT143" i="4"/>
  <c r="IN143" i="4"/>
  <c r="JK143" i="4"/>
  <c r="KF143" i="4"/>
  <c r="K143" i="4"/>
  <c r="AP143" i="4"/>
  <c r="CC143" i="4"/>
  <c r="DG143" i="4"/>
  <c r="ER143" i="4"/>
  <c r="GA143" i="4"/>
  <c r="HF143" i="4"/>
  <c r="IP143" i="4"/>
  <c r="JT143" i="4"/>
  <c r="P143" i="4"/>
  <c r="AQ143" i="4"/>
  <c r="CE143" i="4"/>
  <c r="DH143" i="4"/>
  <c r="ES143" i="4"/>
  <c r="GC143" i="4"/>
  <c r="HG143" i="4"/>
  <c r="IQ143" i="4"/>
  <c r="JU143" i="4"/>
  <c r="Q143" i="4"/>
  <c r="AU143" i="4"/>
  <c r="CF143" i="4"/>
  <c r="DO143" i="4"/>
  <c r="ET143" i="4"/>
  <c r="GD143" i="4"/>
  <c r="HH143" i="4"/>
  <c r="IU143" i="4"/>
  <c r="KE143" i="4"/>
  <c r="S143" i="4"/>
  <c r="AV143" i="4"/>
  <c r="CG143" i="4"/>
  <c r="DQ143" i="4"/>
  <c r="EU143" i="4"/>
  <c r="GE143" i="4"/>
  <c r="HI143" i="4"/>
  <c r="IV143" i="4"/>
  <c r="KG143" i="4"/>
  <c r="T143" i="4"/>
  <c r="BC143" i="4"/>
  <c r="CH143" i="4"/>
  <c r="DR143" i="4"/>
  <c r="EV143" i="4"/>
  <c r="GI143" i="4"/>
  <c r="HS143" i="4"/>
  <c r="IW143" i="4"/>
  <c r="KH143" i="4"/>
  <c r="V143" i="4"/>
  <c r="BF143" i="4"/>
  <c r="CJ143" i="4"/>
  <c r="DW143" i="4"/>
  <c r="FG143" i="4"/>
  <c r="GK143" i="4"/>
  <c r="HV143" i="4"/>
  <c r="IZ143" i="4"/>
  <c r="BE143" i="4"/>
  <c r="CZ143" i="4"/>
  <c r="FJ143" i="4"/>
  <c r="HD143" i="4"/>
  <c r="JM143" i="4"/>
  <c r="BG143" i="4"/>
  <c r="DA143" i="4"/>
  <c r="FK143" i="4"/>
  <c r="HE143" i="4"/>
  <c r="JO143" i="4"/>
  <c r="BK143" i="4"/>
  <c r="DB143" i="4"/>
  <c r="FL143" i="4"/>
  <c r="HU143" i="4"/>
  <c r="JP143" i="4"/>
  <c r="BL143" i="4"/>
  <c r="DC143" i="4"/>
  <c r="FM143" i="4"/>
  <c r="HW143" i="4"/>
  <c r="JQ143" i="4"/>
  <c r="BM143" i="4"/>
  <c r="DS143" i="4"/>
  <c r="FN143" i="4"/>
  <c r="HX143" i="4"/>
  <c r="JR143" i="4"/>
  <c r="U143" i="4"/>
  <c r="BP143" i="4"/>
  <c r="DY143" i="4"/>
  <c r="FS143" i="4"/>
  <c r="HZ143" i="4"/>
  <c r="KI143" i="4"/>
  <c r="X143" i="4"/>
  <c r="CX143" i="4"/>
  <c r="GN143" i="4"/>
  <c r="JS143" i="4"/>
  <c r="Y143" i="4"/>
  <c r="CY143" i="4"/>
  <c r="GO143" i="4"/>
  <c r="AI143" i="4"/>
  <c r="DX143" i="4"/>
  <c r="GU143" i="4"/>
  <c r="AK143" i="4"/>
  <c r="EA143" i="4"/>
  <c r="GZ143" i="4"/>
  <c r="AL143" i="4"/>
  <c r="EB143" i="4"/>
  <c r="HA143" i="4"/>
  <c r="AN143" i="4"/>
  <c r="EI143" i="4"/>
  <c r="HY143" i="4"/>
  <c r="EO143" i="4"/>
  <c r="JG143" i="4"/>
  <c r="EQ143" i="4"/>
  <c r="JL143" i="4"/>
  <c r="EW143" i="4"/>
  <c r="W143" i="4"/>
  <c r="FI143" i="4"/>
  <c r="AM143" i="4"/>
  <c r="FO143" i="4"/>
  <c r="HC143" i="4"/>
  <c r="IA143" i="4"/>
  <c r="AO143" i="4"/>
  <c r="IE143" i="4"/>
  <c r="BO143" i="4"/>
  <c r="IF143" i="4"/>
  <c r="BQ143" i="4"/>
  <c r="IM143" i="4"/>
  <c r="CW143" i="4"/>
  <c r="BW143" i="4"/>
  <c r="CB143" i="4"/>
  <c r="CI143" i="4"/>
  <c r="CK143" i="4"/>
  <c r="EC143" i="4"/>
  <c r="IO143" i="4"/>
  <c r="CU143" i="4"/>
  <c r="EN143" i="4"/>
  <c r="FT143" i="4"/>
  <c r="GJ143" i="4"/>
  <c r="GM143" i="4"/>
  <c r="IY143" i="4"/>
  <c r="JA143" i="4"/>
  <c r="M79" i="4"/>
  <c r="AC79" i="4"/>
  <c r="AS79" i="4"/>
  <c r="BI79" i="4"/>
  <c r="BY79" i="4"/>
  <c r="CO79" i="4"/>
  <c r="DE79" i="4"/>
  <c r="DU79" i="4"/>
  <c r="EK79" i="4"/>
  <c r="FA79" i="4"/>
  <c r="FQ79" i="4"/>
  <c r="GG79" i="4"/>
  <c r="GW79" i="4"/>
  <c r="HM79" i="4"/>
  <c r="IC79" i="4"/>
  <c r="IS79" i="4"/>
  <c r="JI79" i="4"/>
  <c r="JY79" i="4"/>
  <c r="N79" i="4"/>
  <c r="AD79" i="4"/>
  <c r="AT79" i="4"/>
  <c r="BJ79" i="4"/>
  <c r="BZ79" i="4"/>
  <c r="CP79" i="4"/>
  <c r="DF79" i="4"/>
  <c r="DV79" i="4"/>
  <c r="EL79" i="4"/>
  <c r="FB79" i="4"/>
  <c r="FR79" i="4"/>
  <c r="GH79" i="4"/>
  <c r="GX79" i="4"/>
  <c r="HN79" i="4"/>
  <c r="ID79" i="4"/>
  <c r="IT79" i="4"/>
  <c r="JJ79" i="4"/>
  <c r="JZ79" i="4"/>
  <c r="O79" i="4"/>
  <c r="AE79" i="4"/>
  <c r="AU79" i="4"/>
  <c r="BK79" i="4"/>
  <c r="CA79" i="4"/>
  <c r="CQ79" i="4"/>
  <c r="DG79" i="4"/>
  <c r="DW79" i="4"/>
  <c r="EM79" i="4"/>
  <c r="FC79" i="4"/>
  <c r="FS79" i="4"/>
  <c r="GI79" i="4"/>
  <c r="GY79" i="4"/>
  <c r="HO79" i="4"/>
  <c r="IE79" i="4"/>
  <c r="IU79" i="4"/>
  <c r="JK79" i="4"/>
  <c r="KA79" i="4"/>
  <c r="P79" i="4"/>
  <c r="AF79" i="4"/>
  <c r="AV79" i="4"/>
  <c r="BL79" i="4"/>
  <c r="CB79" i="4"/>
  <c r="CR79" i="4"/>
  <c r="DH79" i="4"/>
  <c r="DX79" i="4"/>
  <c r="EN79" i="4"/>
  <c r="FD79" i="4"/>
  <c r="FT79" i="4"/>
  <c r="GJ79" i="4"/>
  <c r="GZ79" i="4"/>
  <c r="HP79" i="4"/>
  <c r="IF79" i="4"/>
  <c r="IV79" i="4"/>
  <c r="JL79" i="4"/>
  <c r="KB79" i="4"/>
  <c r="Q79" i="4"/>
  <c r="AG79" i="4"/>
  <c r="AW79" i="4"/>
  <c r="BM79" i="4"/>
  <c r="CC79" i="4"/>
  <c r="CS79" i="4"/>
  <c r="DI79" i="4"/>
  <c r="DY79" i="4"/>
  <c r="EO79" i="4"/>
  <c r="FE79" i="4"/>
  <c r="FU79" i="4"/>
  <c r="GK79" i="4"/>
  <c r="HA79" i="4"/>
  <c r="HQ79" i="4"/>
  <c r="IG79" i="4"/>
  <c r="IW79" i="4"/>
  <c r="JM79" i="4"/>
  <c r="KC79" i="4"/>
  <c r="S79" i="4"/>
  <c r="AI79" i="4"/>
  <c r="AY79" i="4"/>
  <c r="BO79" i="4"/>
  <c r="CE79" i="4"/>
  <c r="CU79" i="4"/>
  <c r="DK79" i="4"/>
  <c r="EA79" i="4"/>
  <c r="EQ79" i="4"/>
  <c r="FG79" i="4"/>
  <c r="FW79" i="4"/>
  <c r="GM79" i="4"/>
  <c r="HC79" i="4"/>
  <c r="HS79" i="4"/>
  <c r="II79" i="4"/>
  <c r="IY79" i="4"/>
  <c r="JO79" i="4"/>
  <c r="KE79" i="4"/>
  <c r="AH79" i="4"/>
  <c r="BE79" i="4"/>
  <c r="CG79" i="4"/>
  <c r="DC79" i="4"/>
  <c r="EE79" i="4"/>
  <c r="FF79" i="4"/>
  <c r="GC79" i="4"/>
  <c r="HE79" i="4"/>
  <c r="IA79" i="4"/>
  <c r="JC79" i="4"/>
  <c r="KD79" i="4"/>
  <c r="AJ79" i="4"/>
  <c r="BF79" i="4"/>
  <c r="CH79" i="4"/>
  <c r="DD79" i="4"/>
  <c r="EF79" i="4"/>
  <c r="FH79" i="4"/>
  <c r="GD79" i="4"/>
  <c r="HF79" i="4"/>
  <c r="IB79" i="4"/>
  <c r="JD79" i="4"/>
  <c r="KF79" i="4"/>
  <c r="I79" i="4"/>
  <c r="AK79" i="4"/>
  <c r="BG79" i="4"/>
  <c r="CI79" i="4"/>
  <c r="DJ79" i="4"/>
  <c r="EG79" i="4"/>
  <c r="FI79" i="4"/>
  <c r="GE79" i="4"/>
  <c r="HG79" i="4"/>
  <c r="IH79" i="4"/>
  <c r="JE79" i="4"/>
  <c r="KG79" i="4"/>
  <c r="J79" i="4"/>
  <c r="AL79" i="4"/>
  <c r="BH79" i="4"/>
  <c r="CJ79" i="4"/>
  <c r="DL79" i="4"/>
  <c r="EH79" i="4"/>
  <c r="FJ79" i="4"/>
  <c r="GF79" i="4"/>
  <c r="HH79" i="4"/>
  <c r="IJ79" i="4"/>
  <c r="JF79" i="4"/>
  <c r="KH79" i="4"/>
  <c r="K79" i="4"/>
  <c r="AM79" i="4"/>
  <c r="BN79" i="4"/>
  <c r="CK79" i="4"/>
  <c r="DM79" i="4"/>
  <c r="EI79" i="4"/>
  <c r="FK79" i="4"/>
  <c r="GL79" i="4"/>
  <c r="HI79" i="4"/>
  <c r="IK79" i="4"/>
  <c r="JG79" i="4"/>
  <c r="KI79" i="4"/>
  <c r="R79" i="4"/>
  <c r="AO79" i="4"/>
  <c r="BQ79" i="4"/>
  <c r="CM79" i="4"/>
  <c r="DO79" i="4"/>
  <c r="EP79" i="4"/>
  <c r="FM79" i="4"/>
  <c r="GO79" i="4"/>
  <c r="HK79" i="4"/>
  <c r="IM79" i="4"/>
  <c r="JN79" i="4"/>
  <c r="L79" i="4"/>
  <c r="BA79" i="4"/>
  <c r="CT79" i="4"/>
  <c r="EC79" i="4"/>
  <c r="FV79" i="4"/>
  <c r="HJ79" i="4"/>
  <c r="IX79" i="4"/>
  <c r="T79" i="4"/>
  <c r="BB79" i="4"/>
  <c r="CV79" i="4"/>
  <c r="ED79" i="4"/>
  <c r="FX79" i="4"/>
  <c r="HL79" i="4"/>
  <c r="IZ79" i="4"/>
  <c r="U79" i="4"/>
  <c r="BC79" i="4"/>
  <c r="CW79" i="4"/>
  <c r="EJ79" i="4"/>
  <c r="FY79" i="4"/>
  <c r="HR79" i="4"/>
  <c r="JA79" i="4"/>
  <c r="V79" i="4"/>
  <c r="BD79" i="4"/>
  <c r="CX79" i="4"/>
  <c r="ER79" i="4"/>
  <c r="FZ79" i="4"/>
  <c r="HT79" i="4"/>
  <c r="JB79" i="4"/>
  <c r="W79" i="4"/>
  <c r="BP79" i="4"/>
  <c r="CY79" i="4"/>
  <c r="ES79" i="4"/>
  <c r="GA79" i="4"/>
  <c r="HU79" i="4"/>
  <c r="JH79" i="4"/>
  <c r="Y79" i="4"/>
  <c r="BS79" i="4"/>
  <c r="DA79" i="4"/>
  <c r="EU79" i="4"/>
  <c r="GN79" i="4"/>
  <c r="HW79" i="4"/>
  <c r="JQ79" i="4"/>
  <c r="X79" i="4"/>
  <c r="CD79" i="4"/>
  <c r="EW79" i="4"/>
  <c r="HB79" i="4"/>
  <c r="JU79" i="4"/>
  <c r="Z79" i="4"/>
  <c r="CF79" i="4"/>
  <c r="EX79" i="4"/>
  <c r="HD79" i="4"/>
  <c r="JV79" i="4"/>
  <c r="AA79" i="4"/>
  <c r="CL79" i="4"/>
  <c r="EY79" i="4"/>
  <c r="HV79" i="4"/>
  <c r="JW79" i="4"/>
  <c r="AB79" i="4"/>
  <c r="CN79" i="4"/>
  <c r="EZ79" i="4"/>
  <c r="HX79" i="4"/>
  <c r="JX79" i="4"/>
  <c r="AN79" i="4"/>
  <c r="CZ79" i="4"/>
  <c r="FL79" i="4"/>
  <c r="HY79" i="4"/>
  <c r="AQ79" i="4"/>
  <c r="DN79" i="4"/>
  <c r="FO79" i="4"/>
  <c r="IL79" i="4"/>
  <c r="BR79" i="4"/>
  <c r="FN79" i="4"/>
  <c r="JP79" i="4"/>
  <c r="BT79" i="4"/>
  <c r="FP79" i="4"/>
  <c r="JR79" i="4"/>
  <c r="BU79" i="4"/>
  <c r="GB79" i="4"/>
  <c r="JS79" i="4"/>
  <c r="BV79" i="4"/>
  <c r="GP79" i="4"/>
  <c r="JT79" i="4"/>
  <c r="BW79" i="4"/>
  <c r="GQ79" i="4"/>
  <c r="DB79" i="4"/>
  <c r="GS79" i="4"/>
  <c r="DS79" i="4"/>
  <c r="DT79" i="4"/>
  <c r="DZ79" i="4"/>
  <c r="EB79" i="4"/>
  <c r="ET79" i="4"/>
  <c r="GR79" i="4"/>
  <c r="GU79" i="4"/>
  <c r="GV79" i="4"/>
  <c r="HZ79" i="4"/>
  <c r="IN79" i="4"/>
  <c r="IO79" i="4"/>
  <c r="AP79" i="4"/>
  <c r="IQ79" i="4"/>
  <c r="EV79" i="4"/>
  <c r="GT79" i="4"/>
  <c r="IP79" i="4"/>
  <c r="IR79" i="4"/>
  <c r="AX79" i="4"/>
  <c r="AR79" i="4"/>
  <c r="AZ79" i="4"/>
  <c r="BX79" i="4"/>
  <c r="DP79" i="4"/>
  <c r="DQ79" i="4"/>
  <c r="DR79" i="4"/>
  <c r="K15" i="4"/>
  <c r="AA15" i="4"/>
  <c r="AQ15" i="4"/>
  <c r="BG15" i="4"/>
  <c r="BW15" i="4"/>
  <c r="CM15" i="4"/>
  <c r="DC15" i="4"/>
  <c r="DS15" i="4"/>
  <c r="EI15" i="4"/>
  <c r="EY15" i="4"/>
  <c r="FO15" i="4"/>
  <c r="GE15" i="4"/>
  <c r="GU15" i="4"/>
  <c r="HK15" i="4"/>
  <c r="IA15" i="4"/>
  <c r="IQ15" i="4"/>
  <c r="JG15" i="4"/>
  <c r="JW15" i="4"/>
  <c r="L15" i="4"/>
  <c r="AB15" i="4"/>
  <c r="AR15" i="4"/>
  <c r="BH15" i="4"/>
  <c r="BX15" i="4"/>
  <c r="CN15" i="4"/>
  <c r="DD15" i="4"/>
  <c r="DT15" i="4"/>
  <c r="EJ15" i="4"/>
  <c r="EZ15" i="4"/>
  <c r="FP15" i="4"/>
  <c r="GF15" i="4"/>
  <c r="GV15" i="4"/>
  <c r="HL15" i="4"/>
  <c r="IB15" i="4"/>
  <c r="IR15" i="4"/>
  <c r="JH15" i="4"/>
  <c r="JX15" i="4"/>
  <c r="O15" i="4"/>
  <c r="AE15" i="4"/>
  <c r="AU15" i="4"/>
  <c r="BK15" i="4"/>
  <c r="CA15" i="4"/>
  <c r="CQ15" i="4"/>
  <c r="DG15" i="4"/>
  <c r="DW15" i="4"/>
  <c r="EM15" i="4"/>
  <c r="FC15" i="4"/>
  <c r="FS15" i="4"/>
  <c r="GI15" i="4"/>
  <c r="GY15" i="4"/>
  <c r="HO15" i="4"/>
  <c r="IE15" i="4"/>
  <c r="IU15" i="4"/>
  <c r="JK15" i="4"/>
  <c r="KA15" i="4"/>
  <c r="U15" i="4"/>
  <c r="AN15" i="4"/>
  <c r="BI15" i="4"/>
  <c r="CC15" i="4"/>
  <c r="CV15" i="4"/>
  <c r="DO15" i="4"/>
  <c r="EH15" i="4"/>
  <c r="FD15" i="4"/>
  <c r="FW15" i="4"/>
  <c r="GP15" i="4"/>
  <c r="HI15" i="4"/>
  <c r="ID15" i="4"/>
  <c r="IX15" i="4"/>
  <c r="JQ15" i="4"/>
  <c r="V15" i="4"/>
  <c r="AO15" i="4"/>
  <c r="BJ15" i="4"/>
  <c r="CD15" i="4"/>
  <c r="CW15" i="4"/>
  <c r="DP15" i="4"/>
  <c r="EK15" i="4"/>
  <c r="FE15" i="4"/>
  <c r="FX15" i="4"/>
  <c r="GQ15" i="4"/>
  <c r="HJ15" i="4"/>
  <c r="IF15" i="4"/>
  <c r="IY15" i="4"/>
  <c r="JR15" i="4"/>
  <c r="W15" i="4"/>
  <c r="AP15" i="4"/>
  <c r="BL15" i="4"/>
  <c r="CE15" i="4"/>
  <c r="CX15" i="4"/>
  <c r="DQ15" i="4"/>
  <c r="EL15" i="4"/>
  <c r="FF15" i="4"/>
  <c r="FY15" i="4"/>
  <c r="GR15" i="4"/>
  <c r="HM15" i="4"/>
  <c r="IG15" i="4"/>
  <c r="IZ15" i="4"/>
  <c r="JS15" i="4"/>
  <c r="X15" i="4"/>
  <c r="AS15" i="4"/>
  <c r="BM15" i="4"/>
  <c r="CF15" i="4"/>
  <c r="CY15" i="4"/>
  <c r="DR15" i="4"/>
  <c r="EN15" i="4"/>
  <c r="FG15" i="4"/>
  <c r="FZ15" i="4"/>
  <c r="GS15" i="4"/>
  <c r="HN15" i="4"/>
  <c r="IH15" i="4"/>
  <c r="JA15" i="4"/>
  <c r="JT15" i="4"/>
  <c r="AC15" i="4"/>
  <c r="AW15" i="4"/>
  <c r="BP15" i="4"/>
  <c r="CI15" i="4"/>
  <c r="DB15" i="4"/>
  <c r="DX15" i="4"/>
  <c r="EQ15" i="4"/>
  <c r="FJ15" i="4"/>
  <c r="GC15" i="4"/>
  <c r="GX15" i="4"/>
  <c r="HR15" i="4"/>
  <c r="IK15" i="4"/>
  <c r="JD15" i="4"/>
  <c r="JY15" i="4"/>
  <c r="AH15" i="4"/>
  <c r="BF15" i="4"/>
  <c r="CL15" i="4"/>
  <c r="DM15" i="4"/>
  <c r="ES15" i="4"/>
  <c r="FT15" i="4"/>
  <c r="GZ15" i="4"/>
  <c r="HX15" i="4"/>
  <c r="JC15" i="4"/>
  <c r="KE15" i="4"/>
  <c r="AI15" i="4"/>
  <c r="BN15" i="4"/>
  <c r="CO15" i="4"/>
  <c r="DN15" i="4"/>
  <c r="ET15" i="4"/>
  <c r="FU15" i="4"/>
  <c r="HA15" i="4"/>
  <c r="HY15" i="4"/>
  <c r="JE15" i="4"/>
  <c r="KF15" i="4"/>
  <c r="I15" i="4"/>
  <c r="AJ15" i="4"/>
  <c r="BO15" i="4"/>
  <c r="CP15" i="4"/>
  <c r="DU15" i="4"/>
  <c r="EU15" i="4"/>
  <c r="FV15" i="4"/>
  <c r="HB15" i="4"/>
  <c r="HZ15" i="4"/>
  <c r="JF15" i="4"/>
  <c r="KG15" i="4"/>
  <c r="J15" i="4"/>
  <c r="AK15" i="4"/>
  <c r="BQ15" i="4"/>
  <c r="CR15" i="4"/>
  <c r="DV15" i="4"/>
  <c r="EV15" i="4"/>
  <c r="GA15" i="4"/>
  <c r="HC15" i="4"/>
  <c r="IC15" i="4"/>
  <c r="JI15" i="4"/>
  <c r="KH15" i="4"/>
  <c r="M15" i="4"/>
  <c r="AL15" i="4"/>
  <c r="BR15" i="4"/>
  <c r="CS15" i="4"/>
  <c r="DY15" i="4"/>
  <c r="EW15" i="4"/>
  <c r="GB15" i="4"/>
  <c r="HD15" i="4"/>
  <c r="II15" i="4"/>
  <c r="JJ15" i="4"/>
  <c r="KI15" i="4"/>
  <c r="P15" i="4"/>
  <c r="AT15" i="4"/>
  <c r="BT15" i="4"/>
  <c r="CU15" i="4"/>
  <c r="EA15" i="4"/>
  <c r="FA15" i="4"/>
  <c r="GG15" i="4"/>
  <c r="HF15" i="4"/>
  <c r="IL15" i="4"/>
  <c r="JM15" i="4"/>
  <c r="N15" i="4"/>
  <c r="BB15" i="4"/>
  <c r="DA15" i="4"/>
  <c r="EP15" i="4"/>
  <c r="GL15" i="4"/>
  <c r="IJ15" i="4"/>
  <c r="JZ15" i="4"/>
  <c r="Q15" i="4"/>
  <c r="BC15" i="4"/>
  <c r="DE15" i="4"/>
  <c r="ER15" i="4"/>
  <c r="GM15" i="4"/>
  <c r="IM15" i="4"/>
  <c r="KB15" i="4"/>
  <c r="R15" i="4"/>
  <c r="BD15" i="4"/>
  <c r="DF15" i="4"/>
  <c r="EX15" i="4"/>
  <c r="GN15" i="4"/>
  <c r="IN15" i="4"/>
  <c r="KC15" i="4"/>
  <c r="S15" i="4"/>
  <c r="BE15" i="4"/>
  <c r="DH15" i="4"/>
  <c r="FB15" i="4"/>
  <c r="GO15" i="4"/>
  <c r="IO15" i="4"/>
  <c r="KD15" i="4"/>
  <c r="T15" i="4"/>
  <c r="BS15" i="4"/>
  <c r="DI15" i="4"/>
  <c r="FH15" i="4"/>
  <c r="GT15" i="4"/>
  <c r="IP15" i="4"/>
  <c r="Z15" i="4"/>
  <c r="BV15" i="4"/>
  <c r="DK15" i="4"/>
  <c r="FK15" i="4"/>
  <c r="HE15" i="4"/>
  <c r="IT15" i="4"/>
  <c r="Y15" i="4"/>
  <c r="CJ15" i="4"/>
  <c r="FM15" i="4"/>
  <c r="HV15" i="4"/>
  <c r="AD15" i="4"/>
  <c r="CK15" i="4"/>
  <c r="FN15" i="4"/>
  <c r="HW15" i="4"/>
  <c r="AF15" i="4"/>
  <c r="CT15" i="4"/>
  <c r="FQ15" i="4"/>
  <c r="IS15" i="4"/>
  <c r="AG15" i="4"/>
  <c r="CZ15" i="4"/>
  <c r="FR15" i="4"/>
  <c r="IV15" i="4"/>
  <c r="AM15" i="4"/>
  <c r="DJ15" i="4"/>
  <c r="GD15" i="4"/>
  <c r="IW15" i="4"/>
  <c r="AX15" i="4"/>
  <c r="DZ15" i="4"/>
  <c r="GJ15" i="4"/>
  <c r="JL15" i="4"/>
  <c r="AZ15" i="4"/>
  <c r="FI15" i="4"/>
  <c r="JU15" i="4"/>
  <c r="BA15" i="4"/>
  <c r="FL15" i="4"/>
  <c r="JV15" i="4"/>
  <c r="BU15" i="4"/>
  <c r="GH15" i="4"/>
  <c r="BY15" i="4"/>
  <c r="GK15" i="4"/>
  <c r="BZ15" i="4"/>
  <c r="GW15" i="4"/>
  <c r="CG15" i="4"/>
  <c r="HH15" i="4"/>
  <c r="HG15" i="4"/>
  <c r="HP15" i="4"/>
  <c r="HQ15" i="4"/>
  <c r="HS15" i="4"/>
  <c r="AV15" i="4"/>
  <c r="HT15" i="4"/>
  <c r="CB15" i="4"/>
  <c r="JB15" i="4"/>
  <c r="AY15" i="4"/>
  <c r="CH15" i="4"/>
  <c r="DL15" i="4"/>
  <c r="EC15" i="4"/>
  <c r="EB15" i="4"/>
  <c r="EE15" i="4"/>
  <c r="EG15" i="4"/>
  <c r="EO15" i="4"/>
  <c r="HU15" i="4"/>
  <c r="JN15" i="4"/>
  <c r="JO15" i="4"/>
  <c r="ED15" i="4"/>
  <c r="JP15" i="4"/>
  <c r="EF15" i="4"/>
  <c r="Q140" i="4"/>
  <c r="AG140" i="4"/>
  <c r="AW140" i="4"/>
  <c r="BM140" i="4"/>
  <c r="CC140" i="4"/>
  <c r="CS140" i="4"/>
  <c r="DI140" i="4"/>
  <c r="DY140" i="4"/>
  <c r="EO140" i="4"/>
  <c r="FE140" i="4"/>
  <c r="FU140" i="4"/>
  <c r="GK140" i="4"/>
  <c r="HA140" i="4"/>
  <c r="HQ140" i="4"/>
  <c r="IG140" i="4"/>
  <c r="IW140" i="4"/>
  <c r="JM140" i="4"/>
  <c r="KC140" i="4"/>
  <c r="U140" i="4"/>
  <c r="AL140" i="4"/>
  <c r="BC140" i="4"/>
  <c r="BT140" i="4"/>
  <c r="CK140" i="4"/>
  <c r="DB140" i="4"/>
  <c r="DS140" i="4"/>
  <c r="EJ140" i="4"/>
  <c r="FA140" i="4"/>
  <c r="FR140" i="4"/>
  <c r="GI140" i="4"/>
  <c r="GZ140" i="4"/>
  <c r="HR140" i="4"/>
  <c r="II140" i="4"/>
  <c r="IZ140" i="4"/>
  <c r="JQ140" i="4"/>
  <c r="KH140" i="4"/>
  <c r="V140" i="4"/>
  <c r="AM140" i="4"/>
  <c r="BD140" i="4"/>
  <c r="BU140" i="4"/>
  <c r="CL140" i="4"/>
  <c r="DC140" i="4"/>
  <c r="DT140" i="4"/>
  <c r="EK140" i="4"/>
  <c r="FB140" i="4"/>
  <c r="FS140" i="4"/>
  <c r="GJ140" i="4"/>
  <c r="HB140" i="4"/>
  <c r="HS140" i="4"/>
  <c r="IJ140" i="4"/>
  <c r="JA140" i="4"/>
  <c r="JR140" i="4"/>
  <c r="KI140" i="4"/>
  <c r="W140" i="4"/>
  <c r="AN140" i="4"/>
  <c r="BE140" i="4"/>
  <c r="BV140" i="4"/>
  <c r="CM140" i="4"/>
  <c r="DD140" i="4"/>
  <c r="DU140" i="4"/>
  <c r="EL140" i="4"/>
  <c r="FC140" i="4"/>
  <c r="FT140" i="4"/>
  <c r="GL140" i="4"/>
  <c r="HC140" i="4"/>
  <c r="HT140" i="4"/>
  <c r="IK140" i="4"/>
  <c r="JB140" i="4"/>
  <c r="JS140" i="4"/>
  <c r="J140" i="4"/>
  <c r="AA140" i="4"/>
  <c r="AR140" i="4"/>
  <c r="BI140" i="4"/>
  <c r="BZ140" i="4"/>
  <c r="CQ140" i="4"/>
  <c r="DH140" i="4"/>
  <c r="DZ140" i="4"/>
  <c r="EQ140" i="4"/>
  <c r="FH140" i="4"/>
  <c r="FY140" i="4"/>
  <c r="GP140" i="4"/>
  <c r="HG140" i="4"/>
  <c r="HX140" i="4"/>
  <c r="IO140" i="4"/>
  <c r="JF140" i="4"/>
  <c r="JW140" i="4"/>
  <c r="N140" i="4"/>
  <c r="AJ140" i="4"/>
  <c r="BH140" i="4"/>
  <c r="CE140" i="4"/>
  <c r="CZ140" i="4"/>
  <c r="DX140" i="4"/>
  <c r="EU140" i="4"/>
  <c r="FP140" i="4"/>
  <c r="GO140" i="4"/>
  <c r="HK140" i="4"/>
  <c r="IF140" i="4"/>
  <c r="JE140" i="4"/>
  <c r="KA140" i="4"/>
  <c r="O140" i="4"/>
  <c r="AK140" i="4"/>
  <c r="BJ140" i="4"/>
  <c r="CF140" i="4"/>
  <c r="DA140" i="4"/>
  <c r="EA140" i="4"/>
  <c r="EV140" i="4"/>
  <c r="FQ140" i="4"/>
  <c r="GQ140" i="4"/>
  <c r="HL140" i="4"/>
  <c r="IH140" i="4"/>
  <c r="JG140" i="4"/>
  <c r="KB140" i="4"/>
  <c r="P140" i="4"/>
  <c r="AO140" i="4"/>
  <c r="BK140" i="4"/>
  <c r="CG140" i="4"/>
  <c r="DE140" i="4"/>
  <c r="EB140" i="4"/>
  <c r="EW140" i="4"/>
  <c r="FV140" i="4"/>
  <c r="GR140" i="4"/>
  <c r="HM140" i="4"/>
  <c r="IL140" i="4"/>
  <c r="JH140" i="4"/>
  <c r="KD140" i="4"/>
  <c r="R140" i="4"/>
  <c r="AP140" i="4"/>
  <c r="BL140" i="4"/>
  <c r="CH140" i="4"/>
  <c r="DF140" i="4"/>
  <c r="EC140" i="4"/>
  <c r="EX140" i="4"/>
  <c r="FW140" i="4"/>
  <c r="GS140" i="4"/>
  <c r="HN140" i="4"/>
  <c r="IM140" i="4"/>
  <c r="JI140" i="4"/>
  <c r="KE140" i="4"/>
  <c r="S140" i="4"/>
  <c r="AQ140" i="4"/>
  <c r="BN140" i="4"/>
  <c r="CI140" i="4"/>
  <c r="DG140" i="4"/>
  <c r="ED140" i="4"/>
  <c r="EY140" i="4"/>
  <c r="FX140" i="4"/>
  <c r="GT140" i="4"/>
  <c r="HO140" i="4"/>
  <c r="IN140" i="4"/>
  <c r="JJ140" i="4"/>
  <c r="KF140" i="4"/>
  <c r="X140" i="4"/>
  <c r="AT140" i="4"/>
  <c r="BP140" i="4"/>
  <c r="CN140" i="4"/>
  <c r="DK140" i="4"/>
  <c r="EF140" i="4"/>
  <c r="FD140" i="4"/>
  <c r="GA140" i="4"/>
  <c r="GV140" i="4"/>
  <c r="HU140" i="4"/>
  <c r="IQ140" i="4"/>
  <c r="JL140" i="4"/>
  <c r="AE140" i="4"/>
  <c r="BR140" i="4"/>
  <c r="CX140" i="4"/>
  <c r="EM140" i="4"/>
  <c r="FZ140" i="4"/>
  <c r="HF140" i="4"/>
  <c r="IS140" i="4"/>
  <c r="JY140" i="4"/>
  <c r="AF140" i="4"/>
  <c r="BS140" i="4"/>
  <c r="CY140" i="4"/>
  <c r="EN140" i="4"/>
  <c r="GB140" i="4"/>
  <c r="HH140" i="4"/>
  <c r="IT140" i="4"/>
  <c r="JZ140" i="4"/>
  <c r="AH140" i="4"/>
  <c r="BW140" i="4"/>
  <c r="DJ140" i="4"/>
  <c r="EP140" i="4"/>
  <c r="GC140" i="4"/>
  <c r="HI140" i="4"/>
  <c r="IU140" i="4"/>
  <c r="KG140" i="4"/>
  <c r="AI140" i="4"/>
  <c r="BX140" i="4"/>
  <c r="DL140" i="4"/>
  <c r="ER140" i="4"/>
  <c r="GD140" i="4"/>
  <c r="HJ140" i="4"/>
  <c r="IV140" i="4"/>
  <c r="AS140" i="4"/>
  <c r="BY140" i="4"/>
  <c r="DM140" i="4"/>
  <c r="ES140" i="4"/>
  <c r="GE140" i="4"/>
  <c r="HP140" i="4"/>
  <c r="IX140" i="4"/>
  <c r="I140" i="4"/>
  <c r="AV140" i="4"/>
  <c r="CB140" i="4"/>
  <c r="DO140" i="4"/>
  <c r="EZ140" i="4"/>
  <c r="GG140" i="4"/>
  <c r="HW140" i="4"/>
  <c r="JC140" i="4"/>
  <c r="T140" i="4"/>
  <c r="CA140" i="4"/>
  <c r="EE140" i="4"/>
  <c r="GM140" i="4"/>
  <c r="IP140" i="4"/>
  <c r="Y140" i="4"/>
  <c r="CD140" i="4"/>
  <c r="EG140" i="4"/>
  <c r="GN140" i="4"/>
  <c r="IR140" i="4"/>
  <c r="Z140" i="4"/>
  <c r="CJ140" i="4"/>
  <c r="EH140" i="4"/>
  <c r="GU140" i="4"/>
  <c r="IY140" i="4"/>
  <c r="AB140" i="4"/>
  <c r="CO140" i="4"/>
  <c r="EI140" i="4"/>
  <c r="GW140" i="4"/>
  <c r="JD140" i="4"/>
  <c r="AC140" i="4"/>
  <c r="CP140" i="4"/>
  <c r="ET140" i="4"/>
  <c r="GX140" i="4"/>
  <c r="JK140" i="4"/>
  <c r="AU140" i="4"/>
  <c r="CT140" i="4"/>
  <c r="FG140" i="4"/>
  <c r="HD140" i="4"/>
  <c r="JO140" i="4"/>
  <c r="BO140" i="4"/>
  <c r="FL140" i="4"/>
  <c r="JN140" i="4"/>
  <c r="BQ140" i="4"/>
  <c r="FM140" i="4"/>
  <c r="JP140" i="4"/>
  <c r="CR140" i="4"/>
  <c r="FN140" i="4"/>
  <c r="JT140" i="4"/>
  <c r="CU140" i="4"/>
  <c r="FO140" i="4"/>
  <c r="JU140" i="4"/>
  <c r="CV140" i="4"/>
  <c r="GF140" i="4"/>
  <c r="JV140" i="4"/>
  <c r="L140" i="4"/>
  <c r="DN140" i="4"/>
  <c r="GY140" i="4"/>
  <c r="K140" i="4"/>
  <c r="FF140" i="4"/>
  <c r="M140" i="4"/>
  <c r="FI140" i="4"/>
  <c r="AD140" i="4"/>
  <c r="FJ140" i="4"/>
  <c r="AX140" i="4"/>
  <c r="FK140" i="4"/>
  <c r="AY140" i="4"/>
  <c r="GH140" i="4"/>
  <c r="AZ140" i="4"/>
  <c r="IB140" i="4"/>
  <c r="BA140" i="4"/>
  <c r="IC140" i="4"/>
  <c r="BB140" i="4"/>
  <c r="ID140" i="4"/>
  <c r="BF140" i="4"/>
  <c r="IE140" i="4"/>
  <c r="BG140" i="4"/>
  <c r="JX140" i="4"/>
  <c r="DW140" i="4"/>
  <c r="HZ140" i="4"/>
  <c r="IA140" i="4"/>
  <c r="DQ140" i="4"/>
  <c r="CW140" i="4"/>
  <c r="HV140" i="4"/>
  <c r="HY140" i="4"/>
  <c r="DP140" i="4"/>
  <c r="DV140" i="4"/>
  <c r="HE140" i="4"/>
  <c r="DR140" i="4"/>
  <c r="J167" i="4"/>
  <c r="Z167" i="4"/>
  <c r="AP167" i="4"/>
  <c r="BF167" i="4"/>
  <c r="BV167" i="4"/>
  <c r="CL167" i="4"/>
  <c r="DB167" i="4"/>
  <c r="DR167" i="4"/>
  <c r="EH167" i="4"/>
  <c r="EX167" i="4"/>
  <c r="FN167" i="4"/>
  <c r="GD167" i="4"/>
  <c r="GT167" i="4"/>
  <c r="HJ167" i="4"/>
  <c r="HZ167" i="4"/>
  <c r="IP167" i="4"/>
  <c r="JF167" i="4"/>
  <c r="JV167" i="4"/>
  <c r="N167" i="4"/>
  <c r="AE167" i="4"/>
  <c r="AV167" i="4"/>
  <c r="BM167" i="4"/>
  <c r="CD167" i="4"/>
  <c r="CU167" i="4"/>
  <c r="DL167" i="4"/>
  <c r="EC167" i="4"/>
  <c r="ET167" i="4"/>
  <c r="FK167" i="4"/>
  <c r="GB167" i="4"/>
  <c r="GS167" i="4"/>
  <c r="HK167" i="4"/>
  <c r="IB167" i="4"/>
  <c r="IS167" i="4"/>
  <c r="JJ167" i="4"/>
  <c r="KA167" i="4"/>
  <c r="O167" i="4"/>
  <c r="AF167" i="4"/>
  <c r="AW167" i="4"/>
  <c r="BN167" i="4"/>
  <c r="CE167" i="4"/>
  <c r="CV167" i="4"/>
  <c r="DM167" i="4"/>
  <c r="ED167" i="4"/>
  <c r="EU167" i="4"/>
  <c r="FL167" i="4"/>
  <c r="GC167" i="4"/>
  <c r="GU167" i="4"/>
  <c r="HL167" i="4"/>
  <c r="IC167" i="4"/>
  <c r="IT167" i="4"/>
  <c r="JK167" i="4"/>
  <c r="KB167" i="4"/>
  <c r="P167" i="4"/>
  <c r="AG167" i="4"/>
  <c r="AX167" i="4"/>
  <c r="BO167" i="4"/>
  <c r="CF167" i="4"/>
  <c r="CW167" i="4"/>
  <c r="DN167" i="4"/>
  <c r="EE167" i="4"/>
  <c r="EV167" i="4"/>
  <c r="FM167" i="4"/>
  <c r="GE167" i="4"/>
  <c r="GV167" i="4"/>
  <c r="HM167" i="4"/>
  <c r="ID167" i="4"/>
  <c r="IU167" i="4"/>
  <c r="JL167" i="4"/>
  <c r="KC167" i="4"/>
  <c r="T167" i="4"/>
  <c r="AK167" i="4"/>
  <c r="BB167" i="4"/>
  <c r="BS167" i="4"/>
  <c r="CJ167" i="4"/>
  <c r="DA167" i="4"/>
  <c r="DS167" i="4"/>
  <c r="EJ167" i="4"/>
  <c r="FA167" i="4"/>
  <c r="FR167" i="4"/>
  <c r="GI167" i="4"/>
  <c r="GZ167" i="4"/>
  <c r="HQ167" i="4"/>
  <c r="IH167" i="4"/>
  <c r="IY167" i="4"/>
  <c r="JP167" i="4"/>
  <c r="KG167" i="4"/>
  <c r="L167" i="4"/>
  <c r="AJ167" i="4"/>
  <c r="BG167" i="4"/>
  <c r="CB167" i="4"/>
  <c r="CZ167" i="4"/>
  <c r="DW167" i="4"/>
  <c r="ER167" i="4"/>
  <c r="FQ167" i="4"/>
  <c r="GM167" i="4"/>
  <c r="HH167" i="4"/>
  <c r="IG167" i="4"/>
  <c r="JC167" i="4"/>
  <c r="JY167" i="4"/>
  <c r="M167" i="4"/>
  <c r="AL167" i="4"/>
  <c r="BH167" i="4"/>
  <c r="CC167" i="4"/>
  <c r="DC167" i="4"/>
  <c r="DX167" i="4"/>
  <c r="ES167" i="4"/>
  <c r="FS167" i="4"/>
  <c r="GN167" i="4"/>
  <c r="HI167" i="4"/>
  <c r="II167" i="4"/>
  <c r="JD167" i="4"/>
  <c r="JZ167" i="4"/>
  <c r="Q167" i="4"/>
  <c r="AM167" i="4"/>
  <c r="BI167" i="4"/>
  <c r="CG167" i="4"/>
  <c r="DD167" i="4"/>
  <c r="DY167" i="4"/>
  <c r="EW167" i="4"/>
  <c r="FT167" i="4"/>
  <c r="GO167" i="4"/>
  <c r="HN167" i="4"/>
  <c r="IJ167" i="4"/>
  <c r="JE167" i="4"/>
  <c r="KD167" i="4"/>
  <c r="R167" i="4"/>
  <c r="AN167" i="4"/>
  <c r="BJ167" i="4"/>
  <c r="CH167" i="4"/>
  <c r="DE167" i="4"/>
  <c r="DZ167" i="4"/>
  <c r="EY167" i="4"/>
  <c r="FU167" i="4"/>
  <c r="GP167" i="4"/>
  <c r="HO167" i="4"/>
  <c r="IK167" i="4"/>
  <c r="JG167" i="4"/>
  <c r="KE167" i="4"/>
  <c r="V167" i="4"/>
  <c r="AR167" i="4"/>
  <c r="BP167" i="4"/>
  <c r="CM167" i="4"/>
  <c r="DH167" i="4"/>
  <c r="EF167" i="4"/>
  <c r="FC167" i="4"/>
  <c r="FX167" i="4"/>
  <c r="GW167" i="4"/>
  <c r="HS167" i="4"/>
  <c r="IN167" i="4"/>
  <c r="JM167" i="4"/>
  <c r="KI167" i="4"/>
  <c r="AD167" i="4"/>
  <c r="BQ167" i="4"/>
  <c r="CS167" i="4"/>
  <c r="EB167" i="4"/>
  <c r="FH167" i="4"/>
  <c r="GQ167" i="4"/>
  <c r="HW167" i="4"/>
  <c r="JB167" i="4"/>
  <c r="AH167" i="4"/>
  <c r="BR167" i="4"/>
  <c r="CT167" i="4"/>
  <c r="EG167" i="4"/>
  <c r="FI167" i="4"/>
  <c r="GR167" i="4"/>
  <c r="HX167" i="4"/>
  <c r="JH167" i="4"/>
  <c r="AI167" i="4"/>
  <c r="BT167" i="4"/>
  <c r="CX167" i="4"/>
  <c r="EI167" i="4"/>
  <c r="FJ167" i="4"/>
  <c r="GX167" i="4"/>
  <c r="HY167" i="4"/>
  <c r="JI167" i="4"/>
  <c r="AO167" i="4"/>
  <c r="BU167" i="4"/>
  <c r="CY167" i="4"/>
  <c r="EK167" i="4"/>
  <c r="FO167" i="4"/>
  <c r="GY167" i="4"/>
  <c r="IA167" i="4"/>
  <c r="JN167" i="4"/>
  <c r="AQ167" i="4"/>
  <c r="BW167" i="4"/>
  <c r="DF167" i="4"/>
  <c r="EL167" i="4"/>
  <c r="FP167" i="4"/>
  <c r="HA167" i="4"/>
  <c r="IE167" i="4"/>
  <c r="JO167" i="4"/>
  <c r="I167" i="4"/>
  <c r="AT167" i="4"/>
  <c r="BY167" i="4"/>
  <c r="DI167" i="4"/>
  <c r="EN167" i="4"/>
  <c r="FW167" i="4"/>
  <c r="HC167" i="4"/>
  <c r="IL167" i="4"/>
  <c r="JR167" i="4"/>
  <c r="AY167" i="4"/>
  <c r="CQ167" i="4"/>
  <c r="EZ167" i="4"/>
  <c r="HB167" i="4"/>
  <c r="IW167" i="4"/>
  <c r="AZ167" i="4"/>
  <c r="CR167" i="4"/>
  <c r="FB167" i="4"/>
  <c r="HD167" i="4"/>
  <c r="IX167" i="4"/>
  <c r="BA167" i="4"/>
  <c r="DG167" i="4"/>
  <c r="FD167" i="4"/>
  <c r="HE167" i="4"/>
  <c r="IZ167" i="4"/>
  <c r="BC167" i="4"/>
  <c r="DJ167" i="4"/>
  <c r="FE167" i="4"/>
  <c r="HF167" i="4"/>
  <c r="JA167" i="4"/>
  <c r="BD167" i="4"/>
  <c r="DK167" i="4"/>
  <c r="FF167" i="4"/>
  <c r="HG167" i="4"/>
  <c r="JQ167" i="4"/>
  <c r="S167" i="4"/>
  <c r="BK167" i="4"/>
  <c r="DP167" i="4"/>
  <c r="FV167" i="4"/>
  <c r="HR167" i="4"/>
  <c r="JT167" i="4"/>
  <c r="CA167" i="4"/>
  <c r="FG167" i="4"/>
  <c r="IO167" i="4"/>
  <c r="CI167" i="4"/>
  <c r="FY167" i="4"/>
  <c r="IQ167" i="4"/>
  <c r="K167" i="4"/>
  <c r="CK167" i="4"/>
  <c r="FZ167" i="4"/>
  <c r="IR167" i="4"/>
  <c r="U167" i="4"/>
  <c r="CN167" i="4"/>
  <c r="GA167" i="4"/>
  <c r="IV167" i="4"/>
  <c r="W167" i="4"/>
  <c r="CO167" i="4"/>
  <c r="GF167" i="4"/>
  <c r="JS167" i="4"/>
  <c r="AC167" i="4"/>
  <c r="EP167" i="4"/>
  <c r="KF167" i="4"/>
  <c r="AS167" i="4"/>
  <c r="EQ167" i="4"/>
  <c r="KH167" i="4"/>
  <c r="AU167" i="4"/>
  <c r="GG167" i="4"/>
  <c r="BE167" i="4"/>
  <c r="GH167" i="4"/>
  <c r="BL167" i="4"/>
  <c r="GJ167" i="4"/>
  <c r="DT167" i="4"/>
  <c r="HV167" i="4"/>
  <c r="CP167" i="4"/>
  <c r="JW167" i="4"/>
  <c r="DO167" i="4"/>
  <c r="JX167" i="4"/>
  <c r="DQ167" i="4"/>
  <c r="DU167" i="4"/>
  <c r="EA167" i="4"/>
  <c r="X167" i="4"/>
  <c r="HP167" i="4"/>
  <c r="EO167" i="4"/>
  <c r="GK167" i="4"/>
  <c r="GL167" i="4"/>
  <c r="HT167" i="4"/>
  <c r="HU167" i="4"/>
  <c r="IF167" i="4"/>
  <c r="BX167" i="4"/>
  <c r="BZ167" i="4"/>
  <c r="DV167" i="4"/>
  <c r="EM167" i="4"/>
  <c r="IM167" i="4"/>
  <c r="JU167" i="4"/>
  <c r="Y167" i="4"/>
  <c r="AA167" i="4"/>
  <c r="AB167" i="4"/>
  <c r="T151" i="4"/>
  <c r="AJ151" i="4"/>
  <c r="AZ151" i="4"/>
  <c r="BP151" i="4"/>
  <c r="CF151" i="4"/>
  <c r="CV151" i="4"/>
  <c r="DL151" i="4"/>
  <c r="EB151" i="4"/>
  <c r="ER151" i="4"/>
  <c r="FH151" i="4"/>
  <c r="FX151" i="4"/>
  <c r="GN151" i="4"/>
  <c r="HD151" i="4"/>
  <c r="HT151" i="4"/>
  <c r="IJ151" i="4"/>
  <c r="IZ151" i="4"/>
  <c r="JP151" i="4"/>
  <c r="KF151" i="4"/>
  <c r="U151" i="4"/>
  <c r="AK151" i="4"/>
  <c r="BA151" i="4"/>
  <c r="BQ151" i="4"/>
  <c r="CG151" i="4"/>
  <c r="CW151" i="4"/>
  <c r="DM151" i="4"/>
  <c r="EC151" i="4"/>
  <c r="ES151" i="4"/>
  <c r="FI151" i="4"/>
  <c r="FY151" i="4"/>
  <c r="GO151" i="4"/>
  <c r="HE151" i="4"/>
  <c r="HU151" i="4"/>
  <c r="IK151" i="4"/>
  <c r="JA151" i="4"/>
  <c r="JQ151" i="4"/>
  <c r="KG151" i="4"/>
  <c r="V151" i="4"/>
  <c r="AL151" i="4"/>
  <c r="BB151" i="4"/>
  <c r="BR151" i="4"/>
  <c r="CH151" i="4"/>
  <c r="CX151" i="4"/>
  <c r="DN151" i="4"/>
  <c r="ED151" i="4"/>
  <c r="ET151" i="4"/>
  <c r="FJ151" i="4"/>
  <c r="FZ151" i="4"/>
  <c r="GP151" i="4"/>
  <c r="HF151" i="4"/>
  <c r="HV151" i="4"/>
  <c r="IL151" i="4"/>
  <c r="JB151" i="4"/>
  <c r="JR151" i="4"/>
  <c r="KH151" i="4"/>
  <c r="J151" i="4"/>
  <c r="Z151" i="4"/>
  <c r="AP151" i="4"/>
  <c r="BF151" i="4"/>
  <c r="BV151" i="4"/>
  <c r="CL151" i="4"/>
  <c r="DB151" i="4"/>
  <c r="DR151" i="4"/>
  <c r="EH151" i="4"/>
  <c r="EX151" i="4"/>
  <c r="FN151" i="4"/>
  <c r="GD151" i="4"/>
  <c r="GT151" i="4"/>
  <c r="HJ151" i="4"/>
  <c r="HZ151" i="4"/>
  <c r="IP151" i="4"/>
  <c r="JF151" i="4"/>
  <c r="JV151" i="4"/>
  <c r="N151" i="4"/>
  <c r="AH151" i="4"/>
  <c r="BE151" i="4"/>
  <c r="BZ151" i="4"/>
  <c r="CT151" i="4"/>
  <c r="DQ151" i="4"/>
  <c r="EL151" i="4"/>
  <c r="FF151" i="4"/>
  <c r="GC151" i="4"/>
  <c r="GX151" i="4"/>
  <c r="HR151" i="4"/>
  <c r="IO151" i="4"/>
  <c r="JJ151" i="4"/>
  <c r="KD151" i="4"/>
  <c r="O151" i="4"/>
  <c r="AI151" i="4"/>
  <c r="BG151" i="4"/>
  <c r="CA151" i="4"/>
  <c r="CU151" i="4"/>
  <c r="DS151" i="4"/>
  <c r="EM151" i="4"/>
  <c r="FG151" i="4"/>
  <c r="GE151" i="4"/>
  <c r="GY151" i="4"/>
  <c r="HS151" i="4"/>
  <c r="IQ151" i="4"/>
  <c r="JK151" i="4"/>
  <c r="KE151" i="4"/>
  <c r="P151" i="4"/>
  <c r="AM151" i="4"/>
  <c r="BH151" i="4"/>
  <c r="CB151" i="4"/>
  <c r="CY151" i="4"/>
  <c r="DT151" i="4"/>
  <c r="EN151" i="4"/>
  <c r="FK151" i="4"/>
  <c r="GF151" i="4"/>
  <c r="GZ151" i="4"/>
  <c r="HW151" i="4"/>
  <c r="IR151" i="4"/>
  <c r="JL151" i="4"/>
  <c r="KI151" i="4"/>
  <c r="Q151" i="4"/>
  <c r="AN151" i="4"/>
  <c r="BI151" i="4"/>
  <c r="CC151" i="4"/>
  <c r="CZ151" i="4"/>
  <c r="W151" i="4"/>
  <c r="AR151" i="4"/>
  <c r="BL151" i="4"/>
  <c r="CI151" i="4"/>
  <c r="DD151" i="4"/>
  <c r="DX151" i="4"/>
  <c r="EU151" i="4"/>
  <c r="FP151" i="4"/>
  <c r="GJ151" i="4"/>
  <c r="HG151" i="4"/>
  <c r="IB151" i="4"/>
  <c r="IV151" i="4"/>
  <c r="JS151" i="4"/>
  <c r="AF151" i="4"/>
  <c r="BN151" i="4"/>
  <c r="CQ151" i="4"/>
  <c r="DW151" i="4"/>
  <c r="EZ151" i="4"/>
  <c r="GA151" i="4"/>
  <c r="HC151" i="4"/>
  <c r="IF151" i="4"/>
  <c r="JH151" i="4"/>
  <c r="AG151" i="4"/>
  <c r="BO151" i="4"/>
  <c r="CR151" i="4"/>
  <c r="DY151" i="4"/>
  <c r="FA151" i="4"/>
  <c r="GB151" i="4"/>
  <c r="HH151" i="4"/>
  <c r="IG151" i="4"/>
  <c r="JI151" i="4"/>
  <c r="AO151" i="4"/>
  <c r="BS151" i="4"/>
  <c r="CS151" i="4"/>
  <c r="DZ151" i="4"/>
  <c r="FB151" i="4"/>
  <c r="GG151" i="4"/>
  <c r="HI151" i="4"/>
  <c r="IH151" i="4"/>
  <c r="JM151" i="4"/>
  <c r="I151" i="4"/>
  <c r="AQ151" i="4"/>
  <c r="BT151" i="4"/>
  <c r="DA151" i="4"/>
  <c r="EA151" i="4"/>
  <c r="FC151" i="4"/>
  <c r="GH151" i="4"/>
  <c r="HK151" i="4"/>
  <c r="II151" i="4"/>
  <c r="JN151" i="4"/>
  <c r="K151" i="4"/>
  <c r="AS151" i="4"/>
  <c r="BU151" i="4"/>
  <c r="DC151" i="4"/>
  <c r="EE151" i="4"/>
  <c r="FD151" i="4"/>
  <c r="GI151" i="4"/>
  <c r="HL151" i="4"/>
  <c r="IM151" i="4"/>
  <c r="JO151" i="4"/>
  <c r="M151" i="4"/>
  <c r="AU151" i="4"/>
  <c r="BX151" i="4"/>
  <c r="DF151" i="4"/>
  <c r="EG151" i="4"/>
  <c r="FL151" i="4"/>
  <c r="GL151" i="4"/>
  <c r="HN151" i="4"/>
  <c r="IS151" i="4"/>
  <c r="JU151" i="4"/>
  <c r="Y151" i="4"/>
  <c r="BW151" i="4"/>
  <c r="DO151" i="4"/>
  <c r="FO151" i="4"/>
  <c r="HA151" i="4"/>
  <c r="IX151" i="4"/>
  <c r="AA151" i="4"/>
  <c r="BY151" i="4"/>
  <c r="DP151" i="4"/>
  <c r="FQ151" i="4"/>
  <c r="HB151" i="4"/>
  <c r="IY151" i="4"/>
  <c r="AB151" i="4"/>
  <c r="CD151" i="4"/>
  <c r="DU151" i="4"/>
  <c r="FR151" i="4"/>
  <c r="HM151" i="4"/>
  <c r="JC151" i="4"/>
  <c r="AC151" i="4"/>
  <c r="CE151" i="4"/>
  <c r="DV151" i="4"/>
  <c r="FS151" i="4"/>
  <c r="HO151" i="4"/>
  <c r="JD151" i="4"/>
  <c r="AD151" i="4"/>
  <c r="CJ151" i="4"/>
  <c r="EF151" i="4"/>
  <c r="FT151" i="4"/>
  <c r="HP151" i="4"/>
  <c r="JE151" i="4"/>
  <c r="AT151" i="4"/>
  <c r="CM151" i="4"/>
  <c r="EJ151" i="4"/>
  <c r="FV151" i="4"/>
  <c r="HX151" i="4"/>
  <c r="JT151" i="4"/>
  <c r="AE151" i="4"/>
  <c r="DH151" i="4"/>
  <c r="GK151" i="4"/>
  <c r="IU151" i="4"/>
  <c r="AV151" i="4"/>
  <c r="DI151" i="4"/>
  <c r="GM151" i="4"/>
  <c r="IW151" i="4"/>
  <c r="AW151" i="4"/>
  <c r="DJ151" i="4"/>
  <c r="GQ151" i="4"/>
  <c r="JG151" i="4"/>
  <c r="AX151" i="4"/>
  <c r="DK151" i="4"/>
  <c r="GR151" i="4"/>
  <c r="JW151" i="4"/>
  <c r="AY151" i="4"/>
  <c r="EI151" i="4"/>
  <c r="GS151" i="4"/>
  <c r="JX151" i="4"/>
  <c r="BD151" i="4"/>
  <c r="EO151" i="4"/>
  <c r="GV151" i="4"/>
  <c r="JZ151" i="4"/>
  <c r="CK151" i="4"/>
  <c r="GU151" i="4"/>
  <c r="CN151" i="4"/>
  <c r="GW151" i="4"/>
  <c r="CO151" i="4"/>
  <c r="HQ151" i="4"/>
  <c r="CP151" i="4"/>
  <c r="HY151" i="4"/>
  <c r="DE151" i="4"/>
  <c r="IA151" i="4"/>
  <c r="L151" i="4"/>
  <c r="FM151" i="4"/>
  <c r="R151" i="4"/>
  <c r="FU151" i="4"/>
  <c r="S151" i="4"/>
  <c r="FW151" i="4"/>
  <c r="X151" i="4"/>
  <c r="IC151" i="4"/>
  <c r="BC151" i="4"/>
  <c r="ID151" i="4"/>
  <c r="EP151" i="4"/>
  <c r="KB151" i="4"/>
  <c r="EY151" i="4"/>
  <c r="FE151" i="4"/>
  <c r="IE151" i="4"/>
  <c r="IN151" i="4"/>
  <c r="JY151" i="4"/>
  <c r="BM151" i="4"/>
  <c r="IT151" i="4"/>
  <c r="KA151" i="4"/>
  <c r="KC151" i="4"/>
  <c r="BJ151" i="4"/>
  <c r="BK151" i="4"/>
  <c r="DG151" i="4"/>
  <c r="EV151" i="4"/>
  <c r="EW151" i="4"/>
  <c r="EK151" i="4"/>
  <c r="EQ151" i="4"/>
  <c r="L135" i="4"/>
  <c r="AB135" i="4"/>
  <c r="AR135" i="4"/>
  <c r="BH135" i="4"/>
  <c r="BX135" i="4"/>
  <c r="CN135" i="4"/>
  <c r="DD135" i="4"/>
  <c r="DT135" i="4"/>
  <c r="EJ135" i="4"/>
  <c r="EZ135" i="4"/>
  <c r="FP135" i="4"/>
  <c r="GF135" i="4"/>
  <c r="GV135" i="4"/>
  <c r="HL135" i="4"/>
  <c r="IB135" i="4"/>
  <c r="IR135" i="4"/>
  <c r="JH135" i="4"/>
  <c r="JX135" i="4"/>
  <c r="V135" i="4"/>
  <c r="AM135" i="4"/>
  <c r="BD135" i="4"/>
  <c r="BU135" i="4"/>
  <c r="CL135" i="4"/>
  <c r="DC135" i="4"/>
  <c r="DU135" i="4"/>
  <c r="EL135" i="4"/>
  <c r="FC135" i="4"/>
  <c r="FT135" i="4"/>
  <c r="GK135" i="4"/>
  <c r="HB135" i="4"/>
  <c r="HS135" i="4"/>
  <c r="IJ135" i="4"/>
  <c r="JA135" i="4"/>
  <c r="JR135" i="4"/>
  <c r="KI135" i="4"/>
  <c r="W135" i="4"/>
  <c r="AN135" i="4"/>
  <c r="BE135" i="4"/>
  <c r="BV135" i="4"/>
  <c r="CM135" i="4"/>
  <c r="DE135" i="4"/>
  <c r="DV135" i="4"/>
  <c r="EM135" i="4"/>
  <c r="FD135" i="4"/>
  <c r="FU135" i="4"/>
  <c r="GL135" i="4"/>
  <c r="HC135" i="4"/>
  <c r="HT135" i="4"/>
  <c r="IK135" i="4"/>
  <c r="JB135" i="4"/>
  <c r="JS135" i="4"/>
  <c r="X135" i="4"/>
  <c r="AO135" i="4"/>
  <c r="BF135" i="4"/>
  <c r="BW135" i="4"/>
  <c r="CO135" i="4"/>
  <c r="DF135" i="4"/>
  <c r="DW135" i="4"/>
  <c r="EN135" i="4"/>
  <c r="FE135" i="4"/>
  <c r="FV135" i="4"/>
  <c r="GM135" i="4"/>
  <c r="HD135" i="4"/>
  <c r="HU135" i="4"/>
  <c r="IL135" i="4"/>
  <c r="JC135" i="4"/>
  <c r="JT135" i="4"/>
  <c r="K135" i="4"/>
  <c r="AC135" i="4"/>
  <c r="AT135" i="4"/>
  <c r="BK135" i="4"/>
  <c r="CB135" i="4"/>
  <c r="CS135" i="4"/>
  <c r="DJ135" i="4"/>
  <c r="EA135" i="4"/>
  <c r="ER135" i="4"/>
  <c r="FI135" i="4"/>
  <c r="FZ135" i="4"/>
  <c r="GQ135" i="4"/>
  <c r="HH135" i="4"/>
  <c r="HY135" i="4"/>
  <c r="IP135" i="4"/>
  <c r="JG135" i="4"/>
  <c r="JY135" i="4"/>
  <c r="P135" i="4"/>
  <c r="AK135" i="4"/>
  <c r="BJ135" i="4"/>
  <c r="CF135" i="4"/>
  <c r="DA135" i="4"/>
  <c r="DZ135" i="4"/>
  <c r="EV135" i="4"/>
  <c r="FR135" i="4"/>
  <c r="GP135" i="4"/>
  <c r="HM135" i="4"/>
  <c r="IH135" i="4"/>
  <c r="JF135" i="4"/>
  <c r="KC135" i="4"/>
  <c r="Q135" i="4"/>
  <c r="AL135" i="4"/>
  <c r="BL135" i="4"/>
  <c r="CG135" i="4"/>
  <c r="DB135" i="4"/>
  <c r="EB135" i="4"/>
  <c r="EW135" i="4"/>
  <c r="FS135" i="4"/>
  <c r="GR135" i="4"/>
  <c r="HN135" i="4"/>
  <c r="II135" i="4"/>
  <c r="JI135" i="4"/>
  <c r="KD135" i="4"/>
  <c r="R135" i="4"/>
  <c r="AP135" i="4"/>
  <c r="BM135" i="4"/>
  <c r="CH135" i="4"/>
  <c r="DG135" i="4"/>
  <c r="EC135" i="4"/>
  <c r="EX135" i="4"/>
  <c r="FW135" i="4"/>
  <c r="GS135" i="4"/>
  <c r="HO135" i="4"/>
  <c r="IM135" i="4"/>
  <c r="JJ135" i="4"/>
  <c r="KE135" i="4"/>
  <c r="S135" i="4"/>
  <c r="AQ135" i="4"/>
  <c r="BN135" i="4"/>
  <c r="CI135" i="4"/>
  <c r="DH135" i="4"/>
  <c r="ED135" i="4"/>
  <c r="EY135" i="4"/>
  <c r="FX135" i="4"/>
  <c r="GT135" i="4"/>
  <c r="HP135" i="4"/>
  <c r="IN135" i="4"/>
  <c r="JK135" i="4"/>
  <c r="KF135" i="4"/>
  <c r="T135" i="4"/>
  <c r="AS135" i="4"/>
  <c r="BO135" i="4"/>
  <c r="CJ135" i="4"/>
  <c r="DI135" i="4"/>
  <c r="EE135" i="4"/>
  <c r="FA135" i="4"/>
  <c r="FY135" i="4"/>
  <c r="GU135" i="4"/>
  <c r="HQ135" i="4"/>
  <c r="IO135" i="4"/>
  <c r="JL135" i="4"/>
  <c r="KG135" i="4"/>
  <c r="Y135" i="4"/>
  <c r="AV135" i="4"/>
  <c r="BQ135" i="4"/>
  <c r="CP135" i="4"/>
  <c r="DL135" i="4"/>
  <c r="EG135" i="4"/>
  <c r="FF135" i="4"/>
  <c r="GB135" i="4"/>
  <c r="GX135" i="4"/>
  <c r="HV135" i="4"/>
  <c r="IS135" i="4"/>
  <c r="JN135" i="4"/>
  <c r="J135" i="4"/>
  <c r="AX135" i="4"/>
  <c r="CD135" i="4"/>
  <c r="DP135" i="4"/>
  <c r="FB135" i="4"/>
  <c r="GI135" i="4"/>
  <c r="HX135" i="4"/>
  <c r="JD135" i="4"/>
  <c r="M135" i="4"/>
  <c r="AY135" i="4"/>
  <c r="CE135" i="4"/>
  <c r="DQ135" i="4"/>
  <c r="FG135" i="4"/>
  <c r="GJ135" i="4"/>
  <c r="HZ135" i="4"/>
  <c r="JE135" i="4"/>
  <c r="N135" i="4"/>
  <c r="AZ135" i="4"/>
  <c r="CK135" i="4"/>
  <c r="DR135" i="4"/>
  <c r="FH135" i="4"/>
  <c r="GN135" i="4"/>
  <c r="IA135" i="4"/>
  <c r="JM135" i="4"/>
  <c r="O135" i="4"/>
  <c r="BA135" i="4"/>
  <c r="CQ135" i="4"/>
  <c r="DS135" i="4"/>
  <c r="FJ135" i="4"/>
  <c r="GO135" i="4"/>
  <c r="IC135" i="4"/>
  <c r="JO135" i="4"/>
  <c r="U135" i="4"/>
  <c r="BB135" i="4"/>
  <c r="CR135" i="4"/>
  <c r="DX135" i="4"/>
  <c r="FK135" i="4"/>
  <c r="GW135" i="4"/>
  <c r="ID135" i="4"/>
  <c r="JP135" i="4"/>
  <c r="AA135" i="4"/>
  <c r="BG135" i="4"/>
  <c r="CU135" i="4"/>
  <c r="EF135" i="4"/>
  <c r="FM135" i="4"/>
  <c r="GZ135" i="4"/>
  <c r="IF135" i="4"/>
  <c r="JU135" i="4"/>
  <c r="BC135" i="4"/>
  <c r="DK135" i="4"/>
  <c r="FO135" i="4"/>
  <c r="HR135" i="4"/>
  <c r="KA135" i="4"/>
  <c r="BI135" i="4"/>
  <c r="DM135" i="4"/>
  <c r="FQ135" i="4"/>
  <c r="HW135" i="4"/>
  <c r="KB135" i="4"/>
  <c r="BP135" i="4"/>
  <c r="DN135" i="4"/>
  <c r="GA135" i="4"/>
  <c r="IE135" i="4"/>
  <c r="KH135" i="4"/>
  <c r="BR135" i="4"/>
  <c r="DO135" i="4"/>
  <c r="GC135" i="4"/>
  <c r="IG135" i="4"/>
  <c r="BS135" i="4"/>
  <c r="DY135" i="4"/>
  <c r="GD135" i="4"/>
  <c r="IQ135" i="4"/>
  <c r="Z135" i="4"/>
  <c r="BY135" i="4"/>
  <c r="EI135" i="4"/>
  <c r="GG135" i="4"/>
  <c r="IU135" i="4"/>
  <c r="AE135" i="4"/>
  <c r="CY135" i="4"/>
  <c r="HE135" i="4"/>
  <c r="AF135" i="4"/>
  <c r="CZ135" i="4"/>
  <c r="HF135" i="4"/>
  <c r="AG135" i="4"/>
  <c r="EH135" i="4"/>
  <c r="HG135" i="4"/>
  <c r="AH135" i="4"/>
  <c r="EK135" i="4"/>
  <c r="HI135" i="4"/>
  <c r="AI135" i="4"/>
  <c r="EO135" i="4"/>
  <c r="HJ135" i="4"/>
  <c r="AU135" i="4"/>
  <c r="EQ135" i="4"/>
  <c r="IT135" i="4"/>
  <c r="CT135" i="4"/>
  <c r="IW135" i="4"/>
  <c r="CV135" i="4"/>
  <c r="IX135" i="4"/>
  <c r="CW135" i="4"/>
  <c r="IY135" i="4"/>
  <c r="CX135" i="4"/>
  <c r="IZ135" i="4"/>
  <c r="EP135" i="4"/>
  <c r="JQ135" i="4"/>
  <c r="FL135" i="4"/>
  <c r="FN135" i="4"/>
  <c r="GE135" i="4"/>
  <c r="GH135" i="4"/>
  <c r="GY135" i="4"/>
  <c r="BZ135" i="4"/>
  <c r="JZ135" i="4"/>
  <c r="JW135" i="4"/>
  <c r="I135" i="4"/>
  <c r="AD135" i="4"/>
  <c r="AW135" i="4"/>
  <c r="ET135" i="4"/>
  <c r="HA135" i="4"/>
  <c r="HK135" i="4"/>
  <c r="IV135" i="4"/>
  <c r="JV135" i="4"/>
  <c r="ES135" i="4"/>
  <c r="EU135" i="4"/>
  <c r="CA135" i="4"/>
  <c r="CC135" i="4"/>
  <c r="AJ135" i="4"/>
  <c r="BT135" i="4"/>
  <c r="V119" i="4"/>
  <c r="AL119" i="4"/>
  <c r="BB119" i="4"/>
  <c r="BR119" i="4"/>
  <c r="CH119" i="4"/>
  <c r="CX119" i="4"/>
  <c r="DN119" i="4"/>
  <c r="ED119" i="4"/>
  <c r="ET119" i="4"/>
  <c r="FJ119" i="4"/>
  <c r="FZ119" i="4"/>
  <c r="GP119" i="4"/>
  <c r="HF119" i="4"/>
  <c r="HV119" i="4"/>
  <c r="IL119" i="4"/>
  <c r="JB119" i="4"/>
  <c r="JR119" i="4"/>
  <c r="KH119" i="4"/>
  <c r="W119" i="4"/>
  <c r="AM119" i="4"/>
  <c r="BC119" i="4"/>
  <c r="BS119" i="4"/>
  <c r="CI119" i="4"/>
  <c r="CY119" i="4"/>
  <c r="DO119" i="4"/>
  <c r="EE119" i="4"/>
  <c r="EU119" i="4"/>
  <c r="FK119" i="4"/>
  <c r="GA119" i="4"/>
  <c r="GQ119" i="4"/>
  <c r="HG119" i="4"/>
  <c r="HW119" i="4"/>
  <c r="IM119" i="4"/>
  <c r="JC119" i="4"/>
  <c r="JS119" i="4"/>
  <c r="KI119" i="4"/>
  <c r="X119" i="4"/>
  <c r="AN119" i="4"/>
  <c r="BD119" i="4"/>
  <c r="BT119" i="4"/>
  <c r="CJ119" i="4"/>
  <c r="CZ119" i="4"/>
  <c r="DP119" i="4"/>
  <c r="EF119" i="4"/>
  <c r="EV119" i="4"/>
  <c r="FL119" i="4"/>
  <c r="GB119" i="4"/>
  <c r="GR119" i="4"/>
  <c r="HH119" i="4"/>
  <c r="HX119" i="4"/>
  <c r="IN119" i="4"/>
  <c r="JD119" i="4"/>
  <c r="JT119" i="4"/>
  <c r="L119" i="4"/>
  <c r="AB119" i="4"/>
  <c r="AR119" i="4"/>
  <c r="BH119" i="4"/>
  <c r="BX119" i="4"/>
  <c r="CN119" i="4"/>
  <c r="DD119" i="4"/>
  <c r="DT119" i="4"/>
  <c r="EJ119" i="4"/>
  <c r="EZ119" i="4"/>
  <c r="FP119" i="4"/>
  <c r="GF119" i="4"/>
  <c r="GV119" i="4"/>
  <c r="HL119" i="4"/>
  <c r="IB119" i="4"/>
  <c r="IR119" i="4"/>
  <c r="JH119" i="4"/>
  <c r="JX119" i="4"/>
  <c r="N119" i="4"/>
  <c r="AH119" i="4"/>
  <c r="BE119" i="4"/>
  <c r="BZ119" i="4"/>
  <c r="CT119" i="4"/>
  <c r="DQ119" i="4"/>
  <c r="EL119" i="4"/>
  <c r="FF119" i="4"/>
  <c r="GC119" i="4"/>
  <c r="GX119" i="4"/>
  <c r="HR119" i="4"/>
  <c r="IO119" i="4"/>
  <c r="JJ119" i="4"/>
  <c r="KD119" i="4"/>
  <c r="O119" i="4"/>
  <c r="AI119" i="4"/>
  <c r="BF119" i="4"/>
  <c r="CA119" i="4"/>
  <c r="CU119" i="4"/>
  <c r="DR119" i="4"/>
  <c r="EM119" i="4"/>
  <c r="FG119" i="4"/>
  <c r="GD119" i="4"/>
  <c r="GY119" i="4"/>
  <c r="HS119" i="4"/>
  <c r="IP119" i="4"/>
  <c r="JK119" i="4"/>
  <c r="KE119" i="4"/>
  <c r="P119" i="4"/>
  <c r="AJ119" i="4"/>
  <c r="BG119" i="4"/>
  <c r="CB119" i="4"/>
  <c r="CV119" i="4"/>
  <c r="DS119" i="4"/>
  <c r="EN119" i="4"/>
  <c r="FH119" i="4"/>
  <c r="GE119" i="4"/>
  <c r="GZ119" i="4"/>
  <c r="HT119" i="4"/>
  <c r="IQ119" i="4"/>
  <c r="JL119" i="4"/>
  <c r="KF119" i="4"/>
  <c r="Q119" i="4"/>
  <c r="AK119" i="4"/>
  <c r="BI119" i="4"/>
  <c r="CC119" i="4"/>
  <c r="CW119" i="4"/>
  <c r="DU119" i="4"/>
  <c r="EO119" i="4"/>
  <c r="FI119" i="4"/>
  <c r="GG119" i="4"/>
  <c r="HA119" i="4"/>
  <c r="HU119" i="4"/>
  <c r="IS119" i="4"/>
  <c r="JM119" i="4"/>
  <c r="KG119" i="4"/>
  <c r="R119" i="4"/>
  <c r="AO119" i="4"/>
  <c r="BJ119" i="4"/>
  <c r="CD119" i="4"/>
  <c r="DA119" i="4"/>
  <c r="DV119" i="4"/>
  <c r="EP119" i="4"/>
  <c r="FM119" i="4"/>
  <c r="GH119" i="4"/>
  <c r="HB119" i="4"/>
  <c r="HY119" i="4"/>
  <c r="IT119" i="4"/>
  <c r="JN119" i="4"/>
  <c r="T119" i="4"/>
  <c r="AQ119" i="4"/>
  <c r="BL119" i="4"/>
  <c r="CF119" i="4"/>
  <c r="DC119" i="4"/>
  <c r="DX119" i="4"/>
  <c r="ER119" i="4"/>
  <c r="FO119" i="4"/>
  <c r="GJ119" i="4"/>
  <c r="HD119" i="4"/>
  <c r="IA119" i="4"/>
  <c r="IV119" i="4"/>
  <c r="JP119" i="4"/>
  <c r="K119" i="4"/>
  <c r="AV119" i="4"/>
  <c r="CE119" i="4"/>
  <c r="DJ119" i="4"/>
  <c r="EW119" i="4"/>
  <c r="FX119" i="4"/>
  <c r="HK119" i="4"/>
  <c r="IU119" i="4"/>
  <c r="JZ119" i="4"/>
  <c r="M119" i="4"/>
  <c r="AW119" i="4"/>
  <c r="CG119" i="4"/>
  <c r="DK119" i="4"/>
  <c r="EX119" i="4"/>
  <c r="FY119" i="4"/>
  <c r="HM119" i="4"/>
  <c r="IW119" i="4"/>
  <c r="KA119" i="4"/>
  <c r="S119" i="4"/>
  <c r="AX119" i="4"/>
  <c r="CK119" i="4"/>
  <c r="DL119" i="4"/>
  <c r="EY119" i="4"/>
  <c r="GI119" i="4"/>
  <c r="HN119" i="4"/>
  <c r="IX119" i="4"/>
  <c r="KB119" i="4"/>
  <c r="U119" i="4"/>
  <c r="AY119" i="4"/>
  <c r="CL119" i="4"/>
  <c r="DM119" i="4"/>
  <c r="FA119" i="4"/>
  <c r="GK119" i="4"/>
  <c r="HO119" i="4"/>
  <c r="IY119" i="4"/>
  <c r="KC119" i="4"/>
  <c r="Y119" i="4"/>
  <c r="AZ119" i="4"/>
  <c r="CM119" i="4"/>
  <c r="DW119" i="4"/>
  <c r="FB119" i="4"/>
  <c r="GL119" i="4"/>
  <c r="HP119" i="4"/>
  <c r="IZ119" i="4"/>
  <c r="AA119" i="4"/>
  <c r="BK119" i="4"/>
  <c r="CP119" i="4"/>
  <c r="DZ119" i="4"/>
  <c r="FD119" i="4"/>
  <c r="GN119" i="4"/>
  <c r="HZ119" i="4"/>
  <c r="JE119" i="4"/>
  <c r="AF119" i="4"/>
  <c r="CO119" i="4"/>
  <c r="EI119" i="4"/>
  <c r="GS119" i="4"/>
  <c r="IJ119" i="4"/>
  <c r="AG119" i="4"/>
  <c r="CQ119" i="4"/>
  <c r="EK119" i="4"/>
  <c r="GT119" i="4"/>
  <c r="IK119" i="4"/>
  <c r="AP119" i="4"/>
  <c r="CR119" i="4"/>
  <c r="EQ119" i="4"/>
  <c r="GU119" i="4"/>
  <c r="JA119" i="4"/>
  <c r="AS119" i="4"/>
  <c r="CS119" i="4"/>
  <c r="ES119" i="4"/>
  <c r="GW119" i="4"/>
  <c r="JF119" i="4"/>
  <c r="AT119" i="4"/>
  <c r="DB119" i="4"/>
  <c r="FC119" i="4"/>
  <c r="HC119" i="4"/>
  <c r="JG119" i="4"/>
  <c r="BA119" i="4"/>
  <c r="DF119" i="4"/>
  <c r="FN119" i="4"/>
  <c r="HI119" i="4"/>
  <c r="JO119" i="4"/>
  <c r="BU119" i="4"/>
  <c r="FR119" i="4"/>
  <c r="IH119" i="4"/>
  <c r="BV119" i="4"/>
  <c r="FS119" i="4"/>
  <c r="II119" i="4"/>
  <c r="BW119" i="4"/>
  <c r="FT119" i="4"/>
  <c r="JI119" i="4"/>
  <c r="BY119" i="4"/>
  <c r="FU119" i="4"/>
  <c r="JQ119" i="4"/>
  <c r="I119" i="4"/>
  <c r="DE119" i="4"/>
  <c r="FV119" i="4"/>
  <c r="JU119" i="4"/>
  <c r="Z119" i="4"/>
  <c r="DH119" i="4"/>
  <c r="GM119" i="4"/>
  <c r="JW119" i="4"/>
  <c r="AD119" i="4"/>
  <c r="FE119" i="4"/>
  <c r="AE119" i="4"/>
  <c r="FQ119" i="4"/>
  <c r="AU119" i="4"/>
  <c r="FW119" i="4"/>
  <c r="BM119" i="4"/>
  <c r="GO119" i="4"/>
  <c r="BN119" i="4"/>
  <c r="HE119" i="4"/>
  <c r="BP119" i="4"/>
  <c r="HQ119" i="4"/>
  <c r="EB119" i="4"/>
  <c r="EC119" i="4"/>
  <c r="EG119" i="4"/>
  <c r="EH119" i="4"/>
  <c r="HJ119" i="4"/>
  <c r="BO119" i="4"/>
  <c r="JV119" i="4"/>
  <c r="DY119" i="4"/>
  <c r="EA119" i="4"/>
  <c r="IC119" i="4"/>
  <c r="ID119" i="4"/>
  <c r="IE119" i="4"/>
  <c r="DG119" i="4"/>
  <c r="BQ119" i="4"/>
  <c r="DI119" i="4"/>
  <c r="IF119" i="4"/>
  <c r="IG119" i="4"/>
  <c r="JY119" i="4"/>
  <c r="J119" i="4"/>
  <c r="AC119" i="4"/>
  <c r="U103" i="4"/>
  <c r="AK103" i="4"/>
  <c r="BA103" i="4"/>
  <c r="BQ103" i="4"/>
  <c r="CG103" i="4"/>
  <c r="CW103" i="4"/>
  <c r="DM103" i="4"/>
  <c r="EC103" i="4"/>
  <c r="ES103" i="4"/>
  <c r="FI103" i="4"/>
  <c r="FY103" i="4"/>
  <c r="V103" i="4"/>
  <c r="AL103" i="4"/>
  <c r="BB103" i="4"/>
  <c r="BR103" i="4"/>
  <c r="CH103" i="4"/>
  <c r="CX103" i="4"/>
  <c r="DN103" i="4"/>
  <c r="ED103" i="4"/>
  <c r="ET103" i="4"/>
  <c r="FJ103" i="4"/>
  <c r="W103" i="4"/>
  <c r="AM103" i="4"/>
  <c r="BC103" i="4"/>
  <c r="BS103" i="4"/>
  <c r="CI103" i="4"/>
  <c r="CY103" i="4"/>
  <c r="DO103" i="4"/>
  <c r="EE103" i="4"/>
  <c r="EU103" i="4"/>
  <c r="FK103" i="4"/>
  <c r="GA103" i="4"/>
  <c r="GQ103" i="4"/>
  <c r="HG103" i="4"/>
  <c r="HW103" i="4"/>
  <c r="IM103" i="4"/>
  <c r="JC103" i="4"/>
  <c r="JS103" i="4"/>
  <c r="KI103" i="4"/>
  <c r="K103" i="4"/>
  <c r="AA103" i="4"/>
  <c r="AQ103" i="4"/>
  <c r="BG103" i="4"/>
  <c r="BW103" i="4"/>
  <c r="CM103" i="4"/>
  <c r="DC103" i="4"/>
  <c r="DS103" i="4"/>
  <c r="EI103" i="4"/>
  <c r="EY103" i="4"/>
  <c r="FO103" i="4"/>
  <c r="GE103" i="4"/>
  <c r="GU103" i="4"/>
  <c r="HK103" i="4"/>
  <c r="IA103" i="4"/>
  <c r="IQ103" i="4"/>
  <c r="JG103" i="4"/>
  <c r="JW103" i="4"/>
  <c r="X103" i="4"/>
  <c r="AS103" i="4"/>
  <c r="BM103" i="4"/>
  <c r="CJ103" i="4"/>
  <c r="DE103" i="4"/>
  <c r="DY103" i="4"/>
  <c r="EV103" i="4"/>
  <c r="FQ103" i="4"/>
  <c r="GJ103" i="4"/>
  <c r="HB103" i="4"/>
  <c r="HT103" i="4"/>
  <c r="IL103" i="4"/>
  <c r="JE103" i="4"/>
  <c r="JX103" i="4"/>
  <c r="Y103" i="4"/>
  <c r="AT103" i="4"/>
  <c r="BN103" i="4"/>
  <c r="CK103" i="4"/>
  <c r="DF103" i="4"/>
  <c r="DZ103" i="4"/>
  <c r="EW103" i="4"/>
  <c r="FR103" i="4"/>
  <c r="GK103" i="4"/>
  <c r="HC103" i="4"/>
  <c r="HU103" i="4"/>
  <c r="IN103" i="4"/>
  <c r="JF103" i="4"/>
  <c r="JY103" i="4"/>
  <c r="Z103" i="4"/>
  <c r="AU103" i="4"/>
  <c r="BO103" i="4"/>
  <c r="CL103" i="4"/>
  <c r="DG103" i="4"/>
  <c r="EA103" i="4"/>
  <c r="EX103" i="4"/>
  <c r="FS103" i="4"/>
  <c r="GL103" i="4"/>
  <c r="HD103" i="4"/>
  <c r="HV103" i="4"/>
  <c r="IO103" i="4"/>
  <c r="JH103" i="4"/>
  <c r="JZ103" i="4"/>
  <c r="AB103" i="4"/>
  <c r="AV103" i="4"/>
  <c r="BP103" i="4"/>
  <c r="CN103" i="4"/>
  <c r="DH103" i="4"/>
  <c r="EB103" i="4"/>
  <c r="EZ103" i="4"/>
  <c r="FT103" i="4"/>
  <c r="GM103" i="4"/>
  <c r="HE103" i="4"/>
  <c r="HX103" i="4"/>
  <c r="IP103" i="4"/>
  <c r="JI103" i="4"/>
  <c r="KA103" i="4"/>
  <c r="J103" i="4"/>
  <c r="AE103" i="4"/>
  <c r="AY103" i="4"/>
  <c r="BV103" i="4"/>
  <c r="CQ103" i="4"/>
  <c r="DK103" i="4"/>
  <c r="EH103" i="4"/>
  <c r="FC103" i="4"/>
  <c r="FW103" i="4"/>
  <c r="GP103" i="4"/>
  <c r="HI103" i="4"/>
  <c r="IB103" i="4"/>
  <c r="IT103" i="4"/>
  <c r="JL103" i="4"/>
  <c r="KD103" i="4"/>
  <c r="O103" i="4"/>
  <c r="AR103" i="4"/>
  <c r="BZ103" i="4"/>
  <c r="DB103" i="4"/>
  <c r="EK103" i="4"/>
  <c r="FM103" i="4"/>
  <c r="GR103" i="4"/>
  <c r="HP103" i="4"/>
  <c r="IS103" i="4"/>
  <c r="JQ103" i="4"/>
  <c r="P103" i="4"/>
  <c r="AW103" i="4"/>
  <c r="CA103" i="4"/>
  <c r="DD103" i="4"/>
  <c r="EL103" i="4"/>
  <c r="FN103" i="4"/>
  <c r="GS103" i="4"/>
  <c r="HQ103" i="4"/>
  <c r="IU103" i="4"/>
  <c r="JR103" i="4"/>
  <c r="Q103" i="4"/>
  <c r="AX103" i="4"/>
  <c r="CB103" i="4"/>
  <c r="DI103" i="4"/>
  <c r="EM103" i="4"/>
  <c r="FP103" i="4"/>
  <c r="GT103" i="4"/>
  <c r="HR103" i="4"/>
  <c r="IV103" i="4"/>
  <c r="JT103" i="4"/>
  <c r="R103" i="4"/>
  <c r="AZ103" i="4"/>
  <c r="CC103" i="4"/>
  <c r="DJ103" i="4"/>
  <c r="EN103" i="4"/>
  <c r="FU103" i="4"/>
  <c r="GV103" i="4"/>
  <c r="HS103" i="4"/>
  <c r="IW103" i="4"/>
  <c r="JU103" i="4"/>
  <c r="S103" i="4"/>
  <c r="BD103" i="4"/>
  <c r="CD103" i="4"/>
  <c r="DL103" i="4"/>
  <c r="EO103" i="4"/>
  <c r="FV103" i="4"/>
  <c r="GW103" i="4"/>
  <c r="HY103" i="4"/>
  <c r="IX103" i="4"/>
  <c r="JV103" i="4"/>
  <c r="AC103" i="4"/>
  <c r="BF103" i="4"/>
  <c r="CF103" i="4"/>
  <c r="DQ103" i="4"/>
  <c r="EQ103" i="4"/>
  <c r="FZ103" i="4"/>
  <c r="GY103" i="4"/>
  <c r="IC103" i="4"/>
  <c r="IZ103" i="4"/>
  <c r="KC103" i="4"/>
  <c r="T103" i="4"/>
  <c r="BT103" i="4"/>
  <c r="DT103" i="4"/>
  <c r="FH103" i="4"/>
  <c r="HH103" i="4"/>
  <c r="IY103" i="4"/>
  <c r="AD103" i="4"/>
  <c r="BU103" i="4"/>
  <c r="DU103" i="4"/>
  <c r="FL103" i="4"/>
  <c r="HJ103" i="4"/>
  <c r="JA103" i="4"/>
  <c r="AF103" i="4"/>
  <c r="BX103" i="4"/>
  <c r="DV103" i="4"/>
  <c r="FX103" i="4"/>
  <c r="HL103" i="4"/>
  <c r="JB103" i="4"/>
  <c r="AG103" i="4"/>
  <c r="BY103" i="4"/>
  <c r="DW103" i="4"/>
  <c r="GB103" i="4"/>
  <c r="HM103" i="4"/>
  <c r="JD103" i="4"/>
  <c r="AH103" i="4"/>
  <c r="CE103" i="4"/>
  <c r="DX103" i="4"/>
  <c r="GC103" i="4"/>
  <c r="HN103" i="4"/>
  <c r="JJ103" i="4"/>
  <c r="AJ103" i="4"/>
  <c r="CP103" i="4"/>
  <c r="EG103" i="4"/>
  <c r="GF103" i="4"/>
  <c r="HZ103" i="4"/>
  <c r="JM103" i="4"/>
  <c r="AO103" i="4"/>
  <c r="DP103" i="4"/>
  <c r="GN103" i="4"/>
  <c r="JK103" i="4"/>
  <c r="AP103" i="4"/>
  <c r="DR103" i="4"/>
  <c r="GO103" i="4"/>
  <c r="JN103" i="4"/>
  <c r="BE103" i="4"/>
  <c r="EF103" i="4"/>
  <c r="GX103" i="4"/>
  <c r="JO103" i="4"/>
  <c r="BH103" i="4"/>
  <c r="EJ103" i="4"/>
  <c r="GZ103" i="4"/>
  <c r="JP103" i="4"/>
  <c r="BI103" i="4"/>
  <c r="EP103" i="4"/>
  <c r="HA103" i="4"/>
  <c r="KB103" i="4"/>
  <c r="BK103" i="4"/>
  <c r="FA103" i="4"/>
  <c r="HO103" i="4"/>
  <c r="KF103" i="4"/>
  <c r="CZ103" i="4"/>
  <c r="IG103" i="4"/>
  <c r="DA103" i="4"/>
  <c r="IH103" i="4"/>
  <c r="I103" i="4"/>
  <c r="ER103" i="4"/>
  <c r="II103" i="4"/>
  <c r="L103" i="4"/>
  <c r="FB103" i="4"/>
  <c r="IJ103" i="4"/>
  <c r="M103" i="4"/>
  <c r="FD103" i="4"/>
  <c r="IK103" i="4"/>
  <c r="AI103" i="4"/>
  <c r="FF103" i="4"/>
  <c r="KE103" i="4"/>
  <c r="BJ103" i="4"/>
  <c r="IE103" i="4"/>
  <c r="BL103" i="4"/>
  <c r="IF103" i="4"/>
  <c r="CO103" i="4"/>
  <c r="IR103" i="4"/>
  <c r="CR103" i="4"/>
  <c r="KG103" i="4"/>
  <c r="CS103" i="4"/>
  <c r="KH103" i="4"/>
  <c r="CU103" i="4"/>
  <c r="FE103" i="4"/>
  <c r="FG103" i="4"/>
  <c r="GD103" i="4"/>
  <c r="GG103" i="4"/>
  <c r="GH103" i="4"/>
  <c r="N103" i="4"/>
  <c r="AN103" i="4"/>
  <c r="CT103" i="4"/>
  <c r="CV103" i="4"/>
  <c r="GI103" i="4"/>
  <c r="ID103" i="4"/>
  <c r="HF103" i="4"/>
  <c r="U87" i="4"/>
  <c r="AK87" i="4"/>
  <c r="BA87" i="4"/>
  <c r="BQ87" i="4"/>
  <c r="CG87" i="4"/>
  <c r="CW87" i="4"/>
  <c r="DM87" i="4"/>
  <c r="EC87" i="4"/>
  <c r="ES87" i="4"/>
  <c r="FI87" i="4"/>
  <c r="FY87" i="4"/>
  <c r="GO87" i="4"/>
  <c r="HE87" i="4"/>
  <c r="HU87" i="4"/>
  <c r="IK87" i="4"/>
  <c r="JA87" i="4"/>
  <c r="JQ87" i="4"/>
  <c r="KG87" i="4"/>
  <c r="V87" i="4"/>
  <c r="AL87" i="4"/>
  <c r="BB87" i="4"/>
  <c r="BR87" i="4"/>
  <c r="CH87" i="4"/>
  <c r="CX87" i="4"/>
  <c r="DN87" i="4"/>
  <c r="ED87" i="4"/>
  <c r="ET87" i="4"/>
  <c r="FJ87" i="4"/>
  <c r="FZ87" i="4"/>
  <c r="GP87" i="4"/>
  <c r="HF87" i="4"/>
  <c r="HV87" i="4"/>
  <c r="IL87" i="4"/>
  <c r="JB87" i="4"/>
  <c r="JR87" i="4"/>
  <c r="KH87" i="4"/>
  <c r="W87" i="4"/>
  <c r="AM87" i="4"/>
  <c r="BC87" i="4"/>
  <c r="BS87" i="4"/>
  <c r="CI87" i="4"/>
  <c r="CY87" i="4"/>
  <c r="DO87" i="4"/>
  <c r="EE87" i="4"/>
  <c r="EU87" i="4"/>
  <c r="FK87" i="4"/>
  <c r="GA87" i="4"/>
  <c r="GQ87" i="4"/>
  <c r="HG87" i="4"/>
  <c r="HW87" i="4"/>
  <c r="IM87" i="4"/>
  <c r="JC87" i="4"/>
  <c r="JS87" i="4"/>
  <c r="KI87" i="4"/>
  <c r="K87" i="4"/>
  <c r="AA87" i="4"/>
  <c r="AQ87" i="4"/>
  <c r="BG87" i="4"/>
  <c r="BW87" i="4"/>
  <c r="CM87" i="4"/>
  <c r="DC87" i="4"/>
  <c r="DS87" i="4"/>
  <c r="EI87" i="4"/>
  <c r="EY87" i="4"/>
  <c r="FO87" i="4"/>
  <c r="GE87" i="4"/>
  <c r="GU87" i="4"/>
  <c r="HK87" i="4"/>
  <c r="IA87" i="4"/>
  <c r="IQ87" i="4"/>
  <c r="JG87" i="4"/>
  <c r="JW87" i="4"/>
  <c r="AC87" i="4"/>
  <c r="AW87" i="4"/>
  <c r="BT87" i="4"/>
  <c r="CO87" i="4"/>
  <c r="DI87" i="4"/>
  <c r="EF87" i="4"/>
  <c r="FA87" i="4"/>
  <c r="FU87" i="4"/>
  <c r="GR87" i="4"/>
  <c r="HM87" i="4"/>
  <c r="IG87" i="4"/>
  <c r="JD87" i="4"/>
  <c r="JY87" i="4"/>
  <c r="I87" i="4"/>
  <c r="AD87" i="4"/>
  <c r="AX87" i="4"/>
  <c r="BU87" i="4"/>
  <c r="CP87" i="4"/>
  <c r="DJ87" i="4"/>
  <c r="EG87" i="4"/>
  <c r="FB87" i="4"/>
  <c r="FV87" i="4"/>
  <c r="GS87" i="4"/>
  <c r="HN87" i="4"/>
  <c r="IH87" i="4"/>
  <c r="JE87" i="4"/>
  <c r="JZ87" i="4"/>
  <c r="J87" i="4"/>
  <c r="AE87" i="4"/>
  <c r="AY87" i="4"/>
  <c r="BV87" i="4"/>
  <c r="CQ87" i="4"/>
  <c r="DK87" i="4"/>
  <c r="EH87" i="4"/>
  <c r="FC87" i="4"/>
  <c r="FW87" i="4"/>
  <c r="GT87" i="4"/>
  <c r="HO87" i="4"/>
  <c r="II87" i="4"/>
  <c r="JF87" i="4"/>
  <c r="KA87" i="4"/>
  <c r="L87" i="4"/>
  <c r="AF87" i="4"/>
  <c r="AZ87" i="4"/>
  <c r="BX87" i="4"/>
  <c r="CR87" i="4"/>
  <c r="DL87" i="4"/>
  <c r="EJ87" i="4"/>
  <c r="FD87" i="4"/>
  <c r="FX87" i="4"/>
  <c r="GV87" i="4"/>
  <c r="HP87" i="4"/>
  <c r="IJ87" i="4"/>
  <c r="JH87" i="4"/>
  <c r="KB87" i="4"/>
  <c r="M87" i="4"/>
  <c r="AG87" i="4"/>
  <c r="BD87" i="4"/>
  <c r="BY87" i="4"/>
  <c r="CS87" i="4"/>
  <c r="DP87" i="4"/>
  <c r="EK87" i="4"/>
  <c r="FE87" i="4"/>
  <c r="GB87" i="4"/>
  <c r="GW87" i="4"/>
  <c r="HQ87" i="4"/>
  <c r="IN87" i="4"/>
  <c r="JI87" i="4"/>
  <c r="KC87" i="4"/>
  <c r="O87" i="4"/>
  <c r="AI87" i="4"/>
  <c r="BF87" i="4"/>
  <c r="CA87" i="4"/>
  <c r="CU87" i="4"/>
  <c r="DR87" i="4"/>
  <c r="EM87" i="4"/>
  <c r="FG87" i="4"/>
  <c r="GD87" i="4"/>
  <c r="GY87" i="4"/>
  <c r="HS87" i="4"/>
  <c r="IP87" i="4"/>
  <c r="JK87" i="4"/>
  <c r="KE87" i="4"/>
  <c r="S87" i="4"/>
  <c r="BE87" i="4"/>
  <c r="CJ87" i="4"/>
  <c r="DU87" i="4"/>
  <c r="EX87" i="4"/>
  <c r="GI87" i="4"/>
  <c r="HR87" i="4"/>
  <c r="IW87" i="4"/>
  <c r="T87" i="4"/>
  <c r="BH87" i="4"/>
  <c r="CK87" i="4"/>
  <c r="DV87" i="4"/>
  <c r="EZ87" i="4"/>
  <c r="GJ87" i="4"/>
  <c r="HT87" i="4"/>
  <c r="IX87" i="4"/>
  <c r="X87" i="4"/>
  <c r="BI87" i="4"/>
  <c r="CL87" i="4"/>
  <c r="DW87" i="4"/>
  <c r="FF87" i="4"/>
  <c r="GK87" i="4"/>
  <c r="HX87" i="4"/>
  <c r="IY87" i="4"/>
  <c r="Y87" i="4"/>
  <c r="BJ87" i="4"/>
  <c r="CN87" i="4"/>
  <c r="DX87" i="4"/>
  <c r="FH87" i="4"/>
  <c r="GL87" i="4"/>
  <c r="HY87" i="4"/>
  <c r="IZ87" i="4"/>
  <c r="Z87" i="4"/>
  <c r="BK87" i="4"/>
  <c r="CT87" i="4"/>
  <c r="DY87" i="4"/>
  <c r="FL87" i="4"/>
  <c r="GM87" i="4"/>
  <c r="HZ87" i="4"/>
  <c r="JJ87" i="4"/>
  <c r="AH87" i="4"/>
  <c r="BM87" i="4"/>
  <c r="CZ87" i="4"/>
  <c r="EA87" i="4"/>
  <c r="FN87" i="4"/>
  <c r="GX87" i="4"/>
  <c r="IC87" i="4"/>
  <c r="JM87" i="4"/>
  <c r="AB87" i="4"/>
  <c r="CC87" i="4"/>
  <c r="EL87" i="4"/>
  <c r="GG87" i="4"/>
  <c r="IO87" i="4"/>
  <c r="AJ87" i="4"/>
  <c r="CD87" i="4"/>
  <c r="EN87" i="4"/>
  <c r="GH87" i="4"/>
  <c r="IR87" i="4"/>
  <c r="AN87" i="4"/>
  <c r="CE87" i="4"/>
  <c r="EO87" i="4"/>
  <c r="GN87" i="4"/>
  <c r="IS87" i="4"/>
  <c r="AO87" i="4"/>
  <c r="CF87" i="4"/>
  <c r="EP87" i="4"/>
  <c r="GZ87" i="4"/>
  <c r="IT87" i="4"/>
  <c r="AP87" i="4"/>
  <c r="CV87" i="4"/>
  <c r="EQ87" i="4"/>
  <c r="HA87" i="4"/>
  <c r="IU87" i="4"/>
  <c r="AS87" i="4"/>
  <c r="DB87" i="4"/>
  <c r="EV87" i="4"/>
  <c r="HC87" i="4"/>
  <c r="JL87" i="4"/>
  <c r="BL87" i="4"/>
  <c r="ER87" i="4"/>
  <c r="IB87" i="4"/>
  <c r="BN87" i="4"/>
  <c r="EW87" i="4"/>
  <c r="ID87" i="4"/>
  <c r="BO87" i="4"/>
  <c r="FM87" i="4"/>
  <c r="IE87" i="4"/>
  <c r="BP87" i="4"/>
  <c r="FP87" i="4"/>
  <c r="IF87" i="4"/>
  <c r="BZ87" i="4"/>
  <c r="FQ87" i="4"/>
  <c r="IV87" i="4"/>
  <c r="DA87" i="4"/>
  <c r="FS87" i="4"/>
  <c r="JO87" i="4"/>
  <c r="Q87" i="4"/>
  <c r="FR87" i="4"/>
  <c r="KD87" i="4"/>
  <c r="R87" i="4"/>
  <c r="FT87" i="4"/>
  <c r="KF87" i="4"/>
  <c r="AR87" i="4"/>
  <c r="GC87" i="4"/>
  <c r="AT87" i="4"/>
  <c r="GF87" i="4"/>
  <c r="AU87" i="4"/>
  <c r="HB87" i="4"/>
  <c r="CB87" i="4"/>
  <c r="HH87" i="4"/>
  <c r="HJ87" i="4"/>
  <c r="HL87" i="4"/>
  <c r="N87" i="4"/>
  <c r="JN87" i="4"/>
  <c r="P87" i="4"/>
  <c r="JP87" i="4"/>
  <c r="AV87" i="4"/>
  <c r="JT87" i="4"/>
  <c r="DE87" i="4"/>
  <c r="JV87" i="4"/>
  <c r="DQ87" i="4"/>
  <c r="DT87" i="4"/>
  <c r="DZ87" i="4"/>
  <c r="EB87" i="4"/>
  <c r="HD87" i="4"/>
  <c r="DG87" i="4"/>
  <c r="DH87" i="4"/>
  <c r="HI87" i="4"/>
  <c r="JU87" i="4"/>
  <c r="JX87" i="4"/>
  <c r="DD87" i="4"/>
  <c r="DF87" i="4"/>
  <c r="J71" i="4"/>
  <c r="Z71" i="4"/>
  <c r="AP71" i="4"/>
  <c r="BF71" i="4"/>
  <c r="BV71" i="4"/>
  <c r="CL71" i="4"/>
  <c r="DB71" i="4"/>
  <c r="DR71" i="4"/>
  <c r="EH71" i="4"/>
  <c r="EX71" i="4"/>
  <c r="FN71" i="4"/>
  <c r="GD71" i="4"/>
  <c r="GT71" i="4"/>
  <c r="HJ71" i="4"/>
  <c r="N71" i="4"/>
  <c r="AD71" i="4"/>
  <c r="AT71" i="4"/>
  <c r="BJ71" i="4"/>
  <c r="BZ71" i="4"/>
  <c r="CP71" i="4"/>
  <c r="DF71" i="4"/>
  <c r="DV71" i="4"/>
  <c r="EL71" i="4"/>
  <c r="FB71" i="4"/>
  <c r="FR71" i="4"/>
  <c r="GH71" i="4"/>
  <c r="GX71" i="4"/>
  <c r="HN71" i="4"/>
  <c r="ID71" i="4"/>
  <c r="IT71" i="4"/>
  <c r="Y71" i="4"/>
  <c r="AR71" i="4"/>
  <c r="BK71" i="4"/>
  <c r="CC71" i="4"/>
  <c r="CU71" i="4"/>
  <c r="DM71" i="4"/>
  <c r="EE71" i="4"/>
  <c r="EW71" i="4"/>
  <c r="FP71" i="4"/>
  <c r="GI71" i="4"/>
  <c r="HA71" i="4"/>
  <c r="HS71" i="4"/>
  <c r="IJ71" i="4"/>
  <c r="JA71" i="4"/>
  <c r="JQ71" i="4"/>
  <c r="KG71" i="4"/>
  <c r="AA71" i="4"/>
  <c r="AS71" i="4"/>
  <c r="BL71" i="4"/>
  <c r="CD71" i="4"/>
  <c r="CV71" i="4"/>
  <c r="DN71" i="4"/>
  <c r="EF71" i="4"/>
  <c r="EY71" i="4"/>
  <c r="FQ71" i="4"/>
  <c r="GJ71" i="4"/>
  <c r="HB71" i="4"/>
  <c r="HT71" i="4"/>
  <c r="IK71" i="4"/>
  <c r="JB71" i="4"/>
  <c r="JR71" i="4"/>
  <c r="KH71" i="4"/>
  <c r="I71" i="4"/>
  <c r="AB71" i="4"/>
  <c r="AU71" i="4"/>
  <c r="BM71" i="4"/>
  <c r="CE71" i="4"/>
  <c r="CW71" i="4"/>
  <c r="DO71" i="4"/>
  <c r="EG71" i="4"/>
  <c r="EZ71" i="4"/>
  <c r="FS71" i="4"/>
  <c r="GK71" i="4"/>
  <c r="HC71" i="4"/>
  <c r="HU71" i="4"/>
  <c r="IL71" i="4"/>
  <c r="JC71" i="4"/>
  <c r="JS71" i="4"/>
  <c r="KI71" i="4"/>
  <c r="K71" i="4"/>
  <c r="AC71" i="4"/>
  <c r="AV71" i="4"/>
  <c r="BN71" i="4"/>
  <c r="CF71" i="4"/>
  <c r="CX71" i="4"/>
  <c r="DP71" i="4"/>
  <c r="EI71" i="4"/>
  <c r="FA71" i="4"/>
  <c r="FT71" i="4"/>
  <c r="GL71" i="4"/>
  <c r="HD71" i="4"/>
  <c r="HV71" i="4"/>
  <c r="IM71" i="4"/>
  <c r="JD71" i="4"/>
  <c r="JT71" i="4"/>
  <c r="L71" i="4"/>
  <c r="AE71" i="4"/>
  <c r="AW71" i="4"/>
  <c r="BO71" i="4"/>
  <c r="CG71" i="4"/>
  <c r="CY71" i="4"/>
  <c r="DQ71" i="4"/>
  <c r="EJ71" i="4"/>
  <c r="FC71" i="4"/>
  <c r="FU71" i="4"/>
  <c r="GM71" i="4"/>
  <c r="HE71" i="4"/>
  <c r="HW71" i="4"/>
  <c r="IN71" i="4"/>
  <c r="JE71" i="4"/>
  <c r="JU71" i="4"/>
  <c r="O71" i="4"/>
  <c r="AG71" i="4"/>
  <c r="AY71" i="4"/>
  <c r="BQ71" i="4"/>
  <c r="CI71" i="4"/>
  <c r="DA71" i="4"/>
  <c r="DT71" i="4"/>
  <c r="EM71" i="4"/>
  <c r="FE71" i="4"/>
  <c r="FW71" i="4"/>
  <c r="GO71" i="4"/>
  <c r="HG71" i="4"/>
  <c r="HY71" i="4"/>
  <c r="IP71" i="4"/>
  <c r="JG71" i="4"/>
  <c r="JW71" i="4"/>
  <c r="U71" i="4"/>
  <c r="BA71" i="4"/>
  <c r="CA71" i="4"/>
  <c r="DG71" i="4"/>
  <c r="EK71" i="4"/>
  <c r="FK71" i="4"/>
  <c r="GQ71" i="4"/>
  <c r="HQ71" i="4"/>
  <c r="IU71" i="4"/>
  <c r="JV71" i="4"/>
  <c r="V71" i="4"/>
  <c r="BB71" i="4"/>
  <c r="CB71" i="4"/>
  <c r="DH71" i="4"/>
  <c r="EN71" i="4"/>
  <c r="FL71" i="4"/>
  <c r="GR71" i="4"/>
  <c r="HR71" i="4"/>
  <c r="IV71" i="4"/>
  <c r="JX71" i="4"/>
  <c r="W71" i="4"/>
  <c r="BC71" i="4"/>
  <c r="CH71" i="4"/>
  <c r="DI71" i="4"/>
  <c r="EO71" i="4"/>
  <c r="FM71" i="4"/>
  <c r="GS71" i="4"/>
  <c r="HX71" i="4"/>
  <c r="IW71" i="4"/>
  <c r="JY71" i="4"/>
  <c r="X71" i="4"/>
  <c r="BD71" i="4"/>
  <c r="CJ71" i="4"/>
  <c r="DJ71" i="4"/>
  <c r="EP71" i="4"/>
  <c r="FO71" i="4"/>
  <c r="GU71" i="4"/>
  <c r="HZ71" i="4"/>
  <c r="IX71" i="4"/>
  <c r="JZ71" i="4"/>
  <c r="AF71" i="4"/>
  <c r="BE71" i="4"/>
  <c r="CK71" i="4"/>
  <c r="DK71" i="4"/>
  <c r="EQ71" i="4"/>
  <c r="FV71" i="4"/>
  <c r="GV71" i="4"/>
  <c r="IA71" i="4"/>
  <c r="IY71" i="4"/>
  <c r="KA71" i="4"/>
  <c r="AI71" i="4"/>
  <c r="BH71" i="4"/>
  <c r="CN71" i="4"/>
  <c r="DS71" i="4"/>
  <c r="ES71" i="4"/>
  <c r="FY71" i="4"/>
  <c r="GY71" i="4"/>
  <c r="IC71" i="4"/>
  <c r="JF71" i="4"/>
  <c r="KC71" i="4"/>
  <c r="AH71" i="4"/>
  <c r="BU71" i="4"/>
  <c r="DW71" i="4"/>
  <c r="FI71" i="4"/>
  <c r="HI71" i="4"/>
  <c r="IZ71" i="4"/>
  <c r="AJ71" i="4"/>
  <c r="BW71" i="4"/>
  <c r="DX71" i="4"/>
  <c r="FJ71" i="4"/>
  <c r="HK71" i="4"/>
  <c r="JH71" i="4"/>
  <c r="AK71" i="4"/>
  <c r="BX71" i="4"/>
  <c r="DY71" i="4"/>
  <c r="FX71" i="4"/>
  <c r="HL71" i="4"/>
  <c r="JI71" i="4"/>
  <c r="AL71" i="4"/>
  <c r="BY71" i="4"/>
  <c r="DZ71" i="4"/>
  <c r="FZ71" i="4"/>
  <c r="HM71" i="4"/>
  <c r="JJ71" i="4"/>
  <c r="AM71" i="4"/>
  <c r="CM71" i="4"/>
  <c r="EA71" i="4"/>
  <c r="GA71" i="4"/>
  <c r="HO71" i="4"/>
  <c r="JK71" i="4"/>
  <c r="AO71" i="4"/>
  <c r="CQ71" i="4"/>
  <c r="EC71" i="4"/>
  <c r="GC71" i="4"/>
  <c r="IB71" i="4"/>
  <c r="JM71" i="4"/>
  <c r="BP71" i="4"/>
  <c r="ER71" i="4"/>
  <c r="HF71" i="4"/>
  <c r="KB71" i="4"/>
  <c r="BR71" i="4"/>
  <c r="ET71" i="4"/>
  <c r="HH71" i="4"/>
  <c r="KD71" i="4"/>
  <c r="BS71" i="4"/>
  <c r="EU71" i="4"/>
  <c r="HP71" i="4"/>
  <c r="KE71" i="4"/>
  <c r="BT71" i="4"/>
  <c r="EV71" i="4"/>
  <c r="IE71" i="4"/>
  <c r="KF71" i="4"/>
  <c r="M71" i="4"/>
  <c r="CO71" i="4"/>
  <c r="FD71" i="4"/>
  <c r="IF71" i="4"/>
  <c r="Q71" i="4"/>
  <c r="CS71" i="4"/>
  <c r="FG71" i="4"/>
  <c r="IH71" i="4"/>
  <c r="S71" i="4"/>
  <c r="EB71" i="4"/>
  <c r="IR71" i="4"/>
  <c r="T71" i="4"/>
  <c r="ED71" i="4"/>
  <c r="IS71" i="4"/>
  <c r="AN71" i="4"/>
  <c r="FF71" i="4"/>
  <c r="JL71" i="4"/>
  <c r="AQ71" i="4"/>
  <c r="FH71" i="4"/>
  <c r="JN71" i="4"/>
  <c r="AX71" i="4"/>
  <c r="GB71" i="4"/>
  <c r="JO71" i="4"/>
  <c r="BG71" i="4"/>
  <c r="GF71" i="4"/>
  <c r="AZ71" i="4"/>
  <c r="IG71" i="4"/>
  <c r="BI71" i="4"/>
  <c r="II71" i="4"/>
  <c r="CR71" i="4"/>
  <c r="IO71" i="4"/>
  <c r="CT71" i="4"/>
  <c r="IQ71" i="4"/>
  <c r="CZ71" i="4"/>
  <c r="JP71" i="4"/>
  <c r="DD71" i="4"/>
  <c r="P71" i="4"/>
  <c r="R71" i="4"/>
  <c r="DC71" i="4"/>
  <c r="DE71" i="4"/>
  <c r="DL71" i="4"/>
  <c r="GE71" i="4"/>
  <c r="GN71" i="4"/>
  <c r="GW71" i="4"/>
  <c r="GZ71" i="4"/>
  <c r="DU71" i="4"/>
  <c r="GG71" i="4"/>
  <c r="GP71" i="4"/>
  <c r="Q55" i="4"/>
  <c r="AG55" i="4"/>
  <c r="AW55" i="4"/>
  <c r="BM55" i="4"/>
  <c r="CC55" i="4"/>
  <c r="CS55" i="4"/>
  <c r="DI55" i="4"/>
  <c r="DY55" i="4"/>
  <c r="EO55" i="4"/>
  <c r="FE55" i="4"/>
  <c r="FU55" i="4"/>
  <c r="GK55" i="4"/>
  <c r="HA55" i="4"/>
  <c r="HQ55" i="4"/>
  <c r="IG55" i="4"/>
  <c r="IW55" i="4"/>
  <c r="JM55" i="4"/>
  <c r="KC55" i="4"/>
  <c r="R55" i="4"/>
  <c r="AH55" i="4"/>
  <c r="AX55" i="4"/>
  <c r="BN55" i="4"/>
  <c r="CD55" i="4"/>
  <c r="CT55" i="4"/>
  <c r="DJ55" i="4"/>
  <c r="DZ55" i="4"/>
  <c r="EP55" i="4"/>
  <c r="FF55" i="4"/>
  <c r="FV55" i="4"/>
  <c r="GL55" i="4"/>
  <c r="HB55" i="4"/>
  <c r="HR55" i="4"/>
  <c r="IH55" i="4"/>
  <c r="IX55" i="4"/>
  <c r="JN55" i="4"/>
  <c r="KD55" i="4"/>
  <c r="S55" i="4"/>
  <c r="AI55" i="4"/>
  <c r="AY55" i="4"/>
  <c r="BO55" i="4"/>
  <c r="CE55" i="4"/>
  <c r="CU55" i="4"/>
  <c r="DK55" i="4"/>
  <c r="EA55" i="4"/>
  <c r="EQ55" i="4"/>
  <c r="FG55" i="4"/>
  <c r="FW55" i="4"/>
  <c r="GM55" i="4"/>
  <c r="HC55" i="4"/>
  <c r="HS55" i="4"/>
  <c r="II55" i="4"/>
  <c r="IY55" i="4"/>
  <c r="JO55" i="4"/>
  <c r="KE55" i="4"/>
  <c r="W55" i="4"/>
  <c r="AM55" i="4"/>
  <c r="BC55" i="4"/>
  <c r="BS55" i="4"/>
  <c r="CI55" i="4"/>
  <c r="CY55" i="4"/>
  <c r="DO55" i="4"/>
  <c r="EE55" i="4"/>
  <c r="EU55" i="4"/>
  <c r="FK55" i="4"/>
  <c r="GA55" i="4"/>
  <c r="GQ55" i="4"/>
  <c r="HG55" i="4"/>
  <c r="HW55" i="4"/>
  <c r="IM55" i="4"/>
  <c r="JC55" i="4"/>
  <c r="JS55" i="4"/>
  <c r="KI55" i="4"/>
  <c r="Y55" i="4"/>
  <c r="AS55" i="4"/>
  <c r="BP55" i="4"/>
  <c r="CK55" i="4"/>
  <c r="DE55" i="4"/>
  <c r="EB55" i="4"/>
  <c r="EW55" i="4"/>
  <c r="FQ55" i="4"/>
  <c r="GN55" i="4"/>
  <c r="HI55" i="4"/>
  <c r="IC55" i="4"/>
  <c r="IZ55" i="4"/>
  <c r="JU55" i="4"/>
  <c r="Z55" i="4"/>
  <c r="AT55" i="4"/>
  <c r="BQ55" i="4"/>
  <c r="CL55" i="4"/>
  <c r="DF55" i="4"/>
  <c r="EC55" i="4"/>
  <c r="EX55" i="4"/>
  <c r="FR55" i="4"/>
  <c r="GO55" i="4"/>
  <c r="HJ55" i="4"/>
  <c r="ID55" i="4"/>
  <c r="JA55" i="4"/>
  <c r="JV55" i="4"/>
  <c r="AA55" i="4"/>
  <c r="AU55" i="4"/>
  <c r="BR55" i="4"/>
  <c r="CM55" i="4"/>
  <c r="DG55" i="4"/>
  <c r="ED55" i="4"/>
  <c r="EY55" i="4"/>
  <c r="FS55" i="4"/>
  <c r="GP55" i="4"/>
  <c r="HK55" i="4"/>
  <c r="IE55" i="4"/>
  <c r="JB55" i="4"/>
  <c r="JW55" i="4"/>
  <c r="AB55" i="4"/>
  <c r="AV55" i="4"/>
  <c r="BT55" i="4"/>
  <c r="CN55" i="4"/>
  <c r="DH55" i="4"/>
  <c r="EF55" i="4"/>
  <c r="EZ55" i="4"/>
  <c r="FT55" i="4"/>
  <c r="GR55" i="4"/>
  <c r="HL55" i="4"/>
  <c r="IF55" i="4"/>
  <c r="JD55" i="4"/>
  <c r="JX55" i="4"/>
  <c r="K55" i="4"/>
  <c r="AE55" i="4"/>
  <c r="BB55" i="4"/>
  <c r="BW55" i="4"/>
  <c r="CQ55" i="4"/>
  <c r="DN55" i="4"/>
  <c r="EI55" i="4"/>
  <c r="FC55" i="4"/>
  <c r="FZ55" i="4"/>
  <c r="GU55" i="4"/>
  <c r="HO55" i="4"/>
  <c r="IL55" i="4"/>
  <c r="JG55" i="4"/>
  <c r="KA55" i="4"/>
  <c r="O55" i="4"/>
  <c r="AR55" i="4"/>
  <c r="BZ55" i="4"/>
  <c r="DC55" i="4"/>
  <c r="EK55" i="4"/>
  <c r="FN55" i="4"/>
  <c r="GV55" i="4"/>
  <c r="HY55" i="4"/>
  <c r="JF55" i="4"/>
  <c r="P55" i="4"/>
  <c r="AZ55" i="4"/>
  <c r="CA55" i="4"/>
  <c r="DD55" i="4"/>
  <c r="EL55" i="4"/>
  <c r="FO55" i="4"/>
  <c r="GW55" i="4"/>
  <c r="HZ55" i="4"/>
  <c r="JH55" i="4"/>
  <c r="T55" i="4"/>
  <c r="BA55" i="4"/>
  <c r="CB55" i="4"/>
  <c r="DL55" i="4"/>
  <c r="EM55" i="4"/>
  <c r="FP55" i="4"/>
  <c r="GX55" i="4"/>
  <c r="IA55" i="4"/>
  <c r="JI55" i="4"/>
  <c r="U55" i="4"/>
  <c r="BD55" i="4"/>
  <c r="CF55" i="4"/>
  <c r="DM55" i="4"/>
  <c r="EN55" i="4"/>
  <c r="FX55" i="4"/>
  <c r="GY55" i="4"/>
  <c r="IB55" i="4"/>
  <c r="JJ55" i="4"/>
  <c r="V55" i="4"/>
  <c r="BE55" i="4"/>
  <c r="CG55" i="4"/>
  <c r="DP55" i="4"/>
  <c r="ER55" i="4"/>
  <c r="FY55" i="4"/>
  <c r="GZ55" i="4"/>
  <c r="IJ55" i="4"/>
  <c r="JK55" i="4"/>
  <c r="AC55" i="4"/>
  <c r="BG55" i="4"/>
  <c r="CJ55" i="4"/>
  <c r="DR55" i="4"/>
  <c r="ET55" i="4"/>
  <c r="GC55" i="4"/>
  <c r="HE55" i="4"/>
  <c r="IN55" i="4"/>
  <c r="JP55" i="4"/>
  <c r="M55" i="4"/>
  <c r="BK55" i="4"/>
  <c r="DQ55" i="4"/>
  <c r="FI55" i="4"/>
  <c r="HH55" i="4"/>
  <c r="IV55" i="4"/>
  <c r="N55" i="4"/>
  <c r="BL55" i="4"/>
  <c r="DS55" i="4"/>
  <c r="FJ55" i="4"/>
  <c r="HM55" i="4"/>
  <c r="JE55" i="4"/>
  <c r="X55" i="4"/>
  <c r="BU55" i="4"/>
  <c r="DT55" i="4"/>
  <c r="FL55" i="4"/>
  <c r="HN55" i="4"/>
  <c r="JL55" i="4"/>
  <c r="AD55" i="4"/>
  <c r="BV55" i="4"/>
  <c r="DU55" i="4"/>
  <c r="FM55" i="4"/>
  <c r="HP55" i="4"/>
  <c r="JQ55" i="4"/>
  <c r="AF55" i="4"/>
  <c r="BX55" i="4"/>
  <c r="DV55" i="4"/>
  <c r="GB55" i="4"/>
  <c r="HT55" i="4"/>
  <c r="JR55" i="4"/>
  <c r="AK55" i="4"/>
  <c r="CH55" i="4"/>
  <c r="DX55" i="4"/>
  <c r="GE55" i="4"/>
  <c r="HV55" i="4"/>
  <c r="JY55" i="4"/>
  <c r="AJ55" i="4"/>
  <c r="CX55" i="4"/>
  <c r="GG55" i="4"/>
  <c r="IT55" i="4"/>
  <c r="AL55" i="4"/>
  <c r="CZ55" i="4"/>
  <c r="GH55" i="4"/>
  <c r="IU55" i="4"/>
  <c r="AN55" i="4"/>
  <c r="DA55" i="4"/>
  <c r="GI55" i="4"/>
  <c r="JT55" i="4"/>
  <c r="AO55" i="4"/>
  <c r="DB55" i="4"/>
  <c r="GJ55" i="4"/>
  <c r="JZ55" i="4"/>
  <c r="AP55" i="4"/>
  <c r="DW55" i="4"/>
  <c r="GS55" i="4"/>
  <c r="KB55" i="4"/>
  <c r="BF55" i="4"/>
  <c r="EH55" i="4"/>
  <c r="HD55" i="4"/>
  <c r="KG55" i="4"/>
  <c r="CP55" i="4"/>
  <c r="HU55" i="4"/>
  <c r="CR55" i="4"/>
  <c r="HX55" i="4"/>
  <c r="CV55" i="4"/>
  <c r="IK55" i="4"/>
  <c r="CW55" i="4"/>
  <c r="IO55" i="4"/>
  <c r="EG55" i="4"/>
  <c r="IP55" i="4"/>
  <c r="ES55" i="4"/>
  <c r="IR55" i="4"/>
  <c r="BI55" i="4"/>
  <c r="KF55" i="4"/>
  <c r="BJ55" i="4"/>
  <c r="KH55" i="4"/>
  <c r="BY55" i="4"/>
  <c r="CO55" i="4"/>
  <c r="EJ55" i="4"/>
  <c r="FA55" i="4"/>
  <c r="GT55" i="4"/>
  <c r="HF55" i="4"/>
  <c r="IQ55" i="4"/>
  <c r="IS55" i="4"/>
  <c r="J55" i="4"/>
  <c r="FD55" i="4"/>
  <c r="FH55" i="4"/>
  <c r="GD55" i="4"/>
  <c r="GF55" i="4"/>
  <c r="I55" i="4"/>
  <c r="AQ55" i="4"/>
  <c r="BH55" i="4"/>
  <c r="EV55" i="4"/>
  <c r="FB55" i="4"/>
  <c r="L55" i="4"/>
  <c r="X39" i="4"/>
  <c r="AN39" i="4"/>
  <c r="BD39" i="4"/>
  <c r="BT39" i="4"/>
  <c r="CJ39" i="4"/>
  <c r="CZ39" i="4"/>
  <c r="DP39" i="4"/>
  <c r="EF39" i="4"/>
  <c r="EV39" i="4"/>
  <c r="FL39" i="4"/>
  <c r="GB39" i="4"/>
  <c r="GR39" i="4"/>
  <c r="HH39" i="4"/>
  <c r="HX39" i="4"/>
  <c r="IN39" i="4"/>
  <c r="JD39" i="4"/>
  <c r="JT39" i="4"/>
  <c r="I39" i="4"/>
  <c r="Y39" i="4"/>
  <c r="AO39" i="4"/>
  <c r="J39" i="4"/>
  <c r="Z39" i="4"/>
  <c r="N39" i="4"/>
  <c r="AD39" i="4"/>
  <c r="AT39" i="4"/>
  <c r="BJ39" i="4"/>
  <c r="BZ39" i="4"/>
  <c r="CP39" i="4"/>
  <c r="DF39" i="4"/>
  <c r="DV39" i="4"/>
  <c r="EL39" i="4"/>
  <c r="FB39" i="4"/>
  <c r="FR39" i="4"/>
  <c r="GH39" i="4"/>
  <c r="GX39" i="4"/>
  <c r="HN39" i="4"/>
  <c r="ID39" i="4"/>
  <c r="IT39" i="4"/>
  <c r="JJ39" i="4"/>
  <c r="JZ39" i="4"/>
  <c r="O39" i="4"/>
  <c r="AI39" i="4"/>
  <c r="BB39" i="4"/>
  <c r="BU39" i="4"/>
  <c r="CM39" i="4"/>
  <c r="DE39" i="4"/>
  <c r="DX39" i="4"/>
  <c r="EP39" i="4"/>
  <c r="FH39" i="4"/>
  <c r="FZ39" i="4"/>
  <c r="GS39" i="4"/>
  <c r="HK39" i="4"/>
  <c r="IC39" i="4"/>
  <c r="IV39" i="4"/>
  <c r="JN39" i="4"/>
  <c r="KF39" i="4"/>
  <c r="P39" i="4"/>
  <c r="AJ39" i="4"/>
  <c r="BC39" i="4"/>
  <c r="BV39" i="4"/>
  <c r="CN39" i="4"/>
  <c r="DG39" i="4"/>
  <c r="DY39" i="4"/>
  <c r="EQ39" i="4"/>
  <c r="FI39" i="4"/>
  <c r="GA39" i="4"/>
  <c r="GT39" i="4"/>
  <c r="HL39" i="4"/>
  <c r="IE39" i="4"/>
  <c r="IW39" i="4"/>
  <c r="JO39" i="4"/>
  <c r="KG39" i="4"/>
  <c r="Q39" i="4"/>
  <c r="AK39" i="4"/>
  <c r="BE39" i="4"/>
  <c r="BW39" i="4"/>
  <c r="CO39" i="4"/>
  <c r="DH39" i="4"/>
  <c r="DZ39" i="4"/>
  <c r="ER39" i="4"/>
  <c r="FJ39" i="4"/>
  <c r="GC39" i="4"/>
  <c r="GU39" i="4"/>
  <c r="HM39" i="4"/>
  <c r="IF39" i="4"/>
  <c r="IX39" i="4"/>
  <c r="JP39" i="4"/>
  <c r="KH39" i="4"/>
  <c r="R39" i="4"/>
  <c r="AL39" i="4"/>
  <c r="BF39" i="4"/>
  <c r="BX39" i="4"/>
  <c r="CQ39" i="4"/>
  <c r="DI39" i="4"/>
  <c r="EA39" i="4"/>
  <c r="ES39" i="4"/>
  <c r="FK39" i="4"/>
  <c r="GD39" i="4"/>
  <c r="GV39" i="4"/>
  <c r="HO39" i="4"/>
  <c r="IG39" i="4"/>
  <c r="IY39" i="4"/>
  <c r="JQ39" i="4"/>
  <c r="KI39" i="4"/>
  <c r="S39" i="4"/>
  <c r="AM39" i="4"/>
  <c r="BG39" i="4"/>
  <c r="BY39" i="4"/>
  <c r="CR39" i="4"/>
  <c r="DJ39" i="4"/>
  <c r="EB39" i="4"/>
  <c r="ET39" i="4"/>
  <c r="FM39" i="4"/>
  <c r="GE39" i="4"/>
  <c r="GW39" i="4"/>
  <c r="HP39" i="4"/>
  <c r="IH39" i="4"/>
  <c r="U39" i="4"/>
  <c r="AQ39" i="4"/>
  <c r="BI39" i="4"/>
  <c r="CB39" i="4"/>
  <c r="CT39" i="4"/>
  <c r="DL39" i="4"/>
  <c r="ED39" i="4"/>
  <c r="EW39" i="4"/>
  <c r="FO39" i="4"/>
  <c r="GG39" i="4"/>
  <c r="GZ39" i="4"/>
  <c r="HR39" i="4"/>
  <c r="IJ39" i="4"/>
  <c r="JB39" i="4"/>
  <c r="JU39" i="4"/>
  <c r="W39" i="4"/>
  <c r="AZ39" i="4"/>
  <c r="CF39" i="4"/>
  <c r="DK39" i="4"/>
  <c r="EK39" i="4"/>
  <c r="FQ39" i="4"/>
  <c r="GP39" i="4"/>
  <c r="HV39" i="4"/>
  <c r="IZ39" i="4"/>
  <c r="JY39" i="4"/>
  <c r="AA39" i="4"/>
  <c r="BA39" i="4"/>
  <c r="CG39" i="4"/>
  <c r="DM39" i="4"/>
  <c r="EM39" i="4"/>
  <c r="FS39" i="4"/>
  <c r="GQ39" i="4"/>
  <c r="HW39" i="4"/>
  <c r="JA39" i="4"/>
  <c r="KA39" i="4"/>
  <c r="AB39" i="4"/>
  <c r="BH39" i="4"/>
  <c r="CH39" i="4"/>
  <c r="DN39" i="4"/>
  <c r="EN39" i="4"/>
  <c r="FT39" i="4"/>
  <c r="GY39" i="4"/>
  <c r="HY39" i="4"/>
  <c r="JC39" i="4"/>
  <c r="KB39" i="4"/>
  <c r="AC39" i="4"/>
  <c r="BK39" i="4"/>
  <c r="CI39" i="4"/>
  <c r="DO39" i="4"/>
  <c r="EO39" i="4"/>
  <c r="FU39" i="4"/>
  <c r="HA39" i="4"/>
  <c r="HZ39" i="4"/>
  <c r="JE39" i="4"/>
  <c r="KC39" i="4"/>
  <c r="AE39" i="4"/>
  <c r="BL39" i="4"/>
  <c r="CK39" i="4"/>
  <c r="DQ39" i="4"/>
  <c r="EU39" i="4"/>
  <c r="FV39" i="4"/>
  <c r="HB39" i="4"/>
  <c r="IA39" i="4"/>
  <c r="JF39" i="4"/>
  <c r="KD39" i="4"/>
  <c r="AG39" i="4"/>
  <c r="BN39" i="4"/>
  <c r="CS39" i="4"/>
  <c r="DS39" i="4"/>
  <c r="EY39" i="4"/>
  <c r="FX39" i="4"/>
  <c r="HD39" i="4"/>
  <c r="II39" i="4"/>
  <c r="JH39" i="4"/>
  <c r="AP39" i="4"/>
  <c r="CD39" i="4"/>
  <c r="EC39" i="4"/>
  <c r="FW39" i="4"/>
  <c r="HQ39" i="4"/>
  <c r="JK39" i="4"/>
  <c r="AR39" i="4"/>
  <c r="CE39" i="4"/>
  <c r="EE39" i="4"/>
  <c r="FY39" i="4"/>
  <c r="HS39" i="4"/>
  <c r="JL39" i="4"/>
  <c r="AS39" i="4"/>
  <c r="CL39" i="4"/>
  <c r="EG39" i="4"/>
  <c r="GF39" i="4"/>
  <c r="HT39" i="4"/>
  <c r="JM39" i="4"/>
  <c r="AU39" i="4"/>
  <c r="CU39" i="4"/>
  <c r="EH39" i="4"/>
  <c r="GI39" i="4"/>
  <c r="HU39" i="4"/>
  <c r="JR39" i="4"/>
  <c r="AV39" i="4"/>
  <c r="CV39" i="4"/>
  <c r="EI39" i="4"/>
  <c r="GJ39" i="4"/>
  <c r="IB39" i="4"/>
  <c r="JS39" i="4"/>
  <c r="AX39" i="4"/>
  <c r="CX39" i="4"/>
  <c r="EX39" i="4"/>
  <c r="GL39" i="4"/>
  <c r="IL39" i="4"/>
  <c r="JW39" i="4"/>
  <c r="BP39" i="4"/>
  <c r="EJ39" i="4"/>
  <c r="HF39" i="4"/>
  <c r="KE39" i="4"/>
  <c r="BQ39" i="4"/>
  <c r="EZ39" i="4"/>
  <c r="HG39" i="4"/>
  <c r="BR39" i="4"/>
  <c r="FA39" i="4"/>
  <c r="HI39" i="4"/>
  <c r="BS39" i="4"/>
  <c r="FC39" i="4"/>
  <c r="HJ39" i="4"/>
  <c r="CA39" i="4"/>
  <c r="FD39" i="4"/>
  <c r="IK39" i="4"/>
  <c r="L39" i="4"/>
  <c r="CW39" i="4"/>
  <c r="FF39" i="4"/>
  <c r="IO39" i="4"/>
  <c r="K39" i="4"/>
  <c r="DR39" i="4"/>
  <c r="IQ39" i="4"/>
  <c r="M39" i="4"/>
  <c r="DT39" i="4"/>
  <c r="IR39" i="4"/>
  <c r="T39" i="4"/>
  <c r="DU39" i="4"/>
  <c r="IS39" i="4"/>
  <c r="V39" i="4"/>
  <c r="DW39" i="4"/>
  <c r="IU39" i="4"/>
  <c r="AF39" i="4"/>
  <c r="FE39" i="4"/>
  <c r="JG39" i="4"/>
  <c r="AW39" i="4"/>
  <c r="FN39" i="4"/>
  <c r="JV39" i="4"/>
  <c r="FG39" i="4"/>
  <c r="FP39" i="4"/>
  <c r="GK39" i="4"/>
  <c r="GM39" i="4"/>
  <c r="GN39" i="4"/>
  <c r="AH39" i="4"/>
  <c r="HC39" i="4"/>
  <c r="IM39" i="4"/>
  <c r="IP39" i="4"/>
  <c r="JI39" i="4"/>
  <c r="JX39" i="4"/>
  <c r="BM39" i="4"/>
  <c r="AY39" i="4"/>
  <c r="BO39" i="4"/>
  <c r="CC39" i="4"/>
  <c r="DA39" i="4"/>
  <c r="CY39" i="4"/>
  <c r="DB39" i="4"/>
  <c r="DC39" i="4"/>
  <c r="GO39" i="4"/>
  <c r="DD39" i="4"/>
  <c r="HE39" i="4"/>
  <c r="V23" i="4"/>
  <c r="AL23" i="4"/>
  <c r="BB23" i="4"/>
  <c r="BR23" i="4"/>
  <c r="CH23" i="4"/>
  <c r="CX23" i="4"/>
  <c r="DN23" i="4"/>
  <c r="ED23" i="4"/>
  <c r="ET23" i="4"/>
  <c r="FJ23" i="4"/>
  <c r="FZ23" i="4"/>
  <c r="GP23" i="4"/>
  <c r="HF23" i="4"/>
  <c r="HV23" i="4"/>
  <c r="IL23" i="4"/>
  <c r="JB23" i="4"/>
  <c r="JR23" i="4"/>
  <c r="KH23" i="4"/>
  <c r="W23" i="4"/>
  <c r="AM23" i="4"/>
  <c r="BC23" i="4"/>
  <c r="BS23" i="4"/>
  <c r="CI23" i="4"/>
  <c r="CY23" i="4"/>
  <c r="DO23" i="4"/>
  <c r="EE23" i="4"/>
  <c r="EU23" i="4"/>
  <c r="FK23" i="4"/>
  <c r="GA23" i="4"/>
  <c r="GQ23" i="4"/>
  <c r="HG23" i="4"/>
  <c r="HW23" i="4"/>
  <c r="IM23" i="4"/>
  <c r="JC23" i="4"/>
  <c r="JS23" i="4"/>
  <c r="KI23" i="4"/>
  <c r="X23" i="4"/>
  <c r="AN23" i="4"/>
  <c r="BD23" i="4"/>
  <c r="BT23" i="4"/>
  <c r="CJ23" i="4"/>
  <c r="CZ23" i="4"/>
  <c r="DP23" i="4"/>
  <c r="EF23" i="4"/>
  <c r="EV23" i="4"/>
  <c r="FL23" i="4"/>
  <c r="GB23" i="4"/>
  <c r="GR23" i="4"/>
  <c r="HH23" i="4"/>
  <c r="HX23" i="4"/>
  <c r="IN23" i="4"/>
  <c r="JD23" i="4"/>
  <c r="JT23" i="4"/>
  <c r="L23" i="4"/>
  <c r="AB23" i="4"/>
  <c r="AR23" i="4"/>
  <c r="BH23" i="4"/>
  <c r="BX23" i="4"/>
  <c r="CN23" i="4"/>
  <c r="DD23" i="4"/>
  <c r="DT23" i="4"/>
  <c r="EJ23" i="4"/>
  <c r="EZ23" i="4"/>
  <c r="FP23" i="4"/>
  <c r="GF23" i="4"/>
  <c r="GV23" i="4"/>
  <c r="HL23" i="4"/>
  <c r="IB23" i="4"/>
  <c r="IR23" i="4"/>
  <c r="JH23" i="4"/>
  <c r="JX23" i="4"/>
  <c r="J23" i="4"/>
  <c r="AE23" i="4"/>
  <c r="AY23" i="4"/>
  <c r="BV23" i="4"/>
  <c r="CQ23" i="4"/>
  <c r="DK23" i="4"/>
  <c r="EH23" i="4"/>
  <c r="FC23" i="4"/>
  <c r="FW23" i="4"/>
  <c r="GT23" i="4"/>
  <c r="HO23" i="4"/>
  <c r="II23" i="4"/>
  <c r="JF23" i="4"/>
  <c r="KA23" i="4"/>
  <c r="K23" i="4"/>
  <c r="AF23" i="4"/>
  <c r="AZ23" i="4"/>
  <c r="BW23" i="4"/>
  <c r="CR23" i="4"/>
  <c r="DL23" i="4"/>
  <c r="EI23" i="4"/>
  <c r="FD23" i="4"/>
  <c r="FX23" i="4"/>
  <c r="GU23" i="4"/>
  <c r="HP23" i="4"/>
  <c r="IJ23" i="4"/>
  <c r="JG23" i="4"/>
  <c r="KB23" i="4"/>
  <c r="M23" i="4"/>
  <c r="AG23" i="4"/>
  <c r="BA23" i="4"/>
  <c r="BY23" i="4"/>
  <c r="CS23" i="4"/>
  <c r="DM23" i="4"/>
  <c r="EK23" i="4"/>
  <c r="FE23" i="4"/>
  <c r="FY23" i="4"/>
  <c r="GW23" i="4"/>
  <c r="HQ23" i="4"/>
  <c r="IK23" i="4"/>
  <c r="JI23" i="4"/>
  <c r="KC23" i="4"/>
  <c r="N23" i="4"/>
  <c r="AH23" i="4"/>
  <c r="BE23" i="4"/>
  <c r="BZ23" i="4"/>
  <c r="CT23" i="4"/>
  <c r="DQ23" i="4"/>
  <c r="EL23" i="4"/>
  <c r="FF23" i="4"/>
  <c r="GC23" i="4"/>
  <c r="GX23" i="4"/>
  <c r="HR23" i="4"/>
  <c r="IO23" i="4"/>
  <c r="JJ23" i="4"/>
  <c r="KD23" i="4"/>
  <c r="O23" i="4"/>
  <c r="AI23" i="4"/>
  <c r="BF23" i="4"/>
  <c r="CA23" i="4"/>
  <c r="CU23" i="4"/>
  <c r="DR23" i="4"/>
  <c r="EM23" i="4"/>
  <c r="FG23" i="4"/>
  <c r="GD23" i="4"/>
  <c r="GY23" i="4"/>
  <c r="HS23" i="4"/>
  <c r="IP23" i="4"/>
  <c r="JK23" i="4"/>
  <c r="KE23" i="4"/>
  <c r="Q23" i="4"/>
  <c r="AK23" i="4"/>
  <c r="BI23" i="4"/>
  <c r="CC23" i="4"/>
  <c r="CW23" i="4"/>
  <c r="DU23" i="4"/>
  <c r="EO23" i="4"/>
  <c r="FI23" i="4"/>
  <c r="GG23" i="4"/>
  <c r="HA23" i="4"/>
  <c r="HU23" i="4"/>
  <c r="IS23" i="4"/>
  <c r="JM23" i="4"/>
  <c r="KG23" i="4"/>
  <c r="U23" i="4"/>
  <c r="BG23" i="4"/>
  <c r="CL23" i="4"/>
  <c r="DW23" i="4"/>
  <c r="FA23" i="4"/>
  <c r="GK23" i="4"/>
  <c r="HT23" i="4"/>
  <c r="IY23" i="4"/>
  <c r="Y23" i="4"/>
  <c r="BJ23" i="4"/>
  <c r="CM23" i="4"/>
  <c r="DX23" i="4"/>
  <c r="FB23" i="4"/>
  <c r="GL23" i="4"/>
  <c r="HY23" i="4"/>
  <c r="IZ23" i="4"/>
  <c r="Z23" i="4"/>
  <c r="BK23" i="4"/>
  <c r="CO23" i="4"/>
  <c r="DY23" i="4"/>
  <c r="FH23" i="4"/>
  <c r="GM23" i="4"/>
  <c r="HZ23" i="4"/>
  <c r="JA23" i="4"/>
  <c r="AA23" i="4"/>
  <c r="BL23" i="4"/>
  <c r="CP23" i="4"/>
  <c r="DZ23" i="4"/>
  <c r="FM23" i="4"/>
  <c r="GN23" i="4"/>
  <c r="IA23" i="4"/>
  <c r="JE23" i="4"/>
  <c r="AC23" i="4"/>
  <c r="BM23" i="4"/>
  <c r="CV23" i="4"/>
  <c r="EA23" i="4"/>
  <c r="FN23" i="4"/>
  <c r="GO23" i="4"/>
  <c r="IC23" i="4"/>
  <c r="JL23" i="4"/>
  <c r="AJ23" i="4"/>
  <c r="BO23" i="4"/>
  <c r="DB23" i="4"/>
  <c r="EC23" i="4"/>
  <c r="FQ23" i="4"/>
  <c r="GZ23" i="4"/>
  <c r="IE23" i="4"/>
  <c r="JO23" i="4"/>
  <c r="AP23" i="4"/>
  <c r="CG23" i="4"/>
  <c r="EQ23" i="4"/>
  <c r="GS23" i="4"/>
  <c r="IU23" i="4"/>
  <c r="AQ23" i="4"/>
  <c r="CK23" i="4"/>
  <c r="ER23" i="4"/>
  <c r="HB23" i="4"/>
  <c r="IV23" i="4"/>
  <c r="AS23" i="4"/>
  <c r="DA23" i="4"/>
  <c r="ES23" i="4"/>
  <c r="HC23" i="4"/>
  <c r="IW23" i="4"/>
  <c r="AT23" i="4"/>
  <c r="DC23" i="4"/>
  <c r="EW23" i="4"/>
  <c r="HD23" i="4"/>
  <c r="IX23" i="4"/>
  <c r="AU23" i="4"/>
  <c r="DE23" i="4"/>
  <c r="EX23" i="4"/>
  <c r="HE23" i="4"/>
  <c r="JN23" i="4"/>
  <c r="AW23" i="4"/>
  <c r="DG23" i="4"/>
  <c r="FO23" i="4"/>
  <c r="HJ23" i="4"/>
  <c r="JQ23" i="4"/>
  <c r="AV23" i="4"/>
  <c r="EB23" i="4"/>
  <c r="HM23" i="4"/>
  <c r="AX23" i="4"/>
  <c r="EG23" i="4"/>
  <c r="HN23" i="4"/>
  <c r="BN23" i="4"/>
  <c r="EN23" i="4"/>
  <c r="ID23" i="4"/>
  <c r="BP23" i="4"/>
  <c r="EP23" i="4"/>
  <c r="IF23" i="4"/>
  <c r="BQ23" i="4"/>
  <c r="EY23" i="4"/>
  <c r="IG23" i="4"/>
  <c r="CB23" i="4"/>
  <c r="FS23" i="4"/>
  <c r="IQ23" i="4"/>
  <c r="DF23" i="4"/>
  <c r="IH23" i="4"/>
  <c r="DH23" i="4"/>
  <c r="IT23" i="4"/>
  <c r="DI23" i="4"/>
  <c r="JP23" i="4"/>
  <c r="DJ23" i="4"/>
  <c r="JU23" i="4"/>
  <c r="DS23" i="4"/>
  <c r="JV23" i="4"/>
  <c r="P23" i="4"/>
  <c r="FR23" i="4"/>
  <c r="JY23" i="4"/>
  <c r="S23" i="4"/>
  <c r="HI23" i="4"/>
  <c r="T23" i="4"/>
  <c r="HK23" i="4"/>
  <c r="AD23" i="4"/>
  <c r="JW23" i="4"/>
  <c r="AO23" i="4"/>
  <c r="JZ23" i="4"/>
  <c r="BU23" i="4"/>
  <c r="KF23" i="4"/>
  <c r="CE23" i="4"/>
  <c r="DV23" i="4"/>
  <c r="FT23" i="4"/>
  <c r="FU23" i="4"/>
  <c r="FV23" i="4"/>
  <c r="GE23" i="4"/>
  <c r="GI23" i="4"/>
  <c r="I23" i="4"/>
  <c r="CD23" i="4"/>
  <c r="R23" i="4"/>
  <c r="CF23" i="4"/>
  <c r="GH23" i="4"/>
  <c r="GJ23" i="4"/>
  <c r="S7" i="4"/>
  <c r="AI7" i="4"/>
  <c r="AY7" i="4"/>
  <c r="BO7" i="4"/>
  <c r="CE7" i="4"/>
  <c r="CU7" i="4"/>
  <c r="DK7" i="4"/>
  <c r="EA7" i="4"/>
  <c r="EQ7" i="4"/>
  <c r="FG7" i="4"/>
  <c r="FW7" i="4"/>
  <c r="GM7" i="4"/>
  <c r="HC7" i="4"/>
  <c r="HS7" i="4"/>
  <c r="II7" i="4"/>
  <c r="IY7" i="4"/>
  <c r="JO7" i="4"/>
  <c r="KE7" i="4"/>
  <c r="T7" i="4"/>
  <c r="AJ7" i="4"/>
  <c r="AZ7" i="4"/>
  <c r="BP7" i="4"/>
  <c r="CF7" i="4"/>
  <c r="CV7" i="4"/>
  <c r="DL7" i="4"/>
  <c r="EB7" i="4"/>
  <c r="ER7" i="4"/>
  <c r="FH7" i="4"/>
  <c r="FX7" i="4"/>
  <c r="GN7" i="4"/>
  <c r="HD7" i="4"/>
  <c r="HT7" i="4"/>
  <c r="IJ7" i="4"/>
  <c r="IZ7" i="4"/>
  <c r="JP7" i="4"/>
  <c r="KF7" i="4"/>
  <c r="U7" i="4"/>
  <c r="AK7" i="4"/>
  <c r="BA7" i="4"/>
  <c r="BQ7" i="4"/>
  <c r="CG7" i="4"/>
  <c r="CW7" i="4"/>
  <c r="DM7" i="4"/>
  <c r="EC7" i="4"/>
  <c r="ES7" i="4"/>
  <c r="FI7" i="4"/>
  <c r="FY7" i="4"/>
  <c r="GO7" i="4"/>
  <c r="HE7" i="4"/>
  <c r="HU7" i="4"/>
  <c r="IK7" i="4"/>
  <c r="JA7" i="4"/>
  <c r="JQ7" i="4"/>
  <c r="KG7" i="4"/>
  <c r="V7" i="4"/>
  <c r="AL7" i="4"/>
  <c r="BB7" i="4"/>
  <c r="BR7" i="4"/>
  <c r="CH7" i="4"/>
  <c r="CX7" i="4"/>
  <c r="DN7" i="4"/>
  <c r="ED7" i="4"/>
  <c r="ET7" i="4"/>
  <c r="FJ7" i="4"/>
  <c r="FZ7" i="4"/>
  <c r="GP7" i="4"/>
  <c r="HF7" i="4"/>
  <c r="HV7" i="4"/>
  <c r="IL7" i="4"/>
  <c r="JB7" i="4"/>
  <c r="JR7" i="4"/>
  <c r="KH7" i="4"/>
  <c r="W7" i="4"/>
  <c r="AM7" i="4"/>
  <c r="BC7" i="4"/>
  <c r="BS7" i="4"/>
  <c r="CI7" i="4"/>
  <c r="CY7" i="4"/>
  <c r="DO7" i="4"/>
  <c r="EE7" i="4"/>
  <c r="EU7" i="4"/>
  <c r="FK7" i="4"/>
  <c r="GA7" i="4"/>
  <c r="GQ7" i="4"/>
  <c r="HG7" i="4"/>
  <c r="HW7" i="4"/>
  <c r="IM7" i="4"/>
  <c r="JC7" i="4"/>
  <c r="JS7" i="4"/>
  <c r="KI7" i="4"/>
  <c r="AB7" i="4"/>
  <c r="AW7" i="4"/>
  <c r="BW7" i="4"/>
  <c r="CR7" i="4"/>
  <c r="DR7" i="4"/>
  <c r="EM7" i="4"/>
  <c r="FM7" i="4"/>
  <c r="GH7" i="4"/>
  <c r="HH7" i="4"/>
  <c r="IC7" i="4"/>
  <c r="IX7" i="4"/>
  <c r="JX7" i="4"/>
  <c r="AC7" i="4"/>
  <c r="AX7" i="4"/>
  <c r="BX7" i="4"/>
  <c r="CS7" i="4"/>
  <c r="DS7" i="4"/>
  <c r="EN7" i="4"/>
  <c r="FN7" i="4"/>
  <c r="GI7" i="4"/>
  <c r="HI7" i="4"/>
  <c r="ID7" i="4"/>
  <c r="JD7" i="4"/>
  <c r="JY7" i="4"/>
  <c r="I7" i="4"/>
  <c r="AD7" i="4"/>
  <c r="BD7" i="4"/>
  <c r="BY7" i="4"/>
  <c r="CT7" i="4"/>
  <c r="DT7" i="4"/>
  <c r="EO7" i="4"/>
  <c r="FO7" i="4"/>
  <c r="GJ7" i="4"/>
  <c r="HJ7" i="4"/>
  <c r="IE7" i="4"/>
  <c r="JE7" i="4"/>
  <c r="JZ7" i="4"/>
  <c r="J7" i="4"/>
  <c r="AE7" i="4"/>
  <c r="BE7" i="4"/>
  <c r="BZ7" i="4"/>
  <c r="CZ7" i="4"/>
  <c r="DU7" i="4"/>
  <c r="EP7" i="4"/>
  <c r="FP7" i="4"/>
  <c r="GK7" i="4"/>
  <c r="HK7" i="4"/>
  <c r="IF7" i="4"/>
  <c r="JF7" i="4"/>
  <c r="KA7" i="4"/>
  <c r="K7" i="4"/>
  <c r="AF7" i="4"/>
  <c r="BF7" i="4"/>
  <c r="CA7" i="4"/>
  <c r="DA7" i="4"/>
  <c r="DV7" i="4"/>
  <c r="EV7" i="4"/>
  <c r="FQ7" i="4"/>
  <c r="GL7" i="4"/>
  <c r="HL7" i="4"/>
  <c r="IG7" i="4"/>
  <c r="JG7" i="4"/>
  <c r="KB7" i="4"/>
  <c r="M7" i="4"/>
  <c r="AH7" i="4"/>
  <c r="BH7" i="4"/>
  <c r="CC7" i="4"/>
  <c r="DC7" i="4"/>
  <c r="DX7" i="4"/>
  <c r="EX7" i="4"/>
  <c r="FS7" i="4"/>
  <c r="GS7" i="4"/>
  <c r="HN7" i="4"/>
  <c r="IN7" i="4"/>
  <c r="JI7" i="4"/>
  <c r="KD7" i="4"/>
  <c r="AO7" i="4"/>
  <c r="BU7" i="4"/>
  <c r="DG7" i="4"/>
  <c r="EW7" i="4"/>
  <c r="GD7" i="4"/>
  <c r="HP7" i="4"/>
  <c r="IV7" i="4"/>
  <c r="AP7" i="4"/>
  <c r="BV7" i="4"/>
  <c r="DH7" i="4"/>
  <c r="EY7" i="4"/>
  <c r="GE7" i="4"/>
  <c r="HQ7" i="4"/>
  <c r="IW7" i="4"/>
  <c r="AQ7" i="4"/>
  <c r="CB7" i="4"/>
  <c r="DI7" i="4"/>
  <c r="EZ7" i="4"/>
  <c r="GF7" i="4"/>
  <c r="HR7" i="4"/>
  <c r="JH7" i="4"/>
  <c r="AR7" i="4"/>
  <c r="CD7" i="4"/>
  <c r="DJ7" i="4"/>
  <c r="FA7" i="4"/>
  <c r="GG7" i="4"/>
  <c r="HX7" i="4"/>
  <c r="JJ7" i="4"/>
  <c r="L7" i="4"/>
  <c r="AS7" i="4"/>
  <c r="CJ7" i="4"/>
  <c r="DP7" i="4"/>
  <c r="FB7" i="4"/>
  <c r="GR7" i="4"/>
  <c r="HY7" i="4"/>
  <c r="JK7" i="4"/>
  <c r="O7" i="4"/>
  <c r="AU7" i="4"/>
  <c r="CL7" i="4"/>
  <c r="DW7" i="4"/>
  <c r="FD7" i="4"/>
  <c r="GU7" i="4"/>
  <c r="IA7" i="4"/>
  <c r="JM7" i="4"/>
  <c r="X7" i="4"/>
  <c r="CK7" i="4"/>
  <c r="EI7" i="4"/>
  <c r="GW7" i="4"/>
  <c r="IT7" i="4"/>
  <c r="Y7" i="4"/>
  <c r="CM7" i="4"/>
  <c r="EJ7" i="4"/>
  <c r="GX7" i="4"/>
  <c r="IU7" i="4"/>
  <c r="Z7" i="4"/>
  <c r="CN7" i="4"/>
  <c r="EK7" i="4"/>
  <c r="GY7" i="4"/>
  <c r="JL7" i="4"/>
  <c r="AA7" i="4"/>
  <c r="CO7" i="4"/>
  <c r="EL7" i="4"/>
  <c r="GZ7" i="4"/>
  <c r="JN7" i="4"/>
  <c r="AG7" i="4"/>
  <c r="CP7" i="4"/>
  <c r="FC7" i="4"/>
  <c r="HA7" i="4"/>
  <c r="JT7" i="4"/>
  <c r="AT7" i="4"/>
  <c r="DB7" i="4"/>
  <c r="FF7" i="4"/>
  <c r="HM7" i="4"/>
  <c r="JV7" i="4"/>
  <c r="CQ7" i="4"/>
  <c r="GB7" i="4"/>
  <c r="KC7" i="4"/>
  <c r="DD7" i="4"/>
  <c r="GC7" i="4"/>
  <c r="N7" i="4"/>
  <c r="DE7" i="4"/>
  <c r="GT7" i="4"/>
  <c r="P7" i="4"/>
  <c r="DF7" i="4"/>
  <c r="GV7" i="4"/>
  <c r="Q7" i="4"/>
  <c r="DQ7" i="4"/>
  <c r="HB7" i="4"/>
  <c r="AN7" i="4"/>
  <c r="DZ7" i="4"/>
  <c r="HZ7" i="4"/>
  <c r="BL7" i="4"/>
  <c r="IH7" i="4"/>
  <c r="BM7" i="4"/>
  <c r="IO7" i="4"/>
  <c r="BN7" i="4"/>
  <c r="IP7" i="4"/>
  <c r="BT7" i="4"/>
  <c r="IQ7" i="4"/>
  <c r="DY7" i="4"/>
  <c r="IR7" i="4"/>
  <c r="EG7" i="4"/>
  <c r="JU7" i="4"/>
  <c r="R7" i="4"/>
  <c r="IS7" i="4"/>
  <c r="AV7" i="4"/>
  <c r="JW7" i="4"/>
  <c r="BG7" i="4"/>
  <c r="BI7" i="4"/>
  <c r="BJ7" i="4"/>
  <c r="EF7" i="4"/>
  <c r="FE7" i="4"/>
  <c r="FL7" i="4"/>
  <c r="FR7" i="4"/>
  <c r="FT7" i="4"/>
  <c r="FU7" i="4"/>
  <c r="HO7" i="4"/>
  <c r="BK7" i="4"/>
  <c r="EH7" i="4"/>
  <c r="FV7" i="4"/>
  <c r="IB7" i="4"/>
  <c r="V163" i="4"/>
  <c r="AL163" i="4"/>
  <c r="BB163" i="4"/>
  <c r="BR163" i="4"/>
  <c r="CH163" i="4"/>
  <c r="CX163" i="4"/>
  <c r="DN163" i="4"/>
  <c r="ED163" i="4"/>
  <c r="ET163" i="4"/>
  <c r="FJ163" i="4"/>
  <c r="FZ163" i="4"/>
  <c r="GP163" i="4"/>
  <c r="HF163" i="4"/>
  <c r="HV163" i="4"/>
  <c r="IL163" i="4"/>
  <c r="JB163" i="4"/>
  <c r="JR163" i="4"/>
  <c r="KH163" i="4"/>
  <c r="R163" i="4"/>
  <c r="AI163" i="4"/>
  <c r="AZ163" i="4"/>
  <c r="BQ163" i="4"/>
  <c r="CI163" i="4"/>
  <c r="CZ163" i="4"/>
  <c r="DQ163" i="4"/>
  <c r="EH163" i="4"/>
  <c r="EY163" i="4"/>
  <c r="FP163" i="4"/>
  <c r="GG163" i="4"/>
  <c r="GX163" i="4"/>
  <c r="HO163" i="4"/>
  <c r="IF163" i="4"/>
  <c r="IW163" i="4"/>
  <c r="JN163" i="4"/>
  <c r="KE163" i="4"/>
  <c r="S163" i="4"/>
  <c r="AJ163" i="4"/>
  <c r="BA163" i="4"/>
  <c r="BS163" i="4"/>
  <c r="CJ163" i="4"/>
  <c r="DA163" i="4"/>
  <c r="DR163" i="4"/>
  <c r="EI163" i="4"/>
  <c r="EZ163" i="4"/>
  <c r="FQ163" i="4"/>
  <c r="GH163" i="4"/>
  <c r="GY163" i="4"/>
  <c r="HP163" i="4"/>
  <c r="IG163" i="4"/>
  <c r="IX163" i="4"/>
  <c r="JO163" i="4"/>
  <c r="KF163" i="4"/>
  <c r="T163" i="4"/>
  <c r="AK163" i="4"/>
  <c r="BC163" i="4"/>
  <c r="BT163" i="4"/>
  <c r="CK163" i="4"/>
  <c r="DB163" i="4"/>
  <c r="DS163" i="4"/>
  <c r="EJ163" i="4"/>
  <c r="FA163" i="4"/>
  <c r="FR163" i="4"/>
  <c r="GI163" i="4"/>
  <c r="GZ163" i="4"/>
  <c r="HQ163" i="4"/>
  <c r="IH163" i="4"/>
  <c r="IY163" i="4"/>
  <c r="JP163" i="4"/>
  <c r="KG163" i="4"/>
  <c r="Y163" i="4"/>
  <c r="AP163" i="4"/>
  <c r="BG163" i="4"/>
  <c r="BX163" i="4"/>
  <c r="CO163" i="4"/>
  <c r="DF163" i="4"/>
  <c r="DW163" i="4"/>
  <c r="EN163" i="4"/>
  <c r="FE163" i="4"/>
  <c r="FV163" i="4"/>
  <c r="GM163" i="4"/>
  <c r="HD163" i="4"/>
  <c r="HU163" i="4"/>
  <c r="IM163" i="4"/>
  <c r="JD163" i="4"/>
  <c r="JU163" i="4"/>
  <c r="X163" i="4"/>
  <c r="AT163" i="4"/>
  <c r="BO163" i="4"/>
  <c r="CN163" i="4"/>
  <c r="DJ163" i="4"/>
  <c r="EF163" i="4"/>
  <c r="FD163" i="4"/>
  <c r="GA163" i="4"/>
  <c r="GV163" i="4"/>
  <c r="HT163" i="4"/>
  <c r="IQ163" i="4"/>
  <c r="JL163" i="4"/>
  <c r="Z163" i="4"/>
  <c r="AU163" i="4"/>
  <c r="BP163" i="4"/>
  <c r="CP163" i="4"/>
  <c r="DK163" i="4"/>
  <c r="EG163" i="4"/>
  <c r="FF163" i="4"/>
  <c r="GB163" i="4"/>
  <c r="GW163" i="4"/>
  <c r="HW163" i="4"/>
  <c r="IR163" i="4"/>
  <c r="JM163" i="4"/>
  <c r="AA163" i="4"/>
  <c r="AV163" i="4"/>
  <c r="BU163" i="4"/>
  <c r="CQ163" i="4"/>
  <c r="DL163" i="4"/>
  <c r="EK163" i="4"/>
  <c r="FG163" i="4"/>
  <c r="GC163" i="4"/>
  <c r="HA163" i="4"/>
  <c r="HX163" i="4"/>
  <c r="IS163" i="4"/>
  <c r="JQ163" i="4"/>
  <c r="AB163" i="4"/>
  <c r="AW163" i="4"/>
  <c r="BV163" i="4"/>
  <c r="CR163" i="4"/>
  <c r="DM163" i="4"/>
  <c r="EL163" i="4"/>
  <c r="FH163" i="4"/>
  <c r="GD163" i="4"/>
  <c r="HB163" i="4"/>
  <c r="HY163" i="4"/>
  <c r="IT163" i="4"/>
  <c r="JS163" i="4"/>
  <c r="AC163" i="4"/>
  <c r="AX163" i="4"/>
  <c r="BW163" i="4"/>
  <c r="CS163" i="4"/>
  <c r="DO163" i="4"/>
  <c r="EM163" i="4"/>
  <c r="FI163" i="4"/>
  <c r="GE163" i="4"/>
  <c r="HC163" i="4"/>
  <c r="HZ163" i="4"/>
  <c r="IU163" i="4"/>
  <c r="JT163" i="4"/>
  <c r="J163" i="4"/>
  <c r="AE163" i="4"/>
  <c r="BD163" i="4"/>
  <c r="BZ163" i="4"/>
  <c r="CU163" i="4"/>
  <c r="DT163" i="4"/>
  <c r="EP163" i="4"/>
  <c r="FL163" i="4"/>
  <c r="GJ163" i="4"/>
  <c r="HG163" i="4"/>
  <c r="IB163" i="4"/>
  <c r="IZ163" i="4"/>
  <c r="JW163" i="4"/>
  <c r="AG163" i="4"/>
  <c r="BM163" i="4"/>
  <c r="DC163" i="4"/>
  <c r="EO163" i="4"/>
  <c r="FU163" i="4"/>
  <c r="HI163" i="4"/>
  <c r="IO163" i="4"/>
  <c r="KA163" i="4"/>
  <c r="AH163" i="4"/>
  <c r="BN163" i="4"/>
  <c r="DD163" i="4"/>
  <c r="EQ163" i="4"/>
  <c r="FW163" i="4"/>
  <c r="HJ163" i="4"/>
  <c r="IP163" i="4"/>
  <c r="KB163" i="4"/>
  <c r="AM163" i="4"/>
  <c r="BY163" i="4"/>
  <c r="DE163" i="4"/>
  <c r="ER163" i="4"/>
  <c r="FX163" i="4"/>
  <c r="HK163" i="4"/>
  <c r="IV163" i="4"/>
  <c r="KC163" i="4"/>
  <c r="AN163" i="4"/>
  <c r="CA163" i="4"/>
  <c r="DG163" i="4"/>
  <c r="ES163" i="4"/>
  <c r="FY163" i="4"/>
  <c r="HL163" i="4"/>
  <c r="JA163" i="4"/>
  <c r="KD163" i="4"/>
  <c r="I163" i="4"/>
  <c r="AO163" i="4"/>
  <c r="CB163" i="4"/>
  <c r="DH163" i="4"/>
  <c r="EU163" i="4"/>
  <c r="GF163" i="4"/>
  <c r="HM163" i="4"/>
  <c r="JC163" i="4"/>
  <c r="KI163" i="4"/>
  <c r="L163" i="4"/>
  <c r="AR163" i="4"/>
  <c r="CD163" i="4"/>
  <c r="DP163" i="4"/>
  <c r="EW163" i="4"/>
  <c r="GL163" i="4"/>
  <c r="HR163" i="4"/>
  <c r="JF163" i="4"/>
  <c r="AY163" i="4"/>
  <c r="CW163" i="4"/>
  <c r="FK163" i="4"/>
  <c r="HN163" i="4"/>
  <c r="JV163" i="4"/>
  <c r="BE163" i="4"/>
  <c r="CY163" i="4"/>
  <c r="FM163" i="4"/>
  <c r="HS163" i="4"/>
  <c r="JX163" i="4"/>
  <c r="BF163" i="4"/>
  <c r="DI163" i="4"/>
  <c r="FN163" i="4"/>
  <c r="IA163" i="4"/>
  <c r="JY163" i="4"/>
  <c r="BH163" i="4"/>
  <c r="DU163" i="4"/>
  <c r="FO163" i="4"/>
  <c r="IC163" i="4"/>
  <c r="JZ163" i="4"/>
  <c r="K163" i="4"/>
  <c r="BI163" i="4"/>
  <c r="DV163" i="4"/>
  <c r="FS163" i="4"/>
  <c r="ID163" i="4"/>
  <c r="N163" i="4"/>
  <c r="BK163" i="4"/>
  <c r="DY163" i="4"/>
  <c r="GK163" i="4"/>
  <c r="II163" i="4"/>
  <c r="AD163" i="4"/>
  <c r="EA163" i="4"/>
  <c r="HE163" i="4"/>
  <c r="AF163" i="4"/>
  <c r="EB163" i="4"/>
  <c r="HH163" i="4"/>
  <c r="AQ163" i="4"/>
  <c r="EC163" i="4"/>
  <c r="IE163" i="4"/>
  <c r="AS163" i="4"/>
  <c r="EE163" i="4"/>
  <c r="IJ163" i="4"/>
  <c r="BJ163" i="4"/>
  <c r="EV163" i="4"/>
  <c r="IK163" i="4"/>
  <c r="CV163" i="4"/>
  <c r="JG163" i="4"/>
  <c r="DX163" i="4"/>
  <c r="JH163" i="4"/>
  <c r="M163" i="4"/>
  <c r="DZ163" i="4"/>
  <c r="JI163" i="4"/>
  <c r="O163" i="4"/>
  <c r="EX163" i="4"/>
  <c r="JJ163" i="4"/>
  <c r="P163" i="4"/>
  <c r="FB163" i="4"/>
  <c r="JK163" i="4"/>
  <c r="CE163" i="4"/>
  <c r="GR163" i="4"/>
  <c r="GN163" i="4"/>
  <c r="GO163" i="4"/>
  <c r="GQ163" i="4"/>
  <c r="GS163" i="4"/>
  <c r="U163" i="4"/>
  <c r="GU163" i="4"/>
  <c r="CG163" i="4"/>
  <c r="Q163" i="4"/>
  <c r="W163" i="4"/>
  <c r="BL163" i="4"/>
  <c r="CC163" i="4"/>
  <c r="FC163" i="4"/>
  <c r="FT163" i="4"/>
  <c r="GT163" i="4"/>
  <c r="IN163" i="4"/>
  <c r="JE163" i="4"/>
  <c r="CF163" i="4"/>
  <c r="CL163" i="4"/>
  <c r="CM163" i="4"/>
  <c r="CT163" i="4"/>
  <c r="Q99" i="4"/>
  <c r="AG99" i="4"/>
  <c r="AW99" i="4"/>
  <c r="BM99" i="4"/>
  <c r="CC99" i="4"/>
  <c r="CS99" i="4"/>
  <c r="DI99" i="4"/>
  <c r="DY99" i="4"/>
  <c r="EO99" i="4"/>
  <c r="FE99" i="4"/>
  <c r="FU99" i="4"/>
  <c r="GK99" i="4"/>
  <c r="HA99" i="4"/>
  <c r="HQ99" i="4"/>
  <c r="IG99" i="4"/>
  <c r="IW99" i="4"/>
  <c r="JM99" i="4"/>
  <c r="KC99" i="4"/>
  <c r="R99" i="4"/>
  <c r="AH99" i="4"/>
  <c r="AX99" i="4"/>
  <c r="BN99" i="4"/>
  <c r="CD99" i="4"/>
  <c r="CT99" i="4"/>
  <c r="DJ99" i="4"/>
  <c r="DZ99" i="4"/>
  <c r="EP99" i="4"/>
  <c r="FF99" i="4"/>
  <c r="FV99" i="4"/>
  <c r="GL99" i="4"/>
  <c r="HB99" i="4"/>
  <c r="HR99" i="4"/>
  <c r="IH99" i="4"/>
  <c r="IX99" i="4"/>
  <c r="JN99" i="4"/>
  <c r="KD99" i="4"/>
  <c r="S99" i="4"/>
  <c r="AI99" i="4"/>
  <c r="AY99" i="4"/>
  <c r="BO99" i="4"/>
  <c r="CE99" i="4"/>
  <c r="CU99" i="4"/>
  <c r="DK99" i="4"/>
  <c r="EA99" i="4"/>
  <c r="EQ99" i="4"/>
  <c r="FG99" i="4"/>
  <c r="FW99" i="4"/>
  <c r="GM99" i="4"/>
  <c r="HC99" i="4"/>
  <c r="HS99" i="4"/>
  <c r="II99" i="4"/>
  <c r="IY99" i="4"/>
  <c r="JO99" i="4"/>
  <c r="KE99" i="4"/>
  <c r="W99" i="4"/>
  <c r="AM99" i="4"/>
  <c r="BC99" i="4"/>
  <c r="BS99" i="4"/>
  <c r="CI99" i="4"/>
  <c r="CY99" i="4"/>
  <c r="DO99" i="4"/>
  <c r="EE99" i="4"/>
  <c r="EU99" i="4"/>
  <c r="FK99" i="4"/>
  <c r="GA99" i="4"/>
  <c r="GQ99" i="4"/>
  <c r="HG99" i="4"/>
  <c r="HW99" i="4"/>
  <c r="IM99" i="4"/>
  <c r="JC99" i="4"/>
  <c r="JS99" i="4"/>
  <c r="KI99" i="4"/>
  <c r="T99" i="4"/>
  <c r="AO99" i="4"/>
  <c r="BI99" i="4"/>
  <c r="CF99" i="4"/>
  <c r="DA99" i="4"/>
  <c r="DU99" i="4"/>
  <c r="ER99" i="4"/>
  <c r="FM99" i="4"/>
  <c r="GG99" i="4"/>
  <c r="HD99" i="4"/>
  <c r="HY99" i="4"/>
  <c r="IS99" i="4"/>
  <c r="JP99" i="4"/>
  <c r="U99" i="4"/>
  <c r="AP99" i="4"/>
  <c r="BJ99" i="4"/>
  <c r="CG99" i="4"/>
  <c r="DB99" i="4"/>
  <c r="DV99" i="4"/>
  <c r="ES99" i="4"/>
  <c r="FN99" i="4"/>
  <c r="GH99" i="4"/>
  <c r="HE99" i="4"/>
  <c r="HZ99" i="4"/>
  <c r="IT99" i="4"/>
  <c r="JQ99" i="4"/>
  <c r="V99" i="4"/>
  <c r="AQ99" i="4"/>
  <c r="BK99" i="4"/>
  <c r="CH99" i="4"/>
  <c r="DC99" i="4"/>
  <c r="DW99" i="4"/>
  <c r="ET99" i="4"/>
  <c r="FO99" i="4"/>
  <c r="GI99" i="4"/>
  <c r="HF99" i="4"/>
  <c r="IA99" i="4"/>
  <c r="IU99" i="4"/>
  <c r="JR99" i="4"/>
  <c r="X99" i="4"/>
  <c r="AR99" i="4"/>
  <c r="BL99" i="4"/>
  <c r="CJ99" i="4"/>
  <c r="DD99" i="4"/>
  <c r="DX99" i="4"/>
  <c r="EV99" i="4"/>
  <c r="FP99" i="4"/>
  <c r="GJ99" i="4"/>
  <c r="HH99" i="4"/>
  <c r="IB99" i="4"/>
  <c r="IV99" i="4"/>
  <c r="JT99" i="4"/>
  <c r="Y99" i="4"/>
  <c r="AS99" i="4"/>
  <c r="BP99" i="4"/>
  <c r="CK99" i="4"/>
  <c r="DE99" i="4"/>
  <c r="EB99" i="4"/>
  <c r="EW99" i="4"/>
  <c r="FQ99" i="4"/>
  <c r="GN99" i="4"/>
  <c r="HI99" i="4"/>
  <c r="IC99" i="4"/>
  <c r="IZ99" i="4"/>
  <c r="JU99" i="4"/>
  <c r="AA99" i="4"/>
  <c r="AU99" i="4"/>
  <c r="BR99" i="4"/>
  <c r="CM99" i="4"/>
  <c r="DG99" i="4"/>
  <c r="ED99" i="4"/>
  <c r="EY99" i="4"/>
  <c r="FS99" i="4"/>
  <c r="GP99" i="4"/>
  <c r="HK99" i="4"/>
  <c r="IE99" i="4"/>
  <c r="JB99" i="4"/>
  <c r="JW99" i="4"/>
  <c r="Z99" i="4"/>
  <c r="BE99" i="4"/>
  <c r="CO99" i="4"/>
  <c r="DS99" i="4"/>
  <c r="FC99" i="4"/>
  <c r="GO99" i="4"/>
  <c r="HT99" i="4"/>
  <c r="JE99" i="4"/>
  <c r="KH99" i="4"/>
  <c r="AB99" i="4"/>
  <c r="BF99" i="4"/>
  <c r="CP99" i="4"/>
  <c r="DT99" i="4"/>
  <c r="FD99" i="4"/>
  <c r="GR99" i="4"/>
  <c r="HU99" i="4"/>
  <c r="JF99" i="4"/>
  <c r="AC99" i="4"/>
  <c r="BG99" i="4"/>
  <c r="CQ99" i="4"/>
  <c r="EC99" i="4"/>
  <c r="FH99" i="4"/>
  <c r="GS99" i="4"/>
  <c r="HV99" i="4"/>
  <c r="JG99" i="4"/>
  <c r="AD99" i="4"/>
  <c r="BH99" i="4"/>
  <c r="CR99" i="4"/>
  <c r="EF99" i="4"/>
  <c r="FI99" i="4"/>
  <c r="GT99" i="4"/>
  <c r="HX99" i="4"/>
  <c r="JH99" i="4"/>
  <c r="AE99" i="4"/>
  <c r="BQ99" i="4"/>
  <c r="CV99" i="4"/>
  <c r="EG99" i="4"/>
  <c r="FJ99" i="4"/>
  <c r="GU99" i="4"/>
  <c r="ID99" i="4"/>
  <c r="JI99" i="4"/>
  <c r="AJ99" i="4"/>
  <c r="BU99" i="4"/>
  <c r="CX99" i="4"/>
  <c r="EI99" i="4"/>
  <c r="FR99" i="4"/>
  <c r="GW99" i="4"/>
  <c r="IJ99" i="4"/>
  <c r="JK99" i="4"/>
  <c r="O99" i="4"/>
  <c r="BY99" i="4"/>
  <c r="EH99" i="4"/>
  <c r="GC99" i="4"/>
  <c r="IL99" i="4"/>
  <c r="KF99" i="4"/>
  <c r="P99" i="4"/>
  <c r="BZ99" i="4"/>
  <c r="EJ99" i="4"/>
  <c r="GD99" i="4"/>
  <c r="IN99" i="4"/>
  <c r="KG99" i="4"/>
  <c r="AF99" i="4"/>
  <c r="CA99" i="4"/>
  <c r="EK99" i="4"/>
  <c r="GE99" i="4"/>
  <c r="IO99" i="4"/>
  <c r="AK99" i="4"/>
  <c r="CB99" i="4"/>
  <c r="EL99" i="4"/>
  <c r="GF99" i="4"/>
  <c r="IP99" i="4"/>
  <c r="AL99" i="4"/>
  <c r="CL99" i="4"/>
  <c r="EM99" i="4"/>
  <c r="GV99" i="4"/>
  <c r="IQ99" i="4"/>
  <c r="AT99" i="4"/>
  <c r="CW99" i="4"/>
  <c r="EX99" i="4"/>
  <c r="GY99" i="4"/>
  <c r="JA99" i="4"/>
  <c r="M99" i="4"/>
  <c r="DL99" i="4"/>
  <c r="GX99" i="4"/>
  <c r="JY99" i="4"/>
  <c r="N99" i="4"/>
  <c r="DM99" i="4"/>
  <c r="GZ99" i="4"/>
  <c r="JZ99" i="4"/>
  <c r="AN99" i="4"/>
  <c r="DN99" i="4"/>
  <c r="HJ99" i="4"/>
  <c r="KA99" i="4"/>
  <c r="AV99" i="4"/>
  <c r="DP99" i="4"/>
  <c r="HL99" i="4"/>
  <c r="KB99" i="4"/>
  <c r="AZ99" i="4"/>
  <c r="DQ99" i="4"/>
  <c r="HM99" i="4"/>
  <c r="BB99" i="4"/>
  <c r="EN99" i="4"/>
  <c r="HO99" i="4"/>
  <c r="BW99" i="4"/>
  <c r="HN99" i="4"/>
  <c r="BX99" i="4"/>
  <c r="HP99" i="4"/>
  <c r="CN99" i="4"/>
  <c r="IF99" i="4"/>
  <c r="CZ99" i="4"/>
  <c r="IK99" i="4"/>
  <c r="DF99" i="4"/>
  <c r="IR99" i="4"/>
  <c r="DR99" i="4"/>
  <c r="JJ99" i="4"/>
  <c r="FA99" i="4"/>
  <c r="FB99" i="4"/>
  <c r="FL99" i="4"/>
  <c r="FT99" i="4"/>
  <c r="FX99" i="4"/>
  <c r="I99" i="4"/>
  <c r="FZ99" i="4"/>
  <c r="JV99" i="4"/>
  <c r="JX99" i="4"/>
  <c r="J99" i="4"/>
  <c r="K99" i="4"/>
  <c r="DH99" i="4"/>
  <c r="BV99" i="4"/>
  <c r="EZ99" i="4"/>
  <c r="FY99" i="4"/>
  <c r="GB99" i="4"/>
  <c r="JD99" i="4"/>
  <c r="JL99" i="4"/>
  <c r="L99" i="4"/>
  <c r="BA99" i="4"/>
  <c r="BD99" i="4"/>
  <c r="BT99" i="4"/>
  <c r="R35" i="4"/>
  <c r="AH35" i="4"/>
  <c r="AX35" i="4"/>
  <c r="BN35" i="4"/>
  <c r="CD35" i="4"/>
  <c r="CT35" i="4"/>
  <c r="DJ35" i="4"/>
  <c r="DZ35" i="4"/>
  <c r="EP35" i="4"/>
  <c r="FF35" i="4"/>
  <c r="FV35" i="4"/>
  <c r="GL35" i="4"/>
  <c r="HB35" i="4"/>
  <c r="HR35" i="4"/>
  <c r="IH35" i="4"/>
  <c r="IX35" i="4"/>
  <c r="JN35" i="4"/>
  <c r="KD35" i="4"/>
  <c r="W35" i="4"/>
  <c r="AN35" i="4"/>
  <c r="BE35" i="4"/>
  <c r="BV35" i="4"/>
  <c r="CM35" i="4"/>
  <c r="DD35" i="4"/>
  <c r="DU35" i="4"/>
  <c r="EL35" i="4"/>
  <c r="FC35" i="4"/>
  <c r="FT35" i="4"/>
  <c r="GK35" i="4"/>
  <c r="HC35" i="4"/>
  <c r="HT35" i="4"/>
  <c r="IK35" i="4"/>
  <c r="JB35" i="4"/>
  <c r="JS35" i="4"/>
  <c r="X35" i="4"/>
  <c r="AO35" i="4"/>
  <c r="BF35" i="4"/>
  <c r="BW35" i="4"/>
  <c r="CN35" i="4"/>
  <c r="DE35" i="4"/>
  <c r="DV35" i="4"/>
  <c r="EM35" i="4"/>
  <c r="FD35" i="4"/>
  <c r="FU35" i="4"/>
  <c r="GM35" i="4"/>
  <c r="HD35" i="4"/>
  <c r="HU35" i="4"/>
  <c r="IL35" i="4"/>
  <c r="JC35" i="4"/>
  <c r="JT35" i="4"/>
  <c r="Y35" i="4"/>
  <c r="AP35" i="4"/>
  <c r="BG35" i="4"/>
  <c r="BX35" i="4"/>
  <c r="CO35" i="4"/>
  <c r="DF35" i="4"/>
  <c r="DW35" i="4"/>
  <c r="EN35" i="4"/>
  <c r="FE35" i="4"/>
  <c r="FW35" i="4"/>
  <c r="GN35" i="4"/>
  <c r="HE35" i="4"/>
  <c r="HV35" i="4"/>
  <c r="IM35" i="4"/>
  <c r="JD35" i="4"/>
  <c r="JU35" i="4"/>
  <c r="L35" i="4"/>
  <c r="AC35" i="4"/>
  <c r="AT35" i="4"/>
  <c r="BK35" i="4"/>
  <c r="CB35" i="4"/>
  <c r="CS35" i="4"/>
  <c r="DK35" i="4"/>
  <c r="EB35" i="4"/>
  <c r="ES35" i="4"/>
  <c r="FJ35" i="4"/>
  <c r="GA35" i="4"/>
  <c r="GR35" i="4"/>
  <c r="HI35" i="4"/>
  <c r="HZ35" i="4"/>
  <c r="IQ35" i="4"/>
  <c r="JH35" i="4"/>
  <c r="JY35" i="4"/>
  <c r="V35" i="4"/>
  <c r="AU35" i="4"/>
  <c r="BQ35" i="4"/>
  <c r="CL35" i="4"/>
  <c r="DL35" i="4"/>
  <c r="EG35" i="4"/>
  <c r="FB35" i="4"/>
  <c r="GB35" i="4"/>
  <c r="GW35" i="4"/>
  <c r="HS35" i="4"/>
  <c r="IR35" i="4"/>
  <c r="JM35" i="4"/>
  <c r="KI35" i="4"/>
  <c r="Z35" i="4"/>
  <c r="AV35" i="4"/>
  <c r="BR35" i="4"/>
  <c r="CP35" i="4"/>
  <c r="DM35" i="4"/>
  <c r="EH35" i="4"/>
  <c r="FG35" i="4"/>
  <c r="GC35" i="4"/>
  <c r="GX35" i="4"/>
  <c r="HW35" i="4"/>
  <c r="IS35" i="4"/>
  <c r="JO35" i="4"/>
  <c r="AA35" i="4"/>
  <c r="AW35" i="4"/>
  <c r="BS35" i="4"/>
  <c r="CQ35" i="4"/>
  <c r="DN35" i="4"/>
  <c r="EI35" i="4"/>
  <c r="FH35" i="4"/>
  <c r="GD35" i="4"/>
  <c r="GY35" i="4"/>
  <c r="HX35" i="4"/>
  <c r="IT35" i="4"/>
  <c r="JP35" i="4"/>
  <c r="AB35" i="4"/>
  <c r="AY35" i="4"/>
  <c r="BT35" i="4"/>
  <c r="CR35" i="4"/>
  <c r="DO35" i="4"/>
  <c r="EJ35" i="4"/>
  <c r="FI35" i="4"/>
  <c r="GE35" i="4"/>
  <c r="GZ35" i="4"/>
  <c r="HY35" i="4"/>
  <c r="IU35" i="4"/>
  <c r="JQ35" i="4"/>
  <c r="AD35" i="4"/>
  <c r="AZ35" i="4"/>
  <c r="BU35" i="4"/>
  <c r="CU35" i="4"/>
  <c r="DP35" i="4"/>
  <c r="EK35" i="4"/>
  <c r="FK35" i="4"/>
  <c r="GF35" i="4"/>
  <c r="HA35" i="4"/>
  <c r="IA35" i="4"/>
  <c r="IV35" i="4"/>
  <c r="JR35" i="4"/>
  <c r="J35" i="4"/>
  <c r="AF35" i="4"/>
  <c r="BB35" i="4"/>
  <c r="BZ35" i="4"/>
  <c r="CW35" i="4"/>
  <c r="DR35" i="4"/>
  <c r="EQ35" i="4"/>
  <c r="FM35" i="4"/>
  <c r="GH35" i="4"/>
  <c r="HG35" i="4"/>
  <c r="IC35" i="4"/>
  <c r="IY35" i="4"/>
  <c r="JW35" i="4"/>
  <c r="O35" i="4"/>
  <c r="BA35" i="4"/>
  <c r="CH35" i="4"/>
  <c r="DT35" i="4"/>
  <c r="EZ35" i="4"/>
  <c r="GP35" i="4"/>
  <c r="IB35" i="4"/>
  <c r="JI35" i="4"/>
  <c r="P35" i="4"/>
  <c r="BC35" i="4"/>
  <c r="CI35" i="4"/>
  <c r="DX35" i="4"/>
  <c r="FA35" i="4"/>
  <c r="GQ35" i="4"/>
  <c r="ID35" i="4"/>
  <c r="JJ35" i="4"/>
  <c r="Q35" i="4"/>
  <c r="BD35" i="4"/>
  <c r="CJ35" i="4"/>
  <c r="DY35" i="4"/>
  <c r="FL35" i="4"/>
  <c r="GS35" i="4"/>
  <c r="IE35" i="4"/>
  <c r="JK35" i="4"/>
  <c r="S35" i="4"/>
  <c r="BH35" i="4"/>
  <c r="CK35" i="4"/>
  <c r="EA35" i="4"/>
  <c r="FN35" i="4"/>
  <c r="GT35" i="4"/>
  <c r="IF35" i="4"/>
  <c r="JL35" i="4"/>
  <c r="T35" i="4"/>
  <c r="BI35" i="4"/>
  <c r="CV35" i="4"/>
  <c r="EC35" i="4"/>
  <c r="FO35" i="4"/>
  <c r="GU35" i="4"/>
  <c r="IG35" i="4"/>
  <c r="JV35" i="4"/>
  <c r="AE35" i="4"/>
  <c r="BL35" i="4"/>
  <c r="CY35" i="4"/>
  <c r="EE35" i="4"/>
  <c r="FQ35" i="4"/>
  <c r="HF35" i="4"/>
  <c r="IJ35" i="4"/>
  <c r="JZ35" i="4"/>
  <c r="I35" i="4"/>
  <c r="BO35" i="4"/>
  <c r="DQ35" i="4"/>
  <c r="FY35" i="4"/>
  <c r="II35" i="4"/>
  <c r="KG35" i="4"/>
  <c r="K35" i="4"/>
  <c r="BP35" i="4"/>
  <c r="DS35" i="4"/>
  <c r="FZ35" i="4"/>
  <c r="IN35" i="4"/>
  <c r="KH35" i="4"/>
  <c r="M35" i="4"/>
  <c r="BY35" i="4"/>
  <c r="ED35" i="4"/>
  <c r="GG35" i="4"/>
  <c r="IO35" i="4"/>
  <c r="N35" i="4"/>
  <c r="CA35" i="4"/>
  <c r="EF35" i="4"/>
  <c r="GI35" i="4"/>
  <c r="IP35" i="4"/>
  <c r="U35" i="4"/>
  <c r="CC35" i="4"/>
  <c r="EO35" i="4"/>
  <c r="GJ35" i="4"/>
  <c r="IW35" i="4"/>
  <c r="AI35" i="4"/>
  <c r="CF35" i="4"/>
  <c r="ET35" i="4"/>
  <c r="GV35" i="4"/>
  <c r="JA35" i="4"/>
  <c r="AR35" i="4"/>
  <c r="EV35" i="4"/>
  <c r="HP35" i="4"/>
  <c r="AS35" i="4"/>
  <c r="EW35" i="4"/>
  <c r="HQ35" i="4"/>
  <c r="BJ35" i="4"/>
  <c r="EX35" i="4"/>
  <c r="IZ35" i="4"/>
  <c r="BM35" i="4"/>
  <c r="EY35" i="4"/>
  <c r="JE35" i="4"/>
  <c r="CE35" i="4"/>
  <c r="FP35" i="4"/>
  <c r="JF35" i="4"/>
  <c r="CX35" i="4"/>
  <c r="FS35" i="4"/>
  <c r="JX35" i="4"/>
  <c r="ER35" i="4"/>
  <c r="KE35" i="4"/>
  <c r="EU35" i="4"/>
  <c r="KF35" i="4"/>
  <c r="AG35" i="4"/>
  <c r="FR35" i="4"/>
  <c r="AJ35" i="4"/>
  <c r="FX35" i="4"/>
  <c r="AK35" i="4"/>
  <c r="GO35" i="4"/>
  <c r="AM35" i="4"/>
  <c r="HJ35" i="4"/>
  <c r="HH35" i="4"/>
  <c r="HK35" i="4"/>
  <c r="HL35" i="4"/>
  <c r="HM35" i="4"/>
  <c r="HN35" i="4"/>
  <c r="AL35" i="4"/>
  <c r="JG35" i="4"/>
  <c r="AQ35" i="4"/>
  <c r="CG35" i="4"/>
  <c r="DA35" i="4"/>
  <c r="CZ35" i="4"/>
  <c r="DC35" i="4"/>
  <c r="DH35" i="4"/>
  <c r="DI35" i="4"/>
  <c r="HO35" i="4"/>
  <c r="KA35" i="4"/>
  <c r="KB35" i="4"/>
  <c r="DB35" i="4"/>
  <c r="DG35" i="4"/>
  <c r="KC35" i="4"/>
  <c r="I166" i="4"/>
  <c r="Y166" i="4"/>
  <c r="AO166" i="4"/>
  <c r="BE166" i="4"/>
  <c r="BU166" i="4"/>
  <c r="CK166" i="4"/>
  <c r="DA166" i="4"/>
  <c r="DQ166" i="4"/>
  <c r="EG166" i="4"/>
  <c r="EW166" i="4"/>
  <c r="FM166" i="4"/>
  <c r="GC166" i="4"/>
  <c r="GS166" i="4"/>
  <c r="HI166" i="4"/>
  <c r="HY166" i="4"/>
  <c r="IO166" i="4"/>
  <c r="JE166" i="4"/>
  <c r="JU166" i="4"/>
  <c r="K166" i="4"/>
  <c r="AB166" i="4"/>
  <c r="AS166" i="4"/>
  <c r="BJ166" i="4"/>
  <c r="CA166" i="4"/>
  <c r="CR166" i="4"/>
  <c r="DI166" i="4"/>
  <c r="DZ166" i="4"/>
  <c r="EQ166" i="4"/>
  <c r="FH166" i="4"/>
  <c r="FY166" i="4"/>
  <c r="GP166" i="4"/>
  <c r="HG166" i="4"/>
  <c r="HX166" i="4"/>
  <c r="IP166" i="4"/>
  <c r="JG166" i="4"/>
  <c r="JX166" i="4"/>
  <c r="L166" i="4"/>
  <c r="AC166" i="4"/>
  <c r="AT166" i="4"/>
  <c r="BK166" i="4"/>
  <c r="CB166" i="4"/>
  <c r="CS166" i="4"/>
  <c r="DJ166" i="4"/>
  <c r="EA166" i="4"/>
  <c r="ER166" i="4"/>
  <c r="FI166" i="4"/>
  <c r="FZ166" i="4"/>
  <c r="GQ166" i="4"/>
  <c r="HH166" i="4"/>
  <c r="HZ166" i="4"/>
  <c r="IQ166" i="4"/>
  <c r="JH166" i="4"/>
  <c r="JY166" i="4"/>
  <c r="M166" i="4"/>
  <c r="AD166" i="4"/>
  <c r="AU166" i="4"/>
  <c r="BL166" i="4"/>
  <c r="CC166" i="4"/>
  <c r="CT166" i="4"/>
  <c r="DK166" i="4"/>
  <c r="EB166" i="4"/>
  <c r="ES166" i="4"/>
  <c r="FJ166" i="4"/>
  <c r="GA166" i="4"/>
  <c r="GR166" i="4"/>
  <c r="HJ166" i="4"/>
  <c r="IA166" i="4"/>
  <c r="IR166" i="4"/>
  <c r="JI166" i="4"/>
  <c r="JZ166" i="4"/>
  <c r="Q166" i="4"/>
  <c r="AH166" i="4"/>
  <c r="AY166" i="4"/>
  <c r="BP166" i="4"/>
  <c r="CG166" i="4"/>
  <c r="CX166" i="4"/>
  <c r="DO166" i="4"/>
  <c r="EF166" i="4"/>
  <c r="EX166" i="4"/>
  <c r="FO166" i="4"/>
  <c r="GF166" i="4"/>
  <c r="GW166" i="4"/>
  <c r="HN166" i="4"/>
  <c r="IE166" i="4"/>
  <c r="IV166" i="4"/>
  <c r="JM166" i="4"/>
  <c r="KD166" i="4"/>
  <c r="Z166" i="4"/>
  <c r="AX166" i="4"/>
  <c r="BT166" i="4"/>
  <c r="CP166" i="4"/>
  <c r="DN166" i="4"/>
  <c r="EK166" i="4"/>
  <c r="FF166" i="4"/>
  <c r="GE166" i="4"/>
  <c r="HA166" i="4"/>
  <c r="HV166" i="4"/>
  <c r="IU166" i="4"/>
  <c r="JQ166" i="4"/>
  <c r="AA166" i="4"/>
  <c r="AZ166" i="4"/>
  <c r="BV166" i="4"/>
  <c r="CQ166" i="4"/>
  <c r="DP166" i="4"/>
  <c r="EL166" i="4"/>
  <c r="FG166" i="4"/>
  <c r="GG166" i="4"/>
  <c r="HB166" i="4"/>
  <c r="HW166" i="4"/>
  <c r="IW166" i="4"/>
  <c r="JR166" i="4"/>
  <c r="AE166" i="4"/>
  <c r="BA166" i="4"/>
  <c r="BW166" i="4"/>
  <c r="CU166" i="4"/>
  <c r="DR166" i="4"/>
  <c r="EM166" i="4"/>
  <c r="FK166" i="4"/>
  <c r="GH166" i="4"/>
  <c r="HC166" i="4"/>
  <c r="IB166" i="4"/>
  <c r="IX166" i="4"/>
  <c r="JS166" i="4"/>
  <c r="AF166" i="4"/>
  <c r="BB166" i="4"/>
  <c r="BX166" i="4"/>
  <c r="CV166" i="4"/>
  <c r="DS166" i="4"/>
  <c r="EN166" i="4"/>
  <c r="FL166" i="4"/>
  <c r="GI166" i="4"/>
  <c r="HD166" i="4"/>
  <c r="IC166" i="4"/>
  <c r="IY166" i="4"/>
  <c r="JT166" i="4"/>
  <c r="AG166" i="4"/>
  <c r="BC166" i="4"/>
  <c r="BY166" i="4"/>
  <c r="CW166" i="4"/>
  <c r="DT166" i="4"/>
  <c r="EO166" i="4"/>
  <c r="N166" i="4"/>
  <c r="AJ166" i="4"/>
  <c r="BF166" i="4"/>
  <c r="CD166" i="4"/>
  <c r="CZ166" i="4"/>
  <c r="DV166" i="4"/>
  <c r="ET166" i="4"/>
  <c r="FQ166" i="4"/>
  <c r="GL166" i="4"/>
  <c r="HK166" i="4"/>
  <c r="IG166" i="4"/>
  <c r="JB166" i="4"/>
  <c r="KA166" i="4"/>
  <c r="J166" i="4"/>
  <c r="AQ166" i="4"/>
  <c r="CF166" i="4"/>
  <c r="DL166" i="4"/>
  <c r="EZ166" i="4"/>
  <c r="GD166" i="4"/>
  <c r="HO166" i="4"/>
  <c r="IS166" i="4"/>
  <c r="KC166" i="4"/>
  <c r="O166" i="4"/>
  <c r="AR166" i="4"/>
  <c r="CH166" i="4"/>
  <c r="DM166" i="4"/>
  <c r="FA166" i="4"/>
  <c r="GJ166" i="4"/>
  <c r="HP166" i="4"/>
  <c r="IT166" i="4"/>
  <c r="KE166" i="4"/>
  <c r="P166" i="4"/>
  <c r="AV166" i="4"/>
  <c r="CI166" i="4"/>
  <c r="DU166" i="4"/>
  <c r="FB166" i="4"/>
  <c r="GK166" i="4"/>
  <c r="HQ166" i="4"/>
  <c r="IZ166" i="4"/>
  <c r="KF166" i="4"/>
  <c r="R166" i="4"/>
  <c r="AW166" i="4"/>
  <c r="CJ166" i="4"/>
  <c r="DW166" i="4"/>
  <c r="FC166" i="4"/>
  <c r="GM166" i="4"/>
  <c r="HR166" i="4"/>
  <c r="JA166" i="4"/>
  <c r="KG166" i="4"/>
  <c r="S166" i="4"/>
  <c r="BD166" i="4"/>
  <c r="CL166" i="4"/>
  <c r="DX166" i="4"/>
  <c r="FD166" i="4"/>
  <c r="GN166" i="4"/>
  <c r="HS166" i="4"/>
  <c r="JC166" i="4"/>
  <c r="KH166" i="4"/>
  <c r="U166" i="4"/>
  <c r="BH166" i="4"/>
  <c r="CN166" i="4"/>
  <c r="EC166" i="4"/>
  <c r="FN166" i="4"/>
  <c r="GT166" i="4"/>
  <c r="HU166" i="4"/>
  <c r="JF166" i="4"/>
  <c r="BM166" i="4"/>
  <c r="DG166" i="4"/>
  <c r="FT166" i="4"/>
  <c r="HT166" i="4"/>
  <c r="JP166" i="4"/>
  <c r="BN166" i="4"/>
  <c r="DH166" i="4"/>
  <c r="FU166" i="4"/>
  <c r="ID166" i="4"/>
  <c r="JV166" i="4"/>
  <c r="BO166" i="4"/>
  <c r="DY166" i="4"/>
  <c r="FV166" i="4"/>
  <c r="IF166" i="4"/>
  <c r="JW166" i="4"/>
  <c r="BQ166" i="4"/>
  <c r="ED166" i="4"/>
  <c r="FW166" i="4"/>
  <c r="IH166" i="4"/>
  <c r="KB166" i="4"/>
  <c r="T166" i="4"/>
  <c r="BR166" i="4"/>
  <c r="EE166" i="4"/>
  <c r="FX166" i="4"/>
  <c r="II166" i="4"/>
  <c r="KI166" i="4"/>
  <c r="W166" i="4"/>
  <c r="BZ166" i="4"/>
  <c r="EI166" i="4"/>
  <c r="GO166" i="4"/>
  <c r="IK166" i="4"/>
  <c r="V166" i="4"/>
  <c r="DC166" i="4"/>
  <c r="GV166" i="4"/>
  <c r="JN166" i="4"/>
  <c r="X166" i="4"/>
  <c r="DD166" i="4"/>
  <c r="GX166" i="4"/>
  <c r="JO166" i="4"/>
  <c r="AI166" i="4"/>
  <c r="DE166" i="4"/>
  <c r="GY166" i="4"/>
  <c r="AK166" i="4"/>
  <c r="DF166" i="4"/>
  <c r="GZ166" i="4"/>
  <c r="AL166" i="4"/>
  <c r="EH166" i="4"/>
  <c r="HE166" i="4"/>
  <c r="BS166" i="4"/>
  <c r="GU166" i="4"/>
  <c r="CE166" i="4"/>
  <c r="HF166" i="4"/>
  <c r="CM166" i="4"/>
  <c r="HL166" i="4"/>
  <c r="CO166" i="4"/>
  <c r="HM166" i="4"/>
  <c r="CY166" i="4"/>
  <c r="IJ166" i="4"/>
  <c r="EY166" i="4"/>
  <c r="JK166" i="4"/>
  <c r="FP166" i="4"/>
  <c r="FR166" i="4"/>
  <c r="FS166" i="4"/>
  <c r="GB166" i="4"/>
  <c r="AM166" i="4"/>
  <c r="IM166" i="4"/>
  <c r="DB166" i="4"/>
  <c r="EP166" i="4"/>
  <c r="EU166" i="4"/>
  <c r="EV166" i="4"/>
  <c r="FE166" i="4"/>
  <c r="IL166" i="4"/>
  <c r="IN166" i="4"/>
  <c r="AN166" i="4"/>
  <c r="JL166" i="4"/>
  <c r="BI166" i="4"/>
  <c r="EJ166" i="4"/>
  <c r="JD166" i="4"/>
  <c r="AP166" i="4"/>
  <c r="BG166" i="4"/>
  <c r="JJ166" i="4"/>
  <c r="S150" i="4"/>
  <c r="AI150" i="4"/>
  <c r="AY150" i="4"/>
  <c r="BO150" i="4"/>
  <c r="CE150" i="4"/>
  <c r="CU150" i="4"/>
  <c r="DK150" i="4"/>
  <c r="EA150" i="4"/>
  <c r="EQ150" i="4"/>
  <c r="FG150" i="4"/>
  <c r="FW150" i="4"/>
  <c r="GM150" i="4"/>
  <c r="HC150" i="4"/>
  <c r="HS150" i="4"/>
  <c r="II150" i="4"/>
  <c r="IY150" i="4"/>
  <c r="JO150" i="4"/>
  <c r="KE150" i="4"/>
  <c r="T150" i="4"/>
  <c r="AJ150" i="4"/>
  <c r="AZ150" i="4"/>
  <c r="BP150" i="4"/>
  <c r="CF150" i="4"/>
  <c r="CV150" i="4"/>
  <c r="DL150" i="4"/>
  <c r="EB150" i="4"/>
  <c r="ER150" i="4"/>
  <c r="FH150" i="4"/>
  <c r="FX150" i="4"/>
  <c r="GN150" i="4"/>
  <c r="HD150" i="4"/>
  <c r="HT150" i="4"/>
  <c r="IJ150" i="4"/>
  <c r="IZ150" i="4"/>
  <c r="JP150" i="4"/>
  <c r="KF150" i="4"/>
  <c r="U150" i="4"/>
  <c r="AK150" i="4"/>
  <c r="BA150" i="4"/>
  <c r="BQ150" i="4"/>
  <c r="CG150" i="4"/>
  <c r="CW150" i="4"/>
  <c r="DM150" i="4"/>
  <c r="EC150" i="4"/>
  <c r="ES150" i="4"/>
  <c r="FI150" i="4"/>
  <c r="FY150" i="4"/>
  <c r="GO150" i="4"/>
  <c r="HE150" i="4"/>
  <c r="HU150" i="4"/>
  <c r="IK150" i="4"/>
  <c r="JA150" i="4"/>
  <c r="JQ150" i="4"/>
  <c r="KG150" i="4"/>
  <c r="I150" i="4"/>
  <c r="Y150" i="4"/>
  <c r="AO150" i="4"/>
  <c r="BE150" i="4"/>
  <c r="BU150" i="4"/>
  <c r="CK150" i="4"/>
  <c r="DA150" i="4"/>
  <c r="DQ150" i="4"/>
  <c r="EG150" i="4"/>
  <c r="EW150" i="4"/>
  <c r="FM150" i="4"/>
  <c r="GC150" i="4"/>
  <c r="GS150" i="4"/>
  <c r="HI150" i="4"/>
  <c r="HY150" i="4"/>
  <c r="IO150" i="4"/>
  <c r="JE150" i="4"/>
  <c r="JU150" i="4"/>
  <c r="X150" i="4"/>
  <c r="AS150" i="4"/>
  <c r="BM150" i="4"/>
  <c r="CJ150" i="4"/>
  <c r="DE150" i="4"/>
  <c r="DY150" i="4"/>
  <c r="EV150" i="4"/>
  <c r="FQ150" i="4"/>
  <c r="GK150" i="4"/>
  <c r="HH150" i="4"/>
  <c r="IC150" i="4"/>
  <c r="IW150" i="4"/>
  <c r="JT150" i="4"/>
  <c r="Z150" i="4"/>
  <c r="AT150" i="4"/>
  <c r="BN150" i="4"/>
  <c r="CL150" i="4"/>
  <c r="DF150" i="4"/>
  <c r="DZ150" i="4"/>
  <c r="EX150" i="4"/>
  <c r="FR150" i="4"/>
  <c r="GL150" i="4"/>
  <c r="HJ150" i="4"/>
  <c r="ID150" i="4"/>
  <c r="IX150" i="4"/>
  <c r="JV150" i="4"/>
  <c r="AA150" i="4"/>
  <c r="AU150" i="4"/>
  <c r="BR150" i="4"/>
  <c r="CM150" i="4"/>
  <c r="DG150" i="4"/>
  <c r="ED150" i="4"/>
  <c r="EY150" i="4"/>
  <c r="FS150" i="4"/>
  <c r="GP150" i="4"/>
  <c r="HK150" i="4"/>
  <c r="IE150" i="4"/>
  <c r="JB150" i="4"/>
  <c r="JW150" i="4"/>
  <c r="AB150" i="4"/>
  <c r="AV150" i="4"/>
  <c r="BS150" i="4"/>
  <c r="CN150" i="4"/>
  <c r="DH150" i="4"/>
  <c r="EE150" i="4"/>
  <c r="EZ150" i="4"/>
  <c r="FT150" i="4"/>
  <c r="GQ150" i="4"/>
  <c r="HL150" i="4"/>
  <c r="IF150" i="4"/>
  <c r="JC150" i="4"/>
  <c r="JX150" i="4"/>
  <c r="K150" i="4"/>
  <c r="AE150" i="4"/>
  <c r="BB150" i="4"/>
  <c r="BW150" i="4"/>
  <c r="CQ150" i="4"/>
  <c r="DN150" i="4"/>
  <c r="EI150" i="4"/>
  <c r="FC150" i="4"/>
  <c r="FZ150" i="4"/>
  <c r="GU150" i="4"/>
  <c r="HO150" i="4"/>
  <c r="IL150" i="4"/>
  <c r="JG150" i="4"/>
  <c r="KA150" i="4"/>
  <c r="M150" i="4"/>
  <c r="AP150" i="4"/>
  <c r="BX150" i="4"/>
  <c r="CZ150" i="4"/>
  <c r="EH150" i="4"/>
  <c r="FK150" i="4"/>
  <c r="GR150" i="4"/>
  <c r="HV150" i="4"/>
  <c r="IV150" i="4"/>
  <c r="KD150" i="4"/>
  <c r="N150" i="4"/>
  <c r="AQ150" i="4"/>
  <c r="BY150" i="4"/>
  <c r="DB150" i="4"/>
  <c r="EJ150" i="4"/>
  <c r="FL150" i="4"/>
  <c r="GT150" i="4"/>
  <c r="HW150" i="4"/>
  <c r="JD150" i="4"/>
  <c r="KH150" i="4"/>
  <c r="O150" i="4"/>
  <c r="AR150" i="4"/>
  <c r="BZ150" i="4"/>
  <c r="DC150" i="4"/>
  <c r="EK150" i="4"/>
  <c r="FN150" i="4"/>
  <c r="GV150" i="4"/>
  <c r="HX150" i="4"/>
  <c r="JF150" i="4"/>
  <c r="KI150" i="4"/>
  <c r="P150" i="4"/>
  <c r="AW150" i="4"/>
  <c r="CA150" i="4"/>
  <c r="DD150" i="4"/>
  <c r="EL150" i="4"/>
  <c r="FO150" i="4"/>
  <c r="GW150" i="4"/>
  <c r="HZ150" i="4"/>
  <c r="JH150" i="4"/>
  <c r="Q150" i="4"/>
  <c r="AX150" i="4"/>
  <c r="CB150" i="4"/>
  <c r="DI150" i="4"/>
  <c r="EM150" i="4"/>
  <c r="FP150" i="4"/>
  <c r="GX150" i="4"/>
  <c r="IA150" i="4"/>
  <c r="JI150" i="4"/>
  <c r="V150" i="4"/>
  <c r="BD150" i="4"/>
  <c r="CD150" i="4"/>
  <c r="DO150" i="4"/>
  <c r="EO150" i="4"/>
  <c r="FV150" i="4"/>
  <c r="GZ150" i="4"/>
  <c r="IG150" i="4"/>
  <c r="JK150" i="4"/>
  <c r="J150" i="4"/>
  <c r="BI150" i="4"/>
  <c r="DJ150" i="4"/>
  <c r="FD150" i="4"/>
  <c r="HB150" i="4"/>
  <c r="IT150" i="4"/>
  <c r="L150" i="4"/>
  <c r="BJ150" i="4"/>
  <c r="DP150" i="4"/>
  <c r="FE150" i="4"/>
  <c r="HF150" i="4"/>
  <c r="IU150" i="4"/>
  <c r="R150" i="4"/>
  <c r="BK150" i="4"/>
  <c r="DR150" i="4"/>
  <c r="FF150" i="4"/>
  <c r="HG150" i="4"/>
  <c r="JJ150" i="4"/>
  <c r="W150" i="4"/>
  <c r="BL150" i="4"/>
  <c r="DS150" i="4"/>
  <c r="FJ150" i="4"/>
  <c r="HM150" i="4"/>
  <c r="JL150" i="4"/>
  <c r="AC150" i="4"/>
  <c r="BT150" i="4"/>
  <c r="DT150" i="4"/>
  <c r="FU150" i="4"/>
  <c r="HN150" i="4"/>
  <c r="JM150" i="4"/>
  <c r="AF150" i="4"/>
  <c r="CC150" i="4"/>
  <c r="DV150" i="4"/>
  <c r="GB150" i="4"/>
  <c r="HQ150" i="4"/>
  <c r="JR150" i="4"/>
  <c r="CI150" i="4"/>
  <c r="FA150" i="4"/>
  <c r="IM150" i="4"/>
  <c r="CO150" i="4"/>
  <c r="FB150" i="4"/>
  <c r="IN150" i="4"/>
  <c r="CP150" i="4"/>
  <c r="GA150" i="4"/>
  <c r="IP150" i="4"/>
  <c r="CR150" i="4"/>
  <c r="GD150" i="4"/>
  <c r="IQ150" i="4"/>
  <c r="AD150" i="4"/>
  <c r="CS150" i="4"/>
  <c r="GE150" i="4"/>
  <c r="IR150" i="4"/>
  <c r="AH150" i="4"/>
  <c r="CX150" i="4"/>
  <c r="GG150" i="4"/>
  <c r="JN150" i="4"/>
  <c r="DU150" i="4"/>
  <c r="IB150" i="4"/>
  <c r="DW150" i="4"/>
  <c r="IH150" i="4"/>
  <c r="DX150" i="4"/>
  <c r="IS150" i="4"/>
  <c r="EF150" i="4"/>
  <c r="JS150" i="4"/>
  <c r="AG150" i="4"/>
  <c r="EN150" i="4"/>
  <c r="JY150" i="4"/>
  <c r="CT150" i="4"/>
  <c r="CY150" i="4"/>
  <c r="EP150" i="4"/>
  <c r="ET150" i="4"/>
  <c r="EU150" i="4"/>
  <c r="BC150" i="4"/>
  <c r="HA150" i="4"/>
  <c r="GI150" i="4"/>
  <c r="GJ150" i="4"/>
  <c r="GY150" i="4"/>
  <c r="HP150" i="4"/>
  <c r="JZ150" i="4"/>
  <c r="BG150" i="4"/>
  <c r="BF150" i="4"/>
  <c r="BH150" i="4"/>
  <c r="BV150" i="4"/>
  <c r="CH150" i="4"/>
  <c r="GF150" i="4"/>
  <c r="GH150" i="4"/>
  <c r="AM150" i="4"/>
  <c r="AN150" i="4"/>
  <c r="HR150" i="4"/>
  <c r="KB150" i="4"/>
  <c r="KC150" i="4"/>
  <c r="AL150" i="4"/>
  <c r="K134" i="4"/>
  <c r="AA134" i="4"/>
  <c r="AQ134" i="4"/>
  <c r="BG134" i="4"/>
  <c r="BW134" i="4"/>
  <c r="CM134" i="4"/>
  <c r="DC134" i="4"/>
  <c r="DS134" i="4"/>
  <c r="EI134" i="4"/>
  <c r="EY134" i="4"/>
  <c r="FO134" i="4"/>
  <c r="GE134" i="4"/>
  <c r="GU134" i="4"/>
  <c r="HK134" i="4"/>
  <c r="IA134" i="4"/>
  <c r="IQ134" i="4"/>
  <c r="JG134" i="4"/>
  <c r="JW134" i="4"/>
  <c r="S134" i="4"/>
  <c r="AJ134" i="4"/>
  <c r="BA134" i="4"/>
  <c r="BR134" i="4"/>
  <c r="CI134" i="4"/>
  <c r="CZ134" i="4"/>
  <c r="DQ134" i="4"/>
  <c r="EH134" i="4"/>
  <c r="EZ134" i="4"/>
  <c r="FQ134" i="4"/>
  <c r="GH134" i="4"/>
  <c r="GY134" i="4"/>
  <c r="HP134" i="4"/>
  <c r="IG134" i="4"/>
  <c r="IX134" i="4"/>
  <c r="JO134" i="4"/>
  <c r="KF134" i="4"/>
  <c r="T134" i="4"/>
  <c r="AK134" i="4"/>
  <c r="BB134" i="4"/>
  <c r="BS134" i="4"/>
  <c r="CJ134" i="4"/>
  <c r="DA134" i="4"/>
  <c r="DR134" i="4"/>
  <c r="EJ134" i="4"/>
  <c r="FA134" i="4"/>
  <c r="FR134" i="4"/>
  <c r="GI134" i="4"/>
  <c r="GZ134" i="4"/>
  <c r="HQ134" i="4"/>
  <c r="IH134" i="4"/>
  <c r="IY134" i="4"/>
  <c r="JP134" i="4"/>
  <c r="KG134" i="4"/>
  <c r="U134" i="4"/>
  <c r="AL134" i="4"/>
  <c r="BC134" i="4"/>
  <c r="BT134" i="4"/>
  <c r="CK134" i="4"/>
  <c r="DB134" i="4"/>
  <c r="DT134" i="4"/>
  <c r="EK134" i="4"/>
  <c r="FB134" i="4"/>
  <c r="FS134" i="4"/>
  <c r="GJ134" i="4"/>
  <c r="HA134" i="4"/>
  <c r="HR134" i="4"/>
  <c r="II134" i="4"/>
  <c r="IZ134" i="4"/>
  <c r="JQ134" i="4"/>
  <c r="KH134" i="4"/>
  <c r="Y134" i="4"/>
  <c r="AP134" i="4"/>
  <c r="BH134" i="4"/>
  <c r="BY134" i="4"/>
  <c r="CP134" i="4"/>
  <c r="DG134" i="4"/>
  <c r="DX134" i="4"/>
  <c r="EO134" i="4"/>
  <c r="FF134" i="4"/>
  <c r="FW134" i="4"/>
  <c r="GN134" i="4"/>
  <c r="HE134" i="4"/>
  <c r="HV134" i="4"/>
  <c r="IM134" i="4"/>
  <c r="JD134" i="4"/>
  <c r="JU134" i="4"/>
  <c r="AD134" i="4"/>
  <c r="AY134" i="4"/>
  <c r="BX134" i="4"/>
  <c r="CT134" i="4"/>
  <c r="DO134" i="4"/>
  <c r="EN134" i="4"/>
  <c r="FJ134" i="4"/>
  <c r="GF134" i="4"/>
  <c r="HD134" i="4"/>
  <c r="HZ134" i="4"/>
  <c r="IV134" i="4"/>
  <c r="JT134" i="4"/>
  <c r="I134" i="4"/>
  <c r="AE134" i="4"/>
  <c r="AZ134" i="4"/>
  <c r="BZ134" i="4"/>
  <c r="CU134" i="4"/>
  <c r="DP134" i="4"/>
  <c r="EP134" i="4"/>
  <c r="FK134" i="4"/>
  <c r="GG134" i="4"/>
  <c r="HF134" i="4"/>
  <c r="IB134" i="4"/>
  <c r="IW134" i="4"/>
  <c r="JV134" i="4"/>
  <c r="J134" i="4"/>
  <c r="AF134" i="4"/>
  <c r="BD134" i="4"/>
  <c r="CA134" i="4"/>
  <c r="CV134" i="4"/>
  <c r="DU134" i="4"/>
  <c r="EQ134" i="4"/>
  <c r="FL134" i="4"/>
  <c r="GK134" i="4"/>
  <c r="HG134" i="4"/>
  <c r="IC134" i="4"/>
  <c r="JA134" i="4"/>
  <c r="JX134" i="4"/>
  <c r="L134" i="4"/>
  <c r="AG134" i="4"/>
  <c r="BE134" i="4"/>
  <c r="CB134" i="4"/>
  <c r="CW134" i="4"/>
  <c r="DV134" i="4"/>
  <c r="ER134" i="4"/>
  <c r="FM134" i="4"/>
  <c r="GL134" i="4"/>
  <c r="HH134" i="4"/>
  <c r="ID134" i="4"/>
  <c r="JB134" i="4"/>
  <c r="JY134" i="4"/>
  <c r="M134" i="4"/>
  <c r="AH134" i="4"/>
  <c r="BF134" i="4"/>
  <c r="CC134" i="4"/>
  <c r="CX134" i="4"/>
  <c r="DW134" i="4"/>
  <c r="ES134" i="4"/>
  <c r="FN134" i="4"/>
  <c r="GM134" i="4"/>
  <c r="HI134" i="4"/>
  <c r="IE134" i="4"/>
  <c r="JC134" i="4"/>
  <c r="JZ134" i="4"/>
  <c r="O134" i="4"/>
  <c r="AM134" i="4"/>
  <c r="BJ134" i="4"/>
  <c r="CE134" i="4"/>
  <c r="DD134" i="4"/>
  <c r="DZ134" i="4"/>
  <c r="EU134" i="4"/>
  <c r="FT134" i="4"/>
  <c r="GP134" i="4"/>
  <c r="HL134" i="4"/>
  <c r="IJ134" i="4"/>
  <c r="JF134" i="4"/>
  <c r="KB134" i="4"/>
  <c r="AS134" i="4"/>
  <c r="CD134" i="4"/>
  <c r="DK134" i="4"/>
  <c r="EW134" i="4"/>
  <c r="GC134" i="4"/>
  <c r="HS134" i="4"/>
  <c r="JE134" i="4"/>
  <c r="AT134" i="4"/>
  <c r="CF134" i="4"/>
  <c r="DL134" i="4"/>
  <c r="EX134" i="4"/>
  <c r="GD134" i="4"/>
  <c r="HT134" i="4"/>
  <c r="JH134" i="4"/>
  <c r="N134" i="4"/>
  <c r="AU134" i="4"/>
  <c r="CG134" i="4"/>
  <c r="DM134" i="4"/>
  <c r="FC134" i="4"/>
  <c r="GO134" i="4"/>
  <c r="HU134" i="4"/>
  <c r="JI134" i="4"/>
  <c r="P134" i="4"/>
  <c r="AV134" i="4"/>
  <c r="CH134" i="4"/>
  <c r="DN134" i="4"/>
  <c r="FD134" i="4"/>
  <c r="GQ134" i="4"/>
  <c r="HW134" i="4"/>
  <c r="JJ134" i="4"/>
  <c r="Q134" i="4"/>
  <c r="AW134" i="4"/>
  <c r="CL134" i="4"/>
  <c r="DY134" i="4"/>
  <c r="FE134" i="4"/>
  <c r="GR134" i="4"/>
  <c r="HX134" i="4"/>
  <c r="JK134" i="4"/>
  <c r="V134" i="4"/>
  <c r="BI134" i="4"/>
  <c r="CO134" i="4"/>
  <c r="EB134" i="4"/>
  <c r="FH134" i="4"/>
  <c r="GT134" i="4"/>
  <c r="IF134" i="4"/>
  <c r="JM134" i="4"/>
  <c r="AX134" i="4"/>
  <c r="DF134" i="4"/>
  <c r="FP134" i="4"/>
  <c r="HN134" i="4"/>
  <c r="KA134" i="4"/>
  <c r="BK134" i="4"/>
  <c r="DH134" i="4"/>
  <c r="FU134" i="4"/>
  <c r="HO134" i="4"/>
  <c r="KC134" i="4"/>
  <c r="BL134" i="4"/>
  <c r="DI134" i="4"/>
  <c r="FV134" i="4"/>
  <c r="HY134" i="4"/>
  <c r="KD134" i="4"/>
  <c r="BM134" i="4"/>
  <c r="DJ134" i="4"/>
  <c r="FX134" i="4"/>
  <c r="IK134" i="4"/>
  <c r="KE134" i="4"/>
  <c r="BN134" i="4"/>
  <c r="EA134" i="4"/>
  <c r="FY134" i="4"/>
  <c r="IL134" i="4"/>
  <c r="KI134" i="4"/>
  <c r="R134" i="4"/>
  <c r="BP134" i="4"/>
  <c r="ED134" i="4"/>
  <c r="GA134" i="4"/>
  <c r="IO134" i="4"/>
  <c r="AB134" i="4"/>
  <c r="EC134" i="4"/>
  <c r="HB134" i="4"/>
  <c r="AC134" i="4"/>
  <c r="EE134" i="4"/>
  <c r="HC134" i="4"/>
  <c r="AI134" i="4"/>
  <c r="EF134" i="4"/>
  <c r="HJ134" i="4"/>
  <c r="AN134" i="4"/>
  <c r="EG134" i="4"/>
  <c r="HM134" i="4"/>
  <c r="AO134" i="4"/>
  <c r="EL134" i="4"/>
  <c r="IN134" i="4"/>
  <c r="BO134" i="4"/>
  <c r="ET134" i="4"/>
  <c r="IR134" i="4"/>
  <c r="CN134" i="4"/>
  <c r="IP134" i="4"/>
  <c r="CQ134" i="4"/>
  <c r="IS134" i="4"/>
  <c r="CR134" i="4"/>
  <c r="IT134" i="4"/>
  <c r="CS134" i="4"/>
  <c r="IU134" i="4"/>
  <c r="CY134" i="4"/>
  <c r="JL134" i="4"/>
  <c r="X134" i="4"/>
  <c r="FZ134" i="4"/>
  <c r="GW134" i="4"/>
  <c r="GX134" i="4"/>
  <c r="W134" i="4"/>
  <c r="JN134" i="4"/>
  <c r="Z134" i="4"/>
  <c r="JR134" i="4"/>
  <c r="AR134" i="4"/>
  <c r="JS134" i="4"/>
  <c r="EV134" i="4"/>
  <c r="GS134" i="4"/>
  <c r="GV134" i="4"/>
  <c r="BV134" i="4"/>
  <c r="BQ134" i="4"/>
  <c r="BU134" i="4"/>
  <c r="DE134" i="4"/>
  <c r="EM134" i="4"/>
  <c r="FG134" i="4"/>
  <c r="FI134" i="4"/>
  <c r="GB134" i="4"/>
  <c r="U118" i="4"/>
  <c r="AK118" i="4"/>
  <c r="BA118" i="4"/>
  <c r="BQ118" i="4"/>
  <c r="CG118" i="4"/>
  <c r="CW118" i="4"/>
  <c r="DM118" i="4"/>
  <c r="EC118" i="4"/>
  <c r="ES118" i="4"/>
  <c r="FI118" i="4"/>
  <c r="FY118" i="4"/>
  <c r="GO118" i="4"/>
  <c r="HE118" i="4"/>
  <c r="HU118" i="4"/>
  <c r="IK118" i="4"/>
  <c r="JA118" i="4"/>
  <c r="JQ118" i="4"/>
  <c r="KG118" i="4"/>
  <c r="V118" i="4"/>
  <c r="AL118" i="4"/>
  <c r="BB118" i="4"/>
  <c r="BR118" i="4"/>
  <c r="CH118" i="4"/>
  <c r="CX118" i="4"/>
  <c r="DN118" i="4"/>
  <c r="ED118" i="4"/>
  <c r="ET118" i="4"/>
  <c r="FJ118" i="4"/>
  <c r="FZ118" i="4"/>
  <c r="GP118" i="4"/>
  <c r="HF118" i="4"/>
  <c r="HV118" i="4"/>
  <c r="IL118" i="4"/>
  <c r="JB118" i="4"/>
  <c r="JR118" i="4"/>
  <c r="KH118" i="4"/>
  <c r="W118" i="4"/>
  <c r="AM118" i="4"/>
  <c r="BC118" i="4"/>
  <c r="BS118" i="4"/>
  <c r="CI118" i="4"/>
  <c r="CY118" i="4"/>
  <c r="DO118" i="4"/>
  <c r="EE118" i="4"/>
  <c r="EU118" i="4"/>
  <c r="FK118" i="4"/>
  <c r="GA118" i="4"/>
  <c r="GQ118" i="4"/>
  <c r="HG118" i="4"/>
  <c r="HW118" i="4"/>
  <c r="IM118" i="4"/>
  <c r="JC118" i="4"/>
  <c r="JS118" i="4"/>
  <c r="KI118" i="4"/>
  <c r="K118" i="4"/>
  <c r="AA118" i="4"/>
  <c r="AQ118" i="4"/>
  <c r="BG118" i="4"/>
  <c r="BW118" i="4"/>
  <c r="CM118" i="4"/>
  <c r="DC118" i="4"/>
  <c r="DS118" i="4"/>
  <c r="EI118" i="4"/>
  <c r="EY118" i="4"/>
  <c r="FO118" i="4"/>
  <c r="GE118" i="4"/>
  <c r="GU118" i="4"/>
  <c r="HK118" i="4"/>
  <c r="IA118" i="4"/>
  <c r="IQ118" i="4"/>
  <c r="JG118" i="4"/>
  <c r="JW118" i="4"/>
  <c r="X118" i="4"/>
  <c r="AS118" i="4"/>
  <c r="BM118" i="4"/>
  <c r="CJ118" i="4"/>
  <c r="DE118" i="4"/>
  <c r="DY118" i="4"/>
  <c r="EV118" i="4"/>
  <c r="FQ118" i="4"/>
  <c r="GK118" i="4"/>
  <c r="HH118" i="4"/>
  <c r="IC118" i="4"/>
  <c r="IW118" i="4"/>
  <c r="JT118" i="4"/>
  <c r="Y118" i="4"/>
  <c r="AT118" i="4"/>
  <c r="BN118" i="4"/>
  <c r="CK118" i="4"/>
  <c r="DF118" i="4"/>
  <c r="DZ118" i="4"/>
  <c r="EW118" i="4"/>
  <c r="FR118" i="4"/>
  <c r="GL118" i="4"/>
  <c r="HI118" i="4"/>
  <c r="ID118" i="4"/>
  <c r="IX118" i="4"/>
  <c r="JU118" i="4"/>
  <c r="Z118" i="4"/>
  <c r="AU118" i="4"/>
  <c r="BO118" i="4"/>
  <c r="CL118" i="4"/>
  <c r="DG118" i="4"/>
  <c r="EA118" i="4"/>
  <c r="EX118" i="4"/>
  <c r="FS118" i="4"/>
  <c r="GM118" i="4"/>
  <c r="HJ118" i="4"/>
  <c r="IE118" i="4"/>
  <c r="IY118" i="4"/>
  <c r="JV118" i="4"/>
  <c r="AB118" i="4"/>
  <c r="AV118" i="4"/>
  <c r="BP118" i="4"/>
  <c r="CN118" i="4"/>
  <c r="DH118" i="4"/>
  <c r="EB118" i="4"/>
  <c r="EZ118" i="4"/>
  <c r="FT118" i="4"/>
  <c r="GN118" i="4"/>
  <c r="HL118" i="4"/>
  <c r="IF118" i="4"/>
  <c r="IZ118" i="4"/>
  <c r="JX118" i="4"/>
  <c r="AC118" i="4"/>
  <c r="AW118" i="4"/>
  <c r="BT118" i="4"/>
  <c r="CO118" i="4"/>
  <c r="DI118" i="4"/>
  <c r="EF118" i="4"/>
  <c r="FA118" i="4"/>
  <c r="FU118" i="4"/>
  <c r="GR118" i="4"/>
  <c r="HM118" i="4"/>
  <c r="IG118" i="4"/>
  <c r="JD118" i="4"/>
  <c r="JY118" i="4"/>
  <c r="J118" i="4"/>
  <c r="AE118" i="4"/>
  <c r="AY118" i="4"/>
  <c r="BV118" i="4"/>
  <c r="CQ118" i="4"/>
  <c r="DK118" i="4"/>
  <c r="EH118" i="4"/>
  <c r="FC118" i="4"/>
  <c r="FW118" i="4"/>
  <c r="GT118" i="4"/>
  <c r="HO118" i="4"/>
  <c r="II118" i="4"/>
  <c r="JF118" i="4"/>
  <c r="KA118" i="4"/>
  <c r="AD118" i="4"/>
  <c r="BI118" i="4"/>
  <c r="CS118" i="4"/>
  <c r="DW118" i="4"/>
  <c r="FG118" i="4"/>
  <c r="GS118" i="4"/>
  <c r="HX118" i="4"/>
  <c r="JI118" i="4"/>
  <c r="AF118" i="4"/>
  <c r="BJ118" i="4"/>
  <c r="CT118" i="4"/>
  <c r="DX118" i="4"/>
  <c r="FH118" i="4"/>
  <c r="GV118" i="4"/>
  <c r="HY118" i="4"/>
  <c r="JJ118" i="4"/>
  <c r="AG118" i="4"/>
  <c r="BK118" i="4"/>
  <c r="CU118" i="4"/>
  <c r="EG118" i="4"/>
  <c r="FL118" i="4"/>
  <c r="GW118" i="4"/>
  <c r="HZ118" i="4"/>
  <c r="JK118" i="4"/>
  <c r="AH118" i="4"/>
  <c r="BL118" i="4"/>
  <c r="CV118" i="4"/>
  <c r="EJ118" i="4"/>
  <c r="FM118" i="4"/>
  <c r="GX118" i="4"/>
  <c r="IB118" i="4"/>
  <c r="JL118" i="4"/>
  <c r="AI118" i="4"/>
  <c r="BU118" i="4"/>
  <c r="CZ118" i="4"/>
  <c r="EK118" i="4"/>
  <c r="FN118" i="4"/>
  <c r="GY118" i="4"/>
  <c r="IH118" i="4"/>
  <c r="JM118" i="4"/>
  <c r="I118" i="4"/>
  <c r="AN118" i="4"/>
  <c r="BY118" i="4"/>
  <c r="DB118" i="4"/>
  <c r="EM118" i="4"/>
  <c r="FV118" i="4"/>
  <c r="HA118" i="4"/>
  <c r="IN118" i="4"/>
  <c r="JO118" i="4"/>
  <c r="AX118" i="4"/>
  <c r="DA118" i="4"/>
  <c r="FB118" i="4"/>
  <c r="HC118" i="4"/>
  <c r="JE118" i="4"/>
  <c r="AZ118" i="4"/>
  <c r="DD118" i="4"/>
  <c r="FD118" i="4"/>
  <c r="HD118" i="4"/>
  <c r="JH118" i="4"/>
  <c r="BD118" i="4"/>
  <c r="DJ118" i="4"/>
  <c r="FE118" i="4"/>
  <c r="HN118" i="4"/>
  <c r="JN118" i="4"/>
  <c r="L118" i="4"/>
  <c r="BE118" i="4"/>
  <c r="DL118" i="4"/>
  <c r="FF118" i="4"/>
  <c r="HP118" i="4"/>
  <c r="JP118" i="4"/>
  <c r="M118" i="4"/>
  <c r="BF118" i="4"/>
  <c r="DP118" i="4"/>
  <c r="FP118" i="4"/>
  <c r="HQ118" i="4"/>
  <c r="JZ118" i="4"/>
  <c r="O118" i="4"/>
  <c r="BX118" i="4"/>
  <c r="DR118" i="4"/>
  <c r="GB118" i="4"/>
  <c r="HS118" i="4"/>
  <c r="KC118" i="4"/>
  <c r="Q118" i="4"/>
  <c r="CP118" i="4"/>
  <c r="GG118" i="4"/>
  <c r="KB118" i="4"/>
  <c r="R118" i="4"/>
  <c r="CR118" i="4"/>
  <c r="GH118" i="4"/>
  <c r="KD118" i="4"/>
  <c r="S118" i="4"/>
  <c r="DQ118" i="4"/>
  <c r="GI118" i="4"/>
  <c r="KE118" i="4"/>
  <c r="T118" i="4"/>
  <c r="DT118" i="4"/>
  <c r="GJ118" i="4"/>
  <c r="KF118" i="4"/>
  <c r="AJ118" i="4"/>
  <c r="DU118" i="4"/>
  <c r="GZ118" i="4"/>
  <c r="AP118" i="4"/>
  <c r="EL118" i="4"/>
  <c r="HR118" i="4"/>
  <c r="AO118" i="4"/>
  <c r="FX118" i="4"/>
  <c r="AR118" i="4"/>
  <c r="GC118" i="4"/>
  <c r="BH118" i="4"/>
  <c r="GD118" i="4"/>
  <c r="BZ118" i="4"/>
  <c r="GF118" i="4"/>
  <c r="CA118" i="4"/>
  <c r="HB118" i="4"/>
  <c r="CC118" i="4"/>
  <c r="IJ118" i="4"/>
  <c r="HT118" i="4"/>
  <c r="IO118" i="4"/>
  <c r="IP118" i="4"/>
  <c r="IR118" i="4"/>
  <c r="N118" i="4"/>
  <c r="IS118" i="4"/>
  <c r="DV118" i="4"/>
  <c r="CD118" i="4"/>
  <c r="CE118" i="4"/>
  <c r="CF118" i="4"/>
  <c r="EN118" i="4"/>
  <c r="EO118" i="4"/>
  <c r="IV118" i="4"/>
  <c r="P118" i="4"/>
  <c r="CB118" i="4"/>
  <c r="EP118" i="4"/>
  <c r="EQ118" i="4"/>
  <c r="IT118" i="4"/>
  <c r="ER118" i="4"/>
  <c r="IU118" i="4"/>
  <c r="T102" i="4"/>
  <c r="AJ102" i="4"/>
  <c r="AZ102" i="4"/>
  <c r="BP102" i="4"/>
  <c r="CF102" i="4"/>
  <c r="CV102" i="4"/>
  <c r="DL102" i="4"/>
  <c r="EB102" i="4"/>
  <c r="ER102" i="4"/>
  <c r="FH102" i="4"/>
  <c r="FX102" i="4"/>
  <c r="GN102" i="4"/>
  <c r="HD102" i="4"/>
  <c r="HT102" i="4"/>
  <c r="IJ102" i="4"/>
  <c r="IZ102" i="4"/>
  <c r="JP102" i="4"/>
  <c r="KF102" i="4"/>
  <c r="U102" i="4"/>
  <c r="AK102" i="4"/>
  <c r="BA102" i="4"/>
  <c r="BQ102" i="4"/>
  <c r="CG102" i="4"/>
  <c r="CW102" i="4"/>
  <c r="DM102" i="4"/>
  <c r="EC102" i="4"/>
  <c r="ES102" i="4"/>
  <c r="FI102" i="4"/>
  <c r="FY102" i="4"/>
  <c r="GO102" i="4"/>
  <c r="HE102" i="4"/>
  <c r="HU102" i="4"/>
  <c r="IK102" i="4"/>
  <c r="JA102" i="4"/>
  <c r="JQ102" i="4"/>
  <c r="KG102" i="4"/>
  <c r="V102" i="4"/>
  <c r="AL102" i="4"/>
  <c r="BB102" i="4"/>
  <c r="BR102" i="4"/>
  <c r="CH102" i="4"/>
  <c r="CX102" i="4"/>
  <c r="DN102" i="4"/>
  <c r="ED102" i="4"/>
  <c r="ET102" i="4"/>
  <c r="FJ102" i="4"/>
  <c r="FZ102" i="4"/>
  <c r="GP102" i="4"/>
  <c r="HF102" i="4"/>
  <c r="HV102" i="4"/>
  <c r="IL102" i="4"/>
  <c r="JB102" i="4"/>
  <c r="JR102" i="4"/>
  <c r="KH102" i="4"/>
  <c r="J102" i="4"/>
  <c r="Z102" i="4"/>
  <c r="AP102" i="4"/>
  <c r="BF102" i="4"/>
  <c r="BV102" i="4"/>
  <c r="CL102" i="4"/>
  <c r="DB102" i="4"/>
  <c r="DR102" i="4"/>
  <c r="EH102" i="4"/>
  <c r="EX102" i="4"/>
  <c r="FN102" i="4"/>
  <c r="GD102" i="4"/>
  <c r="GT102" i="4"/>
  <c r="HJ102" i="4"/>
  <c r="HZ102" i="4"/>
  <c r="IP102" i="4"/>
  <c r="JF102" i="4"/>
  <c r="JV102" i="4"/>
  <c r="L102" i="4"/>
  <c r="AF102" i="4"/>
  <c r="BC102" i="4"/>
  <c r="BX102" i="4"/>
  <c r="CR102" i="4"/>
  <c r="DO102" i="4"/>
  <c r="EJ102" i="4"/>
  <c r="FD102" i="4"/>
  <c r="GA102" i="4"/>
  <c r="GV102" i="4"/>
  <c r="HP102" i="4"/>
  <c r="IM102" i="4"/>
  <c r="JH102" i="4"/>
  <c r="KB102" i="4"/>
  <c r="M102" i="4"/>
  <c r="AG102" i="4"/>
  <c r="BD102" i="4"/>
  <c r="BY102" i="4"/>
  <c r="CS102" i="4"/>
  <c r="DP102" i="4"/>
  <c r="EK102" i="4"/>
  <c r="FE102" i="4"/>
  <c r="GB102" i="4"/>
  <c r="GW102" i="4"/>
  <c r="HQ102" i="4"/>
  <c r="IN102" i="4"/>
  <c r="JI102" i="4"/>
  <c r="KC102" i="4"/>
  <c r="N102" i="4"/>
  <c r="AH102" i="4"/>
  <c r="BE102" i="4"/>
  <c r="BZ102" i="4"/>
  <c r="CT102" i="4"/>
  <c r="DQ102" i="4"/>
  <c r="EL102" i="4"/>
  <c r="FF102" i="4"/>
  <c r="GC102" i="4"/>
  <c r="GX102" i="4"/>
  <c r="HR102" i="4"/>
  <c r="IO102" i="4"/>
  <c r="JJ102" i="4"/>
  <c r="KD102" i="4"/>
  <c r="O102" i="4"/>
  <c r="AI102" i="4"/>
  <c r="BG102" i="4"/>
  <c r="CA102" i="4"/>
  <c r="CU102" i="4"/>
  <c r="DS102" i="4"/>
  <c r="EM102" i="4"/>
  <c r="FG102" i="4"/>
  <c r="GE102" i="4"/>
  <c r="GY102" i="4"/>
  <c r="HS102" i="4"/>
  <c r="IQ102" i="4"/>
  <c r="JK102" i="4"/>
  <c r="KE102" i="4"/>
  <c r="R102" i="4"/>
  <c r="AO102" i="4"/>
  <c r="BJ102" i="4"/>
  <c r="CD102" i="4"/>
  <c r="DA102" i="4"/>
  <c r="DV102" i="4"/>
  <c r="EP102" i="4"/>
  <c r="FM102" i="4"/>
  <c r="GH102" i="4"/>
  <c r="HB102" i="4"/>
  <c r="HY102" i="4"/>
  <c r="IT102" i="4"/>
  <c r="JN102" i="4"/>
  <c r="X102" i="4"/>
  <c r="AX102" i="4"/>
  <c r="CI102" i="4"/>
  <c r="DI102" i="4"/>
  <c r="EQ102" i="4"/>
  <c r="FT102" i="4"/>
  <c r="HA102" i="4"/>
  <c r="IE102" i="4"/>
  <c r="JL102" i="4"/>
  <c r="Y102" i="4"/>
  <c r="AY102" i="4"/>
  <c r="CJ102" i="4"/>
  <c r="DJ102" i="4"/>
  <c r="EU102" i="4"/>
  <c r="FU102" i="4"/>
  <c r="HC102" i="4"/>
  <c r="IF102" i="4"/>
  <c r="JM102" i="4"/>
  <c r="AA102" i="4"/>
  <c r="BH102" i="4"/>
  <c r="CK102" i="4"/>
  <c r="DK102" i="4"/>
  <c r="EV102" i="4"/>
  <c r="FV102" i="4"/>
  <c r="HG102" i="4"/>
  <c r="IG102" i="4"/>
  <c r="JO102" i="4"/>
  <c r="AB102" i="4"/>
  <c r="BI102" i="4"/>
  <c r="CM102" i="4"/>
  <c r="DT102" i="4"/>
  <c r="EW102" i="4"/>
  <c r="FW102" i="4"/>
  <c r="HH102" i="4"/>
  <c r="IH102" i="4"/>
  <c r="JS102" i="4"/>
  <c r="AC102" i="4"/>
  <c r="BK102" i="4"/>
  <c r="CN102" i="4"/>
  <c r="DU102" i="4"/>
  <c r="EY102" i="4"/>
  <c r="GF102" i="4"/>
  <c r="HI102" i="4"/>
  <c r="II102" i="4"/>
  <c r="JT102" i="4"/>
  <c r="AE102" i="4"/>
  <c r="BM102" i="4"/>
  <c r="CP102" i="4"/>
  <c r="DX102" i="4"/>
  <c r="FA102" i="4"/>
  <c r="GI102" i="4"/>
  <c r="HL102" i="4"/>
  <c r="IS102" i="4"/>
  <c r="JW102" i="4"/>
  <c r="I102" i="4"/>
  <c r="BL102" i="4"/>
  <c r="DE102" i="4"/>
  <c r="FC102" i="4"/>
  <c r="GU102" i="4"/>
  <c r="IX102" i="4"/>
  <c r="K102" i="4"/>
  <c r="BN102" i="4"/>
  <c r="DF102" i="4"/>
  <c r="FK102" i="4"/>
  <c r="GZ102" i="4"/>
  <c r="IY102" i="4"/>
  <c r="P102" i="4"/>
  <c r="BO102" i="4"/>
  <c r="DG102" i="4"/>
  <c r="FL102" i="4"/>
  <c r="HK102" i="4"/>
  <c r="JC102" i="4"/>
  <c r="Q102" i="4"/>
  <c r="BS102" i="4"/>
  <c r="DH102" i="4"/>
  <c r="FO102" i="4"/>
  <c r="HM102" i="4"/>
  <c r="JD102" i="4"/>
  <c r="S102" i="4"/>
  <c r="BT102" i="4"/>
  <c r="DW102" i="4"/>
  <c r="FP102" i="4"/>
  <c r="HN102" i="4"/>
  <c r="JE102" i="4"/>
  <c r="AD102" i="4"/>
  <c r="BW102" i="4"/>
  <c r="DZ102" i="4"/>
  <c r="FR102" i="4"/>
  <c r="HW102" i="4"/>
  <c r="JU102" i="4"/>
  <c r="CO102" i="4"/>
  <c r="FQ102" i="4"/>
  <c r="IR102" i="4"/>
  <c r="CQ102" i="4"/>
  <c r="FS102" i="4"/>
  <c r="IU102" i="4"/>
  <c r="W102" i="4"/>
  <c r="CY102" i="4"/>
  <c r="GG102" i="4"/>
  <c r="IV102" i="4"/>
  <c r="AM102" i="4"/>
  <c r="CZ102" i="4"/>
  <c r="GJ102" i="4"/>
  <c r="IW102" i="4"/>
  <c r="AN102" i="4"/>
  <c r="DC102" i="4"/>
  <c r="GK102" i="4"/>
  <c r="JG102" i="4"/>
  <c r="AR102" i="4"/>
  <c r="DY102" i="4"/>
  <c r="GM102" i="4"/>
  <c r="JY102" i="4"/>
  <c r="AQ102" i="4"/>
  <c r="EN102" i="4"/>
  <c r="KA102" i="4"/>
  <c r="AS102" i="4"/>
  <c r="EO102" i="4"/>
  <c r="KI102" i="4"/>
  <c r="AT102" i="4"/>
  <c r="EZ102" i="4"/>
  <c r="AU102" i="4"/>
  <c r="FB102" i="4"/>
  <c r="AV102" i="4"/>
  <c r="GL102" i="4"/>
  <c r="BU102" i="4"/>
  <c r="GR102" i="4"/>
  <c r="EE102" i="4"/>
  <c r="EF102" i="4"/>
  <c r="EG102" i="4"/>
  <c r="EI102" i="4"/>
  <c r="GQ102" i="4"/>
  <c r="HO102" i="4"/>
  <c r="CC102" i="4"/>
  <c r="CE102" i="4"/>
  <c r="DD102" i="4"/>
  <c r="EA102" i="4"/>
  <c r="GS102" i="4"/>
  <c r="JX102" i="4"/>
  <c r="HX102" i="4"/>
  <c r="IB102" i="4"/>
  <c r="IC102" i="4"/>
  <c r="ID102" i="4"/>
  <c r="JZ102" i="4"/>
  <c r="AW102" i="4"/>
  <c r="CB102" i="4"/>
  <c r="IA102" i="4"/>
  <c r="T86" i="4"/>
  <c r="AJ86" i="4"/>
  <c r="AZ86" i="4"/>
  <c r="BP86" i="4"/>
  <c r="CF86" i="4"/>
  <c r="CV86" i="4"/>
  <c r="DL86" i="4"/>
  <c r="EB86" i="4"/>
  <c r="ER86" i="4"/>
  <c r="FH86" i="4"/>
  <c r="FX86" i="4"/>
  <c r="GN86" i="4"/>
  <c r="HD86" i="4"/>
  <c r="HT86" i="4"/>
  <c r="IJ86" i="4"/>
  <c r="IZ86" i="4"/>
  <c r="JP86" i="4"/>
  <c r="KF86" i="4"/>
  <c r="U86" i="4"/>
  <c r="AK86" i="4"/>
  <c r="BA86" i="4"/>
  <c r="BQ86" i="4"/>
  <c r="CG86" i="4"/>
  <c r="CW86" i="4"/>
  <c r="DM86" i="4"/>
  <c r="EC86" i="4"/>
  <c r="ES86" i="4"/>
  <c r="FI86" i="4"/>
  <c r="FY86" i="4"/>
  <c r="GO86" i="4"/>
  <c r="HE86" i="4"/>
  <c r="HU86" i="4"/>
  <c r="IK86" i="4"/>
  <c r="JA86" i="4"/>
  <c r="JQ86" i="4"/>
  <c r="KG86" i="4"/>
  <c r="V86" i="4"/>
  <c r="AL86" i="4"/>
  <c r="BB86" i="4"/>
  <c r="BR86" i="4"/>
  <c r="CH86" i="4"/>
  <c r="CX86" i="4"/>
  <c r="DN86" i="4"/>
  <c r="ED86" i="4"/>
  <c r="ET86" i="4"/>
  <c r="FJ86" i="4"/>
  <c r="FZ86" i="4"/>
  <c r="GP86" i="4"/>
  <c r="HF86" i="4"/>
  <c r="HV86" i="4"/>
  <c r="IL86" i="4"/>
  <c r="JB86" i="4"/>
  <c r="JR86" i="4"/>
  <c r="KH86" i="4"/>
  <c r="J86" i="4"/>
  <c r="Z86" i="4"/>
  <c r="AP86" i="4"/>
  <c r="BF86" i="4"/>
  <c r="BV86" i="4"/>
  <c r="CL86" i="4"/>
  <c r="DB86" i="4"/>
  <c r="DR86" i="4"/>
  <c r="EH86" i="4"/>
  <c r="EX86" i="4"/>
  <c r="FN86" i="4"/>
  <c r="GD86" i="4"/>
  <c r="GT86" i="4"/>
  <c r="HJ86" i="4"/>
  <c r="HZ86" i="4"/>
  <c r="IP86" i="4"/>
  <c r="JF86" i="4"/>
  <c r="JV86" i="4"/>
  <c r="P86" i="4"/>
  <c r="AM86" i="4"/>
  <c r="BH86" i="4"/>
  <c r="CB86" i="4"/>
  <c r="CY86" i="4"/>
  <c r="DT86" i="4"/>
  <c r="EN86" i="4"/>
  <c r="FK86" i="4"/>
  <c r="GF86" i="4"/>
  <c r="GZ86" i="4"/>
  <c r="HW86" i="4"/>
  <c r="IR86" i="4"/>
  <c r="JL86" i="4"/>
  <c r="KI86" i="4"/>
  <c r="Q86" i="4"/>
  <c r="AN86" i="4"/>
  <c r="BI86" i="4"/>
  <c r="CC86" i="4"/>
  <c r="CZ86" i="4"/>
  <c r="DU86" i="4"/>
  <c r="EO86" i="4"/>
  <c r="FL86" i="4"/>
  <c r="GG86" i="4"/>
  <c r="HA86" i="4"/>
  <c r="HX86" i="4"/>
  <c r="IS86" i="4"/>
  <c r="JM86" i="4"/>
  <c r="R86" i="4"/>
  <c r="AO86" i="4"/>
  <c r="BJ86" i="4"/>
  <c r="CD86" i="4"/>
  <c r="DA86" i="4"/>
  <c r="DV86" i="4"/>
  <c r="EP86" i="4"/>
  <c r="FM86" i="4"/>
  <c r="GH86" i="4"/>
  <c r="HB86" i="4"/>
  <c r="HY86" i="4"/>
  <c r="IT86" i="4"/>
  <c r="JN86" i="4"/>
  <c r="S86" i="4"/>
  <c r="AQ86" i="4"/>
  <c r="BK86" i="4"/>
  <c r="CE86" i="4"/>
  <c r="DC86" i="4"/>
  <c r="DW86" i="4"/>
  <c r="EQ86" i="4"/>
  <c r="FO86" i="4"/>
  <c r="GI86" i="4"/>
  <c r="HC86" i="4"/>
  <c r="IA86" i="4"/>
  <c r="IU86" i="4"/>
  <c r="JO86" i="4"/>
  <c r="W86" i="4"/>
  <c r="AR86" i="4"/>
  <c r="BL86" i="4"/>
  <c r="CI86" i="4"/>
  <c r="DD86" i="4"/>
  <c r="DX86" i="4"/>
  <c r="EU86" i="4"/>
  <c r="FP86" i="4"/>
  <c r="GJ86" i="4"/>
  <c r="HG86" i="4"/>
  <c r="IB86" i="4"/>
  <c r="IV86" i="4"/>
  <c r="JS86" i="4"/>
  <c r="Y86" i="4"/>
  <c r="AT86" i="4"/>
  <c r="BN86" i="4"/>
  <c r="CK86" i="4"/>
  <c r="DF86" i="4"/>
  <c r="DZ86" i="4"/>
  <c r="EW86" i="4"/>
  <c r="FR86" i="4"/>
  <c r="GL86" i="4"/>
  <c r="HI86" i="4"/>
  <c r="ID86" i="4"/>
  <c r="IX86" i="4"/>
  <c r="JU86" i="4"/>
  <c r="AF86" i="4"/>
  <c r="BS86" i="4"/>
  <c r="CT86" i="4"/>
  <c r="EG86" i="4"/>
  <c r="FQ86" i="4"/>
  <c r="GV86" i="4"/>
  <c r="IF86" i="4"/>
  <c r="JJ86" i="4"/>
  <c r="AG86" i="4"/>
  <c r="BT86" i="4"/>
  <c r="CU86" i="4"/>
  <c r="EI86" i="4"/>
  <c r="FS86" i="4"/>
  <c r="GW86" i="4"/>
  <c r="IG86" i="4"/>
  <c r="JK86" i="4"/>
  <c r="AH86" i="4"/>
  <c r="BU86" i="4"/>
  <c r="DE86" i="4"/>
  <c r="EJ86" i="4"/>
  <c r="FT86" i="4"/>
  <c r="GX86" i="4"/>
  <c r="IH86" i="4"/>
  <c r="JT86" i="4"/>
  <c r="AI86" i="4"/>
  <c r="BW86" i="4"/>
  <c r="DG86" i="4"/>
  <c r="EK86" i="4"/>
  <c r="FU86" i="4"/>
  <c r="GY86" i="4"/>
  <c r="II86" i="4"/>
  <c r="JW86" i="4"/>
  <c r="I86" i="4"/>
  <c r="AS86" i="4"/>
  <c r="BX86" i="4"/>
  <c r="DH86" i="4"/>
  <c r="EL86" i="4"/>
  <c r="FV86" i="4"/>
  <c r="HH86" i="4"/>
  <c r="IM86" i="4"/>
  <c r="JX86" i="4"/>
  <c r="L86" i="4"/>
  <c r="AV86" i="4"/>
  <c r="BZ86" i="4"/>
  <c r="DJ86" i="4"/>
  <c r="EV86" i="4"/>
  <c r="GA86" i="4"/>
  <c r="HL86" i="4"/>
  <c r="IO86" i="4"/>
  <c r="JZ86" i="4"/>
  <c r="AU86" i="4"/>
  <c r="CP86" i="4"/>
  <c r="EZ86" i="4"/>
  <c r="GS86" i="4"/>
  <c r="JC86" i="4"/>
  <c r="AW86" i="4"/>
  <c r="CQ86" i="4"/>
  <c r="FA86" i="4"/>
  <c r="GU86" i="4"/>
  <c r="JD86" i="4"/>
  <c r="AX86" i="4"/>
  <c r="CR86" i="4"/>
  <c r="FB86" i="4"/>
  <c r="HK86" i="4"/>
  <c r="JE86" i="4"/>
  <c r="AY86" i="4"/>
  <c r="CS86" i="4"/>
  <c r="FC86" i="4"/>
  <c r="HM86" i="4"/>
  <c r="JG86" i="4"/>
  <c r="BC86" i="4"/>
  <c r="DI86" i="4"/>
  <c r="FD86" i="4"/>
  <c r="HN86" i="4"/>
  <c r="JH86" i="4"/>
  <c r="K86" i="4"/>
  <c r="BE86" i="4"/>
  <c r="DO86" i="4"/>
  <c r="FF86" i="4"/>
  <c r="HP86" i="4"/>
  <c r="JY86" i="4"/>
  <c r="CJ86" i="4"/>
  <c r="FW86" i="4"/>
  <c r="IW86" i="4"/>
  <c r="M86" i="4"/>
  <c r="CM86" i="4"/>
  <c r="GB86" i="4"/>
  <c r="IY86" i="4"/>
  <c r="N86" i="4"/>
  <c r="CN86" i="4"/>
  <c r="GC86" i="4"/>
  <c r="JI86" i="4"/>
  <c r="O86" i="4"/>
  <c r="CO86" i="4"/>
  <c r="GE86" i="4"/>
  <c r="KA86" i="4"/>
  <c r="X86" i="4"/>
  <c r="DK86" i="4"/>
  <c r="GK86" i="4"/>
  <c r="KB86" i="4"/>
  <c r="AB86" i="4"/>
  <c r="DQ86" i="4"/>
  <c r="GQ86" i="4"/>
  <c r="KD86" i="4"/>
  <c r="AD86" i="4"/>
  <c r="FE86" i="4"/>
  <c r="AE86" i="4"/>
  <c r="FG86" i="4"/>
  <c r="BD86" i="4"/>
  <c r="GM86" i="4"/>
  <c r="BG86" i="4"/>
  <c r="GR86" i="4"/>
  <c r="BM86" i="4"/>
  <c r="HO86" i="4"/>
  <c r="BY86" i="4"/>
  <c r="HR86" i="4"/>
  <c r="BO86" i="4"/>
  <c r="KC86" i="4"/>
  <c r="CA86" i="4"/>
  <c r="KE86" i="4"/>
  <c r="DP86" i="4"/>
  <c r="DS86" i="4"/>
  <c r="DY86" i="4"/>
  <c r="EE86" i="4"/>
  <c r="AA86" i="4"/>
  <c r="AC86" i="4"/>
  <c r="EA86" i="4"/>
  <c r="EF86" i="4"/>
  <c r="EM86" i="4"/>
  <c r="IN86" i="4"/>
  <c r="HS86" i="4"/>
  <c r="IE86" i="4"/>
  <c r="IQ86" i="4"/>
  <c r="EY86" i="4"/>
  <c r="HQ86" i="4"/>
  <c r="IC86" i="4"/>
  <c r="I70" i="4"/>
  <c r="Y70" i="4"/>
  <c r="AO70" i="4"/>
  <c r="BE70" i="4"/>
  <c r="BU70" i="4"/>
  <c r="CK70" i="4"/>
  <c r="DA70" i="4"/>
  <c r="DQ70" i="4"/>
  <c r="EG70" i="4"/>
  <c r="EW70" i="4"/>
  <c r="FM70" i="4"/>
  <c r="GC70" i="4"/>
  <c r="GS70" i="4"/>
  <c r="HI70" i="4"/>
  <c r="HY70" i="4"/>
  <c r="IO70" i="4"/>
  <c r="JE70" i="4"/>
  <c r="JU70" i="4"/>
  <c r="M70" i="4"/>
  <c r="AC70" i="4"/>
  <c r="AS70" i="4"/>
  <c r="BI70" i="4"/>
  <c r="BY70" i="4"/>
  <c r="CO70" i="4"/>
  <c r="DE70" i="4"/>
  <c r="DU70" i="4"/>
  <c r="EK70" i="4"/>
  <c r="FA70" i="4"/>
  <c r="FQ70" i="4"/>
  <c r="GG70" i="4"/>
  <c r="GW70" i="4"/>
  <c r="HM70" i="4"/>
  <c r="IC70" i="4"/>
  <c r="IS70" i="4"/>
  <c r="JI70" i="4"/>
  <c r="JY70" i="4"/>
  <c r="T70" i="4"/>
  <c r="AL70" i="4"/>
  <c r="BD70" i="4"/>
  <c r="BW70" i="4"/>
  <c r="CP70" i="4"/>
  <c r="DH70" i="4"/>
  <c r="DZ70" i="4"/>
  <c r="ER70" i="4"/>
  <c r="FJ70" i="4"/>
  <c r="GB70" i="4"/>
  <c r="GU70" i="4"/>
  <c r="HN70" i="4"/>
  <c r="IF70" i="4"/>
  <c r="IX70" i="4"/>
  <c r="JP70" i="4"/>
  <c r="KH70" i="4"/>
  <c r="U70" i="4"/>
  <c r="AM70" i="4"/>
  <c r="BF70" i="4"/>
  <c r="BX70" i="4"/>
  <c r="CQ70" i="4"/>
  <c r="DI70" i="4"/>
  <c r="EA70" i="4"/>
  <c r="ES70" i="4"/>
  <c r="FK70" i="4"/>
  <c r="GD70" i="4"/>
  <c r="GV70" i="4"/>
  <c r="HO70" i="4"/>
  <c r="IG70" i="4"/>
  <c r="IY70" i="4"/>
  <c r="JQ70" i="4"/>
  <c r="KI70" i="4"/>
  <c r="V70" i="4"/>
  <c r="AN70" i="4"/>
  <c r="BG70" i="4"/>
  <c r="BZ70" i="4"/>
  <c r="CR70" i="4"/>
  <c r="DJ70" i="4"/>
  <c r="EB70" i="4"/>
  <c r="ET70" i="4"/>
  <c r="FL70" i="4"/>
  <c r="GE70" i="4"/>
  <c r="GX70" i="4"/>
  <c r="HP70" i="4"/>
  <c r="IH70" i="4"/>
  <c r="IZ70" i="4"/>
  <c r="JR70" i="4"/>
  <c r="W70" i="4"/>
  <c r="AP70" i="4"/>
  <c r="BH70" i="4"/>
  <c r="CA70" i="4"/>
  <c r="CS70" i="4"/>
  <c r="DK70" i="4"/>
  <c r="EC70" i="4"/>
  <c r="EU70" i="4"/>
  <c r="FN70" i="4"/>
  <c r="GF70" i="4"/>
  <c r="GY70" i="4"/>
  <c r="HQ70" i="4"/>
  <c r="II70" i="4"/>
  <c r="JA70" i="4"/>
  <c r="JS70" i="4"/>
  <c r="X70" i="4"/>
  <c r="AQ70" i="4"/>
  <c r="BJ70" i="4"/>
  <c r="CB70" i="4"/>
  <c r="CT70" i="4"/>
  <c r="DL70" i="4"/>
  <c r="ED70" i="4"/>
  <c r="EV70" i="4"/>
  <c r="FO70" i="4"/>
  <c r="GH70" i="4"/>
  <c r="GZ70" i="4"/>
  <c r="HR70" i="4"/>
  <c r="IJ70" i="4"/>
  <c r="JB70" i="4"/>
  <c r="JT70" i="4"/>
  <c r="AA70" i="4"/>
  <c r="AT70" i="4"/>
  <c r="BL70" i="4"/>
  <c r="CD70" i="4"/>
  <c r="CV70" i="4"/>
  <c r="DN70" i="4"/>
  <c r="EF70" i="4"/>
  <c r="EY70" i="4"/>
  <c r="FR70" i="4"/>
  <c r="GJ70" i="4"/>
  <c r="HB70" i="4"/>
  <c r="HT70" i="4"/>
  <c r="IL70" i="4"/>
  <c r="JD70" i="4"/>
  <c r="JW70" i="4"/>
  <c r="P70" i="4"/>
  <c r="AV70" i="4"/>
  <c r="BT70" i="4"/>
  <c r="CZ70" i="4"/>
  <c r="EE70" i="4"/>
  <c r="FF70" i="4"/>
  <c r="GL70" i="4"/>
  <c r="HK70" i="4"/>
  <c r="IQ70" i="4"/>
  <c r="JV70" i="4"/>
  <c r="Q70" i="4"/>
  <c r="AW70" i="4"/>
  <c r="BV70" i="4"/>
  <c r="DB70" i="4"/>
  <c r="EH70" i="4"/>
  <c r="FG70" i="4"/>
  <c r="GM70" i="4"/>
  <c r="HL70" i="4"/>
  <c r="IR70" i="4"/>
  <c r="JX70" i="4"/>
  <c r="R70" i="4"/>
  <c r="AX70" i="4"/>
  <c r="CC70" i="4"/>
  <c r="DC70" i="4"/>
  <c r="EI70" i="4"/>
  <c r="FH70" i="4"/>
  <c r="GN70" i="4"/>
  <c r="HS70" i="4"/>
  <c r="IT70" i="4"/>
  <c r="JZ70" i="4"/>
  <c r="S70" i="4"/>
  <c r="AY70" i="4"/>
  <c r="CE70" i="4"/>
  <c r="DD70" i="4"/>
  <c r="EJ70" i="4"/>
  <c r="FI70" i="4"/>
  <c r="GO70" i="4"/>
  <c r="HU70" i="4"/>
  <c r="IU70" i="4"/>
  <c r="KA70" i="4"/>
  <c r="Z70" i="4"/>
  <c r="AZ70" i="4"/>
  <c r="CF70" i="4"/>
  <c r="DF70" i="4"/>
  <c r="EL70" i="4"/>
  <c r="FP70" i="4"/>
  <c r="GP70" i="4"/>
  <c r="HV70" i="4"/>
  <c r="IV70" i="4"/>
  <c r="KB70" i="4"/>
  <c r="AD70" i="4"/>
  <c r="BB70" i="4"/>
  <c r="CH70" i="4"/>
  <c r="DM70" i="4"/>
  <c r="EN70" i="4"/>
  <c r="FT70" i="4"/>
  <c r="GR70" i="4"/>
  <c r="HX70" i="4"/>
  <c r="JC70" i="4"/>
  <c r="KD70" i="4"/>
  <c r="AH70" i="4"/>
  <c r="CG70" i="4"/>
  <c r="DV70" i="4"/>
  <c r="FV70" i="4"/>
  <c r="HH70" i="4"/>
  <c r="JJ70" i="4"/>
  <c r="AI70" i="4"/>
  <c r="CI70" i="4"/>
  <c r="DW70" i="4"/>
  <c r="FW70" i="4"/>
  <c r="HJ70" i="4"/>
  <c r="JK70" i="4"/>
  <c r="AJ70" i="4"/>
  <c r="CJ70" i="4"/>
  <c r="DX70" i="4"/>
  <c r="FX70" i="4"/>
  <c r="HW70" i="4"/>
  <c r="JL70" i="4"/>
  <c r="AK70" i="4"/>
  <c r="CL70" i="4"/>
  <c r="DY70" i="4"/>
  <c r="FY70" i="4"/>
  <c r="HZ70" i="4"/>
  <c r="JM70" i="4"/>
  <c r="AR70" i="4"/>
  <c r="CM70" i="4"/>
  <c r="EM70" i="4"/>
  <c r="FZ70" i="4"/>
  <c r="IA70" i="4"/>
  <c r="JN70" i="4"/>
  <c r="BA70" i="4"/>
  <c r="CU70" i="4"/>
  <c r="EP70" i="4"/>
  <c r="GI70" i="4"/>
  <c r="ID70" i="4"/>
  <c r="KC70" i="4"/>
  <c r="BK70" i="4"/>
  <c r="DS70" i="4"/>
  <c r="HA70" i="4"/>
  <c r="JO70" i="4"/>
  <c r="BM70" i="4"/>
  <c r="DT70" i="4"/>
  <c r="HC70" i="4"/>
  <c r="KE70" i="4"/>
  <c r="BN70" i="4"/>
  <c r="EO70" i="4"/>
  <c r="HD70" i="4"/>
  <c r="KF70" i="4"/>
  <c r="BO70" i="4"/>
  <c r="EQ70" i="4"/>
  <c r="HE70" i="4"/>
  <c r="KG70" i="4"/>
  <c r="BP70" i="4"/>
  <c r="EX70" i="4"/>
  <c r="HF70" i="4"/>
  <c r="K70" i="4"/>
  <c r="BR70" i="4"/>
  <c r="FB70" i="4"/>
  <c r="IB70" i="4"/>
  <c r="BQ70" i="4"/>
  <c r="GA70" i="4"/>
  <c r="BS70" i="4"/>
  <c r="GK70" i="4"/>
  <c r="CN70" i="4"/>
  <c r="GQ70" i="4"/>
  <c r="CW70" i="4"/>
  <c r="GT70" i="4"/>
  <c r="CX70" i="4"/>
  <c r="HG70" i="4"/>
  <c r="J70" i="4"/>
  <c r="DG70" i="4"/>
  <c r="IK70" i="4"/>
  <c r="EZ70" i="4"/>
  <c r="FC70" i="4"/>
  <c r="FD70" i="4"/>
  <c r="L70" i="4"/>
  <c r="FE70" i="4"/>
  <c r="N70" i="4"/>
  <c r="FS70" i="4"/>
  <c r="AB70" i="4"/>
  <c r="IE70" i="4"/>
  <c r="AF70" i="4"/>
  <c r="AG70" i="4"/>
  <c r="AU70" i="4"/>
  <c r="BC70" i="4"/>
  <c r="CY70" i="4"/>
  <c r="DP70" i="4"/>
  <c r="FU70" i="4"/>
  <c r="IM70" i="4"/>
  <c r="IN70" i="4"/>
  <c r="IP70" i="4"/>
  <c r="IW70" i="4"/>
  <c r="JF70" i="4"/>
  <c r="O70" i="4"/>
  <c r="JH70" i="4"/>
  <c r="JG70" i="4"/>
  <c r="AE70" i="4"/>
  <c r="DO70" i="4"/>
  <c r="DR70" i="4"/>
  <c r="P54" i="4"/>
  <c r="AF54" i="4"/>
  <c r="AV54" i="4"/>
  <c r="BL54" i="4"/>
  <c r="CB54" i="4"/>
  <c r="CR54" i="4"/>
  <c r="DH54" i="4"/>
  <c r="DX54" i="4"/>
  <c r="EN54" i="4"/>
  <c r="FD54" i="4"/>
  <c r="FT54" i="4"/>
  <c r="GJ54" i="4"/>
  <c r="GZ54" i="4"/>
  <c r="HP54" i="4"/>
  <c r="IF54" i="4"/>
  <c r="IV54" i="4"/>
  <c r="JL54" i="4"/>
  <c r="KB54" i="4"/>
  <c r="Q54" i="4"/>
  <c r="AG54" i="4"/>
  <c r="AW54" i="4"/>
  <c r="BM54" i="4"/>
  <c r="CC54" i="4"/>
  <c r="CS54" i="4"/>
  <c r="DI54" i="4"/>
  <c r="DY54" i="4"/>
  <c r="EO54" i="4"/>
  <c r="FE54" i="4"/>
  <c r="FU54" i="4"/>
  <c r="GK54" i="4"/>
  <c r="HA54" i="4"/>
  <c r="HQ54" i="4"/>
  <c r="IG54" i="4"/>
  <c r="IW54" i="4"/>
  <c r="JM54" i="4"/>
  <c r="KC54" i="4"/>
  <c r="R54" i="4"/>
  <c r="AH54" i="4"/>
  <c r="AX54" i="4"/>
  <c r="BN54" i="4"/>
  <c r="CD54" i="4"/>
  <c r="CT54" i="4"/>
  <c r="DJ54" i="4"/>
  <c r="DZ54" i="4"/>
  <c r="EP54" i="4"/>
  <c r="FF54" i="4"/>
  <c r="FV54" i="4"/>
  <c r="GL54" i="4"/>
  <c r="HB54" i="4"/>
  <c r="HR54" i="4"/>
  <c r="IH54" i="4"/>
  <c r="IX54" i="4"/>
  <c r="JN54" i="4"/>
  <c r="KD54" i="4"/>
  <c r="V54" i="4"/>
  <c r="AL54" i="4"/>
  <c r="BB54" i="4"/>
  <c r="BR54" i="4"/>
  <c r="CH54" i="4"/>
  <c r="CX54" i="4"/>
  <c r="DN54" i="4"/>
  <c r="ED54" i="4"/>
  <c r="ET54" i="4"/>
  <c r="FJ54" i="4"/>
  <c r="FZ54" i="4"/>
  <c r="GP54" i="4"/>
  <c r="HF54" i="4"/>
  <c r="HV54" i="4"/>
  <c r="IL54" i="4"/>
  <c r="JB54" i="4"/>
  <c r="JR54" i="4"/>
  <c r="KH54" i="4"/>
  <c r="L54" i="4"/>
  <c r="AI54" i="4"/>
  <c r="BD54" i="4"/>
  <c r="BX54" i="4"/>
  <c r="CU54" i="4"/>
  <c r="DP54" i="4"/>
  <c r="EJ54" i="4"/>
  <c r="FG54" i="4"/>
  <c r="GB54" i="4"/>
  <c r="GV54" i="4"/>
  <c r="HS54" i="4"/>
  <c r="IN54" i="4"/>
  <c r="JH54" i="4"/>
  <c r="KE54" i="4"/>
  <c r="M54" i="4"/>
  <c r="AJ54" i="4"/>
  <c r="BE54" i="4"/>
  <c r="BY54" i="4"/>
  <c r="CV54" i="4"/>
  <c r="DQ54" i="4"/>
  <c r="EK54" i="4"/>
  <c r="FH54" i="4"/>
  <c r="GC54" i="4"/>
  <c r="GW54" i="4"/>
  <c r="HT54" i="4"/>
  <c r="IO54" i="4"/>
  <c r="JI54" i="4"/>
  <c r="KF54" i="4"/>
  <c r="N54" i="4"/>
  <c r="AK54" i="4"/>
  <c r="BF54" i="4"/>
  <c r="BZ54" i="4"/>
  <c r="CW54" i="4"/>
  <c r="DR54" i="4"/>
  <c r="EL54" i="4"/>
  <c r="FI54" i="4"/>
  <c r="GD54" i="4"/>
  <c r="GX54" i="4"/>
  <c r="HU54" i="4"/>
  <c r="IP54" i="4"/>
  <c r="JJ54" i="4"/>
  <c r="KG54" i="4"/>
  <c r="O54" i="4"/>
  <c r="AM54" i="4"/>
  <c r="BG54" i="4"/>
  <c r="CA54" i="4"/>
  <c r="CY54" i="4"/>
  <c r="DS54" i="4"/>
  <c r="EM54" i="4"/>
  <c r="FK54" i="4"/>
  <c r="GE54" i="4"/>
  <c r="GY54" i="4"/>
  <c r="HW54" i="4"/>
  <c r="IQ54" i="4"/>
  <c r="JK54" i="4"/>
  <c r="KI54" i="4"/>
  <c r="U54" i="4"/>
  <c r="AP54" i="4"/>
  <c r="BJ54" i="4"/>
  <c r="CG54" i="4"/>
  <c r="DB54" i="4"/>
  <c r="DV54" i="4"/>
  <c r="ES54" i="4"/>
  <c r="FN54" i="4"/>
  <c r="GH54" i="4"/>
  <c r="HE54" i="4"/>
  <c r="HZ54" i="4"/>
  <c r="IT54" i="4"/>
  <c r="JQ54" i="4"/>
  <c r="Y54" i="4"/>
  <c r="BA54" i="4"/>
  <c r="CJ54" i="4"/>
  <c r="DL54" i="4"/>
  <c r="EU54" i="4"/>
  <c r="FW54" i="4"/>
  <c r="HD54" i="4"/>
  <c r="IE54" i="4"/>
  <c r="JO54" i="4"/>
  <c r="Z54" i="4"/>
  <c r="BC54" i="4"/>
  <c r="CK54" i="4"/>
  <c r="DM54" i="4"/>
  <c r="EV54" i="4"/>
  <c r="FX54" i="4"/>
  <c r="HG54" i="4"/>
  <c r="II54" i="4"/>
  <c r="JP54" i="4"/>
  <c r="AA54" i="4"/>
  <c r="BH54" i="4"/>
  <c r="CL54" i="4"/>
  <c r="DO54" i="4"/>
  <c r="EW54" i="4"/>
  <c r="FY54" i="4"/>
  <c r="HH54" i="4"/>
  <c r="IJ54" i="4"/>
  <c r="JS54" i="4"/>
  <c r="AB54" i="4"/>
  <c r="BI54" i="4"/>
  <c r="CM54" i="4"/>
  <c r="DT54" i="4"/>
  <c r="EX54" i="4"/>
  <c r="GA54" i="4"/>
  <c r="HI54" i="4"/>
  <c r="IK54" i="4"/>
  <c r="JT54" i="4"/>
  <c r="AC54" i="4"/>
  <c r="BK54" i="4"/>
  <c r="CN54" i="4"/>
  <c r="DU54" i="4"/>
  <c r="EY54" i="4"/>
  <c r="GF54" i="4"/>
  <c r="HJ54" i="4"/>
  <c r="IM54" i="4"/>
  <c r="JU54" i="4"/>
  <c r="AE54" i="4"/>
  <c r="BP54" i="4"/>
  <c r="CP54" i="4"/>
  <c r="EA54" i="4"/>
  <c r="FA54" i="4"/>
  <c r="GI54" i="4"/>
  <c r="HL54" i="4"/>
  <c r="IS54" i="4"/>
  <c r="JW54" i="4"/>
  <c r="AY54" i="4"/>
  <c r="DC54" i="4"/>
  <c r="EZ54" i="4"/>
  <c r="GS54" i="4"/>
  <c r="IY54" i="4"/>
  <c r="I54" i="4"/>
  <c r="AZ54" i="4"/>
  <c r="DD54" i="4"/>
  <c r="FB54" i="4"/>
  <c r="GT54" i="4"/>
  <c r="IZ54" i="4"/>
  <c r="J54" i="4"/>
  <c r="BO54" i="4"/>
  <c r="DE54" i="4"/>
  <c r="FC54" i="4"/>
  <c r="GU54" i="4"/>
  <c r="JA54" i="4"/>
  <c r="K54" i="4"/>
  <c r="BQ54" i="4"/>
  <c r="DF54" i="4"/>
  <c r="FL54" i="4"/>
  <c r="HC54" i="4"/>
  <c r="JC54" i="4"/>
  <c r="S54" i="4"/>
  <c r="BS54" i="4"/>
  <c r="DG54" i="4"/>
  <c r="FM54" i="4"/>
  <c r="HK54" i="4"/>
  <c r="JD54" i="4"/>
  <c r="W54" i="4"/>
  <c r="BU54" i="4"/>
  <c r="DW54" i="4"/>
  <c r="FP54" i="4"/>
  <c r="HN54" i="4"/>
  <c r="JF54" i="4"/>
  <c r="BW54" i="4"/>
  <c r="EQ54" i="4"/>
  <c r="IA54" i="4"/>
  <c r="CE54" i="4"/>
  <c r="ER54" i="4"/>
  <c r="IB54" i="4"/>
  <c r="CF54" i="4"/>
  <c r="FO54" i="4"/>
  <c r="IC54" i="4"/>
  <c r="CI54" i="4"/>
  <c r="FQ54" i="4"/>
  <c r="ID54" i="4"/>
  <c r="T54" i="4"/>
  <c r="CO54" i="4"/>
  <c r="FR54" i="4"/>
  <c r="IR54" i="4"/>
  <c r="AD54" i="4"/>
  <c r="CZ54" i="4"/>
  <c r="GG54" i="4"/>
  <c r="JE54" i="4"/>
  <c r="EC54" i="4"/>
  <c r="IU54" i="4"/>
  <c r="EE54" i="4"/>
  <c r="JG54" i="4"/>
  <c r="X54" i="4"/>
  <c r="EF54" i="4"/>
  <c r="JV54" i="4"/>
  <c r="AN54" i="4"/>
  <c r="EG54" i="4"/>
  <c r="JX54" i="4"/>
  <c r="AO54" i="4"/>
  <c r="EH54" i="4"/>
  <c r="JY54" i="4"/>
  <c r="AR54" i="4"/>
  <c r="FS54" i="4"/>
  <c r="KA54" i="4"/>
  <c r="EI54" i="4"/>
  <c r="GM54" i="4"/>
  <c r="GN54" i="4"/>
  <c r="GO54" i="4"/>
  <c r="GQ54" i="4"/>
  <c r="AQ54" i="4"/>
  <c r="HM54" i="4"/>
  <c r="GR54" i="4"/>
  <c r="HO54" i="4"/>
  <c r="HX54" i="4"/>
  <c r="HY54" i="4"/>
  <c r="JZ54" i="4"/>
  <c r="AS54" i="4"/>
  <c r="AT54" i="4"/>
  <c r="AU54" i="4"/>
  <c r="BT54" i="4"/>
  <c r="CQ54" i="4"/>
  <c r="EB54" i="4"/>
  <c r="BV54" i="4"/>
  <c r="DA54" i="4"/>
  <c r="DK54" i="4"/>
  <c r="W38" i="4"/>
  <c r="AM38" i="4"/>
  <c r="BC38" i="4"/>
  <c r="BS38" i="4"/>
  <c r="CI38" i="4"/>
  <c r="CY38" i="4"/>
  <c r="DO38" i="4"/>
  <c r="EE38" i="4"/>
  <c r="EU38" i="4"/>
  <c r="FK38" i="4"/>
  <c r="GA38" i="4"/>
  <c r="GQ38" i="4"/>
  <c r="HG38" i="4"/>
  <c r="HW38" i="4"/>
  <c r="IM38" i="4"/>
  <c r="JC38" i="4"/>
  <c r="JS38" i="4"/>
  <c r="KI38" i="4"/>
  <c r="X38" i="4"/>
  <c r="AN38" i="4"/>
  <c r="BD38" i="4"/>
  <c r="BT38" i="4"/>
  <c r="CJ38" i="4"/>
  <c r="CZ38" i="4"/>
  <c r="DP38" i="4"/>
  <c r="EF38" i="4"/>
  <c r="EV38" i="4"/>
  <c r="FL38" i="4"/>
  <c r="GB38" i="4"/>
  <c r="GR38" i="4"/>
  <c r="HH38" i="4"/>
  <c r="HX38" i="4"/>
  <c r="IN38" i="4"/>
  <c r="JD38" i="4"/>
  <c r="JT38" i="4"/>
  <c r="I38" i="4"/>
  <c r="Y38" i="4"/>
  <c r="AO38" i="4"/>
  <c r="BE38" i="4"/>
  <c r="BU38" i="4"/>
  <c r="CK38" i="4"/>
  <c r="DA38" i="4"/>
  <c r="DQ38" i="4"/>
  <c r="EG38" i="4"/>
  <c r="EW38" i="4"/>
  <c r="FM38" i="4"/>
  <c r="GC38" i="4"/>
  <c r="GS38" i="4"/>
  <c r="HI38" i="4"/>
  <c r="HY38" i="4"/>
  <c r="IO38" i="4"/>
  <c r="JE38" i="4"/>
  <c r="JU38" i="4"/>
  <c r="M38" i="4"/>
  <c r="AC38" i="4"/>
  <c r="AS38" i="4"/>
  <c r="BI38" i="4"/>
  <c r="BY38" i="4"/>
  <c r="CO38" i="4"/>
  <c r="DE38" i="4"/>
  <c r="DU38" i="4"/>
  <c r="EK38" i="4"/>
  <c r="FA38" i="4"/>
  <c r="FQ38" i="4"/>
  <c r="GG38" i="4"/>
  <c r="GW38" i="4"/>
  <c r="HM38" i="4"/>
  <c r="IC38" i="4"/>
  <c r="IS38" i="4"/>
  <c r="JI38" i="4"/>
  <c r="JY38" i="4"/>
  <c r="V38" i="4"/>
  <c r="AT38" i="4"/>
  <c r="BN38" i="4"/>
  <c r="CH38" i="4"/>
  <c r="DF38" i="4"/>
  <c r="DZ38" i="4"/>
  <c r="ET38" i="4"/>
  <c r="FR38" i="4"/>
  <c r="GL38" i="4"/>
  <c r="HF38" i="4"/>
  <c r="ID38" i="4"/>
  <c r="IX38" i="4"/>
  <c r="JR38" i="4"/>
  <c r="Z38" i="4"/>
  <c r="AU38" i="4"/>
  <c r="BO38" i="4"/>
  <c r="CL38" i="4"/>
  <c r="DG38" i="4"/>
  <c r="EA38" i="4"/>
  <c r="EX38" i="4"/>
  <c r="FS38" i="4"/>
  <c r="GM38" i="4"/>
  <c r="HJ38" i="4"/>
  <c r="IE38" i="4"/>
  <c r="IY38" i="4"/>
  <c r="JV38" i="4"/>
  <c r="AA38" i="4"/>
  <c r="AV38" i="4"/>
  <c r="BP38" i="4"/>
  <c r="CM38" i="4"/>
  <c r="DH38" i="4"/>
  <c r="EB38" i="4"/>
  <c r="EY38" i="4"/>
  <c r="FT38" i="4"/>
  <c r="GN38" i="4"/>
  <c r="HK38" i="4"/>
  <c r="IF38" i="4"/>
  <c r="IZ38" i="4"/>
  <c r="JW38" i="4"/>
  <c r="AB38" i="4"/>
  <c r="AW38" i="4"/>
  <c r="BQ38" i="4"/>
  <c r="CN38" i="4"/>
  <c r="DI38" i="4"/>
  <c r="EC38" i="4"/>
  <c r="EZ38" i="4"/>
  <c r="FU38" i="4"/>
  <c r="GO38" i="4"/>
  <c r="HL38" i="4"/>
  <c r="IG38" i="4"/>
  <c r="JA38" i="4"/>
  <c r="JX38" i="4"/>
  <c r="AD38" i="4"/>
  <c r="AX38" i="4"/>
  <c r="BR38" i="4"/>
  <c r="CP38" i="4"/>
  <c r="DJ38" i="4"/>
  <c r="ED38" i="4"/>
  <c r="FB38" i="4"/>
  <c r="FV38" i="4"/>
  <c r="GP38" i="4"/>
  <c r="HN38" i="4"/>
  <c r="IH38" i="4"/>
  <c r="JB38" i="4"/>
  <c r="JZ38" i="4"/>
  <c r="K38" i="4"/>
  <c r="AF38" i="4"/>
  <c r="AZ38" i="4"/>
  <c r="BW38" i="4"/>
  <c r="CR38" i="4"/>
  <c r="DL38" i="4"/>
  <c r="EI38" i="4"/>
  <c r="FD38" i="4"/>
  <c r="FX38" i="4"/>
  <c r="GU38" i="4"/>
  <c r="HP38" i="4"/>
  <c r="IJ38" i="4"/>
  <c r="JG38" i="4"/>
  <c r="KB38" i="4"/>
  <c r="AJ38" i="4"/>
  <c r="BV38" i="4"/>
  <c r="CX38" i="4"/>
  <c r="EL38" i="4"/>
  <c r="FO38" i="4"/>
  <c r="GZ38" i="4"/>
  <c r="II38" i="4"/>
  <c r="JN38" i="4"/>
  <c r="AK38" i="4"/>
  <c r="BX38" i="4"/>
  <c r="DB38" i="4"/>
  <c r="EM38" i="4"/>
  <c r="FP38" i="4"/>
  <c r="HA38" i="4"/>
  <c r="IK38" i="4"/>
  <c r="JO38" i="4"/>
  <c r="J38" i="4"/>
  <c r="AL38" i="4"/>
  <c r="BZ38" i="4"/>
  <c r="DC38" i="4"/>
  <c r="EN38" i="4"/>
  <c r="FW38" i="4"/>
  <c r="HB38" i="4"/>
  <c r="IL38" i="4"/>
  <c r="JP38" i="4"/>
  <c r="L38" i="4"/>
  <c r="AP38" i="4"/>
  <c r="CA38" i="4"/>
  <c r="DD38" i="4"/>
  <c r="EO38" i="4"/>
  <c r="FY38" i="4"/>
  <c r="HC38" i="4"/>
  <c r="IP38" i="4"/>
  <c r="JQ38" i="4"/>
  <c r="N38" i="4"/>
  <c r="AQ38" i="4"/>
  <c r="CB38" i="4"/>
  <c r="DK38" i="4"/>
  <c r="EP38" i="4"/>
  <c r="FZ38" i="4"/>
  <c r="HD38" i="4"/>
  <c r="IQ38" i="4"/>
  <c r="KA38" i="4"/>
  <c r="P38" i="4"/>
  <c r="AY38" i="4"/>
  <c r="CD38" i="4"/>
  <c r="DN38" i="4"/>
  <c r="ER38" i="4"/>
  <c r="GE38" i="4"/>
  <c r="HO38" i="4"/>
  <c r="IT38" i="4"/>
  <c r="KD38" i="4"/>
  <c r="BB38" i="4"/>
  <c r="CV38" i="4"/>
  <c r="FF38" i="4"/>
  <c r="HE38" i="4"/>
  <c r="JJ38" i="4"/>
  <c r="BF38" i="4"/>
  <c r="CW38" i="4"/>
  <c r="FG38" i="4"/>
  <c r="HQ38" i="4"/>
  <c r="JK38" i="4"/>
  <c r="BG38" i="4"/>
  <c r="DM38" i="4"/>
  <c r="FH38" i="4"/>
  <c r="HR38" i="4"/>
  <c r="JL38" i="4"/>
  <c r="BH38" i="4"/>
  <c r="DR38" i="4"/>
  <c r="FI38" i="4"/>
  <c r="HS38" i="4"/>
  <c r="JM38" i="4"/>
  <c r="O38" i="4"/>
  <c r="BJ38" i="4"/>
  <c r="DS38" i="4"/>
  <c r="FJ38" i="4"/>
  <c r="HT38" i="4"/>
  <c r="KC38" i="4"/>
  <c r="R38" i="4"/>
  <c r="BL38" i="4"/>
  <c r="DV38" i="4"/>
  <c r="GD38" i="4"/>
  <c r="HV38" i="4"/>
  <c r="KF38" i="4"/>
  <c r="Q38" i="4"/>
  <c r="CQ38" i="4"/>
  <c r="GH38" i="4"/>
  <c r="JF38" i="4"/>
  <c r="S38" i="4"/>
  <c r="CS38" i="4"/>
  <c r="GI38" i="4"/>
  <c r="JH38" i="4"/>
  <c r="T38" i="4"/>
  <c r="CT38" i="4"/>
  <c r="GJ38" i="4"/>
  <c r="KE38" i="4"/>
  <c r="U38" i="4"/>
  <c r="CU38" i="4"/>
  <c r="GK38" i="4"/>
  <c r="KG38" i="4"/>
  <c r="AE38" i="4"/>
  <c r="DT38" i="4"/>
  <c r="GT38" i="4"/>
  <c r="KH38" i="4"/>
  <c r="AH38" i="4"/>
  <c r="DX38" i="4"/>
  <c r="GX38" i="4"/>
  <c r="EQ38" i="4"/>
  <c r="ES38" i="4"/>
  <c r="AG38" i="4"/>
  <c r="FC38" i="4"/>
  <c r="AI38" i="4"/>
  <c r="FE38" i="4"/>
  <c r="AR38" i="4"/>
  <c r="FN38" i="4"/>
  <c r="BK38" i="4"/>
  <c r="GV38" i="4"/>
  <c r="IA38" i="4"/>
  <c r="IB38" i="4"/>
  <c r="BA38" i="4"/>
  <c r="IR38" i="4"/>
  <c r="BM38" i="4"/>
  <c r="IU38" i="4"/>
  <c r="CC38" i="4"/>
  <c r="IV38" i="4"/>
  <c r="CF38" i="4"/>
  <c r="GF38" i="4"/>
  <c r="GY38" i="4"/>
  <c r="HU38" i="4"/>
  <c r="HZ38" i="4"/>
  <c r="IW38" i="4"/>
  <c r="EH38" i="4"/>
  <c r="EJ38" i="4"/>
  <c r="DW38" i="4"/>
  <c r="DY38" i="4"/>
  <c r="CE38" i="4"/>
  <c r="CG38" i="4"/>
  <c r="U22" i="4"/>
  <c r="AK22" i="4"/>
  <c r="BA22" i="4"/>
  <c r="BQ22" i="4"/>
  <c r="CG22" i="4"/>
  <c r="CW22" i="4"/>
  <c r="DM22" i="4"/>
  <c r="EC22" i="4"/>
  <c r="ES22" i="4"/>
  <c r="FI22" i="4"/>
  <c r="FY22" i="4"/>
  <c r="GO22" i="4"/>
  <c r="HE22" i="4"/>
  <c r="HU22" i="4"/>
  <c r="IK22" i="4"/>
  <c r="JA22" i="4"/>
  <c r="JQ22" i="4"/>
  <c r="KG22" i="4"/>
  <c r="V22" i="4"/>
  <c r="AL22" i="4"/>
  <c r="BB22" i="4"/>
  <c r="BR22" i="4"/>
  <c r="CH22" i="4"/>
  <c r="CX22" i="4"/>
  <c r="DN22" i="4"/>
  <c r="ED22" i="4"/>
  <c r="ET22" i="4"/>
  <c r="FJ22" i="4"/>
  <c r="FZ22" i="4"/>
  <c r="GP22" i="4"/>
  <c r="HF22" i="4"/>
  <c r="HV22" i="4"/>
  <c r="IL22" i="4"/>
  <c r="JB22" i="4"/>
  <c r="JR22" i="4"/>
  <c r="KH22" i="4"/>
  <c r="W22" i="4"/>
  <c r="AM22" i="4"/>
  <c r="BC22" i="4"/>
  <c r="BS22" i="4"/>
  <c r="CI22" i="4"/>
  <c r="CY22" i="4"/>
  <c r="DO22" i="4"/>
  <c r="EE22" i="4"/>
  <c r="EU22" i="4"/>
  <c r="FK22" i="4"/>
  <c r="GA22" i="4"/>
  <c r="GQ22" i="4"/>
  <c r="HG22" i="4"/>
  <c r="HW22" i="4"/>
  <c r="IM22" i="4"/>
  <c r="JC22" i="4"/>
  <c r="JS22" i="4"/>
  <c r="KI22" i="4"/>
  <c r="K22" i="4"/>
  <c r="AA22" i="4"/>
  <c r="AQ22" i="4"/>
  <c r="BG22" i="4"/>
  <c r="BW22" i="4"/>
  <c r="CM22" i="4"/>
  <c r="DC22" i="4"/>
  <c r="DS22" i="4"/>
  <c r="EI22" i="4"/>
  <c r="EY22" i="4"/>
  <c r="FO22" i="4"/>
  <c r="GE22" i="4"/>
  <c r="GU22" i="4"/>
  <c r="HK22" i="4"/>
  <c r="IA22" i="4"/>
  <c r="IQ22" i="4"/>
  <c r="JG22" i="4"/>
  <c r="JW22" i="4"/>
  <c r="R22" i="4"/>
  <c r="AO22" i="4"/>
  <c r="BJ22" i="4"/>
  <c r="CD22" i="4"/>
  <c r="DA22" i="4"/>
  <c r="DV22" i="4"/>
  <c r="EP22" i="4"/>
  <c r="FM22" i="4"/>
  <c r="GH22" i="4"/>
  <c r="HB22" i="4"/>
  <c r="HY22" i="4"/>
  <c r="IT22" i="4"/>
  <c r="JN22" i="4"/>
  <c r="S22" i="4"/>
  <c r="AP22" i="4"/>
  <c r="BK22" i="4"/>
  <c r="CE22" i="4"/>
  <c r="DB22" i="4"/>
  <c r="DW22" i="4"/>
  <c r="EQ22" i="4"/>
  <c r="FN22" i="4"/>
  <c r="GI22" i="4"/>
  <c r="HC22" i="4"/>
  <c r="HZ22" i="4"/>
  <c r="IU22" i="4"/>
  <c r="JO22" i="4"/>
  <c r="T22" i="4"/>
  <c r="AR22" i="4"/>
  <c r="BL22" i="4"/>
  <c r="CF22" i="4"/>
  <c r="DD22" i="4"/>
  <c r="DX22" i="4"/>
  <c r="ER22" i="4"/>
  <c r="FP22" i="4"/>
  <c r="GJ22" i="4"/>
  <c r="HD22" i="4"/>
  <c r="IB22" i="4"/>
  <c r="IV22" i="4"/>
  <c r="JP22" i="4"/>
  <c r="X22" i="4"/>
  <c r="AS22" i="4"/>
  <c r="BM22" i="4"/>
  <c r="CJ22" i="4"/>
  <c r="DE22" i="4"/>
  <c r="DY22" i="4"/>
  <c r="EV22" i="4"/>
  <c r="FQ22" i="4"/>
  <c r="GK22" i="4"/>
  <c r="HH22" i="4"/>
  <c r="IC22" i="4"/>
  <c r="IW22" i="4"/>
  <c r="JT22" i="4"/>
  <c r="Y22" i="4"/>
  <c r="AT22" i="4"/>
  <c r="BN22" i="4"/>
  <c r="CK22" i="4"/>
  <c r="DF22" i="4"/>
  <c r="DZ22" i="4"/>
  <c r="EW22" i="4"/>
  <c r="FR22" i="4"/>
  <c r="GL22" i="4"/>
  <c r="HI22" i="4"/>
  <c r="ID22" i="4"/>
  <c r="IX22" i="4"/>
  <c r="JU22" i="4"/>
  <c r="AB22" i="4"/>
  <c r="AV22" i="4"/>
  <c r="BP22" i="4"/>
  <c r="CN22" i="4"/>
  <c r="DH22" i="4"/>
  <c r="EB22" i="4"/>
  <c r="EZ22" i="4"/>
  <c r="FT22" i="4"/>
  <c r="GN22" i="4"/>
  <c r="HL22" i="4"/>
  <c r="IF22" i="4"/>
  <c r="IZ22" i="4"/>
  <c r="JX22" i="4"/>
  <c r="AH22" i="4"/>
  <c r="BU22" i="4"/>
  <c r="CV22" i="4"/>
  <c r="EJ22" i="4"/>
  <c r="FS22" i="4"/>
  <c r="GX22" i="4"/>
  <c r="IH22" i="4"/>
  <c r="JL22" i="4"/>
  <c r="AI22" i="4"/>
  <c r="BV22" i="4"/>
  <c r="CZ22" i="4"/>
  <c r="EK22" i="4"/>
  <c r="FU22" i="4"/>
  <c r="GY22" i="4"/>
  <c r="II22" i="4"/>
  <c r="JM22" i="4"/>
  <c r="I22" i="4"/>
  <c r="AJ22" i="4"/>
  <c r="BX22" i="4"/>
  <c r="DG22" i="4"/>
  <c r="EL22" i="4"/>
  <c r="FV22" i="4"/>
  <c r="GZ22" i="4"/>
  <c r="IJ22" i="4"/>
  <c r="JV22" i="4"/>
  <c r="J22" i="4"/>
  <c r="AN22" i="4"/>
  <c r="BY22" i="4"/>
  <c r="DI22" i="4"/>
  <c r="EM22" i="4"/>
  <c r="FW22" i="4"/>
  <c r="HA22" i="4"/>
  <c r="IN22" i="4"/>
  <c r="JY22" i="4"/>
  <c r="L22" i="4"/>
  <c r="AU22" i="4"/>
  <c r="BZ22" i="4"/>
  <c r="DJ22" i="4"/>
  <c r="EN22" i="4"/>
  <c r="FX22" i="4"/>
  <c r="HJ22" i="4"/>
  <c r="IO22" i="4"/>
  <c r="JZ22" i="4"/>
  <c r="N22" i="4"/>
  <c r="AX22" i="4"/>
  <c r="CB22" i="4"/>
  <c r="DL22" i="4"/>
  <c r="EX22" i="4"/>
  <c r="GC22" i="4"/>
  <c r="HN22" i="4"/>
  <c r="IR22" i="4"/>
  <c r="KB22" i="4"/>
  <c r="AZ22" i="4"/>
  <c r="CT22" i="4"/>
  <c r="FD22" i="4"/>
  <c r="HM22" i="4"/>
  <c r="JH22" i="4"/>
  <c r="BD22" i="4"/>
  <c r="CU22" i="4"/>
  <c r="FE22" i="4"/>
  <c r="HO22" i="4"/>
  <c r="JI22" i="4"/>
  <c r="BE22" i="4"/>
  <c r="DK22" i="4"/>
  <c r="FF22" i="4"/>
  <c r="HP22" i="4"/>
  <c r="JJ22" i="4"/>
  <c r="BF22" i="4"/>
  <c r="DP22" i="4"/>
  <c r="FG22" i="4"/>
  <c r="HQ22" i="4"/>
  <c r="JK22" i="4"/>
  <c r="M22" i="4"/>
  <c r="BH22" i="4"/>
  <c r="DQ22" i="4"/>
  <c r="FH22" i="4"/>
  <c r="HR22" i="4"/>
  <c r="KA22" i="4"/>
  <c r="P22" i="4"/>
  <c r="BO22" i="4"/>
  <c r="DT22" i="4"/>
  <c r="GB22" i="4"/>
  <c r="HT22" i="4"/>
  <c r="KD22" i="4"/>
  <c r="CA22" i="4"/>
  <c r="FB22" i="4"/>
  <c r="IP22" i="4"/>
  <c r="CC22" i="4"/>
  <c r="FC22" i="4"/>
  <c r="IS22" i="4"/>
  <c r="CL22" i="4"/>
  <c r="FL22" i="4"/>
  <c r="IY22" i="4"/>
  <c r="CO22" i="4"/>
  <c r="GD22" i="4"/>
  <c r="JD22" i="4"/>
  <c r="O22" i="4"/>
  <c r="CP22" i="4"/>
  <c r="GF22" i="4"/>
  <c r="JE22" i="4"/>
  <c r="Z22" i="4"/>
  <c r="CR22" i="4"/>
  <c r="GM22" i="4"/>
  <c r="KC22" i="4"/>
  <c r="DR22" i="4"/>
  <c r="IE22" i="4"/>
  <c r="DU22" i="4"/>
  <c r="IG22" i="4"/>
  <c r="EA22" i="4"/>
  <c r="JF22" i="4"/>
  <c r="EF22" i="4"/>
  <c r="KE22" i="4"/>
  <c r="Q22" i="4"/>
  <c r="EG22" i="4"/>
  <c r="KF22" i="4"/>
  <c r="AD22" i="4"/>
  <c r="EO22" i="4"/>
  <c r="BI22" i="4"/>
  <c r="BT22" i="4"/>
  <c r="CQ22" i="4"/>
  <c r="CS22" i="4"/>
  <c r="EH22" i="4"/>
  <c r="GG22" i="4"/>
  <c r="AF22" i="4"/>
  <c r="AG22" i="4"/>
  <c r="AW22" i="4"/>
  <c r="AY22" i="4"/>
  <c r="FA22" i="4"/>
  <c r="GS22" i="4"/>
  <c r="GR22" i="4"/>
  <c r="GT22" i="4"/>
  <c r="GV22" i="4"/>
  <c r="GW22" i="4"/>
  <c r="HS22" i="4"/>
  <c r="AC22" i="4"/>
  <c r="AE22" i="4"/>
  <c r="HX22" i="4"/>
  <c r="R6" i="4"/>
  <c r="AH6" i="4"/>
  <c r="AX6" i="4"/>
  <c r="BN6" i="4"/>
  <c r="CD6" i="4"/>
  <c r="CT6" i="4"/>
  <c r="DJ6" i="4"/>
  <c r="DZ6" i="4"/>
  <c r="EP6" i="4"/>
  <c r="FF6" i="4"/>
  <c r="FV6" i="4"/>
  <c r="GL6" i="4"/>
  <c r="HB6" i="4"/>
  <c r="HR6" i="4"/>
  <c r="IH6" i="4"/>
  <c r="IX6" i="4"/>
  <c r="JN6" i="4"/>
  <c r="KD6" i="4"/>
  <c r="S6" i="4"/>
  <c r="AI6" i="4"/>
  <c r="AY6" i="4"/>
  <c r="BO6" i="4"/>
  <c r="CE6" i="4"/>
  <c r="CU6" i="4"/>
  <c r="DK6" i="4"/>
  <c r="EA6" i="4"/>
  <c r="EQ6" i="4"/>
  <c r="FG6" i="4"/>
  <c r="FW6" i="4"/>
  <c r="GM6" i="4"/>
  <c r="HC6" i="4"/>
  <c r="HS6" i="4"/>
  <c r="II6" i="4"/>
  <c r="IY6" i="4"/>
  <c r="JO6" i="4"/>
  <c r="KE6" i="4"/>
  <c r="T6" i="4"/>
  <c r="AJ6" i="4"/>
  <c r="AZ6" i="4"/>
  <c r="BP6" i="4"/>
  <c r="CF6" i="4"/>
  <c r="CV6" i="4"/>
  <c r="DL6" i="4"/>
  <c r="EB6" i="4"/>
  <c r="ER6" i="4"/>
  <c r="FH6" i="4"/>
  <c r="FX6" i="4"/>
  <c r="GN6" i="4"/>
  <c r="HD6" i="4"/>
  <c r="HT6" i="4"/>
  <c r="IJ6" i="4"/>
  <c r="IZ6" i="4"/>
  <c r="JP6" i="4"/>
  <c r="KF6" i="4"/>
  <c r="U6" i="4"/>
  <c r="AK6" i="4"/>
  <c r="BA6" i="4"/>
  <c r="BQ6" i="4"/>
  <c r="CG6" i="4"/>
  <c r="CW6" i="4"/>
  <c r="DM6" i="4"/>
  <c r="EC6" i="4"/>
  <c r="ES6" i="4"/>
  <c r="FI6" i="4"/>
  <c r="FY6" i="4"/>
  <c r="GO6" i="4"/>
  <c r="HE6" i="4"/>
  <c r="HU6" i="4"/>
  <c r="IK6" i="4"/>
  <c r="JA6" i="4"/>
  <c r="JQ6" i="4"/>
  <c r="KG6" i="4"/>
  <c r="V6" i="4"/>
  <c r="AL6" i="4"/>
  <c r="BB6" i="4"/>
  <c r="BR6" i="4"/>
  <c r="CH6" i="4"/>
  <c r="CX6" i="4"/>
  <c r="DN6" i="4"/>
  <c r="ED6" i="4"/>
  <c r="ET6" i="4"/>
  <c r="FJ6" i="4"/>
  <c r="FZ6" i="4"/>
  <c r="GP6" i="4"/>
  <c r="HF6" i="4"/>
  <c r="HV6" i="4"/>
  <c r="IL6" i="4"/>
  <c r="JB6" i="4"/>
  <c r="JR6" i="4"/>
  <c r="KH6" i="4"/>
  <c r="L6" i="4"/>
  <c r="AG6" i="4"/>
  <c r="BG6" i="4"/>
  <c r="CB6" i="4"/>
  <c r="DB6" i="4"/>
  <c r="DW6" i="4"/>
  <c r="EW6" i="4"/>
  <c r="FR6" i="4"/>
  <c r="GR6" i="4"/>
  <c r="HM6" i="4"/>
  <c r="IM6" i="4"/>
  <c r="JH6" i="4"/>
  <c r="KC6" i="4"/>
  <c r="M6" i="4"/>
  <c r="AM6" i="4"/>
  <c r="BH6" i="4"/>
  <c r="CC6" i="4"/>
  <c r="DC6" i="4"/>
  <c r="DX6" i="4"/>
  <c r="EX6" i="4"/>
  <c r="FS6" i="4"/>
  <c r="GS6" i="4"/>
  <c r="HN6" i="4"/>
  <c r="IN6" i="4"/>
  <c r="JI6" i="4"/>
  <c r="KI6" i="4"/>
  <c r="N6" i="4"/>
  <c r="AN6" i="4"/>
  <c r="BI6" i="4"/>
  <c r="CI6" i="4"/>
  <c r="DD6" i="4"/>
  <c r="DY6" i="4"/>
  <c r="EY6" i="4"/>
  <c r="FT6" i="4"/>
  <c r="GT6" i="4"/>
  <c r="HO6" i="4"/>
  <c r="IO6" i="4"/>
  <c r="JJ6" i="4"/>
  <c r="O6" i="4"/>
  <c r="AO6" i="4"/>
  <c r="BJ6" i="4"/>
  <c r="CJ6" i="4"/>
  <c r="DE6" i="4"/>
  <c r="EE6" i="4"/>
  <c r="EZ6" i="4"/>
  <c r="FU6" i="4"/>
  <c r="GU6" i="4"/>
  <c r="HP6" i="4"/>
  <c r="IP6" i="4"/>
  <c r="JK6" i="4"/>
  <c r="P6" i="4"/>
  <c r="AP6" i="4"/>
  <c r="BK6" i="4"/>
  <c r="CK6" i="4"/>
  <c r="DF6" i="4"/>
  <c r="EF6" i="4"/>
  <c r="FA6" i="4"/>
  <c r="GA6" i="4"/>
  <c r="GV6" i="4"/>
  <c r="HQ6" i="4"/>
  <c r="IQ6" i="4"/>
  <c r="JL6" i="4"/>
  <c r="W6" i="4"/>
  <c r="AR6" i="4"/>
  <c r="BM6" i="4"/>
  <c r="CM6" i="4"/>
  <c r="DH6" i="4"/>
  <c r="EH6" i="4"/>
  <c r="FC6" i="4"/>
  <c r="GC6" i="4"/>
  <c r="GX6" i="4"/>
  <c r="HX6" i="4"/>
  <c r="IS6" i="4"/>
  <c r="JS6" i="4"/>
  <c r="AA6" i="4"/>
  <c r="BL6" i="4"/>
  <c r="CS6" i="4"/>
  <c r="EJ6" i="4"/>
  <c r="FP6" i="4"/>
  <c r="HG6" i="4"/>
  <c r="IR6" i="4"/>
  <c r="JY6" i="4"/>
  <c r="AB6" i="4"/>
  <c r="BS6" i="4"/>
  <c r="CY6" i="4"/>
  <c r="EK6" i="4"/>
  <c r="FQ6" i="4"/>
  <c r="HH6" i="4"/>
  <c r="IT6" i="4"/>
  <c r="JZ6" i="4"/>
  <c r="AC6" i="4"/>
  <c r="BT6" i="4"/>
  <c r="CZ6" i="4"/>
  <c r="EL6" i="4"/>
  <c r="GB6" i="4"/>
  <c r="HI6" i="4"/>
  <c r="IU6" i="4"/>
  <c r="KA6" i="4"/>
  <c r="AD6" i="4"/>
  <c r="BU6" i="4"/>
  <c r="DA6" i="4"/>
  <c r="EM6" i="4"/>
  <c r="GD6" i="4"/>
  <c r="HJ6" i="4"/>
  <c r="IV6" i="4"/>
  <c r="KB6" i="4"/>
  <c r="AE6" i="4"/>
  <c r="BV6" i="4"/>
  <c r="DG6" i="4"/>
  <c r="EN6" i="4"/>
  <c r="GE6" i="4"/>
  <c r="HK6" i="4"/>
  <c r="IW6" i="4"/>
  <c r="AQ6" i="4"/>
  <c r="BX6" i="4"/>
  <c r="DO6" i="4"/>
  <c r="EU6" i="4"/>
  <c r="GG6" i="4"/>
  <c r="HW6" i="4"/>
  <c r="JD6" i="4"/>
  <c r="J6" i="4"/>
  <c r="BW6" i="4"/>
  <c r="DU6" i="4"/>
  <c r="GI6" i="4"/>
  <c r="IF6" i="4"/>
  <c r="K6" i="4"/>
  <c r="BY6" i="4"/>
  <c r="DV6" i="4"/>
  <c r="GJ6" i="4"/>
  <c r="IG6" i="4"/>
  <c r="Q6" i="4"/>
  <c r="BZ6" i="4"/>
  <c r="EG6" i="4"/>
  <c r="GK6" i="4"/>
  <c r="JC6" i="4"/>
  <c r="X6" i="4"/>
  <c r="CA6" i="4"/>
  <c r="EI6" i="4"/>
  <c r="GQ6" i="4"/>
  <c r="JE6" i="4"/>
  <c r="Y6" i="4"/>
  <c r="CL6" i="4"/>
  <c r="EO6" i="4"/>
  <c r="GW6" i="4"/>
  <c r="JF6" i="4"/>
  <c r="AF6" i="4"/>
  <c r="CO6" i="4"/>
  <c r="FB6" i="4"/>
  <c r="GZ6" i="4"/>
  <c r="JM6" i="4"/>
  <c r="CQ6" i="4"/>
  <c r="GF6" i="4"/>
  <c r="JW6" i="4"/>
  <c r="CR6" i="4"/>
  <c r="GH6" i="4"/>
  <c r="JX6" i="4"/>
  <c r="DI6" i="4"/>
  <c r="GY6" i="4"/>
  <c r="I6" i="4"/>
  <c r="DP6" i="4"/>
  <c r="HA6" i="4"/>
  <c r="Z6" i="4"/>
  <c r="DQ6" i="4"/>
  <c r="HL6" i="4"/>
  <c r="AT6" i="4"/>
  <c r="DS6" i="4"/>
  <c r="HZ6" i="4"/>
  <c r="BC6" i="4"/>
  <c r="HY6" i="4"/>
  <c r="BD6" i="4"/>
  <c r="IA6" i="4"/>
  <c r="BE6" i="4"/>
  <c r="IB6" i="4"/>
  <c r="BF6" i="4"/>
  <c r="IC6" i="4"/>
  <c r="CN6" i="4"/>
  <c r="ID6" i="4"/>
  <c r="DR6" i="4"/>
  <c r="JG6" i="4"/>
  <c r="AV6" i="4"/>
  <c r="AW6" i="4"/>
  <c r="CP6" i="4"/>
  <c r="DT6" i="4"/>
  <c r="EV6" i="4"/>
  <c r="FE6" i="4"/>
  <c r="AS6" i="4"/>
  <c r="AU6" i="4"/>
  <c r="FD6" i="4"/>
  <c r="FL6" i="4"/>
  <c r="FN6" i="4"/>
  <c r="FO6" i="4"/>
  <c r="IE6" i="4"/>
  <c r="JT6" i="4"/>
  <c r="JU6" i="4"/>
  <c r="FK6" i="4"/>
  <c r="JV6" i="4"/>
  <c r="FM6" i="4"/>
  <c r="U162" i="4"/>
  <c r="AK162" i="4"/>
  <c r="BA162" i="4"/>
  <c r="BQ162" i="4"/>
  <c r="CG162" i="4"/>
  <c r="CW162" i="4"/>
  <c r="DM162" i="4"/>
  <c r="EC162" i="4"/>
  <c r="ES162" i="4"/>
  <c r="FI162" i="4"/>
  <c r="FY162" i="4"/>
  <c r="GO162" i="4"/>
  <c r="HE162" i="4"/>
  <c r="HU162" i="4"/>
  <c r="IK162" i="4"/>
  <c r="JA162" i="4"/>
  <c r="JQ162" i="4"/>
  <c r="KG162" i="4"/>
  <c r="O162" i="4"/>
  <c r="AF162" i="4"/>
  <c r="AW162" i="4"/>
  <c r="BN162" i="4"/>
  <c r="CE162" i="4"/>
  <c r="CV162" i="4"/>
  <c r="DN162" i="4"/>
  <c r="EE162" i="4"/>
  <c r="EV162" i="4"/>
  <c r="FM162" i="4"/>
  <c r="GD162" i="4"/>
  <c r="GU162" i="4"/>
  <c r="HL162" i="4"/>
  <c r="IC162" i="4"/>
  <c r="IT162" i="4"/>
  <c r="JK162" i="4"/>
  <c r="KB162" i="4"/>
  <c r="P162" i="4"/>
  <c r="AG162" i="4"/>
  <c r="AX162" i="4"/>
  <c r="BO162" i="4"/>
  <c r="CF162" i="4"/>
  <c r="CX162" i="4"/>
  <c r="DO162" i="4"/>
  <c r="EF162" i="4"/>
  <c r="EW162" i="4"/>
  <c r="FN162" i="4"/>
  <c r="GE162" i="4"/>
  <c r="GV162" i="4"/>
  <c r="HM162" i="4"/>
  <c r="ID162" i="4"/>
  <c r="IU162" i="4"/>
  <c r="JL162" i="4"/>
  <c r="KC162" i="4"/>
  <c r="Q162" i="4"/>
  <c r="AH162" i="4"/>
  <c r="AY162" i="4"/>
  <c r="BP162" i="4"/>
  <c r="CH162" i="4"/>
  <c r="CY162" i="4"/>
  <c r="DP162" i="4"/>
  <c r="EG162" i="4"/>
  <c r="EX162" i="4"/>
  <c r="FO162" i="4"/>
  <c r="GF162" i="4"/>
  <c r="GW162" i="4"/>
  <c r="HN162" i="4"/>
  <c r="IE162" i="4"/>
  <c r="IV162" i="4"/>
  <c r="JM162" i="4"/>
  <c r="KD162" i="4"/>
  <c r="V162" i="4"/>
  <c r="AM162" i="4"/>
  <c r="BD162" i="4"/>
  <c r="BU162" i="4"/>
  <c r="CL162" i="4"/>
  <c r="DC162" i="4"/>
  <c r="DT162" i="4"/>
  <c r="EK162" i="4"/>
  <c r="FB162" i="4"/>
  <c r="FS162" i="4"/>
  <c r="GJ162" i="4"/>
  <c r="HA162" i="4"/>
  <c r="HR162" i="4"/>
  <c r="II162" i="4"/>
  <c r="IZ162" i="4"/>
  <c r="JR162" i="4"/>
  <c r="KI162" i="4"/>
  <c r="M162" i="4"/>
  <c r="AL162" i="4"/>
  <c r="BH162" i="4"/>
  <c r="CC162" i="4"/>
  <c r="DB162" i="4"/>
  <c r="DX162" i="4"/>
  <c r="ET162" i="4"/>
  <c r="FR162" i="4"/>
  <c r="GN162" i="4"/>
  <c r="HJ162" i="4"/>
  <c r="IH162" i="4"/>
  <c r="JE162" i="4"/>
  <c r="JZ162" i="4"/>
  <c r="N162" i="4"/>
  <c r="AN162" i="4"/>
  <c r="BI162" i="4"/>
  <c r="CD162" i="4"/>
  <c r="DD162" i="4"/>
  <c r="DY162" i="4"/>
  <c r="EU162" i="4"/>
  <c r="FT162" i="4"/>
  <c r="GP162" i="4"/>
  <c r="HK162" i="4"/>
  <c r="IJ162" i="4"/>
  <c r="JF162" i="4"/>
  <c r="KA162" i="4"/>
  <c r="R162" i="4"/>
  <c r="AO162" i="4"/>
  <c r="BJ162" i="4"/>
  <c r="CI162" i="4"/>
  <c r="DE162" i="4"/>
  <c r="DZ162" i="4"/>
  <c r="EY162" i="4"/>
  <c r="FU162" i="4"/>
  <c r="GQ162" i="4"/>
  <c r="HO162" i="4"/>
  <c r="IL162" i="4"/>
  <c r="JG162" i="4"/>
  <c r="KE162" i="4"/>
  <c r="S162" i="4"/>
  <c r="AP162" i="4"/>
  <c r="BK162" i="4"/>
  <c r="CJ162" i="4"/>
  <c r="DF162" i="4"/>
  <c r="EA162" i="4"/>
  <c r="EZ162" i="4"/>
  <c r="FV162" i="4"/>
  <c r="GR162" i="4"/>
  <c r="HP162" i="4"/>
  <c r="IM162" i="4"/>
  <c r="JH162" i="4"/>
  <c r="KF162" i="4"/>
  <c r="T162" i="4"/>
  <c r="AQ162" i="4"/>
  <c r="BL162" i="4"/>
  <c r="CK162" i="4"/>
  <c r="DG162" i="4"/>
  <c r="EB162" i="4"/>
  <c r="FA162" i="4"/>
  <c r="FW162" i="4"/>
  <c r="GS162" i="4"/>
  <c r="HQ162" i="4"/>
  <c r="IN162" i="4"/>
  <c r="JI162" i="4"/>
  <c r="KH162" i="4"/>
  <c r="X162" i="4"/>
  <c r="AS162" i="4"/>
  <c r="BR162" i="4"/>
  <c r="CN162" i="4"/>
  <c r="DI162" i="4"/>
  <c r="EH162" i="4"/>
  <c r="FD162" i="4"/>
  <c r="FZ162" i="4"/>
  <c r="GX162" i="4"/>
  <c r="HT162" i="4"/>
  <c r="IP162" i="4"/>
  <c r="JN162" i="4"/>
  <c r="AB162" i="4"/>
  <c r="BM162" i="4"/>
  <c r="CT162" i="4"/>
  <c r="EJ162" i="4"/>
  <c r="FP162" i="4"/>
  <c r="HC162" i="4"/>
  <c r="IO162" i="4"/>
  <c r="JV162" i="4"/>
  <c r="AC162" i="4"/>
  <c r="BS162" i="4"/>
  <c r="CU162" i="4"/>
  <c r="EL162" i="4"/>
  <c r="FQ162" i="4"/>
  <c r="HD162" i="4"/>
  <c r="IQ162" i="4"/>
  <c r="JW162" i="4"/>
  <c r="AD162" i="4"/>
  <c r="BT162" i="4"/>
  <c r="CZ162" i="4"/>
  <c r="EM162" i="4"/>
  <c r="FX162" i="4"/>
  <c r="HF162" i="4"/>
  <c r="IR162" i="4"/>
  <c r="JX162" i="4"/>
  <c r="AE162" i="4"/>
  <c r="BV162" i="4"/>
  <c r="DA162" i="4"/>
  <c r="EN162" i="4"/>
  <c r="GA162" i="4"/>
  <c r="HG162" i="4"/>
  <c r="IS162" i="4"/>
  <c r="JY162" i="4"/>
  <c r="AI162" i="4"/>
  <c r="BW162" i="4"/>
  <c r="DH162" i="4"/>
  <c r="EO162" i="4"/>
  <c r="GB162" i="4"/>
  <c r="HH162" i="4"/>
  <c r="IW162" i="4"/>
  <c r="AR162" i="4"/>
  <c r="BY162" i="4"/>
  <c r="DK162" i="4"/>
  <c r="EQ162" i="4"/>
  <c r="GG162" i="4"/>
  <c r="HS162" i="4"/>
  <c r="IY162" i="4"/>
  <c r="AU162" i="4"/>
  <c r="CR162" i="4"/>
  <c r="FF162" i="4"/>
  <c r="HI162" i="4"/>
  <c r="JP162" i="4"/>
  <c r="AV162" i="4"/>
  <c r="CS162" i="4"/>
  <c r="FG162" i="4"/>
  <c r="HV162" i="4"/>
  <c r="JS162" i="4"/>
  <c r="AZ162" i="4"/>
  <c r="DJ162" i="4"/>
  <c r="FH162" i="4"/>
  <c r="HW162" i="4"/>
  <c r="JT162" i="4"/>
  <c r="BB162" i="4"/>
  <c r="DL162" i="4"/>
  <c r="FJ162" i="4"/>
  <c r="HX162" i="4"/>
  <c r="JU162" i="4"/>
  <c r="BC162" i="4"/>
  <c r="DQ162" i="4"/>
  <c r="FK162" i="4"/>
  <c r="HY162" i="4"/>
  <c r="I162" i="4"/>
  <c r="BF162" i="4"/>
  <c r="DS162" i="4"/>
  <c r="GC162" i="4"/>
  <c r="IA162" i="4"/>
  <c r="AJ162" i="4"/>
  <c r="ED162" i="4"/>
  <c r="HZ162" i="4"/>
  <c r="AT162" i="4"/>
  <c r="EI162" i="4"/>
  <c r="IB162" i="4"/>
  <c r="BE162" i="4"/>
  <c r="EP162" i="4"/>
  <c r="IF162" i="4"/>
  <c r="BG162" i="4"/>
  <c r="ER162" i="4"/>
  <c r="IG162" i="4"/>
  <c r="BX162" i="4"/>
  <c r="FC162" i="4"/>
  <c r="IX162" i="4"/>
  <c r="J162" i="4"/>
  <c r="DV162" i="4"/>
  <c r="JJ162" i="4"/>
  <c r="K162" i="4"/>
  <c r="DW162" i="4"/>
  <c r="JO162" i="4"/>
  <c r="L162" i="4"/>
  <c r="FE162" i="4"/>
  <c r="W162" i="4"/>
  <c r="FL162" i="4"/>
  <c r="Y162" i="4"/>
  <c r="GH162" i="4"/>
  <c r="CM162" i="4"/>
  <c r="GY162" i="4"/>
  <c r="Z162" i="4"/>
  <c r="HB162" i="4"/>
  <c r="AA162" i="4"/>
  <c r="JB162" i="4"/>
  <c r="BZ162" i="4"/>
  <c r="JC162" i="4"/>
  <c r="CA162" i="4"/>
  <c r="JD162" i="4"/>
  <c r="CO162" i="4"/>
  <c r="GI162" i="4"/>
  <c r="GT162" i="4"/>
  <c r="GZ162" i="4"/>
  <c r="CB162" i="4"/>
  <c r="CP162" i="4"/>
  <c r="GL162" i="4"/>
  <c r="GM162" i="4"/>
  <c r="DR162" i="4"/>
  <c r="DU162" i="4"/>
  <c r="GK162" i="4"/>
  <c r="CQ162" i="4"/>
  <c r="P98" i="4"/>
  <c r="AF98" i="4"/>
  <c r="AV98" i="4"/>
  <c r="BL98" i="4"/>
  <c r="CB98" i="4"/>
  <c r="CR98" i="4"/>
  <c r="DH98" i="4"/>
  <c r="DX98" i="4"/>
  <c r="EN98" i="4"/>
  <c r="FD98" i="4"/>
  <c r="FT98" i="4"/>
  <c r="GJ98" i="4"/>
  <c r="GZ98" i="4"/>
  <c r="HP98" i="4"/>
  <c r="IF98" i="4"/>
  <c r="IV98" i="4"/>
  <c r="JL98" i="4"/>
  <c r="KB98" i="4"/>
  <c r="Q98" i="4"/>
  <c r="AG98" i="4"/>
  <c r="AW98" i="4"/>
  <c r="BM98" i="4"/>
  <c r="CC98" i="4"/>
  <c r="CS98" i="4"/>
  <c r="DI98" i="4"/>
  <c r="DY98" i="4"/>
  <c r="EO98" i="4"/>
  <c r="FE98" i="4"/>
  <c r="FU98" i="4"/>
  <c r="GK98" i="4"/>
  <c r="HA98" i="4"/>
  <c r="HQ98" i="4"/>
  <c r="IG98" i="4"/>
  <c r="IW98" i="4"/>
  <c r="JM98" i="4"/>
  <c r="KC98" i="4"/>
  <c r="R98" i="4"/>
  <c r="AH98" i="4"/>
  <c r="AX98" i="4"/>
  <c r="BN98" i="4"/>
  <c r="CD98" i="4"/>
  <c r="CT98" i="4"/>
  <c r="DJ98" i="4"/>
  <c r="DZ98" i="4"/>
  <c r="EP98" i="4"/>
  <c r="FF98" i="4"/>
  <c r="FV98" i="4"/>
  <c r="GL98" i="4"/>
  <c r="HB98" i="4"/>
  <c r="HR98" i="4"/>
  <c r="IH98" i="4"/>
  <c r="IX98" i="4"/>
  <c r="JN98" i="4"/>
  <c r="KD98" i="4"/>
  <c r="V98" i="4"/>
  <c r="AL98" i="4"/>
  <c r="BB98" i="4"/>
  <c r="BR98" i="4"/>
  <c r="CH98" i="4"/>
  <c r="CX98" i="4"/>
  <c r="DN98" i="4"/>
  <c r="ED98" i="4"/>
  <c r="ET98" i="4"/>
  <c r="FJ98" i="4"/>
  <c r="FZ98" i="4"/>
  <c r="GP98" i="4"/>
  <c r="HF98" i="4"/>
  <c r="HV98" i="4"/>
  <c r="IL98" i="4"/>
  <c r="JB98" i="4"/>
  <c r="JR98" i="4"/>
  <c r="KH98" i="4"/>
  <c r="AB98" i="4"/>
  <c r="AY98" i="4"/>
  <c r="BT98" i="4"/>
  <c r="CN98" i="4"/>
  <c r="DK98" i="4"/>
  <c r="EF98" i="4"/>
  <c r="EZ98" i="4"/>
  <c r="FW98" i="4"/>
  <c r="GR98" i="4"/>
  <c r="HL98" i="4"/>
  <c r="II98" i="4"/>
  <c r="JD98" i="4"/>
  <c r="JX98" i="4"/>
  <c r="I98" i="4"/>
  <c r="AC98" i="4"/>
  <c r="AZ98" i="4"/>
  <c r="BU98" i="4"/>
  <c r="CO98" i="4"/>
  <c r="DL98" i="4"/>
  <c r="EG98" i="4"/>
  <c r="FA98" i="4"/>
  <c r="FX98" i="4"/>
  <c r="GS98" i="4"/>
  <c r="HM98" i="4"/>
  <c r="IJ98" i="4"/>
  <c r="JE98" i="4"/>
  <c r="JY98" i="4"/>
  <c r="J98" i="4"/>
  <c r="AD98" i="4"/>
  <c r="BA98" i="4"/>
  <c r="BV98" i="4"/>
  <c r="CP98" i="4"/>
  <c r="DM98" i="4"/>
  <c r="EH98" i="4"/>
  <c r="FB98" i="4"/>
  <c r="FY98" i="4"/>
  <c r="GT98" i="4"/>
  <c r="HN98" i="4"/>
  <c r="IK98" i="4"/>
  <c r="JF98" i="4"/>
  <c r="JZ98" i="4"/>
  <c r="K98" i="4"/>
  <c r="AE98" i="4"/>
  <c r="BC98" i="4"/>
  <c r="BW98" i="4"/>
  <c r="CQ98" i="4"/>
  <c r="DO98" i="4"/>
  <c r="EI98" i="4"/>
  <c r="FC98" i="4"/>
  <c r="GA98" i="4"/>
  <c r="GU98" i="4"/>
  <c r="HO98" i="4"/>
  <c r="IM98" i="4"/>
  <c r="JG98" i="4"/>
  <c r="KA98" i="4"/>
  <c r="L98" i="4"/>
  <c r="AI98" i="4"/>
  <c r="BD98" i="4"/>
  <c r="BX98" i="4"/>
  <c r="CU98" i="4"/>
  <c r="DP98" i="4"/>
  <c r="EJ98" i="4"/>
  <c r="FG98" i="4"/>
  <c r="GB98" i="4"/>
  <c r="GV98" i="4"/>
  <c r="HS98" i="4"/>
  <c r="IN98" i="4"/>
  <c r="JH98" i="4"/>
  <c r="KE98" i="4"/>
  <c r="N98" i="4"/>
  <c r="AK98" i="4"/>
  <c r="BF98" i="4"/>
  <c r="BZ98" i="4"/>
  <c r="CW98" i="4"/>
  <c r="DR98" i="4"/>
  <c r="EL98" i="4"/>
  <c r="FI98" i="4"/>
  <c r="GD98" i="4"/>
  <c r="GX98" i="4"/>
  <c r="HU98" i="4"/>
  <c r="IP98" i="4"/>
  <c r="JJ98" i="4"/>
  <c r="KG98" i="4"/>
  <c r="AN98" i="4"/>
  <c r="BQ98" i="4"/>
  <c r="DB98" i="4"/>
  <c r="EK98" i="4"/>
  <c r="FP98" i="4"/>
  <c r="HC98" i="4"/>
  <c r="ID98" i="4"/>
  <c r="JQ98" i="4"/>
  <c r="AO98" i="4"/>
  <c r="BS98" i="4"/>
  <c r="DC98" i="4"/>
  <c r="EM98" i="4"/>
  <c r="FQ98" i="4"/>
  <c r="HD98" i="4"/>
  <c r="IE98" i="4"/>
  <c r="JS98" i="4"/>
  <c r="AP98" i="4"/>
  <c r="BY98" i="4"/>
  <c r="DD98" i="4"/>
  <c r="EQ98" i="4"/>
  <c r="FR98" i="4"/>
  <c r="HE98" i="4"/>
  <c r="IO98" i="4"/>
  <c r="JT98" i="4"/>
  <c r="AQ98" i="4"/>
  <c r="CA98" i="4"/>
  <c r="DE98" i="4"/>
  <c r="ER98" i="4"/>
  <c r="FS98" i="4"/>
  <c r="HG98" i="4"/>
  <c r="IQ98" i="4"/>
  <c r="JU98" i="4"/>
  <c r="M98" i="4"/>
  <c r="AR98" i="4"/>
  <c r="CE98" i="4"/>
  <c r="DF98" i="4"/>
  <c r="ES98" i="4"/>
  <c r="GC98" i="4"/>
  <c r="HH98" i="4"/>
  <c r="IR98" i="4"/>
  <c r="JV98" i="4"/>
  <c r="S98" i="4"/>
  <c r="AT98" i="4"/>
  <c r="CG98" i="4"/>
  <c r="DQ98" i="4"/>
  <c r="EV98" i="4"/>
  <c r="GF98" i="4"/>
  <c r="HJ98" i="4"/>
  <c r="IT98" i="4"/>
  <c r="KF98" i="4"/>
  <c r="AJ98" i="4"/>
  <c r="CL98" i="4"/>
  <c r="EU98" i="4"/>
  <c r="GO98" i="4"/>
  <c r="IY98" i="4"/>
  <c r="AM98" i="4"/>
  <c r="CM98" i="4"/>
  <c r="EW98" i="4"/>
  <c r="GQ98" i="4"/>
  <c r="IZ98" i="4"/>
  <c r="AS98" i="4"/>
  <c r="CV98" i="4"/>
  <c r="EX98" i="4"/>
  <c r="GW98" i="4"/>
  <c r="JA98" i="4"/>
  <c r="AU98" i="4"/>
  <c r="CY98" i="4"/>
  <c r="EY98" i="4"/>
  <c r="GY98" i="4"/>
  <c r="JC98" i="4"/>
  <c r="BE98" i="4"/>
  <c r="CZ98" i="4"/>
  <c r="FH98" i="4"/>
  <c r="HI98" i="4"/>
  <c r="JI98" i="4"/>
  <c r="BH98" i="4"/>
  <c r="DG98" i="4"/>
  <c r="FL98" i="4"/>
  <c r="HT98" i="4"/>
  <c r="JO98" i="4"/>
  <c r="BG98" i="4"/>
  <c r="EA98" i="4"/>
  <c r="HX98" i="4"/>
  <c r="BI98" i="4"/>
  <c r="EB98" i="4"/>
  <c r="HY98" i="4"/>
  <c r="BJ98" i="4"/>
  <c r="EC98" i="4"/>
  <c r="HZ98" i="4"/>
  <c r="BK98" i="4"/>
  <c r="EE98" i="4"/>
  <c r="IA98" i="4"/>
  <c r="BO98" i="4"/>
  <c r="FK98" i="4"/>
  <c r="IB98" i="4"/>
  <c r="CF98" i="4"/>
  <c r="FN98" i="4"/>
  <c r="IS98" i="4"/>
  <c r="CJ98" i="4"/>
  <c r="HK98" i="4"/>
  <c r="CK98" i="4"/>
  <c r="HW98" i="4"/>
  <c r="DA98" i="4"/>
  <c r="IC98" i="4"/>
  <c r="DS98" i="4"/>
  <c r="IU98" i="4"/>
  <c r="DT98" i="4"/>
  <c r="JK98" i="4"/>
  <c r="O98" i="4"/>
  <c r="DV98" i="4"/>
  <c r="JW98" i="4"/>
  <c r="GH98" i="4"/>
  <c r="T98" i="4"/>
  <c r="GI98" i="4"/>
  <c r="U98" i="4"/>
  <c r="GM98" i="4"/>
  <c r="W98" i="4"/>
  <c r="GN98" i="4"/>
  <c r="X98" i="4"/>
  <c r="JP98" i="4"/>
  <c r="Z98" i="4"/>
  <c r="GE98" i="4"/>
  <c r="GG98" i="4"/>
  <c r="KI98" i="4"/>
  <c r="BP98" i="4"/>
  <c r="FM98" i="4"/>
  <c r="DW98" i="4"/>
  <c r="DU98" i="4"/>
  <c r="FO98" i="4"/>
  <c r="Y98" i="4"/>
  <c r="AA98" i="4"/>
  <c r="CI98" i="4"/>
  <c r="Q34" i="4"/>
  <c r="AG34" i="4"/>
  <c r="AW34" i="4"/>
  <c r="BM34" i="4"/>
  <c r="CC34" i="4"/>
  <c r="CS34" i="4"/>
  <c r="DI34" i="4"/>
  <c r="DY34" i="4"/>
  <c r="EO34" i="4"/>
  <c r="FE34" i="4"/>
  <c r="FU34" i="4"/>
  <c r="GK34" i="4"/>
  <c r="HA34" i="4"/>
  <c r="HQ34" i="4"/>
  <c r="IG34" i="4"/>
  <c r="IW34" i="4"/>
  <c r="JM34" i="4"/>
  <c r="KC34" i="4"/>
  <c r="T34" i="4"/>
  <c r="AK34" i="4"/>
  <c r="BB34" i="4"/>
  <c r="BS34" i="4"/>
  <c r="CJ34" i="4"/>
  <c r="DA34" i="4"/>
  <c r="DR34" i="4"/>
  <c r="EI34" i="4"/>
  <c r="EZ34" i="4"/>
  <c r="FQ34" i="4"/>
  <c r="GH34" i="4"/>
  <c r="GY34" i="4"/>
  <c r="HP34" i="4"/>
  <c r="IH34" i="4"/>
  <c r="IY34" i="4"/>
  <c r="JP34" i="4"/>
  <c r="KG34" i="4"/>
  <c r="U34" i="4"/>
  <c r="AL34" i="4"/>
  <c r="BC34" i="4"/>
  <c r="BT34" i="4"/>
  <c r="CK34" i="4"/>
  <c r="DB34" i="4"/>
  <c r="DS34" i="4"/>
  <c r="EJ34" i="4"/>
  <c r="FA34" i="4"/>
  <c r="FR34" i="4"/>
  <c r="GI34" i="4"/>
  <c r="GZ34" i="4"/>
  <c r="HR34" i="4"/>
  <c r="II34" i="4"/>
  <c r="IZ34" i="4"/>
  <c r="JQ34" i="4"/>
  <c r="KH34" i="4"/>
  <c r="V34" i="4"/>
  <c r="AM34" i="4"/>
  <c r="BD34" i="4"/>
  <c r="BU34" i="4"/>
  <c r="CL34" i="4"/>
  <c r="DC34" i="4"/>
  <c r="DT34" i="4"/>
  <c r="EK34" i="4"/>
  <c r="FB34" i="4"/>
  <c r="FS34" i="4"/>
  <c r="GJ34" i="4"/>
  <c r="HB34" i="4"/>
  <c r="HS34" i="4"/>
  <c r="IJ34" i="4"/>
  <c r="JA34" i="4"/>
  <c r="JR34" i="4"/>
  <c r="KI34" i="4"/>
  <c r="I34" i="4"/>
  <c r="Z34" i="4"/>
  <c r="AQ34" i="4"/>
  <c r="BH34" i="4"/>
  <c r="BY34" i="4"/>
  <c r="CP34" i="4"/>
  <c r="DG34" i="4"/>
  <c r="DX34" i="4"/>
  <c r="EP34" i="4"/>
  <c r="FG34" i="4"/>
  <c r="FX34" i="4"/>
  <c r="GO34" i="4"/>
  <c r="HF34" i="4"/>
  <c r="HW34" i="4"/>
  <c r="IN34" i="4"/>
  <c r="JE34" i="4"/>
  <c r="JV34" i="4"/>
  <c r="N34" i="4"/>
  <c r="AJ34" i="4"/>
  <c r="BI34" i="4"/>
  <c r="CE34" i="4"/>
  <c r="CZ34" i="4"/>
  <c r="DZ34" i="4"/>
  <c r="EU34" i="4"/>
  <c r="FP34" i="4"/>
  <c r="GP34" i="4"/>
  <c r="HK34" i="4"/>
  <c r="IF34" i="4"/>
  <c r="JF34" i="4"/>
  <c r="KA34" i="4"/>
  <c r="O34" i="4"/>
  <c r="AN34" i="4"/>
  <c r="BJ34" i="4"/>
  <c r="CF34" i="4"/>
  <c r="DD34" i="4"/>
  <c r="EA34" i="4"/>
  <c r="EV34" i="4"/>
  <c r="FT34" i="4"/>
  <c r="GQ34" i="4"/>
  <c r="HL34" i="4"/>
  <c r="IK34" i="4"/>
  <c r="JG34" i="4"/>
  <c r="KB34" i="4"/>
  <c r="P34" i="4"/>
  <c r="AO34" i="4"/>
  <c r="BK34" i="4"/>
  <c r="CG34" i="4"/>
  <c r="DE34" i="4"/>
  <c r="EB34" i="4"/>
  <c r="EW34" i="4"/>
  <c r="FV34" i="4"/>
  <c r="GR34" i="4"/>
  <c r="HM34" i="4"/>
  <c r="IL34" i="4"/>
  <c r="JH34" i="4"/>
  <c r="KD34" i="4"/>
  <c r="R34" i="4"/>
  <c r="AP34" i="4"/>
  <c r="BL34" i="4"/>
  <c r="CH34" i="4"/>
  <c r="DF34" i="4"/>
  <c r="EC34" i="4"/>
  <c r="EX34" i="4"/>
  <c r="FW34" i="4"/>
  <c r="GS34" i="4"/>
  <c r="HN34" i="4"/>
  <c r="IM34" i="4"/>
  <c r="JI34" i="4"/>
  <c r="KE34" i="4"/>
  <c r="S34" i="4"/>
  <c r="AR34" i="4"/>
  <c r="BN34" i="4"/>
  <c r="CI34" i="4"/>
  <c r="DH34" i="4"/>
  <c r="ED34" i="4"/>
  <c r="EY34" i="4"/>
  <c r="FY34" i="4"/>
  <c r="GT34" i="4"/>
  <c r="HO34" i="4"/>
  <c r="IO34" i="4"/>
  <c r="JJ34" i="4"/>
  <c r="KF34" i="4"/>
  <c r="X34" i="4"/>
  <c r="AT34" i="4"/>
  <c r="BP34" i="4"/>
  <c r="CN34" i="4"/>
  <c r="DK34" i="4"/>
  <c r="EF34" i="4"/>
  <c r="FD34" i="4"/>
  <c r="GA34" i="4"/>
  <c r="GV34" i="4"/>
  <c r="HU34" i="4"/>
  <c r="IQ34" i="4"/>
  <c r="JL34" i="4"/>
  <c r="J34" i="4"/>
  <c r="AV34" i="4"/>
  <c r="CB34" i="4"/>
  <c r="DO34" i="4"/>
  <c r="FC34" i="4"/>
  <c r="GG34" i="4"/>
  <c r="HX34" i="4"/>
  <c r="JC34" i="4"/>
  <c r="K34" i="4"/>
  <c r="AX34" i="4"/>
  <c r="CD34" i="4"/>
  <c r="DP34" i="4"/>
  <c r="FF34" i="4"/>
  <c r="GL34" i="4"/>
  <c r="HY34" i="4"/>
  <c r="JD34" i="4"/>
  <c r="L34" i="4"/>
  <c r="AY34" i="4"/>
  <c r="CM34" i="4"/>
  <c r="DQ34" i="4"/>
  <c r="FH34" i="4"/>
  <c r="GM34" i="4"/>
  <c r="HZ34" i="4"/>
  <c r="JK34" i="4"/>
  <c r="M34" i="4"/>
  <c r="AZ34" i="4"/>
  <c r="CO34" i="4"/>
  <c r="DU34" i="4"/>
  <c r="FI34" i="4"/>
  <c r="GN34" i="4"/>
  <c r="IA34" i="4"/>
  <c r="JN34" i="4"/>
  <c r="W34" i="4"/>
  <c r="BA34" i="4"/>
  <c r="CQ34" i="4"/>
  <c r="DV34" i="4"/>
  <c r="FJ34" i="4"/>
  <c r="GU34" i="4"/>
  <c r="IB34" i="4"/>
  <c r="JO34" i="4"/>
  <c r="AA34" i="4"/>
  <c r="BF34" i="4"/>
  <c r="CT34" i="4"/>
  <c r="EE34" i="4"/>
  <c r="FL34" i="4"/>
  <c r="GX34" i="4"/>
  <c r="ID34" i="4"/>
  <c r="JT34" i="4"/>
  <c r="BO34" i="4"/>
  <c r="DM34" i="4"/>
  <c r="FZ34" i="4"/>
  <c r="IC34" i="4"/>
  <c r="BQ34" i="4"/>
  <c r="DN34" i="4"/>
  <c r="GB34" i="4"/>
  <c r="IE34" i="4"/>
  <c r="BR34" i="4"/>
  <c r="DW34" i="4"/>
  <c r="GC34" i="4"/>
  <c r="IP34" i="4"/>
  <c r="BV34" i="4"/>
  <c r="EG34" i="4"/>
  <c r="GD34" i="4"/>
  <c r="IR34" i="4"/>
  <c r="Y34" i="4"/>
  <c r="BW34" i="4"/>
  <c r="EH34" i="4"/>
  <c r="GE34" i="4"/>
  <c r="IS34" i="4"/>
  <c r="AC34" i="4"/>
  <c r="BZ34" i="4"/>
  <c r="EM34" i="4"/>
  <c r="GW34" i="4"/>
  <c r="IU34" i="4"/>
  <c r="BE34" i="4"/>
  <c r="ES34" i="4"/>
  <c r="IT34" i="4"/>
  <c r="BG34" i="4"/>
  <c r="ET34" i="4"/>
  <c r="IV34" i="4"/>
  <c r="BX34" i="4"/>
  <c r="FK34" i="4"/>
  <c r="IX34" i="4"/>
  <c r="CA34" i="4"/>
  <c r="FM34" i="4"/>
  <c r="JB34" i="4"/>
  <c r="CR34" i="4"/>
  <c r="FN34" i="4"/>
  <c r="JS34" i="4"/>
  <c r="CV34" i="4"/>
  <c r="GF34" i="4"/>
  <c r="JW34" i="4"/>
  <c r="EL34" i="4"/>
  <c r="JY34" i="4"/>
  <c r="EN34" i="4"/>
  <c r="JZ34" i="4"/>
  <c r="AB34" i="4"/>
  <c r="EQ34" i="4"/>
  <c r="AD34" i="4"/>
  <c r="ER34" i="4"/>
  <c r="AE34" i="4"/>
  <c r="FO34" i="4"/>
  <c r="AH34" i="4"/>
  <c r="HD34" i="4"/>
  <c r="HI34" i="4"/>
  <c r="HJ34" i="4"/>
  <c r="AF34" i="4"/>
  <c r="HT34" i="4"/>
  <c r="AI34" i="4"/>
  <c r="HV34" i="4"/>
  <c r="AS34" i="4"/>
  <c r="JU34" i="4"/>
  <c r="CU34" i="4"/>
  <c r="HG34" i="4"/>
  <c r="HH34" i="4"/>
  <c r="JX34" i="4"/>
  <c r="DJ34" i="4"/>
  <c r="DL34" i="4"/>
  <c r="HC34" i="4"/>
  <c r="HE34" i="4"/>
  <c r="AU34" i="4"/>
  <c r="CW34" i="4"/>
  <c r="CX34" i="4"/>
  <c r="CY34" i="4"/>
  <c r="AY32" i="6"/>
  <c r="AY34" i="6"/>
  <c r="AY28" i="6"/>
  <c r="AY26" i="6"/>
  <c r="AY27" i="6"/>
  <c r="AY35" i="6"/>
  <c r="AY33" i="6"/>
  <c r="AY31" i="6"/>
  <c r="AY30" i="6"/>
  <c r="AY29" i="6"/>
</calcChain>
</file>

<file path=xl/sharedStrings.xml><?xml version="1.0" encoding="utf-8"?>
<sst xmlns="http://schemas.openxmlformats.org/spreadsheetml/2006/main" count="3736" uniqueCount="713">
  <si>
    <t>ID</t>
  </si>
  <si>
    <t>Node</t>
  </si>
  <si>
    <t>Q</t>
  </si>
  <si>
    <t>Prod_cost_t1</t>
  </si>
  <si>
    <t>Prod_cost_t2</t>
  </si>
  <si>
    <t>Prod_cap</t>
  </si>
  <si>
    <t>Max_cap</t>
  </si>
  <si>
    <t>Inv_cost_t1</t>
  </si>
  <si>
    <t>Inv_cost_t2</t>
  </si>
  <si>
    <t>From</t>
  </si>
  <si>
    <t>To</t>
  </si>
  <si>
    <t>Susceptance</t>
  </si>
  <si>
    <t>Capacity</t>
  </si>
  <si>
    <t>a</t>
  </si>
  <si>
    <t>t</t>
  </si>
  <si>
    <t>rho_o1</t>
  </si>
  <si>
    <t>rho_o2</t>
  </si>
  <si>
    <t>Load_t1_o1</t>
  </si>
  <si>
    <t>Load_t1_o2</t>
  </si>
  <si>
    <t>Load_t2_o1</t>
  </si>
  <si>
    <t>Load_t2_o2</t>
  </si>
  <si>
    <t>Load_t1_o3</t>
  </si>
  <si>
    <t>Load_t2_o3</t>
  </si>
  <si>
    <t>rho_o3</t>
  </si>
  <si>
    <t>Operating conditions</t>
  </si>
  <si>
    <t>rho_o4</t>
  </si>
  <si>
    <t>rho_o5</t>
  </si>
  <si>
    <t>rho_o6</t>
  </si>
  <si>
    <t>rho_o7</t>
  </si>
  <si>
    <t>rho_o8</t>
  </si>
  <si>
    <t>rho_o9</t>
  </si>
  <si>
    <t>rho_o10</t>
  </si>
  <si>
    <t>rho_o11</t>
  </si>
  <si>
    <t>rho_o12</t>
  </si>
  <si>
    <t>rho_o13</t>
  </si>
  <si>
    <t>rho_o14</t>
  </si>
  <si>
    <t>rho_o15</t>
  </si>
  <si>
    <t>rho_o16</t>
  </si>
  <si>
    <t>rho_o17</t>
  </si>
  <si>
    <t>rho_o18</t>
  </si>
  <si>
    <t>rho_o19</t>
  </si>
  <si>
    <t>rho_o20</t>
  </si>
  <si>
    <t>Load_t1_o4</t>
  </si>
  <si>
    <t>Load_t1_o5</t>
  </si>
  <si>
    <t>Load_t1_o6</t>
  </si>
  <si>
    <t>Load_t1_o7</t>
  </si>
  <si>
    <t>Load_t1_o8</t>
  </si>
  <si>
    <t>Load_t1_o9</t>
  </si>
  <si>
    <t>Load_t1_o10</t>
  </si>
  <si>
    <t>Load_t1_o11</t>
  </si>
  <si>
    <t>Load_t1_o12</t>
  </si>
  <si>
    <t>Load_t1_o13</t>
  </si>
  <si>
    <t>Load_t1_o14</t>
  </si>
  <si>
    <t>Load_t1_o15</t>
  </si>
  <si>
    <t>Load_t1_o16</t>
  </si>
  <si>
    <t>Load_t1_o17</t>
  </si>
  <si>
    <t>Load_t1_o18</t>
  </si>
  <si>
    <t>Load_t1_o19</t>
  </si>
  <si>
    <t>Load_t1_o20</t>
  </si>
  <si>
    <t>Load_t2_o4</t>
  </si>
  <si>
    <t>Load_t2_o5</t>
  </si>
  <si>
    <t>Load_t2_o6</t>
  </si>
  <si>
    <t>Load_t2_o7</t>
  </si>
  <si>
    <t>Load_t2_o8</t>
  </si>
  <si>
    <t>Load_t2_o9</t>
  </si>
  <si>
    <t>Load_t2_o10</t>
  </si>
  <si>
    <t>Load_t2_o11</t>
  </si>
  <si>
    <t>Load_t2_o12</t>
  </si>
  <si>
    <t>Load_t2_o13</t>
  </si>
  <si>
    <t>Load_t2_o14</t>
  </si>
  <si>
    <t>Load_t2_o15</t>
  </si>
  <si>
    <t>Load_t2_o16</t>
  </si>
  <si>
    <t>Load_t2_o17</t>
  </si>
  <si>
    <t>Load_t2_o18</t>
  </si>
  <si>
    <t>Load_t2_o19</t>
  </si>
  <si>
    <t>Load_t2_o20</t>
  </si>
  <si>
    <t>Year</t>
  </si>
  <si>
    <t>rho_o21</t>
  </si>
  <si>
    <t>rho_o22</t>
  </si>
  <si>
    <t>rho_o23</t>
  </si>
  <si>
    <t>rho_o24</t>
  </si>
  <si>
    <t>rho_o25</t>
  </si>
  <si>
    <t>rho_o26</t>
  </si>
  <si>
    <t>rho_o27</t>
  </si>
  <si>
    <t>rho_o28</t>
  </si>
  <si>
    <t>rho_o29</t>
  </si>
  <si>
    <t>rho_o30</t>
  </si>
  <si>
    <t>rho_o31</t>
  </si>
  <si>
    <t>rho_o32</t>
  </si>
  <si>
    <t>rho_o33</t>
  </si>
  <si>
    <t>rho_o34</t>
  </si>
  <si>
    <t>rho_o35</t>
  </si>
  <si>
    <t>rho_o36</t>
  </si>
  <si>
    <t>rho_o37</t>
  </si>
  <si>
    <t>rho_o38</t>
  </si>
  <si>
    <t>rho_o39</t>
  </si>
  <si>
    <t>rho_o40</t>
  </si>
  <si>
    <t>rho_o41</t>
  </si>
  <si>
    <t>rho_o42</t>
  </si>
  <si>
    <t>rho_o43</t>
  </si>
  <si>
    <t>rho_o44</t>
  </si>
  <si>
    <t>rho_o45</t>
  </si>
  <si>
    <t>rho_o46</t>
  </si>
  <si>
    <t>rho_o47</t>
  </si>
  <si>
    <t>rho_o48</t>
  </si>
  <si>
    <t>Load_t1_o21</t>
  </si>
  <si>
    <t>Load_t1_o22</t>
  </si>
  <si>
    <t>Load_t1_o23</t>
  </si>
  <si>
    <t>Load_t1_o24</t>
  </si>
  <si>
    <t>Load_t1_o25</t>
  </si>
  <si>
    <t>Load_t1_o26</t>
  </si>
  <si>
    <t>Load_t1_o27</t>
  </si>
  <si>
    <t>Load_t1_o28</t>
  </si>
  <si>
    <t>Load_t1_o29</t>
  </si>
  <si>
    <t>Load_t1_o30</t>
  </si>
  <si>
    <t>Load_t1_o31</t>
  </si>
  <si>
    <t>Load_t1_o32</t>
  </si>
  <si>
    <t>Load_t1_o33</t>
  </si>
  <si>
    <t>Load_t1_o34</t>
  </si>
  <si>
    <t>Load_t1_o35</t>
  </si>
  <si>
    <t>Load_t1_o36</t>
  </si>
  <si>
    <t>Load_t1_o37</t>
  </si>
  <si>
    <t>Load_t1_o38</t>
  </si>
  <si>
    <t>Load_t1_o39</t>
  </si>
  <si>
    <t>Load_t1_o40</t>
  </si>
  <si>
    <t>Load_t1_o41</t>
  </si>
  <si>
    <t>Load_t1_o42</t>
  </si>
  <si>
    <t>Load_t1_o43</t>
  </si>
  <si>
    <t>Load_t1_o44</t>
  </si>
  <si>
    <t>Load_t1_o45</t>
  </si>
  <si>
    <t>Load_t1_o46</t>
  </si>
  <si>
    <t>Load_t1_o47</t>
  </si>
  <si>
    <t>Load_t1_o48</t>
  </si>
  <si>
    <t>Load_t2_o21</t>
  </si>
  <si>
    <t>Load_t2_o22</t>
  </si>
  <si>
    <t>Load_t2_o23</t>
  </si>
  <si>
    <t>Load_t2_o24</t>
  </si>
  <si>
    <t>Load_t2_o25</t>
  </si>
  <si>
    <t>Load_t2_o26</t>
  </si>
  <si>
    <t>Load_t2_o27</t>
  </si>
  <si>
    <t>Load_t2_o28</t>
  </si>
  <si>
    <t>Load_t2_o29</t>
  </si>
  <si>
    <t>Load_t2_o30</t>
  </si>
  <si>
    <t>Load_t2_o31</t>
  </si>
  <si>
    <t>Load_t2_o32</t>
  </si>
  <si>
    <t>Load_t2_o33</t>
  </si>
  <si>
    <t>Load_t2_o34</t>
  </si>
  <si>
    <t>Load_t2_o35</t>
  </si>
  <si>
    <t>Load_t2_o36</t>
  </si>
  <si>
    <t>Load_t2_o37</t>
  </si>
  <si>
    <t>Load_t2_o38</t>
  </si>
  <si>
    <t>Load_t2_o39</t>
  </si>
  <si>
    <t>Load_t2_o40</t>
  </si>
  <si>
    <t>Load_t2_o41</t>
  </si>
  <si>
    <t>Load_t2_o42</t>
  </si>
  <si>
    <t>Load_t2_o43</t>
  </si>
  <si>
    <t>Load_t2_o44</t>
  </si>
  <si>
    <t>Load_t2_o45</t>
  </si>
  <si>
    <t>Load_t2_o46</t>
  </si>
  <si>
    <t>Load_t2_o47</t>
  </si>
  <si>
    <t>Load_t2_o48</t>
  </si>
  <si>
    <t>Load_t3_o1</t>
  </si>
  <si>
    <t>Load_t3_o2</t>
  </si>
  <si>
    <t>Load_t3_o3</t>
  </si>
  <si>
    <t>Load_t3_o4</t>
  </si>
  <si>
    <t>Load_t3_o5</t>
  </si>
  <si>
    <t>Load_t3_o6</t>
  </si>
  <si>
    <t>Load_t3_o7</t>
  </si>
  <si>
    <t>Load_t3_o8</t>
  </si>
  <si>
    <t>Load_t3_o9</t>
  </si>
  <si>
    <t>Load_t3_o10</t>
  </si>
  <si>
    <t>Load_t3_o11</t>
  </si>
  <si>
    <t>Load_t3_o12</t>
  </si>
  <si>
    <t>Load_t3_o13</t>
  </si>
  <si>
    <t>Load_t3_o14</t>
  </si>
  <si>
    <t>Load_t3_o15</t>
  </si>
  <si>
    <t>Load_t3_o16</t>
  </si>
  <si>
    <t>Load_t3_o17</t>
  </si>
  <si>
    <t>Load_t3_o18</t>
  </si>
  <si>
    <t>Load_t3_o19</t>
  </si>
  <si>
    <t>Load_t3_o20</t>
  </si>
  <si>
    <t>Load_t3_o21</t>
  </si>
  <si>
    <t>Load_t3_o22</t>
  </si>
  <si>
    <t>Load_t3_o23</t>
  </si>
  <si>
    <t>Load_t3_o24</t>
  </si>
  <si>
    <t>Load_t3_o25</t>
  </si>
  <si>
    <t>Load_t3_o26</t>
  </si>
  <si>
    <t>Load_t3_o27</t>
  </si>
  <si>
    <t>Load_t3_o28</t>
  </si>
  <si>
    <t>Load_t3_o29</t>
  </si>
  <si>
    <t>Load_t3_o30</t>
  </si>
  <si>
    <t>Load_t3_o31</t>
  </si>
  <si>
    <t>Load_t3_o32</t>
  </si>
  <si>
    <t>Load_t3_o33</t>
  </si>
  <si>
    <t>Load_t3_o34</t>
  </si>
  <si>
    <t>Load_t3_o35</t>
  </si>
  <si>
    <t>Load_t3_o36</t>
  </si>
  <si>
    <t>Load_t3_o37</t>
  </si>
  <si>
    <t>Load_t3_o38</t>
  </si>
  <si>
    <t>Load_t3_o39</t>
  </si>
  <si>
    <t>Load_t3_o40</t>
  </si>
  <si>
    <t>Load_t3_o41</t>
  </si>
  <si>
    <t>Load_t3_o42</t>
  </si>
  <si>
    <t>Load_t3_o43</t>
  </si>
  <si>
    <t>Load_t3_o44</t>
  </si>
  <si>
    <t>Load_t3_o45</t>
  </si>
  <si>
    <t>Load_t3_o46</t>
  </si>
  <si>
    <t>Load_t3_o47</t>
  </si>
  <si>
    <t>Load_t3_o48</t>
  </si>
  <si>
    <t>Load_t4_o1</t>
  </si>
  <si>
    <t>Load_t4_o2</t>
  </si>
  <si>
    <t>Load_t4_o3</t>
  </si>
  <si>
    <t>Load_t4_o4</t>
  </si>
  <si>
    <t>Load_t4_o5</t>
  </si>
  <si>
    <t>Load_t4_o6</t>
  </si>
  <si>
    <t>Load_t4_o7</t>
  </si>
  <si>
    <t>Load_t4_o8</t>
  </si>
  <si>
    <t>Load_t4_o9</t>
  </si>
  <si>
    <t>Load_t4_o10</t>
  </si>
  <si>
    <t>Load_t4_o11</t>
  </si>
  <si>
    <t>Load_t4_o12</t>
  </si>
  <si>
    <t>Load_t4_o13</t>
  </si>
  <si>
    <t>Load_t4_o14</t>
  </si>
  <si>
    <t>Load_t4_o15</t>
  </si>
  <si>
    <t>Load_t4_o16</t>
  </si>
  <si>
    <t>Load_t4_o17</t>
  </si>
  <si>
    <t>Load_t4_o18</t>
  </si>
  <si>
    <t>Load_t4_o19</t>
  </si>
  <si>
    <t>Load_t4_o20</t>
  </si>
  <si>
    <t>Load_t4_o21</t>
  </si>
  <si>
    <t>Load_t4_o22</t>
  </si>
  <si>
    <t>Load_t4_o23</t>
  </si>
  <si>
    <t>Load_t4_o24</t>
  </si>
  <si>
    <t>Load_t4_o25</t>
  </si>
  <si>
    <t>Load_t4_o26</t>
  </si>
  <si>
    <t>Load_t4_o27</t>
  </si>
  <si>
    <t>Load_t4_o28</t>
  </si>
  <si>
    <t>Load_t4_o29</t>
  </si>
  <si>
    <t>Load_t4_o30</t>
  </si>
  <si>
    <t>Load_t4_o31</t>
  </si>
  <si>
    <t>Load_t4_o32</t>
  </si>
  <si>
    <t>Load_t4_o33</t>
  </si>
  <si>
    <t>Load_t4_o34</t>
  </si>
  <si>
    <t>Load_t4_o35</t>
  </si>
  <si>
    <t>Load_t4_o36</t>
  </si>
  <si>
    <t>Load_t4_o37</t>
  </si>
  <si>
    <t>Load_t4_o38</t>
  </si>
  <si>
    <t>Load_t4_o39</t>
  </si>
  <si>
    <t>Load_t4_o40</t>
  </si>
  <si>
    <t>Load_t4_o41</t>
  </si>
  <si>
    <t>Load_t4_o42</t>
  </si>
  <si>
    <t>Load_t4_o43</t>
  </si>
  <si>
    <t>Load_t4_o44</t>
  </si>
  <si>
    <t>Load_t4_o45</t>
  </si>
  <si>
    <t>Load_t4_o46</t>
  </si>
  <si>
    <t>Load_t4_o47</t>
  </si>
  <si>
    <t>Load_t4_o48</t>
  </si>
  <si>
    <t>Load_t5_o1</t>
  </si>
  <si>
    <t>Load_t5_o2</t>
  </si>
  <si>
    <t>Load_t5_o3</t>
  </si>
  <si>
    <t>Load_t5_o4</t>
  </si>
  <si>
    <t>Load_t5_o5</t>
  </si>
  <si>
    <t>Load_t5_o6</t>
  </si>
  <si>
    <t>Load_t5_o7</t>
  </si>
  <si>
    <t>Load_t5_o8</t>
  </si>
  <si>
    <t>Load_t5_o9</t>
  </si>
  <si>
    <t>Load_t5_o10</t>
  </si>
  <si>
    <t>Load_t5_o11</t>
  </si>
  <si>
    <t>Load_t5_o12</t>
  </si>
  <si>
    <t>Load_t5_o13</t>
  </si>
  <si>
    <t>Load_t5_o14</t>
  </si>
  <si>
    <t>Load_t5_o15</t>
  </si>
  <si>
    <t>Load_t5_o16</t>
  </si>
  <si>
    <t>Load_t5_o17</t>
  </si>
  <si>
    <t>Load_t5_o18</t>
  </si>
  <si>
    <t>Load_t5_o19</t>
  </si>
  <si>
    <t>Load_t5_o20</t>
  </si>
  <si>
    <t>Load_t5_o21</t>
  </si>
  <si>
    <t>Load_t5_o22</t>
  </si>
  <si>
    <t>Load_t5_o23</t>
  </si>
  <si>
    <t>Load_t5_o24</t>
  </si>
  <si>
    <t>Load_t5_o25</t>
  </si>
  <si>
    <t>Load_t5_o26</t>
  </si>
  <si>
    <t>Load_t5_o27</t>
  </si>
  <si>
    <t>Load_t5_o28</t>
  </si>
  <si>
    <t>Load_t5_o29</t>
  </si>
  <si>
    <t>Load_t5_o30</t>
  </si>
  <si>
    <t>Load_t5_o31</t>
  </si>
  <si>
    <t>Load_t5_o32</t>
  </si>
  <si>
    <t>Load_t5_o33</t>
  </si>
  <si>
    <t>Load_t5_o34</t>
  </si>
  <si>
    <t>Load_t5_o35</t>
  </si>
  <si>
    <t>Load_t5_o36</t>
  </si>
  <si>
    <t>Load_t5_o37</t>
  </si>
  <si>
    <t>Load_t5_o38</t>
  </si>
  <si>
    <t>Load_t5_o39</t>
  </si>
  <si>
    <t>Load_t5_o40</t>
  </si>
  <si>
    <t>Load_t5_o41</t>
  </si>
  <si>
    <t>Load_t5_o42</t>
  </si>
  <si>
    <t>Load_t5_o43</t>
  </si>
  <si>
    <t>Load_t5_o44</t>
  </si>
  <si>
    <t>Load_t5_o45</t>
  </si>
  <si>
    <t>Load_t5_o46</t>
  </si>
  <si>
    <t>Load_t5_o47</t>
  </si>
  <si>
    <t>Load_t5_o48</t>
  </si>
  <si>
    <t>Load_t6_o1</t>
  </si>
  <si>
    <t>Load_t6_o2</t>
  </si>
  <si>
    <t>Load_t6_o3</t>
  </si>
  <si>
    <t>Load_t6_o4</t>
  </si>
  <si>
    <t>Load_t6_o5</t>
  </si>
  <si>
    <t>Load_t6_o6</t>
  </si>
  <si>
    <t>Load_t6_o7</t>
  </si>
  <si>
    <t>Load_t6_o8</t>
  </si>
  <si>
    <t>Load_t6_o9</t>
  </si>
  <si>
    <t>Load_t6_o10</t>
  </si>
  <si>
    <t>Load_t6_o11</t>
  </si>
  <si>
    <t>Load_t6_o12</t>
  </si>
  <si>
    <t>Load_t6_o13</t>
  </si>
  <si>
    <t>Load_t6_o14</t>
  </si>
  <si>
    <t>Load_t6_o15</t>
  </si>
  <si>
    <t>Load_t6_o16</t>
  </si>
  <si>
    <t>Load_t6_o17</t>
  </si>
  <si>
    <t>Load_t6_o18</t>
  </si>
  <si>
    <t>Load_t6_o19</t>
  </si>
  <si>
    <t>Load_t6_o20</t>
  </si>
  <si>
    <t>Load_t6_o21</t>
  </si>
  <si>
    <t>Load_t6_o22</t>
  </si>
  <si>
    <t>Load_t6_o23</t>
  </si>
  <si>
    <t>Load_t6_o24</t>
  </si>
  <si>
    <t>Load_t6_o25</t>
  </si>
  <si>
    <t>Load_t6_o26</t>
  </si>
  <si>
    <t>Load_t6_o27</t>
  </si>
  <si>
    <t>Load_t6_o28</t>
  </si>
  <si>
    <t>Load_t6_o29</t>
  </si>
  <si>
    <t>Load_t6_o30</t>
  </si>
  <si>
    <t>Load_t6_o31</t>
  </si>
  <si>
    <t>Load_t6_o32</t>
  </si>
  <si>
    <t>Load_t6_o33</t>
  </si>
  <si>
    <t>Load_t6_o34</t>
  </si>
  <si>
    <t>Load_t6_o35</t>
  </si>
  <si>
    <t>Load_t6_o36</t>
  </si>
  <si>
    <t>Load_t6_o37</t>
  </si>
  <si>
    <t>Load_t6_o38</t>
  </si>
  <si>
    <t>Load_t6_o39</t>
  </si>
  <si>
    <t>Load_t6_o40</t>
  </si>
  <si>
    <t>Load_t6_o41</t>
  </si>
  <si>
    <t>Load_t6_o42</t>
  </si>
  <si>
    <t>Load_t6_o43</t>
  </si>
  <si>
    <t>Load_t6_o44</t>
  </si>
  <si>
    <t>Load_t6_o45</t>
  </si>
  <si>
    <t>Load_t6_o46</t>
  </si>
  <si>
    <t>Load_t6_o47</t>
  </si>
  <si>
    <t>Load_t6_o48</t>
  </si>
  <si>
    <t>Prod_cost_t3</t>
  </si>
  <si>
    <t>Prod_cost_t4</t>
  </si>
  <si>
    <t>Prod_cost_t5</t>
  </si>
  <si>
    <t>Prod_cost_t6</t>
  </si>
  <si>
    <t>Inv_cost_t3</t>
  </si>
  <si>
    <t>Inv_cost_t4</t>
  </si>
  <si>
    <t>Inv_cost_t5</t>
  </si>
  <si>
    <t>Inv_cost_t6</t>
  </si>
  <si>
    <t>node_code</t>
  </si>
  <si>
    <t>voltage</t>
  </si>
  <si>
    <t>province</t>
  </si>
  <si>
    <t>node_type</t>
  </si>
  <si>
    <t>longitude</t>
  </si>
  <si>
    <t>latitude</t>
  </si>
  <si>
    <t>elevation</t>
  </si>
  <si>
    <t>demand_factor</t>
  </si>
  <si>
    <t>cf_pv</t>
  </si>
  <si>
    <t>cf_wind</t>
  </si>
  <si>
    <t>AB</t>
  </si>
  <si>
    <t>Distribution</t>
  </si>
  <si>
    <t>Generation</t>
  </si>
  <si>
    <t>Junction</t>
  </si>
  <si>
    <t>Industrial</t>
  </si>
  <si>
    <t>BC_AAL_DSS</t>
  </si>
  <si>
    <t>BC</t>
  </si>
  <si>
    <t>BC_ACK_DSS</t>
  </si>
  <si>
    <t>BC_ALH_GSS</t>
  </si>
  <si>
    <t>BC_ALZ_DSS</t>
  </si>
  <si>
    <t>BC_ARN_DSS</t>
  </si>
  <si>
    <t>BC_ASL_GSS</t>
  </si>
  <si>
    <t>BC_ASL_JCT</t>
  </si>
  <si>
    <t>BC_BCR_ISS</t>
  </si>
  <si>
    <t>BC_BDH_GSS</t>
  </si>
  <si>
    <t>BC_BDH_JCT</t>
  </si>
  <si>
    <t>BC_BEN_TSS</t>
  </si>
  <si>
    <t>Terminal</t>
  </si>
  <si>
    <t>BC_BLM_DSS</t>
  </si>
  <si>
    <t>BC_BLW_DSS</t>
  </si>
  <si>
    <t>BC_BMT_DSS</t>
  </si>
  <si>
    <t>BC_BND_DSS</t>
  </si>
  <si>
    <t>BC_BNT_DSS</t>
  </si>
  <si>
    <t>BC_BQN_DSS</t>
  </si>
  <si>
    <t>BC_BR1_GSS</t>
  </si>
  <si>
    <t>BC_BR2_GSS</t>
  </si>
  <si>
    <t>BC_BRT_TSS</t>
  </si>
  <si>
    <t>BC_BRX_GSS</t>
  </si>
  <si>
    <t>BC_BSY_TSS</t>
  </si>
  <si>
    <t>BC_BTS_TSS</t>
  </si>
  <si>
    <t>BC_CAM_DSS</t>
  </si>
  <si>
    <t>BC_CAM_JCT</t>
  </si>
  <si>
    <t>BC_CBK_DSS</t>
  </si>
  <si>
    <t>BC_CBN_DSS</t>
  </si>
  <si>
    <t>BC_CCB_TSS</t>
  </si>
  <si>
    <t>BC_CKY_DSS</t>
  </si>
  <si>
    <t>BC_CMS_GSS</t>
  </si>
  <si>
    <t>BC_COK_DSS</t>
  </si>
  <si>
    <t>BC_CSN_DSS</t>
  </si>
  <si>
    <t>BC_CSQ_DSS</t>
  </si>
  <si>
    <t>BC_CYP_DSS</t>
  </si>
  <si>
    <t>BC_DGB_TSS</t>
  </si>
  <si>
    <t>BC_DKT_DSS</t>
  </si>
  <si>
    <t>BC_DKW_GSS</t>
  </si>
  <si>
    <t>BC_DMR_DSS</t>
  </si>
  <si>
    <t>BC_EBT_TSS</t>
  </si>
  <si>
    <t>BC_ESQ_DSS</t>
  </si>
  <si>
    <t>BC_ETR_GSS</t>
  </si>
  <si>
    <t>BC_EUR_ISS</t>
  </si>
  <si>
    <t>BC_FCN_DSS</t>
  </si>
  <si>
    <t>BC_FKR_GSS</t>
  </si>
  <si>
    <t>BC_FLW_DSS</t>
  </si>
  <si>
    <t>BC_GLD_DSS</t>
  </si>
  <si>
    <t>BC_GLN_DSS</t>
  </si>
  <si>
    <t>BC_GMS_GSS</t>
  </si>
  <si>
    <t>BC_GOW_DSS</t>
  </si>
  <si>
    <t>BC_GTP_DSS</t>
  </si>
  <si>
    <t>BC_HLT_TSS</t>
  </si>
  <si>
    <t>BC_HMH_DSS</t>
  </si>
  <si>
    <t>BC_HPN_DSS</t>
  </si>
  <si>
    <t>BC_HSP_ISS</t>
  </si>
  <si>
    <t>BC_HSY_DSS</t>
  </si>
  <si>
    <t>BC_HWW_DSS</t>
  </si>
  <si>
    <t>BC_HWW_JCT</t>
  </si>
  <si>
    <t>BC_ILL_DSS</t>
  </si>
  <si>
    <t>BC_ING_DSS</t>
  </si>
  <si>
    <t>BC_INV_DSS</t>
  </si>
  <si>
    <t>BC_JMC_GSS</t>
  </si>
  <si>
    <t>BC_KCH_GSS</t>
  </si>
  <si>
    <t>BC_KCL_GSS</t>
  </si>
  <si>
    <t>BC_KDS_DSS</t>
  </si>
  <si>
    <t>BC_KGP_JCT</t>
  </si>
  <si>
    <t>BC_KHS_DSS</t>
  </si>
  <si>
    <t>BC_KI1_DSS</t>
  </si>
  <si>
    <t>BC_KI2_DSS</t>
  </si>
  <si>
    <t>BC_KIT_DSS</t>
  </si>
  <si>
    <t>BC_KLY_DSS</t>
  </si>
  <si>
    <t>BC_KMI_DSS</t>
  </si>
  <si>
    <t>BC_KMO_GSS</t>
  </si>
  <si>
    <t>BC_KTB_ISS</t>
  </si>
  <si>
    <t>BC_KTG_DSS</t>
  </si>
  <si>
    <t>BC_LAP_GSS</t>
  </si>
  <si>
    <t>BC_LEE_TSS</t>
  </si>
  <si>
    <t>BC_LYN_DSS</t>
  </si>
  <si>
    <t>BC_MAN_DSS</t>
  </si>
  <si>
    <t>BC_MBO_TSS</t>
  </si>
  <si>
    <t>BC_MCA_GSS</t>
  </si>
  <si>
    <t>BC_MDN_DSS</t>
  </si>
  <si>
    <t>BC_MIN_DSS</t>
  </si>
  <si>
    <t>BC_MKL_GSS</t>
  </si>
  <si>
    <t>BC_MKT_SWS</t>
  </si>
  <si>
    <t>Switching</t>
  </si>
  <si>
    <t>BC_MLE_DSS</t>
  </si>
  <si>
    <t>BC_MLN_DSS</t>
  </si>
  <si>
    <t>BC_MLW_GSS</t>
  </si>
  <si>
    <t>BC_MLW_JCT</t>
  </si>
  <si>
    <t>BC_MML_DSS</t>
  </si>
  <si>
    <t>BC_MNK_ISS</t>
  </si>
  <si>
    <t>BC_MNK_JCT</t>
  </si>
  <si>
    <t>BC_MPT_DSS</t>
  </si>
  <si>
    <t>BC_MRC_ISS</t>
  </si>
  <si>
    <t>BC_MRC_JCT</t>
  </si>
  <si>
    <t>BC_MSA_DSS</t>
  </si>
  <si>
    <t>BC_MTC_GSS</t>
  </si>
  <si>
    <t>BC_MTG_TSS</t>
  </si>
  <si>
    <t>BC_MUR_DSS</t>
  </si>
  <si>
    <t>BC_NCT_TSS</t>
  </si>
  <si>
    <t>BC_NEL_DSS</t>
  </si>
  <si>
    <t>BC_NIC_TSS</t>
  </si>
  <si>
    <t>BC_NLY_DSS</t>
  </si>
  <si>
    <t>BC_NTL_DSS</t>
  </si>
  <si>
    <t>BC_PCN_GSS</t>
  </si>
  <si>
    <t>BC_PEM_DSS</t>
  </si>
  <si>
    <t>BC_PEM_JCT</t>
  </si>
  <si>
    <t>BC_PIK_DSS</t>
  </si>
  <si>
    <t>BC_PSY_TSS</t>
  </si>
  <si>
    <t>BC_QNT_DSS</t>
  </si>
  <si>
    <t>BC_QRP_ISS</t>
  </si>
  <si>
    <t>BC_QTY_GSS</t>
  </si>
  <si>
    <t>BC_RBF_DSS</t>
  </si>
  <si>
    <t>BC_RBW_DSS</t>
  </si>
  <si>
    <t>BC_RBW_JCT</t>
  </si>
  <si>
    <t>BC_RDC_ISS</t>
  </si>
  <si>
    <t>BC_REV_GSS</t>
  </si>
  <si>
    <t>BC_RGA_TSS</t>
  </si>
  <si>
    <t>BC_ROS_DSS</t>
  </si>
  <si>
    <t>BC_RUP_DSS</t>
  </si>
  <si>
    <t>BC_RUT_GSS</t>
  </si>
  <si>
    <t>BC_RUT_JCT</t>
  </si>
  <si>
    <t>BC_SAC_DSS</t>
  </si>
  <si>
    <t>BC_SAM_DSS</t>
  </si>
  <si>
    <t>BC_SAT_DSS</t>
  </si>
  <si>
    <t>BC_SAY_DSS</t>
  </si>
  <si>
    <t>BC_SBK_DSS</t>
  </si>
  <si>
    <t>BC_SCK_DSS</t>
  </si>
  <si>
    <t>BC_SEL_TSS</t>
  </si>
  <si>
    <t>BC_SEV_GSS</t>
  </si>
  <si>
    <t>BC_SGB_ISS</t>
  </si>
  <si>
    <t>BC_SKA_DSS</t>
  </si>
  <si>
    <t>BC_SLS_DSS</t>
  </si>
  <si>
    <t>BC_SNK_DSS</t>
  </si>
  <si>
    <t>BC_SPG_DSS</t>
  </si>
  <si>
    <t>BC_SRN_ISS</t>
  </si>
  <si>
    <t>BC_SRN_JCT</t>
  </si>
  <si>
    <t>BC_SST_ISS</t>
  </si>
  <si>
    <t>BC_STV_DSS</t>
  </si>
  <si>
    <t>BC_SVA_DSS</t>
  </si>
  <si>
    <t>BC_SVY_DSS</t>
  </si>
  <si>
    <t>BC_SYH_DSS</t>
  </si>
  <si>
    <t>BC_SYH_JCT</t>
  </si>
  <si>
    <t>BC_TAC_DSS</t>
  </si>
  <si>
    <t>BC_TAT_DSS</t>
  </si>
  <si>
    <t>BC_TBY_TSS</t>
  </si>
  <si>
    <t>BC_TIR_TSS</t>
  </si>
  <si>
    <t>BC_TIS_DSS</t>
  </si>
  <si>
    <t>BC_TKW_DSS</t>
  </si>
  <si>
    <t>BC_TLR_DSS</t>
  </si>
  <si>
    <t>BC_TXE_TSS</t>
  </si>
  <si>
    <t>BC_TXW_TSS</t>
  </si>
  <si>
    <t>BC_UHT_DSS</t>
  </si>
  <si>
    <t>BC_ULR_GSS</t>
  </si>
  <si>
    <t>BC_VAS_TSS</t>
  </si>
  <si>
    <t>BC_VIT_TSS</t>
  </si>
  <si>
    <t>BC_VNT_TSS</t>
  </si>
  <si>
    <t>BC_VOL_GSS</t>
  </si>
  <si>
    <t>BC_VOL_JCT</t>
  </si>
  <si>
    <t>BC_VVW_DSS</t>
  </si>
  <si>
    <t>BC_WAH_GSS</t>
  </si>
  <si>
    <t>BC_WAX_GSS</t>
  </si>
  <si>
    <t>BC_WHS_TSS</t>
  </si>
  <si>
    <t>BC_WHY_DSS</t>
  </si>
  <si>
    <t>BC_WLT_DSS</t>
  </si>
  <si>
    <t>BC_WSN_DSS</t>
  </si>
  <si>
    <t>BC_WTS_TSS</t>
  </si>
  <si>
    <t>MB</t>
  </si>
  <si>
    <t>NB</t>
  </si>
  <si>
    <t>NL</t>
  </si>
  <si>
    <t>NS</t>
  </si>
  <si>
    <t>ON</t>
  </si>
  <si>
    <t>PE</t>
  </si>
  <si>
    <t>QC</t>
  </si>
  <si>
    <t>SK</t>
  </si>
  <si>
    <t>XX_BCUS1_INT</t>
  </si>
  <si>
    <t>XX_BCUS2_INT</t>
  </si>
  <si>
    <t>network_node_code</t>
  </si>
  <si>
    <t>gen_type</t>
  </si>
  <si>
    <t>biomass</t>
  </si>
  <si>
    <t>wind_ons</t>
  </si>
  <si>
    <t>NG_SC</t>
  </si>
  <si>
    <t>NG_CG</t>
  </si>
  <si>
    <t>hydro_daily</t>
  </si>
  <si>
    <t>solar_PV</t>
  </si>
  <si>
    <t>hydro_run</t>
  </si>
  <si>
    <t>NG_CC</t>
  </si>
  <si>
    <t>coal</t>
  </si>
  <si>
    <t>biogas</t>
  </si>
  <si>
    <t>hydro_monthly</t>
  </si>
  <si>
    <t>oil_ST</t>
  </si>
  <si>
    <t>diesel_CT</t>
  </si>
  <si>
    <t>nuclear</t>
  </si>
  <si>
    <t>gasoline_CT</t>
  </si>
  <si>
    <t>oil_CT</t>
  </si>
  <si>
    <t>MSW</t>
  </si>
  <si>
    <t>coal_CCS</t>
  </si>
  <si>
    <t>unit_installed_capacity</t>
  </si>
  <si>
    <t>gen_type_source</t>
  </si>
  <si>
    <t>gen_type_copper</t>
  </si>
  <si>
    <t>gen_type_copper_source</t>
  </si>
  <si>
    <t>generation_type_description</t>
  </si>
  <si>
    <t>generic_generation_size_MW</t>
  </si>
  <si>
    <t>generic_generation_size_MW_source</t>
  </si>
  <si>
    <t>capital_cost_CAD_per_kW</t>
  </si>
  <si>
    <t>total_project_cost_CAD_per_kW</t>
  </si>
  <si>
    <t>economic_life</t>
  </si>
  <si>
    <t>economic_life_source</t>
  </si>
  <si>
    <t>service_life</t>
  </si>
  <si>
    <t>service_life_source</t>
  </si>
  <si>
    <t>annualized_capital_cost_CAD_per_kwyear</t>
  </si>
  <si>
    <t>fixed_om_costs</t>
  </si>
  <si>
    <t>variable_om_costs</t>
  </si>
  <si>
    <t>construction_time</t>
  </si>
  <si>
    <t>development_time</t>
  </si>
  <si>
    <t>average_fuel_price_CAD_per_MMBtu</t>
  </si>
  <si>
    <t>average_fuel_price_CAD_per_MMBtu_source</t>
  </si>
  <si>
    <t>carbon_emissions</t>
  </si>
  <si>
    <t>heat_rate</t>
  </si>
  <si>
    <t>heat_rate_source</t>
  </si>
  <si>
    <t>efficiency</t>
  </si>
  <si>
    <t>efficiency_source</t>
  </si>
  <si>
    <t>min_plant_load</t>
  </si>
  <si>
    <t>min_plant_load_source</t>
  </si>
  <si>
    <t>min_capacity_factor</t>
  </si>
  <si>
    <t>min_capacity_factor_source</t>
  </si>
  <si>
    <t>max_capacity_factor</t>
  </si>
  <si>
    <t>max_capacity_factor_source</t>
  </si>
  <si>
    <t>time_to_full_capacity</t>
  </si>
  <si>
    <t>time_to_full_capacity_source</t>
  </si>
  <si>
    <t>min_up_time_hours</t>
  </si>
  <si>
    <t>min_up_time_hours_source</t>
  </si>
  <si>
    <t>min_down_time_hours</t>
  </si>
  <si>
    <t>min_down_time_hours_source</t>
  </si>
  <si>
    <t>ramp_rate_percent_per_min</t>
  </si>
  <si>
    <t>ramp_rate_percent_per_min_source</t>
  </si>
  <si>
    <t>spinning_reserve_capability</t>
  </si>
  <si>
    <t>spinning_reserve_capability_source</t>
  </si>
  <si>
    <t>forced_outage_rate</t>
  </si>
  <si>
    <t>forced_outage_rate_source</t>
  </si>
  <si>
    <t>planned_outage_rate</t>
  </si>
  <si>
    <t>planned_outage_rate_source</t>
  </si>
  <si>
    <t>startup_cost</t>
  </si>
  <si>
    <t>startup_cost_source</t>
  </si>
  <si>
    <t>shutdown_cost</t>
  </si>
  <si>
    <t>shutdown_cost_source</t>
  </si>
  <si>
    <t>notes</t>
  </si>
  <si>
    <t>notes_source</t>
  </si>
  <si>
    <t>N/A</t>
  </si>
  <si>
    <t>Estimated</t>
  </si>
  <si>
    <t>Municipal solid waste - landfill gas</t>
  </si>
  <si>
    <t>NULL</t>
  </si>
  <si>
    <t>biomass_CG</t>
  </si>
  <si>
    <t>biomass cogeneration</t>
  </si>
  <si>
    <t>Assumed similar operations to biomass</t>
  </si>
  <si>
    <t>coal combined cycle</t>
  </si>
  <si>
    <t>Ultra-supercritical coal USC</t>
  </si>
  <si>
    <t>coalCCS</t>
  </si>
  <si>
    <t>coal carbon capture and storage</t>
  </si>
  <si>
    <t>Ultra-supercritical coal with 90% CCS</t>
  </si>
  <si>
    <t>diesel</t>
  </si>
  <si>
    <t>diesel combustion turbine</t>
  </si>
  <si>
    <t>Internal combustion engine diesel</t>
  </si>
  <si>
    <t>diesel_ST</t>
  </si>
  <si>
    <t>diesel steam turbine</t>
  </si>
  <si>
    <t>gasoline combustion turbine</t>
  </si>
  <si>
    <t>geothermal</t>
  </si>
  <si>
    <t>geothermal binary cycle</t>
  </si>
  <si>
    <t>h2blue_CT</t>
  </si>
  <si>
    <t>hydrogen combustion turbine</t>
  </si>
  <si>
    <t>Assumptions made similar to the natural gas CT based on discussions with AESO</t>
  </si>
  <si>
    <t>h2green_CT</t>
  </si>
  <si>
    <t>hydroelectric daily storage</t>
  </si>
  <si>
    <t>Conventional hydropower</t>
  </si>
  <si>
    <t>hydroelectric monthly storage</t>
  </si>
  <si>
    <t>Capital cost based on $8.7B $2021 Keeyask Project</t>
  </si>
  <si>
    <t>hydroelectric non-storage</t>
  </si>
  <si>
    <t>Capital cost based on BC Hydro RODAT data</t>
  </si>
  <si>
    <t>municipal solid waste</t>
  </si>
  <si>
    <t>natural gas combined cycle</t>
  </si>
  <si>
    <t>Natural gas combined cycle - multi shaft</t>
  </si>
  <si>
    <t>NG_CCS</t>
  </si>
  <si>
    <t>natural gas carbon capture and storage</t>
  </si>
  <si>
    <t>Natural gas combined cycle with 90% CCS</t>
  </si>
  <si>
    <t>natural gas cogeneration</t>
  </si>
  <si>
    <t>Assumed similar to costs and operations to natural gas combined cycle</t>
  </si>
  <si>
    <t>natural gas simple cycle</t>
  </si>
  <si>
    <t>Combustion turbine - aeroderivative</t>
  </si>
  <si>
    <t>nuclear light water reactor</t>
  </si>
  <si>
    <t>nuclear_SMR</t>
  </si>
  <si>
    <t>nuclear small modular reactor</t>
  </si>
  <si>
    <t>Assumed similar to operations to conventional nuclear</t>
  </si>
  <si>
    <t>oil combustion turbine</t>
  </si>
  <si>
    <t>oil steam turbine</t>
  </si>
  <si>
    <t>solar</t>
  </si>
  <si>
    <t>solar photovoltaic</t>
  </si>
  <si>
    <t>Costs and capacities in terms of net AC power available to the grid for the installed capacity</t>
  </si>
  <si>
    <t>solar_recon</t>
  </si>
  <si>
    <t>recontracted solar photovoltaic</t>
  </si>
  <si>
    <t>80% capital cost per MW of greenfield solar PV based on NREL data</t>
  </si>
  <si>
    <t>storage_lithium</t>
  </si>
  <si>
    <t>storage_LI</t>
  </si>
  <si>
    <t>lithium ion battery storage</t>
  </si>
  <si>
    <t>Four-hour battery storage</t>
  </si>
  <si>
    <t>storage_pump</t>
  </si>
  <si>
    <t>storage_PH</t>
  </si>
  <si>
    <t>hydroelectric pumped storage</t>
  </si>
  <si>
    <t>Capital cost based on $4.3B Meaford Pumped Storage Project</t>
  </si>
  <si>
    <t>wind_offshore</t>
  </si>
  <si>
    <t>wind_ofs</t>
  </si>
  <si>
    <t>offshore wind</t>
  </si>
  <si>
    <t>TRG - 5 Mid 2021</t>
  </si>
  <si>
    <t>wind_onshore</t>
  </si>
  <si>
    <t>onshore wind</t>
  </si>
  <si>
    <t>wind_recon</t>
  </si>
  <si>
    <t>recontracted onshore wind</t>
  </si>
  <si>
    <t>80% capital cost per MW of greenfield onshore wind based on NREL data</t>
  </si>
  <si>
    <t>number_of_circuits</t>
  </si>
  <si>
    <t>network_node_code_starting</t>
  </si>
  <si>
    <t>network_node_code_ending</t>
  </si>
  <si>
    <t>line_length_km</t>
  </si>
  <si>
    <t>reactance</t>
  </si>
  <si>
    <t>ttc_summer</t>
  </si>
  <si>
    <t>ttc_winter</t>
  </si>
  <si>
    <t>x_pu</t>
  </si>
  <si>
    <t>year_2025</t>
  </si>
  <si>
    <t>year_2030</t>
  </si>
  <si>
    <t>year_2035</t>
  </si>
  <si>
    <t>year_2040</t>
  </si>
  <si>
    <t>year_2045</t>
  </si>
  <si>
    <t>year_2050</t>
  </si>
  <si>
    <t>demand_prov</t>
  </si>
  <si>
    <t>ID_ref</t>
  </si>
  <si>
    <t>carbon_tax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</si>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</sst>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6C18-F3EC-40E9-9B94-D99D907E09F2}">
  <dimension ref="A1:K167"/>
  <sheetViews>
    <sheetView workbookViewId="0">
      <selection activeCell="J1" sqref="J1"/>
    </sheetView>
  </sheetViews>
  <sheetFormatPr defaultRowHeight="14.4" x14ac:dyDescent="0.55000000000000004"/>
  <cols>
    <col min="1" max="1" width="13.1015625" bestFit="1" customWidth="1"/>
    <col min="2" max="2" width="4.7890625" bestFit="1" customWidth="1"/>
    <col min="3" max="3" width="8.89453125" bestFit="1" customWidth="1"/>
    <col min="4" max="4" width="10.05078125" bestFit="1" customWidth="1"/>
    <col min="5" max="6" width="11.26171875" bestFit="1" customWidth="1"/>
    <col min="7" max="7" width="9.68359375" bestFit="1" customWidth="1"/>
    <col min="8" max="8" width="10.47265625" bestFit="1" customWidth="1"/>
    <col min="9" max="9" width="15.47265625" bestFit="1" customWidth="1"/>
    <col min="10" max="10" width="8.68359375" bestFit="1" customWidth="1"/>
    <col min="11" max="11" width="9.26171875" bestFit="1" customWidth="1"/>
  </cols>
  <sheetData>
    <row r="1" spans="1:11" x14ac:dyDescent="0.55000000000000004">
      <c r="A1" t="s">
        <v>361</v>
      </c>
      <c r="B1" t="s">
        <v>0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</row>
    <row r="2" spans="1:11" x14ac:dyDescent="0.55000000000000004">
      <c r="A2" t="s">
        <v>376</v>
      </c>
      <c r="B2">
        <v>1</v>
      </c>
      <c r="C2">
        <v>230</v>
      </c>
      <c r="D2" t="s">
        <v>377</v>
      </c>
      <c r="E2" t="s">
        <v>372</v>
      </c>
      <c r="F2">
        <v>-116.538111</v>
      </c>
      <c r="G2">
        <v>49.140155999999998</v>
      </c>
      <c r="H2">
        <v>587</v>
      </c>
      <c r="I2">
        <v>3.3630000000000001E-3</v>
      </c>
      <c r="J2">
        <v>0.15570300000000001</v>
      </c>
      <c r="K2">
        <v>6.3039999999999999E-2</v>
      </c>
    </row>
    <row r="3" spans="1:11" x14ac:dyDescent="0.55000000000000004">
      <c r="A3" t="s">
        <v>378</v>
      </c>
      <c r="B3">
        <v>2</v>
      </c>
      <c r="C3">
        <v>230</v>
      </c>
      <c r="D3" t="s">
        <v>377</v>
      </c>
      <c r="E3" t="s">
        <v>372</v>
      </c>
      <c r="F3">
        <v>-118.993459</v>
      </c>
      <c r="G3">
        <v>50.561354999999999</v>
      </c>
      <c r="H3">
        <v>514</v>
      </c>
      <c r="I3">
        <v>3.9179999999999996E-3</v>
      </c>
      <c r="J3">
        <v>0.14582200000000001</v>
      </c>
      <c r="K3">
        <v>4.0197999999999998E-2</v>
      </c>
    </row>
    <row r="4" spans="1:11" x14ac:dyDescent="0.55000000000000004">
      <c r="A4" t="s">
        <v>379</v>
      </c>
      <c r="B4">
        <v>3</v>
      </c>
      <c r="C4">
        <v>230</v>
      </c>
      <c r="D4" t="s">
        <v>377</v>
      </c>
      <c r="E4" t="s">
        <v>373</v>
      </c>
      <c r="F4">
        <v>-117.768849</v>
      </c>
      <c r="G4">
        <v>49.343024</v>
      </c>
      <c r="H4">
        <v>472</v>
      </c>
      <c r="I4">
        <v>3.3630000000000001E-3</v>
      </c>
      <c r="J4">
        <v>0.149954</v>
      </c>
      <c r="K4">
        <v>3.5597999999999998E-2</v>
      </c>
    </row>
    <row r="5" spans="1:11" x14ac:dyDescent="0.55000000000000004">
      <c r="A5" t="s">
        <v>380</v>
      </c>
      <c r="B5">
        <v>4</v>
      </c>
      <c r="C5">
        <v>230</v>
      </c>
      <c r="D5" t="s">
        <v>377</v>
      </c>
      <c r="E5" t="s">
        <v>372</v>
      </c>
      <c r="F5">
        <v>-122.00932</v>
      </c>
      <c r="G5">
        <v>49.113554999999998</v>
      </c>
      <c r="H5">
        <v>44</v>
      </c>
      <c r="I5">
        <v>6.4939999999999998E-3</v>
      </c>
      <c r="J5">
        <v>0.131906</v>
      </c>
      <c r="K5">
        <v>7.1110999999999994E-2</v>
      </c>
    </row>
    <row r="6" spans="1:11" x14ac:dyDescent="0.55000000000000004">
      <c r="A6" t="s">
        <v>381</v>
      </c>
      <c r="B6">
        <v>5</v>
      </c>
      <c r="C6">
        <v>230</v>
      </c>
      <c r="D6" t="s">
        <v>377</v>
      </c>
      <c r="E6" t="s">
        <v>372</v>
      </c>
      <c r="F6">
        <v>-123.041678</v>
      </c>
      <c r="G6">
        <v>49.092139000000003</v>
      </c>
      <c r="H6">
        <v>3</v>
      </c>
      <c r="I6">
        <v>1.5035E-2</v>
      </c>
      <c r="J6">
        <v>0.13167899999999999</v>
      </c>
      <c r="K6">
        <v>8.8418999999999998E-2</v>
      </c>
    </row>
    <row r="7" spans="1:11" x14ac:dyDescent="0.55000000000000004">
      <c r="A7" t="s">
        <v>382</v>
      </c>
      <c r="B7">
        <v>6</v>
      </c>
      <c r="C7">
        <v>230</v>
      </c>
      <c r="D7" t="s">
        <v>377</v>
      </c>
      <c r="E7" t="s">
        <v>373</v>
      </c>
      <c r="F7">
        <v>-123.32481900000001</v>
      </c>
      <c r="G7">
        <v>49.913834999999999</v>
      </c>
      <c r="H7">
        <v>164</v>
      </c>
      <c r="I7">
        <v>3.0869999999999999E-3</v>
      </c>
      <c r="J7">
        <v>0.136098</v>
      </c>
      <c r="K7">
        <v>3.3404999999999997E-2</v>
      </c>
    </row>
    <row r="8" spans="1:11" x14ac:dyDescent="0.55000000000000004">
      <c r="A8" t="s">
        <v>383</v>
      </c>
      <c r="B8">
        <v>7</v>
      </c>
      <c r="C8">
        <v>230</v>
      </c>
      <c r="D8" t="s">
        <v>377</v>
      </c>
      <c r="E8" t="s">
        <v>374</v>
      </c>
      <c r="F8">
        <v>-123.292276</v>
      </c>
      <c r="G8">
        <v>49.915643000000003</v>
      </c>
      <c r="H8">
        <v>65</v>
      </c>
      <c r="I8">
        <v>3.0869999999999999E-3</v>
      </c>
      <c r="J8">
        <v>0.135662</v>
      </c>
      <c r="K8">
        <v>3.3940999999999999E-2</v>
      </c>
    </row>
    <row r="9" spans="1:11" x14ac:dyDescent="0.55000000000000004">
      <c r="A9" t="s">
        <v>384</v>
      </c>
      <c r="B9">
        <v>8</v>
      </c>
      <c r="C9">
        <v>230</v>
      </c>
      <c r="D9" t="s">
        <v>377</v>
      </c>
      <c r="E9" t="s">
        <v>375</v>
      </c>
      <c r="F9">
        <v>-121.13261900000001</v>
      </c>
      <c r="G9">
        <v>55.147517999999998</v>
      </c>
      <c r="H9">
        <v>1011</v>
      </c>
      <c r="I9">
        <v>3.3409999999999998E-3</v>
      </c>
      <c r="J9">
        <v>0.12692400000000001</v>
      </c>
      <c r="K9">
        <v>0.26522099999999998</v>
      </c>
    </row>
    <row r="10" spans="1:11" x14ac:dyDescent="0.55000000000000004">
      <c r="A10" t="s">
        <v>385</v>
      </c>
      <c r="B10">
        <v>9</v>
      </c>
      <c r="C10">
        <v>230</v>
      </c>
      <c r="D10" t="s">
        <v>377</v>
      </c>
      <c r="E10" t="s">
        <v>373</v>
      </c>
      <c r="F10">
        <v>-123.405928</v>
      </c>
      <c r="G10">
        <v>50.635523999999997</v>
      </c>
      <c r="H10">
        <v>564</v>
      </c>
      <c r="I10">
        <v>3.0869999999999999E-3</v>
      </c>
      <c r="J10">
        <v>0.15087400000000001</v>
      </c>
      <c r="K10">
        <v>3.8106000000000001E-2</v>
      </c>
    </row>
    <row r="11" spans="1:11" x14ac:dyDescent="0.55000000000000004">
      <c r="A11" t="s">
        <v>386</v>
      </c>
      <c r="B11">
        <v>10</v>
      </c>
      <c r="C11">
        <v>230</v>
      </c>
      <c r="D11" t="s">
        <v>377</v>
      </c>
      <c r="E11" t="s">
        <v>374</v>
      </c>
      <c r="F11">
        <v>-123.408917</v>
      </c>
      <c r="G11">
        <v>50.635395000000003</v>
      </c>
      <c r="H11">
        <v>475</v>
      </c>
      <c r="I11">
        <v>3.0869999999999999E-3</v>
      </c>
      <c r="J11">
        <v>0.15085100000000001</v>
      </c>
      <c r="K11">
        <v>3.8056E-2</v>
      </c>
    </row>
    <row r="12" spans="1:11" x14ac:dyDescent="0.55000000000000004">
      <c r="A12" t="s">
        <v>387</v>
      </c>
      <c r="B12">
        <v>11</v>
      </c>
      <c r="C12">
        <v>230</v>
      </c>
      <c r="D12" t="s">
        <v>377</v>
      </c>
      <c r="E12" t="s">
        <v>388</v>
      </c>
      <c r="F12">
        <v>-119.530109</v>
      </c>
      <c r="G12">
        <v>49.189205999999999</v>
      </c>
      <c r="H12">
        <v>331</v>
      </c>
      <c r="I12">
        <v>3.8930000000000002E-3</v>
      </c>
      <c r="J12">
        <v>0.15232399999999999</v>
      </c>
      <c r="K12">
        <v>7.1497000000000005E-2</v>
      </c>
    </row>
    <row r="13" spans="1:11" x14ac:dyDescent="0.55000000000000004">
      <c r="A13" t="s">
        <v>389</v>
      </c>
      <c r="B13">
        <v>12</v>
      </c>
      <c r="C13">
        <v>230</v>
      </c>
      <c r="D13" t="s">
        <v>377</v>
      </c>
      <c r="E13" t="s">
        <v>372</v>
      </c>
      <c r="F13">
        <v>-121.468417</v>
      </c>
      <c r="G13">
        <v>55.139243999999998</v>
      </c>
      <c r="H13">
        <v>1127</v>
      </c>
      <c r="I13">
        <v>3.3409999999999998E-3</v>
      </c>
      <c r="J13">
        <v>0.12418999999999999</v>
      </c>
      <c r="K13">
        <v>0.24282100000000001</v>
      </c>
    </row>
    <row r="14" spans="1:11" x14ac:dyDescent="0.55000000000000004">
      <c r="A14" t="s">
        <v>390</v>
      </c>
      <c r="B14">
        <v>13</v>
      </c>
      <c r="C14">
        <v>230</v>
      </c>
      <c r="D14" t="s">
        <v>377</v>
      </c>
      <c r="E14" t="s">
        <v>372</v>
      </c>
      <c r="F14">
        <v>-122.429605</v>
      </c>
      <c r="G14">
        <v>53.020437999999999</v>
      </c>
      <c r="H14">
        <v>677</v>
      </c>
      <c r="I14">
        <v>3.372E-3</v>
      </c>
      <c r="J14">
        <v>0.13328899999999999</v>
      </c>
      <c r="K14">
        <v>0.14936099999999999</v>
      </c>
    </row>
    <row r="15" spans="1:11" x14ac:dyDescent="0.55000000000000004">
      <c r="A15" t="s">
        <v>391</v>
      </c>
      <c r="B15">
        <v>14</v>
      </c>
      <c r="C15">
        <v>230</v>
      </c>
      <c r="D15" t="s">
        <v>377</v>
      </c>
      <c r="E15" t="s">
        <v>372</v>
      </c>
      <c r="F15">
        <v>-120.446507</v>
      </c>
      <c r="G15">
        <v>55.763714</v>
      </c>
      <c r="H15">
        <v>798</v>
      </c>
      <c r="I15">
        <v>3.3409999999999998E-3</v>
      </c>
      <c r="J15">
        <v>0.12562999999999999</v>
      </c>
      <c r="K15">
        <v>0.24294299999999999</v>
      </c>
    </row>
    <row r="16" spans="1:11" x14ac:dyDescent="0.55000000000000004">
      <c r="A16" t="s">
        <v>392</v>
      </c>
      <c r="B16">
        <v>15</v>
      </c>
      <c r="C16">
        <v>230</v>
      </c>
      <c r="D16" t="s">
        <v>377</v>
      </c>
      <c r="E16" t="s">
        <v>372</v>
      </c>
      <c r="F16">
        <v>-122.900721</v>
      </c>
      <c r="G16">
        <v>49.262112999999999</v>
      </c>
      <c r="H16">
        <v>126</v>
      </c>
      <c r="I16">
        <v>1.5035E-2</v>
      </c>
      <c r="J16">
        <v>0.12825800000000001</v>
      </c>
      <c r="K16">
        <v>7.0947999999999997E-2</v>
      </c>
    </row>
    <row r="17" spans="1:11" x14ac:dyDescent="0.55000000000000004">
      <c r="A17" t="s">
        <v>393</v>
      </c>
      <c r="B17">
        <v>16</v>
      </c>
      <c r="C17">
        <v>230</v>
      </c>
      <c r="D17" t="s">
        <v>377</v>
      </c>
      <c r="E17" t="s">
        <v>372</v>
      </c>
      <c r="F17">
        <v>-123.443713</v>
      </c>
      <c r="G17">
        <v>48.460625999999998</v>
      </c>
      <c r="H17">
        <v>8</v>
      </c>
      <c r="I17">
        <v>7.1729999999999997E-3</v>
      </c>
      <c r="J17">
        <v>0.137296</v>
      </c>
      <c r="K17">
        <v>0.14465600000000001</v>
      </c>
    </row>
    <row r="18" spans="1:11" x14ac:dyDescent="0.55000000000000004">
      <c r="A18" t="s">
        <v>394</v>
      </c>
      <c r="B18">
        <v>17</v>
      </c>
      <c r="C18">
        <v>287</v>
      </c>
      <c r="D18" t="s">
        <v>377</v>
      </c>
      <c r="E18" t="s">
        <v>372</v>
      </c>
      <c r="F18">
        <v>-130.26555300000001</v>
      </c>
      <c r="G18">
        <v>56.940263999999999</v>
      </c>
      <c r="H18">
        <v>643</v>
      </c>
      <c r="I18">
        <v>3.431E-3</v>
      </c>
      <c r="J18">
        <v>0.118383</v>
      </c>
      <c r="K18">
        <v>6.2333E-2</v>
      </c>
    </row>
    <row r="19" spans="1:11" x14ac:dyDescent="0.55000000000000004">
      <c r="A19" t="s">
        <v>395</v>
      </c>
      <c r="B19">
        <v>18</v>
      </c>
      <c r="C19">
        <v>230</v>
      </c>
      <c r="D19" t="s">
        <v>377</v>
      </c>
      <c r="E19" t="s">
        <v>373</v>
      </c>
      <c r="F19">
        <v>-122.240038</v>
      </c>
      <c r="G19">
        <v>50.729849999999999</v>
      </c>
      <c r="H19">
        <v>303</v>
      </c>
      <c r="I19">
        <v>3.0869999999999999E-3</v>
      </c>
      <c r="J19">
        <v>0.14859</v>
      </c>
      <c r="K19">
        <v>5.1989E-2</v>
      </c>
    </row>
    <row r="20" spans="1:11" x14ac:dyDescent="0.55000000000000004">
      <c r="A20" t="s">
        <v>396</v>
      </c>
      <c r="B20">
        <v>19</v>
      </c>
      <c r="C20">
        <v>360</v>
      </c>
      <c r="D20" t="s">
        <v>377</v>
      </c>
      <c r="E20" t="s">
        <v>373</v>
      </c>
      <c r="F20">
        <v>-122.240038</v>
      </c>
      <c r="G20">
        <v>50.729849999999999</v>
      </c>
      <c r="H20">
        <v>303</v>
      </c>
      <c r="I20">
        <v>4.8320000000000004E-3</v>
      </c>
      <c r="J20">
        <v>0.14859</v>
      </c>
      <c r="K20">
        <v>5.1989E-2</v>
      </c>
    </row>
    <row r="21" spans="1:11" x14ac:dyDescent="0.55000000000000004">
      <c r="A21" t="s">
        <v>397</v>
      </c>
      <c r="B21">
        <v>20</v>
      </c>
      <c r="C21">
        <v>230</v>
      </c>
      <c r="D21" t="s">
        <v>377</v>
      </c>
      <c r="E21" t="s">
        <v>388</v>
      </c>
      <c r="F21">
        <v>-122.25233</v>
      </c>
      <c r="G21">
        <v>50.725619999999999</v>
      </c>
      <c r="H21">
        <v>402</v>
      </c>
      <c r="I21">
        <v>3.0869999999999999E-3</v>
      </c>
      <c r="J21">
        <v>0.14865300000000001</v>
      </c>
      <c r="K21">
        <v>5.1452999999999999E-2</v>
      </c>
    </row>
    <row r="22" spans="1:11" x14ac:dyDescent="0.55000000000000004">
      <c r="A22" t="s">
        <v>398</v>
      </c>
      <c r="B22">
        <v>21</v>
      </c>
      <c r="C22">
        <v>230</v>
      </c>
      <c r="D22" t="s">
        <v>377</v>
      </c>
      <c r="E22" t="s">
        <v>373</v>
      </c>
      <c r="F22">
        <v>-117.619793</v>
      </c>
      <c r="G22">
        <v>49.323118000000001</v>
      </c>
      <c r="H22">
        <v>514</v>
      </c>
      <c r="I22">
        <v>3.3630000000000001E-3</v>
      </c>
      <c r="J22">
        <v>0.14935599999999999</v>
      </c>
      <c r="K22">
        <v>3.4012000000000001E-2</v>
      </c>
    </row>
    <row r="23" spans="1:11" x14ac:dyDescent="0.55000000000000004">
      <c r="A23" t="s">
        <v>399</v>
      </c>
      <c r="B23">
        <v>22</v>
      </c>
      <c r="C23">
        <v>230</v>
      </c>
      <c r="D23" t="s">
        <v>377</v>
      </c>
      <c r="E23" t="s">
        <v>388</v>
      </c>
      <c r="F23">
        <v>-122.89082500000001</v>
      </c>
      <c r="G23">
        <v>49.299059</v>
      </c>
      <c r="H23">
        <v>20</v>
      </c>
      <c r="I23">
        <v>1.5035E-2</v>
      </c>
      <c r="J23">
        <v>0.12764700000000001</v>
      </c>
      <c r="K23">
        <v>6.7534999999999998E-2</v>
      </c>
    </row>
    <row r="24" spans="1:11" x14ac:dyDescent="0.55000000000000004">
      <c r="A24" t="s">
        <v>400</v>
      </c>
      <c r="B24">
        <v>23</v>
      </c>
      <c r="C24">
        <v>230</v>
      </c>
      <c r="D24" t="s">
        <v>377</v>
      </c>
      <c r="E24" t="s">
        <v>388</v>
      </c>
      <c r="F24">
        <v>-117.612786</v>
      </c>
      <c r="G24">
        <v>49.321964000000001</v>
      </c>
      <c r="H24">
        <v>584</v>
      </c>
      <c r="I24">
        <v>3.3630000000000001E-3</v>
      </c>
      <c r="J24">
        <v>0.14935599999999999</v>
      </c>
      <c r="K24">
        <v>3.4012000000000001E-2</v>
      </c>
    </row>
    <row r="25" spans="1:11" x14ac:dyDescent="0.55000000000000004">
      <c r="A25" t="s">
        <v>401</v>
      </c>
      <c r="B25">
        <v>24</v>
      </c>
      <c r="C25">
        <v>230</v>
      </c>
      <c r="D25" t="s">
        <v>377</v>
      </c>
      <c r="E25" t="s">
        <v>372</v>
      </c>
      <c r="F25">
        <v>-123.063075</v>
      </c>
      <c r="G25">
        <v>49.190897999999997</v>
      </c>
      <c r="H25">
        <v>2</v>
      </c>
      <c r="I25">
        <v>1.5035E-2</v>
      </c>
      <c r="J25">
        <v>0.130162</v>
      </c>
      <c r="K25">
        <v>7.7567999999999998E-2</v>
      </c>
    </row>
    <row r="26" spans="1:11" x14ac:dyDescent="0.55000000000000004">
      <c r="A26" t="s">
        <v>402</v>
      </c>
      <c r="B26">
        <v>25</v>
      </c>
      <c r="C26">
        <v>230</v>
      </c>
      <c r="D26" t="s">
        <v>377</v>
      </c>
      <c r="E26" t="s">
        <v>374</v>
      </c>
      <c r="F26">
        <v>-123.063159</v>
      </c>
      <c r="G26">
        <v>49.190119000000003</v>
      </c>
      <c r="H26">
        <v>2</v>
      </c>
      <c r="I26">
        <v>1.5035E-2</v>
      </c>
      <c r="J26">
        <v>0.13017599999999999</v>
      </c>
      <c r="K26">
        <v>7.7646999999999994E-2</v>
      </c>
    </row>
    <row r="27" spans="1:11" x14ac:dyDescent="0.55000000000000004">
      <c r="A27" t="s">
        <v>403</v>
      </c>
      <c r="B27">
        <v>26</v>
      </c>
      <c r="C27">
        <v>230</v>
      </c>
      <c r="D27" t="s">
        <v>377</v>
      </c>
      <c r="E27" t="s">
        <v>372</v>
      </c>
      <c r="F27">
        <v>-115.58048700000001</v>
      </c>
      <c r="G27">
        <v>49.500543</v>
      </c>
      <c r="H27">
        <v>825</v>
      </c>
      <c r="I27">
        <v>3.434E-3</v>
      </c>
      <c r="J27">
        <v>0.16608300000000001</v>
      </c>
      <c r="K27">
        <v>8.1028000000000003E-2</v>
      </c>
    </row>
    <row r="28" spans="1:11" x14ac:dyDescent="0.55000000000000004">
      <c r="A28" t="s">
        <v>404</v>
      </c>
      <c r="B28">
        <v>27</v>
      </c>
      <c r="C28">
        <v>230</v>
      </c>
      <c r="D28" t="s">
        <v>377</v>
      </c>
      <c r="E28" t="s">
        <v>372</v>
      </c>
      <c r="F28">
        <v>-122.29709800000001</v>
      </c>
      <c r="G28">
        <v>49.069045000000003</v>
      </c>
      <c r="H28">
        <v>96</v>
      </c>
      <c r="I28">
        <v>6.4939999999999998E-3</v>
      </c>
      <c r="J28">
        <v>0.13123299999999999</v>
      </c>
      <c r="K28">
        <v>8.9179999999999995E-2</v>
      </c>
    </row>
    <row r="29" spans="1:11" x14ac:dyDescent="0.55000000000000004">
      <c r="A29" t="s">
        <v>405</v>
      </c>
      <c r="B29">
        <v>28</v>
      </c>
      <c r="C29">
        <v>500</v>
      </c>
      <c r="D29" t="s">
        <v>377</v>
      </c>
      <c r="E29" t="s">
        <v>388</v>
      </c>
      <c r="F29">
        <v>-124.20369700000001</v>
      </c>
      <c r="G29">
        <v>49.674146</v>
      </c>
      <c r="H29">
        <v>40</v>
      </c>
      <c r="I29">
        <v>5.6039999999999996E-3</v>
      </c>
      <c r="J29">
        <v>0.130276</v>
      </c>
      <c r="K29">
        <v>7.9094999999999999E-2</v>
      </c>
    </row>
    <row r="30" spans="1:11" x14ac:dyDescent="0.55000000000000004">
      <c r="A30" t="s">
        <v>406</v>
      </c>
      <c r="B30">
        <v>29</v>
      </c>
      <c r="C30">
        <v>230</v>
      </c>
      <c r="D30" t="s">
        <v>377</v>
      </c>
      <c r="E30" t="s">
        <v>372</v>
      </c>
      <c r="F30">
        <v>-123.160951</v>
      </c>
      <c r="G30">
        <v>49.790165999999999</v>
      </c>
      <c r="H30">
        <v>44</v>
      </c>
      <c r="I30">
        <v>3.0869999999999999E-3</v>
      </c>
      <c r="J30">
        <v>0.13328100000000001</v>
      </c>
      <c r="K30">
        <v>3.7397E-2</v>
      </c>
    </row>
    <row r="31" spans="1:11" x14ac:dyDescent="0.55000000000000004">
      <c r="A31" t="s">
        <v>407</v>
      </c>
      <c r="B31">
        <v>30</v>
      </c>
      <c r="C31">
        <v>230</v>
      </c>
      <c r="D31" t="s">
        <v>377</v>
      </c>
      <c r="E31" t="s">
        <v>373</v>
      </c>
      <c r="F31">
        <v>-123.29098500000001</v>
      </c>
      <c r="G31">
        <v>49.933701999999997</v>
      </c>
      <c r="H31">
        <v>300</v>
      </c>
      <c r="I31">
        <v>3.0869999999999999E-3</v>
      </c>
      <c r="J31">
        <v>0.136098</v>
      </c>
      <c r="K31">
        <v>3.3404999999999997E-2</v>
      </c>
    </row>
    <row r="32" spans="1:11" x14ac:dyDescent="0.55000000000000004">
      <c r="A32" t="s">
        <v>408</v>
      </c>
      <c r="B32">
        <v>31</v>
      </c>
      <c r="C32">
        <v>230</v>
      </c>
      <c r="D32" t="s">
        <v>377</v>
      </c>
      <c r="E32" t="s">
        <v>372</v>
      </c>
      <c r="F32">
        <v>-122.79701300000001</v>
      </c>
      <c r="G32">
        <v>49.262255000000003</v>
      </c>
      <c r="H32">
        <v>35</v>
      </c>
      <c r="I32">
        <v>1.5035E-2</v>
      </c>
      <c r="J32">
        <v>0.12781500000000001</v>
      </c>
      <c r="K32">
        <v>7.1619000000000002E-2</v>
      </c>
    </row>
    <row r="33" spans="1:11" x14ac:dyDescent="0.55000000000000004">
      <c r="A33" t="s">
        <v>409</v>
      </c>
      <c r="B33">
        <v>32</v>
      </c>
      <c r="C33">
        <v>230</v>
      </c>
      <c r="D33" t="s">
        <v>377</v>
      </c>
      <c r="E33" t="s">
        <v>372</v>
      </c>
      <c r="F33">
        <v>-123.197669</v>
      </c>
      <c r="G33">
        <v>49.249426999999997</v>
      </c>
      <c r="H33">
        <v>1</v>
      </c>
      <c r="I33">
        <v>1.5035E-2</v>
      </c>
      <c r="J33">
        <v>0.12978799999999999</v>
      </c>
      <c r="K33">
        <v>7.2908000000000001E-2</v>
      </c>
    </row>
    <row r="34" spans="1:11" x14ac:dyDescent="0.55000000000000004">
      <c r="A34" t="s">
        <v>410</v>
      </c>
      <c r="B34">
        <v>33</v>
      </c>
      <c r="C34">
        <v>230</v>
      </c>
      <c r="D34" t="s">
        <v>377</v>
      </c>
      <c r="E34" t="s">
        <v>372</v>
      </c>
      <c r="F34">
        <v>-123.115545</v>
      </c>
      <c r="G34">
        <v>49.282561000000001</v>
      </c>
      <c r="H34">
        <v>1</v>
      </c>
      <c r="I34">
        <v>1.5035E-2</v>
      </c>
      <c r="J34">
        <v>0.12907399999999999</v>
      </c>
      <c r="K34">
        <v>6.8961999999999996E-2</v>
      </c>
    </row>
    <row r="35" spans="1:11" x14ac:dyDescent="0.55000000000000004">
      <c r="A35" t="s">
        <v>411</v>
      </c>
      <c r="B35">
        <v>34</v>
      </c>
      <c r="C35">
        <v>230</v>
      </c>
      <c r="D35" t="s">
        <v>377</v>
      </c>
      <c r="E35" t="s">
        <v>372</v>
      </c>
      <c r="F35">
        <v>-123.232133</v>
      </c>
      <c r="G35">
        <v>49.356864000000002</v>
      </c>
      <c r="H35">
        <v>267</v>
      </c>
      <c r="I35">
        <v>1.5035E-2</v>
      </c>
      <c r="J35">
        <v>0.12844700000000001</v>
      </c>
      <c r="K35">
        <v>6.4613000000000004E-2</v>
      </c>
    </row>
    <row r="36" spans="1:11" x14ac:dyDescent="0.55000000000000004">
      <c r="A36" t="s">
        <v>412</v>
      </c>
      <c r="B36">
        <v>35</v>
      </c>
      <c r="C36">
        <v>230</v>
      </c>
      <c r="D36" t="s">
        <v>377</v>
      </c>
      <c r="E36" t="s">
        <v>388</v>
      </c>
      <c r="F36">
        <v>-119.446811</v>
      </c>
      <c r="G36">
        <v>49.812052000000001</v>
      </c>
      <c r="H36">
        <v>563</v>
      </c>
      <c r="I36">
        <v>5.5840000000000004E-3</v>
      </c>
      <c r="J36">
        <v>0.149561</v>
      </c>
      <c r="K36">
        <v>0.104854</v>
      </c>
    </row>
    <row r="37" spans="1:11" x14ac:dyDescent="0.55000000000000004">
      <c r="A37" t="s">
        <v>413</v>
      </c>
      <c r="B37">
        <v>36</v>
      </c>
      <c r="C37">
        <v>230</v>
      </c>
      <c r="D37" t="s">
        <v>377</v>
      </c>
      <c r="E37" t="s">
        <v>372</v>
      </c>
      <c r="F37">
        <v>-122.149231</v>
      </c>
      <c r="G37">
        <v>55.823041000000003</v>
      </c>
      <c r="H37">
        <v>832</v>
      </c>
      <c r="I37">
        <v>3.3409999999999998E-3</v>
      </c>
      <c r="J37">
        <v>0.12227499999999999</v>
      </c>
      <c r="K37">
        <v>0.20877899999999999</v>
      </c>
    </row>
    <row r="38" spans="1:11" x14ac:dyDescent="0.55000000000000004">
      <c r="A38" t="s">
        <v>414</v>
      </c>
      <c r="B38">
        <v>37</v>
      </c>
      <c r="C38">
        <v>230</v>
      </c>
      <c r="D38" t="s">
        <v>377</v>
      </c>
      <c r="E38" t="s">
        <v>373</v>
      </c>
      <c r="F38">
        <v>-122.22692499999999</v>
      </c>
      <c r="G38">
        <v>55.781694000000002</v>
      </c>
      <c r="H38">
        <v>766</v>
      </c>
      <c r="I38">
        <v>3.3409999999999998E-3</v>
      </c>
      <c r="J38">
        <v>0.12196799999999999</v>
      </c>
      <c r="K38">
        <v>0.205397</v>
      </c>
    </row>
    <row r="39" spans="1:11" x14ac:dyDescent="0.55000000000000004">
      <c r="A39" t="s">
        <v>415</v>
      </c>
      <c r="B39">
        <v>38</v>
      </c>
      <c r="C39">
        <v>230</v>
      </c>
      <c r="D39" t="s">
        <v>377</v>
      </c>
      <c r="E39" t="s">
        <v>372</v>
      </c>
      <c r="F39">
        <v>-124.671575</v>
      </c>
      <c r="G39">
        <v>49.392836000000003</v>
      </c>
      <c r="H39">
        <v>95</v>
      </c>
      <c r="I39">
        <v>5.0220000000000004E-3</v>
      </c>
      <c r="J39">
        <v>0.13058600000000001</v>
      </c>
      <c r="K39">
        <v>0.10414</v>
      </c>
    </row>
    <row r="40" spans="1:11" x14ac:dyDescent="0.55000000000000004">
      <c r="A40" t="s">
        <v>416</v>
      </c>
      <c r="B40">
        <v>39</v>
      </c>
      <c r="C40">
        <v>230</v>
      </c>
      <c r="D40" t="s">
        <v>377</v>
      </c>
      <c r="E40" t="s">
        <v>388</v>
      </c>
      <c r="F40">
        <v>-123.089175</v>
      </c>
      <c r="G40">
        <v>49.007877000000001</v>
      </c>
      <c r="H40">
        <v>60</v>
      </c>
      <c r="I40">
        <v>1.5035E-2</v>
      </c>
      <c r="J40">
        <v>0.13336700000000001</v>
      </c>
      <c r="K40">
        <v>9.8279000000000005E-2</v>
      </c>
    </row>
    <row r="41" spans="1:11" x14ac:dyDescent="0.55000000000000004">
      <c r="A41" t="s">
        <v>417</v>
      </c>
      <c r="B41">
        <v>40</v>
      </c>
      <c r="C41">
        <v>230</v>
      </c>
      <c r="D41" t="s">
        <v>377</v>
      </c>
      <c r="E41" t="s">
        <v>372</v>
      </c>
      <c r="F41">
        <v>-123.443729</v>
      </c>
      <c r="G41">
        <v>48.460636000000001</v>
      </c>
      <c r="H41">
        <v>8</v>
      </c>
      <c r="I41">
        <v>7.1729999999999997E-3</v>
      </c>
      <c r="J41">
        <v>0.137296</v>
      </c>
      <c r="K41">
        <v>0.14465700000000001</v>
      </c>
    </row>
    <row r="42" spans="1:11" x14ac:dyDescent="0.55000000000000004">
      <c r="A42" t="s">
        <v>418</v>
      </c>
      <c r="B42">
        <v>41</v>
      </c>
      <c r="C42">
        <v>230</v>
      </c>
      <c r="D42" t="s">
        <v>377</v>
      </c>
      <c r="E42" t="s">
        <v>373</v>
      </c>
      <c r="F42">
        <v>-123.96027599999999</v>
      </c>
      <c r="G42">
        <v>50.675080999999999</v>
      </c>
      <c r="H42">
        <v>199</v>
      </c>
      <c r="I42">
        <v>2.1940000000000002E-3</v>
      </c>
      <c r="J42">
        <v>0.14744199999999999</v>
      </c>
      <c r="K42">
        <v>3.6097999999999998E-2</v>
      </c>
    </row>
    <row r="43" spans="1:11" x14ac:dyDescent="0.55000000000000004">
      <c r="A43" t="s">
        <v>419</v>
      </c>
      <c r="B43">
        <v>42</v>
      </c>
      <c r="C43">
        <v>287</v>
      </c>
      <c r="D43" t="s">
        <v>377</v>
      </c>
      <c r="E43" t="s">
        <v>375</v>
      </c>
      <c r="F43">
        <v>-128.69976399999999</v>
      </c>
      <c r="G43">
        <v>54.041269999999997</v>
      </c>
      <c r="H43">
        <v>107</v>
      </c>
      <c r="I43">
        <v>3.431E-3</v>
      </c>
      <c r="J43">
        <v>0.111926</v>
      </c>
      <c r="K43">
        <v>0.10147100000000001</v>
      </c>
    </row>
    <row r="44" spans="1:11" x14ac:dyDescent="0.55000000000000004">
      <c r="A44" t="s">
        <v>420</v>
      </c>
      <c r="B44">
        <v>43</v>
      </c>
      <c r="C44">
        <v>230</v>
      </c>
      <c r="D44" t="s">
        <v>377</v>
      </c>
      <c r="E44" t="s">
        <v>372</v>
      </c>
      <c r="F44">
        <v>-123.034464</v>
      </c>
      <c r="G44">
        <v>50.090403999999999</v>
      </c>
      <c r="H44">
        <v>617</v>
      </c>
      <c r="I44">
        <v>3.0869999999999999E-3</v>
      </c>
      <c r="J44">
        <v>0.14158999999999999</v>
      </c>
      <c r="K44">
        <v>2.9232000000000001E-2</v>
      </c>
    </row>
    <row r="45" spans="1:11" x14ac:dyDescent="0.55000000000000004">
      <c r="A45" t="s">
        <v>421</v>
      </c>
      <c r="B45">
        <v>44</v>
      </c>
      <c r="C45">
        <v>287</v>
      </c>
      <c r="D45" t="s">
        <v>377</v>
      </c>
      <c r="E45" t="s">
        <v>373</v>
      </c>
      <c r="F45">
        <v>-130.68590800000001</v>
      </c>
      <c r="G45">
        <v>56.711854000000002</v>
      </c>
      <c r="H45">
        <v>205</v>
      </c>
      <c r="I45">
        <v>3.431E-3</v>
      </c>
      <c r="J45">
        <v>0.11148</v>
      </c>
      <c r="K45">
        <v>4.9044999999999998E-2</v>
      </c>
    </row>
    <row r="46" spans="1:11" x14ac:dyDescent="0.55000000000000004">
      <c r="A46" t="s">
        <v>422</v>
      </c>
      <c r="B46">
        <v>45</v>
      </c>
      <c r="C46">
        <v>230</v>
      </c>
      <c r="D46" t="s">
        <v>377</v>
      </c>
      <c r="E46" t="s">
        <v>372</v>
      </c>
      <c r="F46">
        <v>-122.787696</v>
      </c>
      <c r="G46">
        <v>49.137377000000001</v>
      </c>
      <c r="H46">
        <v>20</v>
      </c>
      <c r="I46">
        <v>1.5035E-2</v>
      </c>
      <c r="J46">
        <v>0.12990599999999999</v>
      </c>
      <c r="K46">
        <v>8.5629999999999998E-2</v>
      </c>
    </row>
    <row r="47" spans="1:11" x14ac:dyDescent="0.55000000000000004">
      <c r="A47" t="s">
        <v>423</v>
      </c>
      <c r="B47">
        <v>46</v>
      </c>
      <c r="C47">
        <v>230</v>
      </c>
      <c r="D47" t="s">
        <v>377</v>
      </c>
      <c r="E47" t="s">
        <v>372</v>
      </c>
      <c r="F47">
        <v>-126.064258</v>
      </c>
      <c r="G47">
        <v>49.789185000000003</v>
      </c>
      <c r="H47">
        <v>130</v>
      </c>
      <c r="I47">
        <v>3.029E-3</v>
      </c>
      <c r="J47">
        <v>0.12706700000000001</v>
      </c>
      <c r="K47">
        <v>0.13925100000000001</v>
      </c>
    </row>
    <row r="48" spans="1:11" x14ac:dyDescent="0.55000000000000004">
      <c r="A48" t="s">
        <v>424</v>
      </c>
      <c r="B48">
        <v>47</v>
      </c>
      <c r="C48">
        <v>230</v>
      </c>
      <c r="D48" t="s">
        <v>377</v>
      </c>
      <c r="E48" t="s">
        <v>372</v>
      </c>
      <c r="F48">
        <v>-125.01571800000001</v>
      </c>
      <c r="G48">
        <v>54.074357999999997</v>
      </c>
      <c r="H48">
        <v>752</v>
      </c>
      <c r="I48">
        <v>2.748E-3</v>
      </c>
      <c r="J48">
        <v>0.12606700000000001</v>
      </c>
      <c r="K48">
        <v>0.158862</v>
      </c>
    </row>
    <row r="49" spans="1:11" x14ac:dyDescent="0.55000000000000004">
      <c r="A49" t="s">
        <v>425</v>
      </c>
      <c r="B49">
        <v>48</v>
      </c>
      <c r="C49">
        <v>230</v>
      </c>
      <c r="D49" t="s">
        <v>377</v>
      </c>
      <c r="E49" t="s">
        <v>373</v>
      </c>
      <c r="F49">
        <v>-122.197188</v>
      </c>
      <c r="G49">
        <v>56.013886999999997</v>
      </c>
      <c r="H49">
        <v>658</v>
      </c>
      <c r="I49">
        <v>3.3409999999999998E-3</v>
      </c>
      <c r="J49">
        <v>0.123694</v>
      </c>
      <c r="K49">
        <v>0.20358699999999999</v>
      </c>
    </row>
    <row r="50" spans="1:11" x14ac:dyDescent="0.55000000000000004">
      <c r="A50" t="s">
        <v>426</v>
      </c>
      <c r="B50">
        <v>49</v>
      </c>
      <c r="C50">
        <v>230</v>
      </c>
      <c r="D50" t="s">
        <v>377</v>
      </c>
      <c r="E50" t="s">
        <v>372</v>
      </c>
      <c r="F50">
        <v>-123.421097</v>
      </c>
      <c r="G50">
        <v>48.490141000000001</v>
      </c>
      <c r="H50">
        <v>30</v>
      </c>
      <c r="I50">
        <v>7.1729999999999997E-3</v>
      </c>
      <c r="J50">
        <v>0.13708200000000001</v>
      </c>
      <c r="K50">
        <v>0.148065</v>
      </c>
    </row>
    <row r="51" spans="1:11" x14ac:dyDescent="0.55000000000000004">
      <c r="A51" t="s">
        <v>427</v>
      </c>
      <c r="B51">
        <v>50</v>
      </c>
      <c r="C51">
        <v>230</v>
      </c>
      <c r="D51" t="s">
        <v>377</v>
      </c>
      <c r="E51" t="s">
        <v>372</v>
      </c>
      <c r="F51">
        <v>-123.35995200000001</v>
      </c>
      <c r="G51">
        <v>48.473830999999997</v>
      </c>
      <c r="H51">
        <v>13</v>
      </c>
      <c r="I51">
        <v>7.1729999999999997E-3</v>
      </c>
      <c r="J51">
        <v>0.13741800000000001</v>
      </c>
      <c r="K51">
        <v>0.14937600000000001</v>
      </c>
    </row>
    <row r="52" spans="1:11" x14ac:dyDescent="0.55000000000000004">
      <c r="A52" t="s">
        <v>428</v>
      </c>
      <c r="B52">
        <v>51</v>
      </c>
      <c r="C52">
        <v>230</v>
      </c>
      <c r="D52" t="s">
        <v>377</v>
      </c>
      <c r="E52" t="s">
        <v>388</v>
      </c>
      <c r="F52">
        <v>-122.931629</v>
      </c>
      <c r="G52">
        <v>49.236823999999999</v>
      </c>
      <c r="H52">
        <v>98</v>
      </c>
      <c r="I52">
        <v>1.5035E-2</v>
      </c>
      <c r="J52">
        <v>0.12879699999999999</v>
      </c>
      <c r="K52">
        <v>7.3288000000000006E-2</v>
      </c>
    </row>
    <row r="53" spans="1:11" x14ac:dyDescent="0.55000000000000004">
      <c r="A53" t="s">
        <v>429</v>
      </c>
      <c r="B53">
        <v>52</v>
      </c>
      <c r="C53">
        <v>230</v>
      </c>
      <c r="D53" t="s">
        <v>377</v>
      </c>
      <c r="E53" t="s">
        <v>372</v>
      </c>
      <c r="F53">
        <v>-121.28483</v>
      </c>
      <c r="G53">
        <v>51.657460999999998</v>
      </c>
      <c r="H53">
        <v>931</v>
      </c>
      <c r="I53">
        <v>3.372E-3</v>
      </c>
      <c r="J53">
        <v>0.13863800000000001</v>
      </c>
      <c r="K53">
        <v>0.18446000000000001</v>
      </c>
    </row>
    <row r="54" spans="1:11" x14ac:dyDescent="0.55000000000000004">
      <c r="A54" t="s">
        <v>430</v>
      </c>
      <c r="B54">
        <v>53</v>
      </c>
      <c r="C54">
        <v>230</v>
      </c>
      <c r="D54" t="s">
        <v>377</v>
      </c>
      <c r="E54" t="s">
        <v>372</v>
      </c>
      <c r="F54">
        <v>-123.01794200000001</v>
      </c>
      <c r="G54">
        <v>49.266801999999998</v>
      </c>
      <c r="H54">
        <v>50</v>
      </c>
      <c r="I54">
        <v>1.5035E-2</v>
      </c>
      <c r="J54">
        <v>0.12876599999999999</v>
      </c>
      <c r="K54">
        <v>7.0219000000000004E-2</v>
      </c>
    </row>
    <row r="55" spans="1:11" x14ac:dyDescent="0.55000000000000004">
      <c r="A55" t="s">
        <v>431</v>
      </c>
      <c r="B55">
        <v>54</v>
      </c>
      <c r="C55">
        <v>230</v>
      </c>
      <c r="D55" t="s">
        <v>377</v>
      </c>
      <c r="E55" t="s">
        <v>375</v>
      </c>
      <c r="F55">
        <v>-123.48997799999999</v>
      </c>
      <c r="G55">
        <v>49.523648999999999</v>
      </c>
      <c r="H55">
        <v>18</v>
      </c>
      <c r="I55">
        <v>2.578E-3</v>
      </c>
      <c r="J55">
        <v>0.12825300000000001</v>
      </c>
      <c r="K55">
        <v>6.0079E-2</v>
      </c>
    </row>
    <row r="56" spans="1:11" x14ac:dyDescent="0.55000000000000004">
      <c r="A56" t="s">
        <v>432</v>
      </c>
      <c r="B56">
        <v>55</v>
      </c>
      <c r="C56">
        <v>230</v>
      </c>
      <c r="D56" t="s">
        <v>377</v>
      </c>
      <c r="E56" t="s">
        <v>372</v>
      </c>
      <c r="F56">
        <v>-123.36653200000001</v>
      </c>
      <c r="G56">
        <v>48.442601000000003</v>
      </c>
      <c r="H56">
        <v>1</v>
      </c>
      <c r="I56">
        <v>7.1729999999999997E-3</v>
      </c>
      <c r="J56">
        <v>0.13772899999999999</v>
      </c>
      <c r="K56">
        <v>0.14613399999999999</v>
      </c>
    </row>
    <row r="57" spans="1:11" x14ac:dyDescent="0.55000000000000004">
      <c r="A57" t="s">
        <v>433</v>
      </c>
      <c r="B57">
        <v>56</v>
      </c>
      <c r="C57">
        <v>230</v>
      </c>
      <c r="D57" t="s">
        <v>377</v>
      </c>
      <c r="E57" t="s">
        <v>372</v>
      </c>
      <c r="F57">
        <v>-123.95084900000001</v>
      </c>
      <c r="G57">
        <v>49.122453</v>
      </c>
      <c r="H57">
        <v>156</v>
      </c>
      <c r="I57">
        <v>5.0220000000000004E-3</v>
      </c>
      <c r="J57">
        <v>0.13145200000000001</v>
      </c>
      <c r="K57">
        <v>0.102728</v>
      </c>
    </row>
    <row r="58" spans="1:11" x14ac:dyDescent="0.55000000000000004">
      <c r="A58" t="s">
        <v>434</v>
      </c>
      <c r="B58">
        <v>57</v>
      </c>
      <c r="C58">
        <v>230</v>
      </c>
      <c r="D58" t="s">
        <v>377</v>
      </c>
      <c r="E58" t="s">
        <v>374</v>
      </c>
      <c r="F58">
        <v>-124.076337</v>
      </c>
      <c r="G58">
        <v>49.083793</v>
      </c>
      <c r="H58">
        <v>292</v>
      </c>
      <c r="I58">
        <v>5.0220000000000004E-3</v>
      </c>
      <c r="J58">
        <v>0.13048299999999999</v>
      </c>
      <c r="K58">
        <v>0.106335</v>
      </c>
    </row>
    <row r="59" spans="1:11" x14ac:dyDescent="0.55000000000000004">
      <c r="A59" t="s">
        <v>435</v>
      </c>
      <c r="B59">
        <v>58</v>
      </c>
      <c r="C59">
        <v>230</v>
      </c>
      <c r="D59" t="s">
        <v>377</v>
      </c>
      <c r="E59" t="s">
        <v>372</v>
      </c>
      <c r="F59">
        <v>-118.204474</v>
      </c>
      <c r="G59">
        <v>50.985678999999998</v>
      </c>
      <c r="H59">
        <v>384</v>
      </c>
      <c r="I59">
        <v>3.241E-3</v>
      </c>
      <c r="J59">
        <v>0.15426699999999999</v>
      </c>
      <c r="K59">
        <v>2.0917000000000002E-2</v>
      </c>
    </row>
    <row r="60" spans="1:11" x14ac:dyDescent="0.55000000000000004">
      <c r="A60" t="s">
        <v>436</v>
      </c>
      <c r="B60">
        <v>59</v>
      </c>
      <c r="C60">
        <v>230</v>
      </c>
      <c r="D60" t="s">
        <v>377</v>
      </c>
      <c r="E60" t="s">
        <v>372</v>
      </c>
      <c r="F60">
        <v>-122.873948</v>
      </c>
      <c r="G60">
        <v>49.158898000000001</v>
      </c>
      <c r="H60">
        <v>13</v>
      </c>
      <c r="I60">
        <v>1.5035E-2</v>
      </c>
      <c r="J60">
        <v>0.129828</v>
      </c>
      <c r="K60">
        <v>8.2031999999999994E-2</v>
      </c>
    </row>
    <row r="61" spans="1:11" x14ac:dyDescent="0.55000000000000004">
      <c r="A61" t="s">
        <v>437</v>
      </c>
      <c r="B61">
        <v>60</v>
      </c>
      <c r="C61">
        <v>230</v>
      </c>
      <c r="D61" t="s">
        <v>377</v>
      </c>
      <c r="E61" t="s">
        <v>372</v>
      </c>
      <c r="F61">
        <v>-116.117825</v>
      </c>
      <c r="G61">
        <v>50.495097999999999</v>
      </c>
      <c r="H61">
        <v>976</v>
      </c>
      <c r="I61">
        <v>3.434E-3</v>
      </c>
      <c r="J61">
        <v>0.164157</v>
      </c>
      <c r="K61">
        <v>3.6065E-2</v>
      </c>
    </row>
    <row r="62" spans="1:11" x14ac:dyDescent="0.55000000000000004">
      <c r="A62" t="s">
        <v>438</v>
      </c>
      <c r="B62">
        <v>61</v>
      </c>
      <c r="C62">
        <v>230</v>
      </c>
      <c r="D62" t="s">
        <v>377</v>
      </c>
      <c r="E62" t="s">
        <v>373</v>
      </c>
      <c r="F62">
        <v>-124.024891</v>
      </c>
      <c r="G62">
        <v>50.604008</v>
      </c>
      <c r="H62">
        <v>205</v>
      </c>
      <c r="I62">
        <v>2.1940000000000002E-3</v>
      </c>
      <c r="J62">
        <v>0.14514099999999999</v>
      </c>
      <c r="K62">
        <v>3.1202000000000001E-2</v>
      </c>
    </row>
    <row r="63" spans="1:11" x14ac:dyDescent="0.55000000000000004">
      <c r="A63" t="s">
        <v>439</v>
      </c>
      <c r="B63">
        <v>62</v>
      </c>
      <c r="C63">
        <v>500</v>
      </c>
      <c r="D63" t="s">
        <v>377</v>
      </c>
      <c r="E63" t="s">
        <v>373</v>
      </c>
      <c r="F63">
        <v>-121.56737200000001</v>
      </c>
      <c r="G63">
        <v>50.105418</v>
      </c>
      <c r="H63">
        <v>204</v>
      </c>
      <c r="I63">
        <v>1.0196999999999999E-2</v>
      </c>
      <c r="J63">
        <v>0.14407500000000001</v>
      </c>
      <c r="K63">
        <v>6.0358000000000002E-2</v>
      </c>
    </row>
    <row r="64" spans="1:11" x14ac:dyDescent="0.55000000000000004">
      <c r="A64" t="s">
        <v>440</v>
      </c>
      <c r="B64">
        <v>63</v>
      </c>
      <c r="C64">
        <v>230</v>
      </c>
      <c r="D64" t="s">
        <v>377</v>
      </c>
      <c r="E64" t="s">
        <v>373</v>
      </c>
      <c r="F64">
        <v>-117.517897</v>
      </c>
      <c r="G64">
        <v>49.453257999999998</v>
      </c>
      <c r="H64">
        <v>460</v>
      </c>
      <c r="I64">
        <v>3.3630000000000001E-3</v>
      </c>
      <c r="J64">
        <v>0.14865</v>
      </c>
      <c r="K64">
        <v>2.6986E-2</v>
      </c>
    </row>
    <row r="65" spans="1:11" x14ac:dyDescent="0.55000000000000004">
      <c r="A65" t="s">
        <v>441</v>
      </c>
      <c r="B65">
        <v>64</v>
      </c>
      <c r="C65">
        <v>230</v>
      </c>
      <c r="D65" t="s">
        <v>377</v>
      </c>
      <c r="E65" t="s">
        <v>372</v>
      </c>
      <c r="F65">
        <v>-122.788399</v>
      </c>
      <c r="G65">
        <v>55.070414999999997</v>
      </c>
      <c r="H65">
        <v>738</v>
      </c>
      <c r="I65">
        <v>4.0080000000000003E-3</v>
      </c>
      <c r="J65">
        <v>0.12492200000000001</v>
      </c>
      <c r="K65">
        <v>0.171679</v>
      </c>
    </row>
    <row r="66" spans="1:11" x14ac:dyDescent="0.55000000000000004">
      <c r="A66" t="s">
        <v>442</v>
      </c>
      <c r="B66">
        <v>65</v>
      </c>
      <c r="C66">
        <v>230</v>
      </c>
      <c r="D66" t="s">
        <v>377</v>
      </c>
      <c r="E66" t="s">
        <v>374</v>
      </c>
      <c r="F66">
        <v>-121.619395</v>
      </c>
      <c r="G66">
        <v>55.501539999999999</v>
      </c>
      <c r="H66">
        <v>586</v>
      </c>
      <c r="I66">
        <v>3.3409999999999998E-3</v>
      </c>
      <c r="J66">
        <v>0.123819</v>
      </c>
      <c r="K66">
        <v>0.25562600000000002</v>
      </c>
    </row>
    <row r="67" spans="1:11" x14ac:dyDescent="0.55000000000000004">
      <c r="A67" t="s">
        <v>443</v>
      </c>
      <c r="B67">
        <v>66</v>
      </c>
      <c r="C67">
        <v>230</v>
      </c>
      <c r="D67" t="s">
        <v>377</v>
      </c>
      <c r="E67" t="s">
        <v>372</v>
      </c>
      <c r="F67">
        <v>-116.99435200000001</v>
      </c>
      <c r="G67">
        <v>51.281768</v>
      </c>
      <c r="H67">
        <v>1057</v>
      </c>
      <c r="I67">
        <v>3.241E-3</v>
      </c>
      <c r="J67">
        <v>0.16361899999999999</v>
      </c>
      <c r="K67">
        <v>2.7892E-2</v>
      </c>
    </row>
    <row r="68" spans="1:11" x14ac:dyDescent="0.55000000000000004">
      <c r="A68" t="s">
        <v>444</v>
      </c>
      <c r="B68">
        <v>67</v>
      </c>
      <c r="C68">
        <v>230</v>
      </c>
      <c r="D68" t="s">
        <v>377</v>
      </c>
      <c r="E68" t="s">
        <v>372</v>
      </c>
      <c r="F68">
        <v>-123.116046</v>
      </c>
      <c r="G68">
        <v>49.205311000000002</v>
      </c>
      <c r="H68">
        <v>1</v>
      </c>
      <c r="I68">
        <v>1.5035E-2</v>
      </c>
      <c r="J68">
        <v>0.13022300000000001</v>
      </c>
      <c r="K68">
        <v>7.6131000000000004E-2</v>
      </c>
    </row>
    <row r="69" spans="1:11" x14ac:dyDescent="0.55000000000000004">
      <c r="A69" t="s">
        <v>445</v>
      </c>
      <c r="B69">
        <v>68</v>
      </c>
      <c r="C69">
        <v>230</v>
      </c>
      <c r="D69" t="s">
        <v>377</v>
      </c>
      <c r="E69" t="s">
        <v>372</v>
      </c>
      <c r="F69">
        <v>-123.115357</v>
      </c>
      <c r="G69">
        <v>49.198157000000002</v>
      </c>
      <c r="H69">
        <v>1</v>
      </c>
      <c r="I69">
        <v>1.5035E-2</v>
      </c>
      <c r="J69">
        <v>0.130329</v>
      </c>
      <c r="K69">
        <v>7.6831999999999998E-2</v>
      </c>
    </row>
    <row r="70" spans="1:11" x14ac:dyDescent="0.55000000000000004">
      <c r="A70" t="s">
        <v>446</v>
      </c>
      <c r="B70">
        <v>69</v>
      </c>
      <c r="C70">
        <v>287</v>
      </c>
      <c r="D70" t="s">
        <v>377</v>
      </c>
      <c r="E70" t="s">
        <v>372</v>
      </c>
      <c r="F70">
        <v>-128.70358400000001</v>
      </c>
      <c r="G70">
        <v>54.009538999999997</v>
      </c>
      <c r="H70">
        <v>125</v>
      </c>
      <c r="I70">
        <v>3.431E-3</v>
      </c>
      <c r="J70">
        <v>0.111926</v>
      </c>
      <c r="K70">
        <v>0.10147100000000001</v>
      </c>
    </row>
    <row r="71" spans="1:11" x14ac:dyDescent="0.55000000000000004">
      <c r="A71" t="s">
        <v>447</v>
      </c>
      <c r="B71">
        <v>70</v>
      </c>
      <c r="C71">
        <v>230</v>
      </c>
      <c r="D71" t="s">
        <v>377</v>
      </c>
      <c r="E71" t="s">
        <v>372</v>
      </c>
      <c r="F71">
        <v>-121.739126</v>
      </c>
      <c r="G71">
        <v>51.024754999999999</v>
      </c>
      <c r="H71">
        <v>1069</v>
      </c>
      <c r="I71">
        <v>4.6909999999999999E-3</v>
      </c>
      <c r="J71">
        <v>0.146647</v>
      </c>
      <c r="K71">
        <v>8.7026000000000006E-2</v>
      </c>
    </row>
    <row r="72" spans="1:11" x14ac:dyDescent="0.55000000000000004">
      <c r="A72" t="s">
        <v>448</v>
      </c>
      <c r="B72">
        <v>71</v>
      </c>
      <c r="C72">
        <v>230</v>
      </c>
      <c r="D72" t="s">
        <v>377</v>
      </c>
      <c r="E72" t="s">
        <v>372</v>
      </c>
      <c r="F72">
        <v>-126.75829</v>
      </c>
      <c r="G72">
        <v>56.994182000000002</v>
      </c>
      <c r="H72">
        <v>1249</v>
      </c>
      <c r="I72">
        <v>3.3409999999999998E-3</v>
      </c>
      <c r="J72">
        <v>0.12818599999999999</v>
      </c>
      <c r="K72">
        <v>0.10569000000000001</v>
      </c>
    </row>
    <row r="73" spans="1:11" x14ac:dyDescent="0.55000000000000004">
      <c r="A73" t="s">
        <v>449</v>
      </c>
      <c r="B73">
        <v>72</v>
      </c>
      <c r="C73">
        <v>287</v>
      </c>
      <c r="D73" t="s">
        <v>377</v>
      </c>
      <c r="E73" t="s">
        <v>373</v>
      </c>
      <c r="F73">
        <v>-127.942556</v>
      </c>
      <c r="G73">
        <v>53.563170999999997</v>
      </c>
      <c r="H73">
        <v>129</v>
      </c>
      <c r="I73">
        <v>3.431E-3</v>
      </c>
      <c r="J73">
        <v>0.119154</v>
      </c>
      <c r="K73">
        <v>0.10297099999999999</v>
      </c>
    </row>
    <row r="74" spans="1:11" x14ac:dyDescent="0.55000000000000004">
      <c r="A74" t="s">
        <v>450</v>
      </c>
      <c r="B74">
        <v>73</v>
      </c>
      <c r="C74">
        <v>287</v>
      </c>
      <c r="D74" t="s">
        <v>377</v>
      </c>
      <c r="E74" t="s">
        <v>375</v>
      </c>
      <c r="F74">
        <v>-128.69287600000001</v>
      </c>
      <c r="G74">
        <v>54.030589999999997</v>
      </c>
      <c r="H74">
        <v>108</v>
      </c>
      <c r="I74">
        <v>3.431E-3</v>
      </c>
      <c r="J74">
        <v>0.111926</v>
      </c>
      <c r="K74">
        <v>0.10147100000000001</v>
      </c>
    </row>
    <row r="75" spans="1:11" x14ac:dyDescent="0.55000000000000004">
      <c r="A75" t="s">
        <v>451</v>
      </c>
      <c r="B75">
        <v>74</v>
      </c>
      <c r="C75">
        <v>230</v>
      </c>
      <c r="D75" t="s">
        <v>377</v>
      </c>
      <c r="E75" t="s">
        <v>372</v>
      </c>
      <c r="F75">
        <v>-123.412041</v>
      </c>
      <c r="G75">
        <v>48.566977999999999</v>
      </c>
      <c r="H75">
        <v>60</v>
      </c>
      <c r="I75">
        <v>7.1729999999999997E-3</v>
      </c>
      <c r="J75">
        <v>0.13650499999999999</v>
      </c>
      <c r="K75">
        <v>0.14099200000000001</v>
      </c>
    </row>
    <row r="76" spans="1:11" x14ac:dyDescent="0.55000000000000004">
      <c r="A76" t="s">
        <v>452</v>
      </c>
      <c r="B76">
        <v>75</v>
      </c>
      <c r="C76">
        <v>230</v>
      </c>
      <c r="D76" t="s">
        <v>377</v>
      </c>
      <c r="E76" t="s">
        <v>373</v>
      </c>
      <c r="F76">
        <v>-121.565045</v>
      </c>
      <c r="G76">
        <v>55.723486999999999</v>
      </c>
      <c r="H76">
        <v>639</v>
      </c>
      <c r="I76">
        <v>3.3409999999999998E-3</v>
      </c>
      <c r="J76">
        <v>0.124004</v>
      </c>
      <c r="K76">
        <v>0.23844499999999999</v>
      </c>
    </row>
    <row r="77" spans="1:11" x14ac:dyDescent="0.55000000000000004">
      <c r="A77" t="s">
        <v>453</v>
      </c>
      <c r="B77">
        <v>76</v>
      </c>
      <c r="C77">
        <v>230</v>
      </c>
      <c r="D77" t="s">
        <v>377</v>
      </c>
      <c r="E77" t="s">
        <v>388</v>
      </c>
      <c r="F77">
        <v>-119.347162</v>
      </c>
      <c r="G77">
        <v>49.906798000000002</v>
      </c>
      <c r="H77">
        <v>594</v>
      </c>
      <c r="I77">
        <v>5.5840000000000004E-3</v>
      </c>
      <c r="J77">
        <v>0.15173700000000001</v>
      </c>
      <c r="K77">
        <v>0.10789899999999999</v>
      </c>
    </row>
    <row r="78" spans="1:11" x14ac:dyDescent="0.55000000000000004">
      <c r="A78" t="s">
        <v>454</v>
      </c>
      <c r="B78">
        <v>77</v>
      </c>
      <c r="C78">
        <v>230</v>
      </c>
      <c r="D78" t="s">
        <v>377</v>
      </c>
      <c r="E78" t="s">
        <v>372</v>
      </c>
      <c r="F78">
        <v>-123.04422599999999</v>
      </c>
      <c r="G78">
        <v>49.328014000000003</v>
      </c>
      <c r="H78">
        <v>115</v>
      </c>
      <c r="I78">
        <v>1.5035E-2</v>
      </c>
      <c r="J78">
        <v>0.12801599999999999</v>
      </c>
      <c r="K78">
        <v>6.4903000000000002E-2</v>
      </c>
    </row>
    <row r="79" spans="1:11" x14ac:dyDescent="0.55000000000000004">
      <c r="A79" t="s">
        <v>455</v>
      </c>
      <c r="B79">
        <v>78</v>
      </c>
      <c r="C79">
        <v>230</v>
      </c>
      <c r="D79" t="s">
        <v>377</v>
      </c>
      <c r="E79" t="s">
        <v>372</v>
      </c>
      <c r="F79">
        <v>-123.079088</v>
      </c>
      <c r="G79">
        <v>49.226829000000002</v>
      </c>
      <c r="H79">
        <v>1</v>
      </c>
      <c r="I79">
        <v>1.5035E-2</v>
      </c>
      <c r="J79">
        <v>0.129688</v>
      </c>
      <c r="K79">
        <v>7.3993000000000003E-2</v>
      </c>
    </row>
    <row r="80" spans="1:11" x14ac:dyDescent="0.55000000000000004">
      <c r="A80" t="s">
        <v>456</v>
      </c>
      <c r="B80">
        <v>79</v>
      </c>
      <c r="C80">
        <v>230</v>
      </c>
      <c r="D80" t="s">
        <v>377</v>
      </c>
      <c r="E80" t="s">
        <v>388</v>
      </c>
      <c r="F80">
        <v>-123.45251500000001</v>
      </c>
      <c r="G80">
        <v>48.863394999999997</v>
      </c>
      <c r="H80">
        <v>9</v>
      </c>
      <c r="I80">
        <v>7.1729999999999997E-3</v>
      </c>
      <c r="J80">
        <v>0.13464400000000001</v>
      </c>
      <c r="K80">
        <v>0.11293</v>
      </c>
    </row>
    <row r="81" spans="1:11" x14ac:dyDescent="0.55000000000000004">
      <c r="A81" t="s">
        <v>457</v>
      </c>
      <c r="B81">
        <v>80</v>
      </c>
      <c r="C81">
        <v>500</v>
      </c>
      <c r="D81" t="s">
        <v>377</v>
      </c>
      <c r="E81" t="s">
        <v>373</v>
      </c>
      <c r="F81">
        <v>-118.570515</v>
      </c>
      <c r="G81">
        <v>52.075871999999997</v>
      </c>
      <c r="H81">
        <v>708</v>
      </c>
      <c r="I81">
        <v>7.0460000000000002E-3</v>
      </c>
      <c r="J81">
        <v>0.15238499999999999</v>
      </c>
      <c r="K81">
        <v>2.4043999999999999E-2</v>
      </c>
    </row>
    <row r="82" spans="1:11" x14ac:dyDescent="0.55000000000000004">
      <c r="A82" t="s">
        <v>458</v>
      </c>
      <c r="B82">
        <v>81</v>
      </c>
      <c r="C82">
        <v>230</v>
      </c>
      <c r="D82" t="s">
        <v>377</v>
      </c>
      <c r="E82" t="s">
        <v>372</v>
      </c>
      <c r="F82">
        <v>-122.80674399999999</v>
      </c>
      <c r="G82">
        <v>49.309694</v>
      </c>
      <c r="H82">
        <v>340</v>
      </c>
      <c r="I82">
        <v>1.5035E-2</v>
      </c>
      <c r="J82">
        <v>0.127108</v>
      </c>
      <c r="K82">
        <v>6.7025000000000001E-2</v>
      </c>
    </row>
    <row r="83" spans="1:11" x14ac:dyDescent="0.55000000000000004">
      <c r="A83" t="s">
        <v>459</v>
      </c>
      <c r="B83">
        <v>82</v>
      </c>
      <c r="C83">
        <v>230</v>
      </c>
      <c r="D83" t="s">
        <v>377</v>
      </c>
      <c r="E83" t="s">
        <v>372</v>
      </c>
      <c r="F83">
        <v>-128.71124699999999</v>
      </c>
      <c r="G83">
        <v>54.033031999999999</v>
      </c>
      <c r="H83">
        <v>129</v>
      </c>
      <c r="I83">
        <v>2.7490000000000001E-3</v>
      </c>
      <c r="J83">
        <v>0.11196299999999999</v>
      </c>
      <c r="K83">
        <v>9.9864999999999995E-2</v>
      </c>
    </row>
    <row r="84" spans="1:11" x14ac:dyDescent="0.55000000000000004">
      <c r="A84" t="s">
        <v>460</v>
      </c>
      <c r="B84">
        <v>83</v>
      </c>
      <c r="C84">
        <v>230</v>
      </c>
      <c r="D84" t="s">
        <v>377</v>
      </c>
      <c r="E84" t="s">
        <v>373</v>
      </c>
      <c r="F84">
        <v>-121.458035</v>
      </c>
      <c r="G84">
        <v>55.284379999999999</v>
      </c>
      <c r="H84">
        <v>1150</v>
      </c>
      <c r="I84">
        <v>3.3409999999999998E-3</v>
      </c>
      <c r="J84">
        <v>0.12454900000000001</v>
      </c>
      <c r="K84">
        <v>0.25108399999999997</v>
      </c>
    </row>
    <row r="85" spans="1:11" x14ac:dyDescent="0.55000000000000004">
      <c r="A85" t="s">
        <v>461</v>
      </c>
      <c r="B85">
        <v>84</v>
      </c>
      <c r="C85">
        <v>230</v>
      </c>
      <c r="D85" t="s">
        <v>377</v>
      </c>
      <c r="E85" t="s">
        <v>462</v>
      </c>
      <c r="F85">
        <v>-121.408552</v>
      </c>
      <c r="G85">
        <v>55.280734000000002</v>
      </c>
      <c r="H85">
        <v>987</v>
      </c>
      <c r="I85">
        <v>3.3409999999999998E-3</v>
      </c>
      <c r="J85">
        <v>0.125032</v>
      </c>
      <c r="K85">
        <v>0.25444899999999998</v>
      </c>
    </row>
    <row r="86" spans="1:11" x14ac:dyDescent="0.55000000000000004">
      <c r="A86" t="s">
        <v>463</v>
      </c>
      <c r="B86">
        <v>85</v>
      </c>
      <c r="C86">
        <v>230</v>
      </c>
      <c r="D86" t="s">
        <v>377</v>
      </c>
      <c r="E86" t="s">
        <v>372</v>
      </c>
      <c r="F86">
        <v>-122.391564</v>
      </c>
      <c r="G86">
        <v>49.068672999999997</v>
      </c>
      <c r="H86">
        <v>63</v>
      </c>
      <c r="I86">
        <v>6.4939999999999998E-3</v>
      </c>
      <c r="J86">
        <v>0.13099</v>
      </c>
      <c r="K86">
        <v>9.4922999999999993E-2</v>
      </c>
    </row>
    <row r="87" spans="1:11" x14ac:dyDescent="0.55000000000000004">
      <c r="A87" t="s">
        <v>464</v>
      </c>
      <c r="B87">
        <v>86</v>
      </c>
      <c r="C87">
        <v>230</v>
      </c>
      <c r="D87" t="s">
        <v>377</v>
      </c>
      <c r="E87" t="s">
        <v>372</v>
      </c>
      <c r="F87">
        <v>-122.68244799999999</v>
      </c>
      <c r="G87">
        <v>49.098956999999999</v>
      </c>
      <c r="H87">
        <v>90</v>
      </c>
      <c r="I87">
        <v>1.5035E-2</v>
      </c>
      <c r="J87">
        <v>0.13036400000000001</v>
      </c>
      <c r="K87">
        <v>9.2492000000000005E-2</v>
      </c>
    </row>
    <row r="88" spans="1:11" x14ac:dyDescent="0.55000000000000004">
      <c r="A88" t="s">
        <v>465</v>
      </c>
      <c r="B88">
        <v>87</v>
      </c>
      <c r="C88">
        <v>230</v>
      </c>
      <c r="D88" t="s">
        <v>377</v>
      </c>
      <c r="E88" t="s">
        <v>373</v>
      </c>
      <c r="F88">
        <v>-121.298571</v>
      </c>
      <c r="G88">
        <v>55.285632999999997</v>
      </c>
      <c r="H88">
        <v>1158</v>
      </c>
      <c r="I88">
        <v>3.3409999999999998E-3</v>
      </c>
      <c r="J88">
        <v>0.12626299999999999</v>
      </c>
      <c r="K88">
        <v>0.26282800000000001</v>
      </c>
    </row>
    <row r="89" spans="1:11" x14ac:dyDescent="0.55000000000000004">
      <c r="A89" t="s">
        <v>466</v>
      </c>
      <c r="B89">
        <v>88</v>
      </c>
      <c r="C89">
        <v>230</v>
      </c>
      <c r="D89" t="s">
        <v>377</v>
      </c>
      <c r="E89" t="s">
        <v>374</v>
      </c>
      <c r="F89">
        <v>-121.38553899999999</v>
      </c>
      <c r="G89">
        <v>55.279007</v>
      </c>
      <c r="H89">
        <v>894</v>
      </c>
      <c r="I89">
        <v>3.3409999999999998E-3</v>
      </c>
      <c r="J89">
        <v>0.12526799999999999</v>
      </c>
      <c r="K89">
        <v>0.25603199999999998</v>
      </c>
    </row>
    <row r="90" spans="1:11" x14ac:dyDescent="0.55000000000000004">
      <c r="A90" t="s">
        <v>467</v>
      </c>
      <c r="B90">
        <v>89</v>
      </c>
      <c r="C90">
        <v>230</v>
      </c>
      <c r="D90" t="s">
        <v>377</v>
      </c>
      <c r="E90" t="s">
        <v>372</v>
      </c>
      <c r="F90">
        <v>-124.02175099999999</v>
      </c>
      <c r="G90">
        <v>55.109971999999999</v>
      </c>
      <c r="H90">
        <v>1145</v>
      </c>
      <c r="I90">
        <v>2.748E-3</v>
      </c>
      <c r="J90">
        <v>0.123671</v>
      </c>
      <c r="K90">
        <v>0.15584999999999999</v>
      </c>
    </row>
    <row r="91" spans="1:11" x14ac:dyDescent="0.55000000000000004">
      <c r="A91" t="s">
        <v>468</v>
      </c>
      <c r="B91">
        <v>90</v>
      </c>
      <c r="C91">
        <v>230</v>
      </c>
      <c r="D91" t="s">
        <v>377</v>
      </c>
      <c r="E91" t="s">
        <v>375</v>
      </c>
      <c r="F91">
        <v>-121.81661200000001</v>
      </c>
      <c r="G91">
        <v>55.393034999999998</v>
      </c>
      <c r="H91">
        <v>1061</v>
      </c>
      <c r="I91">
        <v>3.3409999999999998E-3</v>
      </c>
      <c r="J91">
        <v>0.121778</v>
      </c>
      <c r="K91">
        <v>0.23546900000000001</v>
      </c>
    </row>
    <row r="92" spans="1:11" x14ac:dyDescent="0.55000000000000004">
      <c r="A92" t="s">
        <v>469</v>
      </c>
      <c r="B92">
        <v>91</v>
      </c>
      <c r="C92">
        <v>230</v>
      </c>
      <c r="D92" t="s">
        <v>377</v>
      </c>
      <c r="E92" t="s">
        <v>374</v>
      </c>
      <c r="F92">
        <v>-121.614299</v>
      </c>
      <c r="G92">
        <v>55.496611999999999</v>
      </c>
      <c r="H92">
        <v>643</v>
      </c>
      <c r="I92">
        <v>3.3409999999999998E-3</v>
      </c>
      <c r="J92">
        <v>0.123835</v>
      </c>
      <c r="K92">
        <v>0.25579499999999999</v>
      </c>
    </row>
    <row r="93" spans="1:11" x14ac:dyDescent="0.55000000000000004">
      <c r="A93" t="s">
        <v>470</v>
      </c>
      <c r="B93">
        <v>92</v>
      </c>
      <c r="C93">
        <v>230</v>
      </c>
      <c r="D93" t="s">
        <v>377</v>
      </c>
      <c r="E93" t="s">
        <v>372</v>
      </c>
      <c r="F93">
        <v>-123.111687</v>
      </c>
      <c r="G93">
        <v>49.265490999999997</v>
      </c>
      <c r="H93">
        <v>2</v>
      </c>
      <c r="I93">
        <v>1.5035E-2</v>
      </c>
      <c r="J93">
        <v>0.129298</v>
      </c>
      <c r="K93">
        <v>7.0448999999999998E-2</v>
      </c>
    </row>
    <row r="94" spans="1:11" x14ac:dyDescent="0.55000000000000004">
      <c r="A94" t="s">
        <v>471</v>
      </c>
      <c r="B94">
        <v>93</v>
      </c>
      <c r="C94">
        <v>230</v>
      </c>
      <c r="D94" t="s">
        <v>377</v>
      </c>
      <c r="E94" t="s">
        <v>375</v>
      </c>
      <c r="F94">
        <v>-121.045361</v>
      </c>
      <c r="G94">
        <v>55.002840999999997</v>
      </c>
      <c r="H94">
        <v>786</v>
      </c>
      <c r="I94">
        <v>3.3409999999999998E-3</v>
      </c>
      <c r="J94">
        <v>0.128306</v>
      </c>
      <c r="K94">
        <v>0.27097100000000002</v>
      </c>
    </row>
    <row r="95" spans="1:11" x14ac:dyDescent="0.55000000000000004">
      <c r="A95" t="s">
        <v>472</v>
      </c>
      <c r="B95">
        <v>94</v>
      </c>
      <c r="C95">
        <v>230</v>
      </c>
      <c r="D95" t="s">
        <v>377</v>
      </c>
      <c r="E95" t="s">
        <v>374</v>
      </c>
      <c r="F95">
        <v>-121.038597</v>
      </c>
      <c r="G95">
        <v>55.008916999999997</v>
      </c>
      <c r="H95">
        <v>792</v>
      </c>
      <c r="I95">
        <v>3.3409999999999998E-3</v>
      </c>
      <c r="J95">
        <v>0.12792000000000001</v>
      </c>
      <c r="K95">
        <v>0.269426</v>
      </c>
    </row>
    <row r="96" spans="1:11" x14ac:dyDescent="0.55000000000000004">
      <c r="A96" t="s">
        <v>473</v>
      </c>
      <c r="B96">
        <v>95</v>
      </c>
      <c r="C96">
        <v>230</v>
      </c>
      <c r="D96" t="s">
        <v>377</v>
      </c>
      <c r="E96" t="s">
        <v>372</v>
      </c>
      <c r="F96">
        <v>-123.960396</v>
      </c>
      <c r="G96">
        <v>49.668832999999999</v>
      </c>
      <c r="H96">
        <v>156</v>
      </c>
      <c r="I96">
        <v>2.578E-3</v>
      </c>
      <c r="J96">
        <v>0.13036300000000001</v>
      </c>
      <c r="K96">
        <v>6.6019999999999995E-2</v>
      </c>
    </row>
    <row r="97" spans="1:11" x14ac:dyDescent="0.55000000000000004">
      <c r="A97" t="s">
        <v>474</v>
      </c>
      <c r="B97">
        <v>96</v>
      </c>
      <c r="C97">
        <v>230</v>
      </c>
      <c r="D97" t="s">
        <v>377</v>
      </c>
      <c r="E97" t="s">
        <v>373</v>
      </c>
      <c r="F97">
        <v>-124.187332</v>
      </c>
      <c r="G97">
        <v>50.623136000000002</v>
      </c>
      <c r="H97">
        <v>118</v>
      </c>
      <c r="I97">
        <v>2.1940000000000002E-3</v>
      </c>
      <c r="J97">
        <v>0.143348</v>
      </c>
      <c r="K97">
        <v>3.2159E-2</v>
      </c>
    </row>
    <row r="98" spans="1:11" x14ac:dyDescent="0.55000000000000004">
      <c r="A98" t="s">
        <v>475</v>
      </c>
      <c r="B98">
        <v>97</v>
      </c>
      <c r="C98">
        <v>230</v>
      </c>
      <c r="D98" t="s">
        <v>377</v>
      </c>
      <c r="E98" t="s">
        <v>388</v>
      </c>
      <c r="F98">
        <v>-123.425594</v>
      </c>
      <c r="G98">
        <v>48.893014999999998</v>
      </c>
      <c r="H98">
        <v>20</v>
      </c>
      <c r="I98">
        <v>0</v>
      </c>
      <c r="J98">
        <v>0.134496</v>
      </c>
      <c r="K98">
        <v>0.110456</v>
      </c>
    </row>
    <row r="99" spans="1:11" x14ac:dyDescent="0.55000000000000004">
      <c r="A99" t="s">
        <v>476</v>
      </c>
      <c r="B99">
        <v>98</v>
      </c>
      <c r="C99">
        <v>230</v>
      </c>
      <c r="D99" t="s">
        <v>377</v>
      </c>
      <c r="E99" t="s">
        <v>372</v>
      </c>
      <c r="F99">
        <v>-123.10131800000001</v>
      </c>
      <c r="G99">
        <v>49.277983999999996</v>
      </c>
      <c r="H99">
        <v>1</v>
      </c>
      <c r="I99">
        <v>1.5035E-2</v>
      </c>
      <c r="J99">
        <v>0.12905900000000001</v>
      </c>
      <c r="K99">
        <v>6.9321999999999995E-2</v>
      </c>
    </row>
    <row r="100" spans="1:11" x14ac:dyDescent="0.55000000000000004">
      <c r="A100" t="s">
        <v>477</v>
      </c>
      <c r="B100">
        <v>99</v>
      </c>
      <c r="C100">
        <v>500</v>
      </c>
      <c r="D100" t="s">
        <v>377</v>
      </c>
      <c r="E100" t="s">
        <v>388</v>
      </c>
      <c r="F100">
        <v>-124.643303</v>
      </c>
      <c r="G100">
        <v>49.421647</v>
      </c>
      <c r="H100">
        <v>2</v>
      </c>
      <c r="I100">
        <v>1.0917E-2</v>
      </c>
      <c r="J100">
        <v>0.130802</v>
      </c>
      <c r="K100">
        <v>0.10326299999999999</v>
      </c>
    </row>
    <row r="101" spans="1:11" x14ac:dyDescent="0.55000000000000004">
      <c r="A101" t="s">
        <v>478</v>
      </c>
      <c r="B101">
        <v>100</v>
      </c>
      <c r="C101">
        <v>230</v>
      </c>
      <c r="D101" t="s">
        <v>377</v>
      </c>
      <c r="E101" t="s">
        <v>372</v>
      </c>
      <c r="F101">
        <v>-122.96293</v>
      </c>
      <c r="G101">
        <v>49.217765</v>
      </c>
      <c r="H101">
        <v>71</v>
      </c>
      <c r="I101">
        <v>1.5035E-2</v>
      </c>
      <c r="J101">
        <v>0.12923899999999999</v>
      </c>
      <c r="K101">
        <v>7.5080999999999995E-2</v>
      </c>
    </row>
    <row r="102" spans="1:11" x14ac:dyDescent="0.55000000000000004">
      <c r="A102" t="s">
        <v>479</v>
      </c>
      <c r="B102">
        <v>101</v>
      </c>
      <c r="C102">
        <v>230</v>
      </c>
      <c r="D102" t="s">
        <v>377</v>
      </c>
      <c r="E102" t="s">
        <v>388</v>
      </c>
      <c r="F102">
        <v>-120.38983899999999</v>
      </c>
      <c r="G102">
        <v>50.180236000000001</v>
      </c>
      <c r="H102">
        <v>745</v>
      </c>
      <c r="I102">
        <v>4.6909999999999999E-3</v>
      </c>
      <c r="J102">
        <v>0.14358899999999999</v>
      </c>
      <c r="K102">
        <v>0.13228500000000001</v>
      </c>
    </row>
    <row r="103" spans="1:11" x14ac:dyDescent="0.55000000000000004">
      <c r="A103" t="s">
        <v>480</v>
      </c>
      <c r="B103">
        <v>102</v>
      </c>
      <c r="C103">
        <v>230</v>
      </c>
      <c r="D103" t="s">
        <v>377</v>
      </c>
      <c r="E103" t="s">
        <v>372</v>
      </c>
      <c r="F103">
        <v>-117.341514</v>
      </c>
      <c r="G103">
        <v>49.006447000000001</v>
      </c>
      <c r="H103">
        <v>698</v>
      </c>
      <c r="I103">
        <v>3.3630000000000001E-3</v>
      </c>
      <c r="J103">
        <v>0.15157999999999999</v>
      </c>
      <c r="K103">
        <v>5.4415999999999999E-2</v>
      </c>
    </row>
    <row r="104" spans="1:11" x14ac:dyDescent="0.55000000000000004">
      <c r="A104" t="s">
        <v>481</v>
      </c>
      <c r="B104">
        <v>103</v>
      </c>
      <c r="C104">
        <v>138</v>
      </c>
      <c r="D104" t="s">
        <v>377</v>
      </c>
      <c r="E104" t="s">
        <v>372</v>
      </c>
      <c r="F104">
        <v>-114.85825699999999</v>
      </c>
      <c r="G104">
        <v>49.735534999999999</v>
      </c>
      <c r="H104">
        <v>1243</v>
      </c>
      <c r="I104">
        <v>2.0609999999999999E-3</v>
      </c>
      <c r="J104">
        <v>0.16179399999999999</v>
      </c>
      <c r="K104">
        <v>0.134662</v>
      </c>
    </row>
    <row r="105" spans="1:11" x14ac:dyDescent="0.55000000000000004">
      <c r="A105" t="s">
        <v>482</v>
      </c>
      <c r="B105">
        <v>104</v>
      </c>
      <c r="C105">
        <v>500</v>
      </c>
      <c r="D105" t="s">
        <v>377</v>
      </c>
      <c r="E105" t="s">
        <v>373</v>
      </c>
      <c r="F105">
        <v>-121.996453</v>
      </c>
      <c r="G105">
        <v>55.983879000000002</v>
      </c>
      <c r="H105">
        <v>500</v>
      </c>
      <c r="I105">
        <v>7.2639999999999996E-3</v>
      </c>
      <c r="J105">
        <v>0.123622</v>
      </c>
      <c r="K105">
        <v>0.213473</v>
      </c>
    </row>
    <row r="106" spans="1:11" x14ac:dyDescent="0.55000000000000004">
      <c r="A106" t="s">
        <v>483</v>
      </c>
      <c r="B106">
        <v>105</v>
      </c>
      <c r="C106">
        <v>230</v>
      </c>
      <c r="D106" t="s">
        <v>377</v>
      </c>
      <c r="E106" t="s">
        <v>372</v>
      </c>
      <c r="F106">
        <v>-122.804413</v>
      </c>
      <c r="G106">
        <v>50.321893000000003</v>
      </c>
      <c r="H106">
        <v>277</v>
      </c>
      <c r="I106">
        <v>3.0869999999999999E-3</v>
      </c>
      <c r="J106">
        <v>0.146705</v>
      </c>
      <c r="K106">
        <v>2.6793000000000001E-2</v>
      </c>
    </row>
    <row r="107" spans="1:11" x14ac:dyDescent="0.55000000000000004">
      <c r="A107" t="s">
        <v>484</v>
      </c>
      <c r="B107">
        <v>106</v>
      </c>
      <c r="C107">
        <v>230</v>
      </c>
      <c r="D107" t="s">
        <v>377</v>
      </c>
      <c r="E107" t="s">
        <v>374</v>
      </c>
      <c r="F107">
        <v>-122.800106</v>
      </c>
      <c r="G107">
        <v>50.321938000000003</v>
      </c>
      <c r="H107">
        <v>277</v>
      </c>
      <c r="I107">
        <v>3.0869999999999999E-3</v>
      </c>
      <c r="J107">
        <v>0.14671200000000001</v>
      </c>
      <c r="K107">
        <v>2.6800000000000001E-2</v>
      </c>
    </row>
    <row r="108" spans="1:11" x14ac:dyDescent="0.55000000000000004">
      <c r="A108" t="s">
        <v>485</v>
      </c>
      <c r="B108">
        <v>107</v>
      </c>
      <c r="C108">
        <v>230</v>
      </c>
      <c r="D108" t="s">
        <v>377</v>
      </c>
      <c r="E108" t="s">
        <v>372</v>
      </c>
      <c r="F108">
        <v>-123.458141</v>
      </c>
      <c r="G108">
        <v>48.490564999999997</v>
      </c>
      <c r="H108">
        <v>79</v>
      </c>
      <c r="I108">
        <v>7.1729999999999997E-3</v>
      </c>
      <c r="J108">
        <v>0.136991</v>
      </c>
      <c r="K108">
        <v>0.14643500000000001</v>
      </c>
    </row>
    <row r="109" spans="1:11" x14ac:dyDescent="0.55000000000000004">
      <c r="A109" t="s">
        <v>486</v>
      </c>
      <c r="B109">
        <v>108</v>
      </c>
      <c r="C109">
        <v>230</v>
      </c>
      <c r="D109" t="s">
        <v>377</v>
      </c>
      <c r="E109" t="s">
        <v>388</v>
      </c>
      <c r="F109">
        <v>-124.176334</v>
      </c>
      <c r="G109">
        <v>49.787740999999997</v>
      </c>
      <c r="H109">
        <v>58</v>
      </c>
      <c r="I109">
        <v>2.1940000000000002E-3</v>
      </c>
      <c r="J109">
        <v>0.12984799999999999</v>
      </c>
      <c r="K109">
        <v>6.8487000000000006E-2</v>
      </c>
    </row>
    <row r="110" spans="1:11" x14ac:dyDescent="0.55000000000000004">
      <c r="A110" t="s">
        <v>487</v>
      </c>
      <c r="B110">
        <v>109</v>
      </c>
      <c r="C110">
        <v>230</v>
      </c>
      <c r="D110" t="s">
        <v>377</v>
      </c>
      <c r="E110" t="s">
        <v>372</v>
      </c>
      <c r="F110">
        <v>-120.998656</v>
      </c>
      <c r="G110">
        <v>54.993364999999997</v>
      </c>
      <c r="H110">
        <v>918</v>
      </c>
      <c r="I110">
        <v>3.3409999999999998E-3</v>
      </c>
      <c r="J110">
        <v>0.128306</v>
      </c>
      <c r="K110">
        <v>0.27097100000000002</v>
      </c>
    </row>
    <row r="111" spans="1:11" x14ac:dyDescent="0.55000000000000004">
      <c r="A111" t="s">
        <v>488</v>
      </c>
      <c r="B111">
        <v>110</v>
      </c>
      <c r="C111">
        <v>230</v>
      </c>
      <c r="D111" t="s">
        <v>377</v>
      </c>
      <c r="E111" t="s">
        <v>375</v>
      </c>
      <c r="F111">
        <v>-122.496573</v>
      </c>
      <c r="G111">
        <v>53.007161000000004</v>
      </c>
      <c r="H111">
        <v>598</v>
      </c>
      <c r="I111">
        <v>3.372E-3</v>
      </c>
      <c r="J111">
        <v>0.13366800000000001</v>
      </c>
      <c r="K111">
        <v>0.14862300000000001</v>
      </c>
    </row>
    <row r="112" spans="1:11" x14ac:dyDescent="0.55000000000000004">
      <c r="A112" t="s">
        <v>489</v>
      </c>
      <c r="B112">
        <v>111</v>
      </c>
      <c r="C112">
        <v>230</v>
      </c>
      <c r="D112" t="s">
        <v>377</v>
      </c>
      <c r="E112" t="s">
        <v>373</v>
      </c>
      <c r="F112">
        <v>-120.854741</v>
      </c>
      <c r="G112">
        <v>55.184336000000002</v>
      </c>
      <c r="H112">
        <v>1235</v>
      </c>
      <c r="I112">
        <v>3.3409999999999998E-3</v>
      </c>
      <c r="J112">
        <v>0.12834999999999999</v>
      </c>
      <c r="K112">
        <v>0.27624500000000002</v>
      </c>
    </row>
    <row r="113" spans="1:11" x14ac:dyDescent="0.55000000000000004">
      <c r="A113" t="s">
        <v>490</v>
      </c>
      <c r="B113">
        <v>112</v>
      </c>
      <c r="C113">
        <v>230</v>
      </c>
      <c r="D113" t="s">
        <v>377</v>
      </c>
      <c r="E113" t="s">
        <v>372</v>
      </c>
      <c r="F113">
        <v>-122.466134</v>
      </c>
      <c r="G113">
        <v>52.979768999999997</v>
      </c>
      <c r="H113">
        <v>559</v>
      </c>
      <c r="I113">
        <v>3.372E-3</v>
      </c>
      <c r="J113">
        <v>0.13366800000000001</v>
      </c>
      <c r="K113">
        <v>0.14862300000000001</v>
      </c>
    </row>
    <row r="114" spans="1:11" x14ac:dyDescent="0.55000000000000004">
      <c r="A114" t="s">
        <v>491</v>
      </c>
      <c r="B114">
        <v>113</v>
      </c>
      <c r="C114">
        <v>230</v>
      </c>
      <c r="D114" t="s">
        <v>377</v>
      </c>
      <c r="E114" t="s">
        <v>372</v>
      </c>
      <c r="F114">
        <v>-122.95451300000001</v>
      </c>
      <c r="G114">
        <v>50.132829999999998</v>
      </c>
      <c r="H114">
        <v>718</v>
      </c>
      <c r="I114">
        <v>3.0869999999999999E-3</v>
      </c>
      <c r="J114">
        <v>0.142732</v>
      </c>
      <c r="K114">
        <v>2.8333000000000001E-2</v>
      </c>
    </row>
    <row r="115" spans="1:11" x14ac:dyDescent="0.55000000000000004">
      <c r="A115" t="s">
        <v>492</v>
      </c>
      <c r="B115">
        <v>114</v>
      </c>
      <c r="C115">
        <v>230</v>
      </c>
      <c r="D115" t="s">
        <v>377</v>
      </c>
      <c r="E115" t="s">
        <v>374</v>
      </c>
      <c r="F115">
        <v>-122.960052</v>
      </c>
      <c r="G115">
        <v>50.134832000000003</v>
      </c>
      <c r="H115">
        <v>707</v>
      </c>
      <c r="I115">
        <v>3.0869999999999999E-3</v>
      </c>
      <c r="J115">
        <v>0.14274999999999999</v>
      </c>
      <c r="K115">
        <v>2.8319E-2</v>
      </c>
    </row>
    <row r="116" spans="1:11" x14ac:dyDescent="0.55000000000000004">
      <c r="A116" t="s">
        <v>493</v>
      </c>
      <c r="B116">
        <v>115</v>
      </c>
      <c r="C116">
        <v>287</v>
      </c>
      <c r="D116" t="s">
        <v>377</v>
      </c>
      <c r="E116" t="s">
        <v>375</v>
      </c>
      <c r="F116">
        <v>-129.76730900000001</v>
      </c>
      <c r="G116">
        <v>57.733302999999999</v>
      </c>
      <c r="H116">
        <v>1510</v>
      </c>
      <c r="I116">
        <v>3.431E-3</v>
      </c>
      <c r="J116">
        <v>0.124704</v>
      </c>
      <c r="K116">
        <v>0.121346</v>
      </c>
    </row>
    <row r="117" spans="1:11" x14ac:dyDescent="0.55000000000000004">
      <c r="A117" t="s">
        <v>494</v>
      </c>
      <c r="B117">
        <v>116</v>
      </c>
      <c r="C117">
        <v>230</v>
      </c>
      <c r="D117" t="s">
        <v>377</v>
      </c>
      <c r="E117" t="s">
        <v>373</v>
      </c>
      <c r="F117">
        <v>-118.19708799999999</v>
      </c>
      <c r="G117">
        <v>51.049455000000002</v>
      </c>
      <c r="H117">
        <v>597</v>
      </c>
      <c r="I117">
        <v>3.241E-3</v>
      </c>
      <c r="J117">
        <v>0.154277</v>
      </c>
      <c r="K117">
        <v>2.0974E-2</v>
      </c>
    </row>
    <row r="118" spans="1:11" x14ac:dyDescent="0.55000000000000004">
      <c r="A118" t="s">
        <v>495</v>
      </c>
      <c r="B118">
        <v>117</v>
      </c>
      <c r="C118">
        <v>230</v>
      </c>
      <c r="D118" t="s">
        <v>377</v>
      </c>
      <c r="E118" t="s">
        <v>388</v>
      </c>
      <c r="F118">
        <v>-119.552286</v>
      </c>
      <c r="G118">
        <v>49.480074000000002</v>
      </c>
      <c r="H118">
        <v>480</v>
      </c>
      <c r="I118">
        <v>3.8930000000000002E-3</v>
      </c>
      <c r="J118">
        <v>0.146841</v>
      </c>
      <c r="K118">
        <v>8.6304000000000006E-2</v>
      </c>
    </row>
    <row r="119" spans="1:11" x14ac:dyDescent="0.55000000000000004">
      <c r="A119" t="s">
        <v>496</v>
      </c>
      <c r="B119">
        <v>118</v>
      </c>
      <c r="C119">
        <v>360</v>
      </c>
      <c r="D119" t="s">
        <v>377</v>
      </c>
      <c r="E119" t="s">
        <v>372</v>
      </c>
      <c r="F119">
        <v>-121.77552900000001</v>
      </c>
      <c r="G119">
        <v>49.176414999999999</v>
      </c>
      <c r="H119">
        <v>96</v>
      </c>
      <c r="I119">
        <v>1.0163999999999999E-2</v>
      </c>
      <c r="J119">
        <v>0.13380600000000001</v>
      </c>
      <c r="K119">
        <v>6.4013E-2</v>
      </c>
    </row>
    <row r="120" spans="1:11" x14ac:dyDescent="0.55000000000000004">
      <c r="A120" t="s">
        <v>497</v>
      </c>
      <c r="B120">
        <v>119</v>
      </c>
      <c r="C120">
        <v>287</v>
      </c>
      <c r="D120" t="s">
        <v>377</v>
      </c>
      <c r="E120" t="s">
        <v>372</v>
      </c>
      <c r="F120">
        <v>-130.231685</v>
      </c>
      <c r="G120">
        <v>54.256794999999997</v>
      </c>
      <c r="H120">
        <v>142</v>
      </c>
      <c r="I120">
        <v>2.5600000000000002E-3</v>
      </c>
      <c r="J120">
        <v>0.102163</v>
      </c>
      <c r="K120">
        <v>0.23413300000000001</v>
      </c>
    </row>
    <row r="121" spans="1:11" x14ac:dyDescent="0.55000000000000004">
      <c r="A121" t="s">
        <v>498</v>
      </c>
      <c r="B121">
        <v>120</v>
      </c>
      <c r="C121">
        <v>230</v>
      </c>
      <c r="D121" t="s">
        <v>377</v>
      </c>
      <c r="E121" t="s">
        <v>373</v>
      </c>
      <c r="F121">
        <v>-122.866516</v>
      </c>
      <c r="G121">
        <v>50.272784999999999</v>
      </c>
      <c r="H121">
        <v>363</v>
      </c>
      <c r="I121">
        <v>3.0869999999999999E-3</v>
      </c>
      <c r="J121">
        <v>0.14565700000000001</v>
      </c>
      <c r="K121">
        <v>2.6917E-2</v>
      </c>
    </row>
    <row r="122" spans="1:11" x14ac:dyDescent="0.55000000000000004">
      <c r="A122" t="s">
        <v>499</v>
      </c>
      <c r="B122">
        <v>121</v>
      </c>
      <c r="C122">
        <v>230</v>
      </c>
      <c r="D122" t="s">
        <v>377</v>
      </c>
      <c r="E122" t="s">
        <v>374</v>
      </c>
      <c r="F122">
        <v>-122.864603</v>
      </c>
      <c r="G122">
        <v>50.272109</v>
      </c>
      <c r="H122">
        <v>363</v>
      </c>
      <c r="I122">
        <v>3.0869999999999999E-3</v>
      </c>
      <c r="J122">
        <v>0.145648</v>
      </c>
      <c r="K122">
        <v>2.6922999999999999E-2</v>
      </c>
    </row>
    <row r="123" spans="1:11" x14ac:dyDescent="0.55000000000000004">
      <c r="A123" t="s">
        <v>500</v>
      </c>
      <c r="B123">
        <v>122</v>
      </c>
      <c r="C123">
        <v>360</v>
      </c>
      <c r="D123" t="s">
        <v>377</v>
      </c>
      <c r="E123" t="s">
        <v>372</v>
      </c>
      <c r="F123">
        <v>-122.458518</v>
      </c>
      <c r="G123">
        <v>49.992851999999999</v>
      </c>
      <c r="H123">
        <v>306</v>
      </c>
      <c r="I123">
        <v>1.0163999999999999E-2</v>
      </c>
      <c r="J123">
        <v>0.142818</v>
      </c>
      <c r="K123">
        <v>3.0237E-2</v>
      </c>
    </row>
    <row r="124" spans="1:11" x14ac:dyDescent="0.55000000000000004">
      <c r="A124" t="s">
        <v>501</v>
      </c>
      <c r="B124">
        <v>123</v>
      </c>
      <c r="C124">
        <v>230</v>
      </c>
      <c r="D124" t="s">
        <v>377</v>
      </c>
      <c r="E124" t="s">
        <v>372</v>
      </c>
      <c r="F124">
        <v>-119.251648</v>
      </c>
      <c r="G124">
        <v>50.691569999999999</v>
      </c>
      <c r="H124">
        <v>545</v>
      </c>
      <c r="I124">
        <v>3.241E-3</v>
      </c>
      <c r="J124">
        <v>0.14356099999999999</v>
      </c>
      <c r="K124">
        <v>3.9639000000000001E-2</v>
      </c>
    </row>
    <row r="125" spans="1:11" x14ac:dyDescent="0.55000000000000004">
      <c r="A125" t="s">
        <v>502</v>
      </c>
      <c r="B125">
        <v>124</v>
      </c>
      <c r="C125">
        <v>230</v>
      </c>
      <c r="D125" t="s">
        <v>377</v>
      </c>
      <c r="E125" t="s">
        <v>372</v>
      </c>
      <c r="F125">
        <v>-123.80093599999999</v>
      </c>
      <c r="G125">
        <v>48.806831000000003</v>
      </c>
      <c r="H125">
        <v>145</v>
      </c>
      <c r="I125">
        <v>3.8730000000000001E-3</v>
      </c>
      <c r="J125">
        <v>0.134632</v>
      </c>
      <c r="K125">
        <v>0.121004</v>
      </c>
    </row>
    <row r="126" spans="1:11" x14ac:dyDescent="0.55000000000000004">
      <c r="A126" t="s">
        <v>503</v>
      </c>
      <c r="B126">
        <v>125</v>
      </c>
      <c r="C126">
        <v>230</v>
      </c>
      <c r="D126" t="s">
        <v>377</v>
      </c>
      <c r="E126" t="s">
        <v>372</v>
      </c>
      <c r="F126">
        <v>-124.17721</v>
      </c>
      <c r="G126">
        <v>49.787100000000002</v>
      </c>
      <c r="H126">
        <v>58</v>
      </c>
      <c r="I126">
        <v>2.1940000000000002E-3</v>
      </c>
      <c r="J126">
        <v>0.12984399999999999</v>
      </c>
      <c r="K126">
        <v>6.8582000000000004E-2</v>
      </c>
    </row>
    <row r="127" spans="1:11" x14ac:dyDescent="0.55000000000000004">
      <c r="A127" t="s">
        <v>504</v>
      </c>
      <c r="B127">
        <v>126</v>
      </c>
      <c r="C127">
        <v>500</v>
      </c>
      <c r="D127" t="s">
        <v>377</v>
      </c>
      <c r="E127" t="s">
        <v>372</v>
      </c>
      <c r="F127">
        <v>-120.909356</v>
      </c>
      <c r="G127">
        <v>56.180774</v>
      </c>
      <c r="H127">
        <v>493</v>
      </c>
      <c r="I127">
        <v>7.2639999999999996E-3</v>
      </c>
      <c r="J127">
        <v>0.123543</v>
      </c>
      <c r="K127">
        <v>0.20588999999999999</v>
      </c>
    </row>
    <row r="128" spans="1:11" x14ac:dyDescent="0.55000000000000004">
      <c r="A128" t="s">
        <v>505</v>
      </c>
      <c r="B128">
        <v>127</v>
      </c>
      <c r="C128">
        <v>230</v>
      </c>
      <c r="D128" t="s">
        <v>377</v>
      </c>
      <c r="E128" t="s">
        <v>372</v>
      </c>
      <c r="F128">
        <v>-122.21554</v>
      </c>
      <c r="G128">
        <v>52.305565000000001</v>
      </c>
      <c r="H128">
        <v>669</v>
      </c>
      <c r="I128">
        <v>3.372E-3</v>
      </c>
      <c r="J128">
        <v>0.137213</v>
      </c>
      <c r="K128">
        <v>0.146255</v>
      </c>
    </row>
    <row r="129" spans="1:11" x14ac:dyDescent="0.55000000000000004">
      <c r="A129" t="s">
        <v>506</v>
      </c>
      <c r="B129">
        <v>128</v>
      </c>
      <c r="C129">
        <v>230</v>
      </c>
      <c r="D129" t="s">
        <v>377</v>
      </c>
      <c r="E129" t="s">
        <v>388</v>
      </c>
      <c r="F129">
        <v>-117.51330400000001</v>
      </c>
      <c r="G129">
        <v>49.059567000000001</v>
      </c>
      <c r="H129">
        <v>739</v>
      </c>
      <c r="I129">
        <v>2.6090000000000002E-3</v>
      </c>
      <c r="J129">
        <v>0.15013799999999999</v>
      </c>
      <c r="K129">
        <v>4.9535999999999997E-2</v>
      </c>
    </row>
    <row r="130" spans="1:11" x14ac:dyDescent="0.55000000000000004">
      <c r="A130" t="s">
        <v>507</v>
      </c>
      <c r="B130">
        <v>129</v>
      </c>
      <c r="C130">
        <v>230</v>
      </c>
      <c r="D130" t="s">
        <v>377</v>
      </c>
      <c r="E130" t="s">
        <v>373</v>
      </c>
      <c r="F130">
        <v>-117.504098</v>
      </c>
      <c r="G130">
        <v>49.030161</v>
      </c>
      <c r="H130">
        <v>524</v>
      </c>
      <c r="I130">
        <v>2.6090000000000002E-3</v>
      </c>
      <c r="J130">
        <v>0.15026800000000001</v>
      </c>
      <c r="K130">
        <v>5.1907000000000002E-2</v>
      </c>
    </row>
    <row r="131" spans="1:11" x14ac:dyDescent="0.55000000000000004">
      <c r="A131" t="s">
        <v>508</v>
      </c>
      <c r="B131">
        <v>130</v>
      </c>
      <c r="C131">
        <v>230</v>
      </c>
      <c r="D131" t="s">
        <v>377</v>
      </c>
      <c r="E131" t="s">
        <v>375</v>
      </c>
      <c r="F131">
        <v>-121.13904100000001</v>
      </c>
      <c r="G131">
        <v>55.745536999999999</v>
      </c>
      <c r="H131">
        <v>699</v>
      </c>
      <c r="I131">
        <v>3.3409999999999998E-3</v>
      </c>
      <c r="J131">
        <v>0.125944</v>
      </c>
      <c r="K131">
        <v>0.245564</v>
      </c>
    </row>
    <row r="132" spans="1:11" x14ac:dyDescent="0.55000000000000004">
      <c r="A132" t="s">
        <v>509</v>
      </c>
      <c r="B132">
        <v>131</v>
      </c>
      <c r="C132">
        <v>287</v>
      </c>
      <c r="D132" t="s">
        <v>377</v>
      </c>
      <c r="E132" t="s">
        <v>372</v>
      </c>
      <c r="F132">
        <v>-128.63282599999999</v>
      </c>
      <c r="G132">
        <v>54.452280000000002</v>
      </c>
      <c r="H132">
        <v>126</v>
      </c>
      <c r="I132">
        <v>3.431E-3</v>
      </c>
      <c r="J132">
        <v>0.114666</v>
      </c>
      <c r="K132">
        <v>7.7087000000000003E-2</v>
      </c>
    </row>
    <row r="133" spans="1:11" x14ac:dyDescent="0.55000000000000004">
      <c r="A133" t="s">
        <v>510</v>
      </c>
      <c r="B133">
        <v>132</v>
      </c>
      <c r="C133">
        <v>230</v>
      </c>
      <c r="D133" t="s">
        <v>377</v>
      </c>
      <c r="E133" t="s">
        <v>372</v>
      </c>
      <c r="F133">
        <v>-121.351887</v>
      </c>
      <c r="G133">
        <v>55.714084999999997</v>
      </c>
      <c r="H133">
        <v>704</v>
      </c>
      <c r="I133">
        <v>3.3409999999999998E-3</v>
      </c>
      <c r="J133">
        <v>0.125557</v>
      </c>
      <c r="K133">
        <v>0.246919</v>
      </c>
    </row>
    <row r="134" spans="1:11" x14ac:dyDescent="0.55000000000000004">
      <c r="A134" t="s">
        <v>511</v>
      </c>
      <c r="B134">
        <v>133</v>
      </c>
      <c r="C134">
        <v>230</v>
      </c>
      <c r="D134" t="s">
        <v>377</v>
      </c>
      <c r="E134" t="s">
        <v>372</v>
      </c>
      <c r="F134">
        <v>-121.617935</v>
      </c>
      <c r="G134">
        <v>55.502077999999997</v>
      </c>
      <c r="H134">
        <v>586</v>
      </c>
      <c r="I134">
        <v>3.3409999999999998E-3</v>
      </c>
      <c r="J134">
        <v>0.123834</v>
      </c>
      <c r="K134">
        <v>0.255664</v>
      </c>
    </row>
    <row r="135" spans="1:11" x14ac:dyDescent="0.55000000000000004">
      <c r="A135" t="s">
        <v>512</v>
      </c>
      <c r="B135">
        <v>134</v>
      </c>
      <c r="C135">
        <v>230</v>
      </c>
      <c r="D135" t="s">
        <v>377</v>
      </c>
      <c r="E135" t="s">
        <v>372</v>
      </c>
      <c r="F135">
        <v>-123.15246500000001</v>
      </c>
      <c r="G135">
        <v>49.249670000000002</v>
      </c>
      <c r="H135">
        <v>1</v>
      </c>
      <c r="I135">
        <v>1.5035E-2</v>
      </c>
      <c r="J135">
        <v>0.12968399999999999</v>
      </c>
      <c r="K135">
        <v>7.2260000000000005E-2</v>
      </c>
    </row>
    <row r="136" spans="1:11" x14ac:dyDescent="0.55000000000000004">
      <c r="A136" t="s">
        <v>513</v>
      </c>
      <c r="B136">
        <v>135</v>
      </c>
      <c r="C136">
        <v>230</v>
      </c>
      <c r="D136" t="s">
        <v>377</v>
      </c>
      <c r="E136" t="s">
        <v>375</v>
      </c>
      <c r="F136">
        <v>-121.066332</v>
      </c>
      <c r="G136">
        <v>55.959057000000001</v>
      </c>
      <c r="H136">
        <v>870</v>
      </c>
      <c r="I136">
        <v>3.3409999999999998E-3</v>
      </c>
      <c r="J136">
        <v>0.12468799999999999</v>
      </c>
      <c r="K136">
        <v>0.22270499999999999</v>
      </c>
    </row>
    <row r="137" spans="1:11" x14ac:dyDescent="0.55000000000000004">
      <c r="A137" t="s">
        <v>514</v>
      </c>
      <c r="B137">
        <v>136</v>
      </c>
      <c r="C137">
        <v>230</v>
      </c>
      <c r="D137" t="s">
        <v>377</v>
      </c>
      <c r="E137" t="s">
        <v>374</v>
      </c>
      <c r="F137">
        <v>-121.022431</v>
      </c>
      <c r="G137">
        <v>55.933551000000001</v>
      </c>
      <c r="H137">
        <v>836</v>
      </c>
      <c r="I137">
        <v>3.3409999999999998E-3</v>
      </c>
      <c r="J137">
        <v>0.124776</v>
      </c>
      <c r="K137">
        <v>0.22491700000000001</v>
      </c>
    </row>
    <row r="138" spans="1:11" x14ac:dyDescent="0.55000000000000004">
      <c r="A138" t="s">
        <v>515</v>
      </c>
      <c r="B138">
        <v>137</v>
      </c>
      <c r="C138">
        <v>230</v>
      </c>
      <c r="D138" t="s">
        <v>377</v>
      </c>
      <c r="E138" t="s">
        <v>375</v>
      </c>
      <c r="F138">
        <v>-120.784616</v>
      </c>
      <c r="G138">
        <v>55.925333000000002</v>
      </c>
      <c r="H138">
        <v>803</v>
      </c>
      <c r="I138">
        <v>3.3409999999999998E-3</v>
      </c>
      <c r="J138">
        <v>0.12482600000000001</v>
      </c>
      <c r="K138">
        <v>0.225495</v>
      </c>
    </row>
    <row r="139" spans="1:11" x14ac:dyDescent="0.55000000000000004">
      <c r="A139" t="s">
        <v>516</v>
      </c>
      <c r="B139">
        <v>138</v>
      </c>
      <c r="C139">
        <v>230</v>
      </c>
      <c r="D139" t="s">
        <v>377</v>
      </c>
      <c r="E139" t="s">
        <v>372</v>
      </c>
      <c r="F139">
        <v>-123.146856</v>
      </c>
      <c r="G139">
        <v>49.132579</v>
      </c>
      <c r="H139">
        <v>1</v>
      </c>
      <c r="I139">
        <v>1.5035E-2</v>
      </c>
      <c r="J139">
        <v>0.13145699999999999</v>
      </c>
      <c r="K139">
        <v>8.3807999999999994E-2</v>
      </c>
    </row>
    <row r="140" spans="1:11" x14ac:dyDescent="0.55000000000000004">
      <c r="A140" t="s">
        <v>517</v>
      </c>
      <c r="B140">
        <v>139</v>
      </c>
      <c r="C140">
        <v>230</v>
      </c>
      <c r="D140" t="s">
        <v>377</v>
      </c>
      <c r="E140" t="s">
        <v>372</v>
      </c>
      <c r="F140">
        <v>-120.80052000000001</v>
      </c>
      <c r="G140">
        <v>50.754922999999998</v>
      </c>
      <c r="H140">
        <v>444</v>
      </c>
      <c r="I140">
        <v>4.6909999999999999E-3</v>
      </c>
      <c r="J140">
        <v>0.14352500000000001</v>
      </c>
      <c r="K140">
        <v>0.110348</v>
      </c>
    </row>
    <row r="141" spans="1:11" x14ac:dyDescent="0.55000000000000004">
      <c r="A141" t="s">
        <v>518</v>
      </c>
      <c r="B141">
        <v>140</v>
      </c>
      <c r="C141">
        <v>230</v>
      </c>
      <c r="D141" t="s">
        <v>377</v>
      </c>
      <c r="E141" t="s">
        <v>372</v>
      </c>
      <c r="F141">
        <v>-122.621031</v>
      </c>
      <c r="G141">
        <v>54.144221999999999</v>
      </c>
      <c r="H141">
        <v>634</v>
      </c>
      <c r="I141">
        <v>4.0080000000000003E-3</v>
      </c>
      <c r="J141">
        <v>0.12698599999999999</v>
      </c>
      <c r="K141">
        <v>0.15581999999999999</v>
      </c>
    </row>
    <row r="142" spans="1:11" x14ac:dyDescent="0.55000000000000004">
      <c r="A142" t="s">
        <v>519</v>
      </c>
      <c r="B142">
        <v>141</v>
      </c>
      <c r="C142">
        <v>230</v>
      </c>
      <c r="D142" t="s">
        <v>377</v>
      </c>
      <c r="E142" t="s">
        <v>372</v>
      </c>
      <c r="F142">
        <v>-122.875167</v>
      </c>
      <c r="G142">
        <v>49.136398</v>
      </c>
      <c r="H142">
        <v>10</v>
      </c>
      <c r="I142">
        <v>1.5035E-2</v>
      </c>
      <c r="J142">
        <v>0.13022400000000001</v>
      </c>
      <c r="K142">
        <v>8.4631999999999999E-2</v>
      </c>
    </row>
    <row r="143" spans="1:11" x14ac:dyDescent="0.55000000000000004">
      <c r="A143" t="s">
        <v>520</v>
      </c>
      <c r="B143">
        <v>142</v>
      </c>
      <c r="C143">
        <v>230</v>
      </c>
      <c r="D143" t="s">
        <v>377</v>
      </c>
      <c r="E143" t="s">
        <v>374</v>
      </c>
      <c r="F143">
        <v>-122.875091</v>
      </c>
      <c r="G143">
        <v>49.136986999999998</v>
      </c>
      <c r="H143">
        <v>10</v>
      </c>
      <c r="I143">
        <v>1.5035E-2</v>
      </c>
      <c r="J143">
        <v>0.13021199999999999</v>
      </c>
      <c r="K143">
        <v>8.4562999999999999E-2</v>
      </c>
    </row>
    <row r="144" spans="1:11" x14ac:dyDescent="0.55000000000000004">
      <c r="A144" t="s">
        <v>521</v>
      </c>
      <c r="B144">
        <v>143</v>
      </c>
      <c r="C144">
        <v>230</v>
      </c>
      <c r="D144" t="s">
        <v>377</v>
      </c>
      <c r="E144" t="s">
        <v>372</v>
      </c>
      <c r="F144">
        <v>-124.072755</v>
      </c>
      <c r="G144">
        <v>54.000695999999998</v>
      </c>
      <c r="H144">
        <v>735</v>
      </c>
      <c r="I144">
        <v>2.748E-3</v>
      </c>
      <c r="J144">
        <v>0.12587400000000001</v>
      </c>
      <c r="K144">
        <v>0.17202400000000001</v>
      </c>
    </row>
    <row r="145" spans="1:11" x14ac:dyDescent="0.55000000000000004">
      <c r="A145" t="s">
        <v>522</v>
      </c>
      <c r="B145">
        <v>144</v>
      </c>
      <c r="C145">
        <v>287</v>
      </c>
      <c r="D145" t="s">
        <v>377</v>
      </c>
      <c r="E145" t="s">
        <v>372</v>
      </c>
      <c r="F145">
        <v>-129.98696000000001</v>
      </c>
      <c r="G145">
        <v>57.713042999999999</v>
      </c>
      <c r="H145">
        <v>892</v>
      </c>
      <c r="I145">
        <v>3.431E-3</v>
      </c>
      <c r="J145">
        <v>0.125693</v>
      </c>
      <c r="K145">
        <v>0.120646</v>
      </c>
    </row>
    <row r="146" spans="1:11" x14ac:dyDescent="0.55000000000000004">
      <c r="A146" t="s">
        <v>523</v>
      </c>
      <c r="B146">
        <v>145</v>
      </c>
      <c r="C146">
        <v>230</v>
      </c>
      <c r="D146" t="s">
        <v>377</v>
      </c>
      <c r="E146" t="s">
        <v>388</v>
      </c>
      <c r="F146">
        <v>-123.362111</v>
      </c>
      <c r="G146">
        <v>48.905073999999999</v>
      </c>
      <c r="H146">
        <v>32</v>
      </c>
      <c r="I146">
        <v>7.1729999999999997E-3</v>
      </c>
      <c r="J146">
        <v>0.134353</v>
      </c>
      <c r="K146">
        <v>0.108515</v>
      </c>
    </row>
    <row r="147" spans="1:11" x14ac:dyDescent="0.55000000000000004">
      <c r="A147" t="s">
        <v>524</v>
      </c>
      <c r="B147">
        <v>146</v>
      </c>
      <c r="C147">
        <v>500</v>
      </c>
      <c r="D147" t="s">
        <v>377</v>
      </c>
      <c r="E147" t="s">
        <v>388</v>
      </c>
      <c r="F147">
        <v>-124.331157</v>
      </c>
      <c r="G147">
        <v>49.615791999999999</v>
      </c>
      <c r="H147">
        <v>546</v>
      </c>
      <c r="I147">
        <v>4.7699999999999999E-3</v>
      </c>
      <c r="J147">
        <v>0.13064100000000001</v>
      </c>
      <c r="K147">
        <v>8.7859999999999994E-2</v>
      </c>
    </row>
    <row r="148" spans="1:11" x14ac:dyDescent="0.55000000000000004">
      <c r="A148" t="s">
        <v>525</v>
      </c>
      <c r="B148">
        <v>147</v>
      </c>
      <c r="C148">
        <v>230</v>
      </c>
      <c r="D148" t="s">
        <v>377</v>
      </c>
      <c r="E148" t="s">
        <v>372</v>
      </c>
      <c r="F148">
        <v>-122.859303</v>
      </c>
      <c r="G148">
        <v>50.279474999999998</v>
      </c>
      <c r="H148">
        <v>385</v>
      </c>
      <c r="I148">
        <v>3.0869999999999999E-3</v>
      </c>
      <c r="J148">
        <v>0.14579800000000001</v>
      </c>
      <c r="K148">
        <v>2.6883000000000001E-2</v>
      </c>
    </row>
    <row r="149" spans="1:11" x14ac:dyDescent="0.55000000000000004">
      <c r="A149" t="s">
        <v>526</v>
      </c>
      <c r="B149">
        <v>148</v>
      </c>
      <c r="C149">
        <v>500</v>
      </c>
      <c r="D149" t="s">
        <v>377</v>
      </c>
      <c r="E149" t="s">
        <v>372</v>
      </c>
      <c r="F149">
        <v>-126.765503</v>
      </c>
      <c r="G149">
        <v>54.515284000000001</v>
      </c>
      <c r="H149">
        <v>817</v>
      </c>
      <c r="I149">
        <v>5.9740000000000001E-3</v>
      </c>
      <c r="J149">
        <v>0.128744</v>
      </c>
      <c r="K149">
        <v>0.122983</v>
      </c>
    </row>
    <row r="150" spans="1:11" x14ac:dyDescent="0.55000000000000004">
      <c r="A150" t="s">
        <v>527</v>
      </c>
      <c r="B150">
        <v>149</v>
      </c>
      <c r="C150">
        <v>230</v>
      </c>
      <c r="D150" t="s">
        <v>377</v>
      </c>
      <c r="E150" t="s">
        <v>372</v>
      </c>
      <c r="F150">
        <v>-121.133945</v>
      </c>
      <c r="G150">
        <v>55.148406000000001</v>
      </c>
      <c r="H150">
        <v>1023</v>
      </c>
      <c r="I150">
        <v>3.3409999999999998E-3</v>
      </c>
      <c r="J150">
        <v>0.126916</v>
      </c>
      <c r="K150">
        <v>0.26518000000000003</v>
      </c>
    </row>
    <row r="151" spans="1:11" x14ac:dyDescent="0.55000000000000004">
      <c r="A151" t="s">
        <v>528</v>
      </c>
      <c r="B151">
        <v>150</v>
      </c>
      <c r="C151">
        <v>500</v>
      </c>
      <c r="D151" t="s">
        <v>377</v>
      </c>
      <c r="E151" t="s">
        <v>388</v>
      </c>
      <c r="F151">
        <v>-124.284302</v>
      </c>
      <c r="G151">
        <v>49.630115000000004</v>
      </c>
      <c r="H151">
        <v>130</v>
      </c>
      <c r="I151">
        <v>4.7699999999999999E-3</v>
      </c>
      <c r="J151">
        <v>0.13064100000000001</v>
      </c>
      <c r="K151">
        <v>8.7859999999999994E-2</v>
      </c>
    </row>
    <row r="152" spans="1:11" x14ac:dyDescent="0.55000000000000004">
      <c r="A152" t="s">
        <v>529</v>
      </c>
      <c r="B152">
        <v>151</v>
      </c>
      <c r="C152">
        <v>500</v>
      </c>
      <c r="D152" t="s">
        <v>377</v>
      </c>
      <c r="E152" t="s">
        <v>388</v>
      </c>
      <c r="F152">
        <v>-124.358341</v>
      </c>
      <c r="G152">
        <v>49.590207999999997</v>
      </c>
      <c r="H152">
        <v>25</v>
      </c>
      <c r="I152">
        <v>0</v>
      </c>
      <c r="J152">
        <v>0.13117999999999999</v>
      </c>
      <c r="K152">
        <v>9.6200999999999995E-2</v>
      </c>
    </row>
    <row r="153" spans="1:11" x14ac:dyDescent="0.55000000000000004">
      <c r="A153" t="s">
        <v>530</v>
      </c>
      <c r="B153">
        <v>152</v>
      </c>
      <c r="C153">
        <v>360</v>
      </c>
      <c r="D153" t="s">
        <v>377</v>
      </c>
      <c r="E153" t="s">
        <v>372</v>
      </c>
      <c r="F153">
        <v>-122.20519899999999</v>
      </c>
      <c r="G153">
        <v>49.759134000000003</v>
      </c>
      <c r="H153">
        <v>83</v>
      </c>
      <c r="I153">
        <v>1.0163999999999999E-2</v>
      </c>
      <c r="J153">
        <v>0.134654</v>
      </c>
      <c r="K153">
        <v>3.9393999999999998E-2</v>
      </c>
    </row>
    <row r="154" spans="1:11" x14ac:dyDescent="0.55000000000000004">
      <c r="A154" t="s">
        <v>531</v>
      </c>
      <c r="B154">
        <v>153</v>
      </c>
      <c r="C154">
        <v>230</v>
      </c>
      <c r="D154" t="s">
        <v>377</v>
      </c>
      <c r="E154" t="s">
        <v>373</v>
      </c>
      <c r="F154">
        <v>-123.44605900000001</v>
      </c>
      <c r="G154">
        <v>50.655462999999997</v>
      </c>
      <c r="H154">
        <v>503</v>
      </c>
      <c r="I154">
        <v>3.0869999999999999E-3</v>
      </c>
      <c r="J154">
        <v>0.150975</v>
      </c>
      <c r="K154">
        <v>4.0024999999999998E-2</v>
      </c>
    </row>
    <row r="155" spans="1:11" x14ac:dyDescent="0.55000000000000004">
      <c r="A155" t="s">
        <v>532</v>
      </c>
      <c r="B155">
        <v>154</v>
      </c>
      <c r="C155">
        <v>500</v>
      </c>
      <c r="D155" t="s">
        <v>377</v>
      </c>
      <c r="E155" t="s">
        <v>388</v>
      </c>
      <c r="F155">
        <v>-119.51961799999999</v>
      </c>
      <c r="G155">
        <v>49.25112</v>
      </c>
      <c r="H155">
        <v>293</v>
      </c>
      <c r="I155">
        <v>8.4639999999999993E-3</v>
      </c>
      <c r="J155">
        <v>0.15116299999999999</v>
      </c>
      <c r="K155">
        <v>7.3580999999999994E-2</v>
      </c>
    </row>
    <row r="156" spans="1:11" x14ac:dyDescent="0.55000000000000004">
      <c r="A156" t="s">
        <v>533</v>
      </c>
      <c r="B156">
        <v>155</v>
      </c>
      <c r="C156">
        <v>230</v>
      </c>
      <c r="D156" t="s">
        <v>377</v>
      </c>
      <c r="E156" t="s">
        <v>388</v>
      </c>
      <c r="F156">
        <v>-123.716421</v>
      </c>
      <c r="G156">
        <v>48.82734</v>
      </c>
      <c r="H156">
        <v>24</v>
      </c>
      <c r="I156">
        <v>3.8730000000000001E-3</v>
      </c>
      <c r="J156">
        <v>0.13519100000000001</v>
      </c>
      <c r="K156">
        <v>0.120445</v>
      </c>
    </row>
    <row r="157" spans="1:11" x14ac:dyDescent="0.55000000000000004">
      <c r="A157" t="s">
        <v>534</v>
      </c>
      <c r="B157">
        <v>156</v>
      </c>
      <c r="C157">
        <v>230</v>
      </c>
      <c r="D157" t="s">
        <v>377</v>
      </c>
      <c r="E157" t="s">
        <v>388</v>
      </c>
      <c r="F157">
        <v>-119.22887</v>
      </c>
      <c r="G157">
        <v>50.251764999999999</v>
      </c>
      <c r="H157">
        <v>464</v>
      </c>
      <c r="I157">
        <v>3.9179999999999996E-3</v>
      </c>
      <c r="J157">
        <v>0.148059</v>
      </c>
      <c r="K157">
        <v>7.4235999999999996E-2</v>
      </c>
    </row>
    <row r="158" spans="1:11" x14ac:dyDescent="0.55000000000000004">
      <c r="A158" t="s">
        <v>535</v>
      </c>
      <c r="B158">
        <v>157</v>
      </c>
      <c r="C158">
        <v>287</v>
      </c>
      <c r="D158" t="s">
        <v>377</v>
      </c>
      <c r="E158" t="s">
        <v>373</v>
      </c>
      <c r="F158">
        <v>-130.597656</v>
      </c>
      <c r="G158">
        <v>56.729300000000002</v>
      </c>
      <c r="H158">
        <v>410</v>
      </c>
      <c r="I158">
        <v>3.431E-3</v>
      </c>
      <c r="J158">
        <v>0.112674</v>
      </c>
      <c r="K158">
        <v>4.9340000000000002E-2</v>
      </c>
    </row>
    <row r="159" spans="1:11" x14ac:dyDescent="0.55000000000000004">
      <c r="A159" t="s">
        <v>536</v>
      </c>
      <c r="B159">
        <v>158</v>
      </c>
      <c r="C159">
        <v>287</v>
      </c>
      <c r="D159" t="s">
        <v>377</v>
      </c>
      <c r="E159" t="s">
        <v>374</v>
      </c>
      <c r="F159">
        <v>-130.60895600000001</v>
      </c>
      <c r="G159">
        <v>56.738380999999997</v>
      </c>
      <c r="H159">
        <v>336</v>
      </c>
      <c r="I159">
        <v>3.431E-3</v>
      </c>
      <c r="J159">
        <v>0.112674</v>
      </c>
      <c r="K159">
        <v>4.9340000000000002E-2</v>
      </c>
    </row>
    <row r="160" spans="1:11" x14ac:dyDescent="0.55000000000000004">
      <c r="A160" t="s">
        <v>537</v>
      </c>
      <c r="B160">
        <v>159</v>
      </c>
      <c r="C160">
        <v>230</v>
      </c>
      <c r="D160" t="s">
        <v>377</v>
      </c>
      <c r="E160" t="s">
        <v>372</v>
      </c>
      <c r="F160">
        <v>-120.282704</v>
      </c>
      <c r="G160">
        <v>50.680084000000001</v>
      </c>
      <c r="H160">
        <v>417</v>
      </c>
      <c r="I160">
        <v>4.6909999999999999E-3</v>
      </c>
      <c r="J160">
        <v>0.14100199999999999</v>
      </c>
      <c r="K160">
        <v>9.8311999999999997E-2</v>
      </c>
    </row>
    <row r="161" spans="1:11" x14ac:dyDescent="0.55000000000000004">
      <c r="A161" t="s">
        <v>538</v>
      </c>
      <c r="B161">
        <v>160</v>
      </c>
      <c r="C161">
        <v>360</v>
      </c>
      <c r="D161" t="s">
        <v>377</v>
      </c>
      <c r="E161" t="s">
        <v>373</v>
      </c>
      <c r="F161">
        <v>-121.680559</v>
      </c>
      <c r="G161">
        <v>49.236392000000002</v>
      </c>
      <c r="H161">
        <v>71</v>
      </c>
      <c r="I161">
        <v>1.0163999999999999E-2</v>
      </c>
      <c r="J161">
        <v>0.134857</v>
      </c>
      <c r="K161">
        <v>6.3952999999999996E-2</v>
      </c>
    </row>
    <row r="162" spans="1:11" x14ac:dyDescent="0.55000000000000004">
      <c r="A162" t="s">
        <v>539</v>
      </c>
      <c r="B162">
        <v>161</v>
      </c>
      <c r="C162">
        <v>230</v>
      </c>
      <c r="D162" t="s">
        <v>377</v>
      </c>
      <c r="E162" t="s">
        <v>373</v>
      </c>
      <c r="F162">
        <v>-117.615993</v>
      </c>
      <c r="G162">
        <v>49.004674999999999</v>
      </c>
      <c r="H162">
        <v>363</v>
      </c>
      <c r="I162">
        <v>2.6090000000000002E-3</v>
      </c>
      <c r="J162">
        <v>0.150723</v>
      </c>
      <c r="K162">
        <v>5.2854999999999999E-2</v>
      </c>
    </row>
    <row r="163" spans="1:11" x14ac:dyDescent="0.55000000000000004">
      <c r="A163" t="s">
        <v>540</v>
      </c>
      <c r="B163">
        <v>162</v>
      </c>
      <c r="C163">
        <v>230</v>
      </c>
      <c r="D163" t="s">
        <v>377</v>
      </c>
      <c r="E163" t="s">
        <v>388</v>
      </c>
      <c r="F163">
        <v>-117.61312100000001</v>
      </c>
      <c r="G163">
        <v>49.006754000000001</v>
      </c>
      <c r="H163">
        <v>363</v>
      </c>
      <c r="I163">
        <v>2.6090000000000002E-3</v>
      </c>
      <c r="J163">
        <v>0.150723</v>
      </c>
      <c r="K163">
        <v>5.2854999999999999E-2</v>
      </c>
    </row>
    <row r="164" spans="1:11" x14ac:dyDescent="0.55000000000000004">
      <c r="A164" t="s">
        <v>541</v>
      </c>
      <c r="B164">
        <v>163</v>
      </c>
      <c r="C164">
        <v>230</v>
      </c>
      <c r="D164" t="s">
        <v>377</v>
      </c>
      <c r="E164" t="s">
        <v>372</v>
      </c>
      <c r="F164">
        <v>-122.836612</v>
      </c>
      <c r="G164">
        <v>49.190123999999997</v>
      </c>
      <c r="H164">
        <v>22</v>
      </c>
      <c r="I164">
        <v>1.5035E-2</v>
      </c>
      <c r="J164">
        <v>0.12915199999999999</v>
      </c>
      <c r="K164">
        <v>7.8870999999999997E-2</v>
      </c>
    </row>
    <row r="165" spans="1:11" x14ac:dyDescent="0.55000000000000004">
      <c r="A165" t="s">
        <v>542</v>
      </c>
      <c r="B165">
        <v>164</v>
      </c>
      <c r="C165">
        <v>230</v>
      </c>
      <c r="D165" t="s">
        <v>377</v>
      </c>
      <c r="E165" t="s">
        <v>372</v>
      </c>
      <c r="F165">
        <v>-123.026066</v>
      </c>
      <c r="G165">
        <v>49.310017000000002</v>
      </c>
      <c r="H165">
        <v>36</v>
      </c>
      <c r="I165">
        <v>1.5035E-2</v>
      </c>
      <c r="J165">
        <v>0.128168</v>
      </c>
      <c r="K165">
        <v>6.6382999999999998E-2</v>
      </c>
    </row>
    <row r="166" spans="1:11" x14ac:dyDescent="0.55000000000000004">
      <c r="A166" t="s">
        <v>543</v>
      </c>
      <c r="B166">
        <v>165</v>
      </c>
      <c r="C166">
        <v>230</v>
      </c>
      <c r="D166" t="s">
        <v>377</v>
      </c>
      <c r="E166" t="s">
        <v>372</v>
      </c>
      <c r="F166">
        <v>-122.608969</v>
      </c>
      <c r="G166">
        <v>53.850230000000003</v>
      </c>
      <c r="H166">
        <v>684</v>
      </c>
      <c r="I166">
        <v>4.0080000000000003E-3</v>
      </c>
      <c r="J166">
        <v>0.127911</v>
      </c>
      <c r="K166">
        <v>0.16153500000000001</v>
      </c>
    </row>
    <row r="167" spans="1:11" x14ac:dyDescent="0.55000000000000004">
      <c r="A167" t="s">
        <v>544</v>
      </c>
      <c r="B167">
        <v>166</v>
      </c>
      <c r="C167">
        <v>230</v>
      </c>
      <c r="D167" t="s">
        <v>377</v>
      </c>
      <c r="E167" t="s">
        <v>388</v>
      </c>
      <c r="F167">
        <v>-117.739732</v>
      </c>
      <c r="G167">
        <v>49.105168999999997</v>
      </c>
      <c r="H167">
        <v>580</v>
      </c>
      <c r="I167">
        <v>2.6090000000000002E-3</v>
      </c>
      <c r="J167">
        <v>0.15074000000000001</v>
      </c>
      <c r="K167">
        <v>4.6364000000000002E-2</v>
      </c>
    </row>
  </sheetData>
  <autoFilter ref="A1:K167" xr:uid="{EE566C18-F3EC-40E9-9B94-D99D907E09F2}">
    <sortState xmlns:xlrd2="http://schemas.microsoft.com/office/spreadsheetml/2017/richdata2" ref="A2:K167">
      <sortCondition ref="A1:A1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B61-B2BE-41CD-BA70-E595AD358926}">
  <dimension ref="A1:S267"/>
  <sheetViews>
    <sheetView topLeftCell="E1" workbookViewId="0">
      <pane ySplit="1" topLeftCell="A2" activePane="bottomLeft" state="frozen"/>
      <selection pane="bottomLeft" activeCell="K21" sqref="K21"/>
    </sheetView>
  </sheetViews>
  <sheetFormatPr defaultRowHeight="14.4" x14ac:dyDescent="0.55000000000000004"/>
  <cols>
    <col min="1" max="1" width="4.7890625" bestFit="1" customWidth="1"/>
    <col min="2" max="2" width="7.41796875" bestFit="1" customWidth="1"/>
    <col min="3" max="3" width="10.05078125" bestFit="1" customWidth="1"/>
    <col min="4" max="4" width="9.68359375" bestFit="1" customWidth="1"/>
    <col min="5" max="5" width="11.26171875" bestFit="1" customWidth="1"/>
    <col min="6" max="6" width="19.41796875" bestFit="1" customWidth="1"/>
    <col min="7" max="7" width="12.9453125" customWidth="1"/>
    <col min="8" max="8" width="22.15625" bestFit="1" customWidth="1"/>
    <col min="9" max="9" width="15.578125" bestFit="1" customWidth="1"/>
    <col min="10" max="10" width="18.47265625" bestFit="1" customWidth="1"/>
    <col min="11" max="11" width="11.5234375" bestFit="1" customWidth="1"/>
    <col min="12" max="12" width="10.578125" bestFit="1" customWidth="1"/>
    <col min="13" max="13" width="10.20703125" bestFit="1" customWidth="1"/>
    <col min="14" max="19" width="13.3671875" bestFit="1" customWidth="1"/>
  </cols>
  <sheetData>
    <row r="1" spans="1:19" x14ac:dyDescent="0.55000000000000004">
      <c r="A1" t="s">
        <v>0</v>
      </c>
      <c r="B1" t="s">
        <v>1</v>
      </c>
      <c r="C1" t="s">
        <v>363</v>
      </c>
      <c r="D1" t="s">
        <v>366</v>
      </c>
      <c r="E1" t="s">
        <v>365</v>
      </c>
      <c r="F1" t="s">
        <v>555</v>
      </c>
      <c r="G1" t="s">
        <v>556</v>
      </c>
      <c r="H1" t="s">
        <v>575</v>
      </c>
      <c r="I1" t="s">
        <v>589</v>
      </c>
      <c r="J1" t="s">
        <v>590</v>
      </c>
      <c r="K1" t="s">
        <v>712</v>
      </c>
      <c r="L1" t="s">
        <v>596</v>
      </c>
      <c r="M1" t="s">
        <v>6</v>
      </c>
      <c r="N1" t="s">
        <v>3</v>
      </c>
      <c r="O1" t="s">
        <v>4</v>
      </c>
      <c r="P1" t="s">
        <v>353</v>
      </c>
      <c r="Q1" t="s">
        <v>354</v>
      </c>
      <c r="R1" t="s">
        <v>355</v>
      </c>
      <c r="S1" t="s">
        <v>356</v>
      </c>
    </row>
    <row r="2" spans="1:19" x14ac:dyDescent="0.55000000000000004">
      <c r="A2">
        <v>1</v>
      </c>
      <c r="B2">
        <f>VLOOKUP(F2,nodes!$A$1:$L$167,2)</f>
        <v>26</v>
      </c>
      <c r="C2" t="s">
        <v>377</v>
      </c>
      <c r="D2">
        <v>49.493319</v>
      </c>
      <c r="E2">
        <v>-115.362424</v>
      </c>
      <c r="F2" t="s">
        <v>403</v>
      </c>
      <c r="G2" t="s">
        <v>561</v>
      </c>
      <c r="H2">
        <v>8</v>
      </c>
      <c r="I2">
        <f>VLOOKUP(G2,gen_cost!$A$1:$AY$31,15)</f>
        <v>115196</v>
      </c>
      <c r="J2">
        <f>VLOOKUP(G2,gen_cost!$A$1:$AY$31,16)</f>
        <v>5</v>
      </c>
      <c r="K2">
        <f>VLOOKUP(G2,gen_cost!$A$1:$AY$31,21)</f>
        <v>0</v>
      </c>
      <c r="L2">
        <f>VLOOKUP(G2,gen_cost!$A$1:$AY$31,22)</f>
        <v>0</v>
      </c>
      <c r="M2">
        <f t="shared" ref="M2:M65" si="0">H2/100</f>
        <v>0.08</v>
      </c>
      <c r="N2" s="1">
        <f t="shared" ref="N2:N65" si="1">J2</f>
        <v>5</v>
      </c>
      <c r="O2" s="1">
        <f t="shared" ref="O2:S11" si="2">+N2</f>
        <v>5</v>
      </c>
      <c r="P2" s="1">
        <f t="shared" si="2"/>
        <v>5</v>
      </c>
      <c r="Q2" s="1">
        <f t="shared" si="2"/>
        <v>5</v>
      </c>
      <c r="R2" s="1">
        <f t="shared" si="2"/>
        <v>5</v>
      </c>
      <c r="S2" s="1">
        <f t="shared" si="2"/>
        <v>5</v>
      </c>
    </row>
    <row r="3" spans="1:19" x14ac:dyDescent="0.55000000000000004">
      <c r="A3">
        <v>2</v>
      </c>
      <c r="B3">
        <f>VLOOKUP(F3,nodes!$A$1:$L$167,2)</f>
        <v>26</v>
      </c>
      <c r="C3" t="s">
        <v>377</v>
      </c>
      <c r="D3">
        <v>49.493319</v>
      </c>
      <c r="E3">
        <v>-115.362424</v>
      </c>
      <c r="F3" t="s">
        <v>403</v>
      </c>
      <c r="G3" t="s">
        <v>561</v>
      </c>
      <c r="H3">
        <v>8</v>
      </c>
      <c r="I3">
        <f>VLOOKUP(G3,gen_cost!$A$1:$AY$31,15)</f>
        <v>115196</v>
      </c>
      <c r="J3">
        <f>VLOOKUP(G3,gen_cost!$A$1:$AY$31,16)</f>
        <v>5</v>
      </c>
      <c r="K3">
        <f>VLOOKUP(G3,gen_cost!$A$1:$AY$31,21)</f>
        <v>0</v>
      </c>
      <c r="L3">
        <f>VLOOKUP(G3,gen_cost!$A$1:$AY$31,22)</f>
        <v>0</v>
      </c>
      <c r="M3">
        <f t="shared" si="0"/>
        <v>0.08</v>
      </c>
      <c r="N3" s="1">
        <f t="shared" si="1"/>
        <v>5</v>
      </c>
      <c r="O3" s="1">
        <f t="shared" si="2"/>
        <v>5</v>
      </c>
      <c r="P3" s="1">
        <f t="shared" si="2"/>
        <v>5</v>
      </c>
      <c r="Q3" s="1">
        <f t="shared" si="2"/>
        <v>5</v>
      </c>
      <c r="R3" s="1">
        <f t="shared" si="2"/>
        <v>5</v>
      </c>
      <c r="S3" s="1">
        <f t="shared" si="2"/>
        <v>5</v>
      </c>
    </row>
    <row r="4" spans="1:19" x14ac:dyDescent="0.55000000000000004">
      <c r="A4">
        <v>3</v>
      </c>
      <c r="B4">
        <f>VLOOKUP(F4,nodes!$A$1:$L$167,2)</f>
        <v>26</v>
      </c>
      <c r="C4" t="s">
        <v>377</v>
      </c>
      <c r="D4">
        <v>49.493319</v>
      </c>
      <c r="E4">
        <v>-115.362424</v>
      </c>
      <c r="F4" t="s">
        <v>403</v>
      </c>
      <c r="G4" t="s">
        <v>561</v>
      </c>
      <c r="H4">
        <v>8</v>
      </c>
      <c r="I4">
        <f>VLOOKUP(G4,gen_cost!$A$1:$AY$31,15)</f>
        <v>115196</v>
      </c>
      <c r="J4">
        <f>VLOOKUP(G4,gen_cost!$A$1:$AY$31,16)</f>
        <v>5</v>
      </c>
      <c r="K4">
        <f>VLOOKUP(G4,gen_cost!$A$1:$AY$31,21)</f>
        <v>0</v>
      </c>
      <c r="L4">
        <f>VLOOKUP(G4,gen_cost!$A$1:$AY$31,22)</f>
        <v>0</v>
      </c>
      <c r="M4">
        <f t="shared" si="0"/>
        <v>0.08</v>
      </c>
      <c r="N4" s="1">
        <f t="shared" si="1"/>
        <v>5</v>
      </c>
      <c r="O4" s="1">
        <f t="shared" si="2"/>
        <v>5</v>
      </c>
      <c r="P4" s="1">
        <f t="shared" si="2"/>
        <v>5</v>
      </c>
      <c r="Q4" s="1">
        <f t="shared" si="2"/>
        <v>5</v>
      </c>
      <c r="R4" s="1">
        <f t="shared" si="2"/>
        <v>5</v>
      </c>
      <c r="S4" s="1">
        <f t="shared" si="2"/>
        <v>5</v>
      </c>
    </row>
    <row r="5" spans="1:19" x14ac:dyDescent="0.55000000000000004">
      <c r="A5">
        <v>4</v>
      </c>
      <c r="B5">
        <f>VLOOKUP(F5,nodes!$A$1:$L$167,2)</f>
        <v>3</v>
      </c>
      <c r="C5" t="s">
        <v>377</v>
      </c>
      <c r="D5">
        <v>49.343024</v>
      </c>
      <c r="E5">
        <v>-117.768849</v>
      </c>
      <c r="F5" t="s">
        <v>379</v>
      </c>
      <c r="G5" t="s">
        <v>561</v>
      </c>
      <c r="H5">
        <v>92.5</v>
      </c>
      <c r="I5">
        <f>VLOOKUP(G5,gen_cost!$A$1:$AY$31,15)</f>
        <v>115196</v>
      </c>
      <c r="J5">
        <f>VLOOKUP(G5,gen_cost!$A$1:$AY$31,16)</f>
        <v>5</v>
      </c>
      <c r="K5">
        <f>VLOOKUP(G5,gen_cost!$A$1:$AY$31,21)</f>
        <v>0</v>
      </c>
      <c r="L5">
        <f>VLOOKUP(G5,gen_cost!$A$1:$AY$31,22)</f>
        <v>0</v>
      </c>
      <c r="M5">
        <f t="shared" si="0"/>
        <v>0.92500000000000004</v>
      </c>
      <c r="N5" s="1">
        <f t="shared" si="1"/>
        <v>5</v>
      </c>
      <c r="O5" s="1">
        <f t="shared" si="2"/>
        <v>5</v>
      </c>
      <c r="P5" s="1">
        <f t="shared" si="2"/>
        <v>5</v>
      </c>
      <c r="Q5" s="1">
        <f t="shared" si="2"/>
        <v>5</v>
      </c>
      <c r="R5" s="1">
        <f t="shared" si="2"/>
        <v>5</v>
      </c>
      <c r="S5" s="1">
        <f t="shared" si="2"/>
        <v>5</v>
      </c>
    </row>
    <row r="6" spans="1:19" x14ac:dyDescent="0.55000000000000004">
      <c r="A6">
        <v>5</v>
      </c>
      <c r="B6">
        <f>VLOOKUP(F6,nodes!$A$1:$L$167,2)</f>
        <v>3</v>
      </c>
      <c r="C6" t="s">
        <v>377</v>
      </c>
      <c r="D6">
        <v>49.343024</v>
      </c>
      <c r="E6">
        <v>-117.768849</v>
      </c>
      <c r="F6" t="s">
        <v>379</v>
      </c>
      <c r="G6" t="s">
        <v>561</v>
      </c>
      <c r="H6">
        <v>92.5</v>
      </c>
      <c r="I6">
        <f>VLOOKUP(G6,gen_cost!$A$1:$AY$31,15)</f>
        <v>115196</v>
      </c>
      <c r="J6">
        <f>VLOOKUP(G6,gen_cost!$A$1:$AY$31,16)</f>
        <v>5</v>
      </c>
      <c r="K6">
        <f>VLOOKUP(G6,gen_cost!$A$1:$AY$31,21)</f>
        <v>0</v>
      </c>
      <c r="L6">
        <f>VLOOKUP(G6,gen_cost!$A$1:$AY$31,22)</f>
        <v>0</v>
      </c>
      <c r="M6">
        <f t="shared" si="0"/>
        <v>0.92500000000000004</v>
      </c>
      <c r="N6" s="1">
        <f t="shared" si="1"/>
        <v>5</v>
      </c>
      <c r="O6" s="1">
        <f t="shared" si="2"/>
        <v>5</v>
      </c>
      <c r="P6" s="1">
        <f t="shared" si="2"/>
        <v>5</v>
      </c>
      <c r="Q6" s="1">
        <f t="shared" si="2"/>
        <v>5</v>
      </c>
      <c r="R6" s="1">
        <f t="shared" si="2"/>
        <v>5</v>
      </c>
      <c r="S6" s="1">
        <f t="shared" si="2"/>
        <v>5</v>
      </c>
    </row>
    <row r="7" spans="1:19" x14ac:dyDescent="0.55000000000000004">
      <c r="A7">
        <v>6</v>
      </c>
      <c r="B7">
        <f>VLOOKUP(F7,nodes!$A$1:$L$167,2)</f>
        <v>58</v>
      </c>
      <c r="C7" t="s">
        <v>377</v>
      </c>
      <c r="D7">
        <v>50.822699999999998</v>
      </c>
      <c r="E7">
        <v>-118.0295</v>
      </c>
      <c r="F7" t="s">
        <v>435</v>
      </c>
      <c r="G7" t="s">
        <v>563</v>
      </c>
      <c r="H7">
        <v>10</v>
      </c>
      <c r="I7">
        <f>VLOOKUP(G7,gen_cost!$A$1:$AY$31,15)</f>
        <v>66563</v>
      </c>
      <c r="J7">
        <f>VLOOKUP(G7,gen_cost!$A$1:$AY$31,16)</f>
        <v>1</v>
      </c>
      <c r="K7">
        <f>VLOOKUP(G7,gen_cost!$A$1:$AY$31,21)</f>
        <v>0</v>
      </c>
      <c r="L7">
        <f>VLOOKUP(G7,gen_cost!$A$1:$AY$31,22)</f>
        <v>0</v>
      </c>
      <c r="M7">
        <f t="shared" si="0"/>
        <v>0.1</v>
      </c>
      <c r="N7" s="1">
        <f t="shared" si="1"/>
        <v>1</v>
      </c>
      <c r="O7" s="1">
        <f t="shared" si="2"/>
        <v>1</v>
      </c>
      <c r="P7" s="1">
        <f t="shared" si="2"/>
        <v>1</v>
      </c>
      <c r="Q7" s="1">
        <f t="shared" si="2"/>
        <v>1</v>
      </c>
      <c r="R7" s="1">
        <f t="shared" si="2"/>
        <v>1</v>
      </c>
      <c r="S7" s="1">
        <f t="shared" si="2"/>
        <v>1</v>
      </c>
    </row>
    <row r="8" spans="1:19" x14ac:dyDescent="0.55000000000000004">
      <c r="A8">
        <v>7</v>
      </c>
      <c r="B8">
        <f>VLOOKUP(F8,nodes!$A$1:$L$167,2)</f>
        <v>27</v>
      </c>
      <c r="C8" t="s">
        <v>377</v>
      </c>
      <c r="D8">
        <v>49.371009000000001</v>
      </c>
      <c r="E8">
        <v>-122.31242899999999</v>
      </c>
      <c r="F8" t="s">
        <v>404</v>
      </c>
      <c r="G8" t="s">
        <v>561</v>
      </c>
      <c r="H8">
        <v>9</v>
      </c>
      <c r="I8">
        <f>VLOOKUP(G8,gen_cost!$A$1:$AY$31,15)</f>
        <v>115196</v>
      </c>
      <c r="J8">
        <f>VLOOKUP(G8,gen_cost!$A$1:$AY$31,16)</f>
        <v>5</v>
      </c>
      <c r="K8">
        <f>VLOOKUP(G8,gen_cost!$A$1:$AY$31,21)</f>
        <v>0</v>
      </c>
      <c r="L8">
        <f>VLOOKUP(G8,gen_cost!$A$1:$AY$31,22)</f>
        <v>0</v>
      </c>
      <c r="M8">
        <f t="shared" si="0"/>
        <v>0.09</v>
      </c>
      <c r="N8" s="1">
        <f t="shared" si="1"/>
        <v>5</v>
      </c>
      <c r="O8" s="1">
        <f t="shared" si="2"/>
        <v>5</v>
      </c>
      <c r="P8" s="1">
        <f t="shared" si="2"/>
        <v>5</v>
      </c>
      <c r="Q8" s="1">
        <f t="shared" si="2"/>
        <v>5</v>
      </c>
      <c r="R8" s="1">
        <f t="shared" si="2"/>
        <v>5</v>
      </c>
      <c r="S8" s="1">
        <f t="shared" si="2"/>
        <v>5</v>
      </c>
    </row>
    <row r="9" spans="1:19" x14ac:dyDescent="0.55000000000000004">
      <c r="A9">
        <v>8</v>
      </c>
      <c r="B9">
        <f>VLOOKUP(F9,nodes!$A$1:$L$167,2)</f>
        <v>38</v>
      </c>
      <c r="C9" t="s">
        <v>377</v>
      </c>
      <c r="D9">
        <v>49.373362999999998</v>
      </c>
      <c r="E9">
        <v>-125.150629</v>
      </c>
      <c r="F9" t="s">
        <v>415</v>
      </c>
      <c r="G9" t="s">
        <v>561</v>
      </c>
      <c r="H9">
        <v>28</v>
      </c>
      <c r="I9">
        <f>VLOOKUP(G9,gen_cost!$A$1:$AY$31,15)</f>
        <v>115196</v>
      </c>
      <c r="J9">
        <f>VLOOKUP(G9,gen_cost!$A$1:$AY$31,16)</f>
        <v>5</v>
      </c>
      <c r="K9">
        <f>VLOOKUP(G9,gen_cost!$A$1:$AY$31,21)</f>
        <v>0</v>
      </c>
      <c r="L9">
        <f>VLOOKUP(G9,gen_cost!$A$1:$AY$31,22)</f>
        <v>0</v>
      </c>
      <c r="M9">
        <f t="shared" si="0"/>
        <v>0.28000000000000003</v>
      </c>
      <c r="N9" s="1">
        <f t="shared" si="1"/>
        <v>5</v>
      </c>
      <c r="O9" s="1">
        <f t="shared" si="2"/>
        <v>5</v>
      </c>
      <c r="P9" s="1">
        <f t="shared" si="2"/>
        <v>5</v>
      </c>
      <c r="Q9" s="1">
        <f t="shared" si="2"/>
        <v>5</v>
      </c>
      <c r="R9" s="1">
        <f t="shared" si="2"/>
        <v>5</v>
      </c>
      <c r="S9" s="1">
        <f t="shared" si="2"/>
        <v>5</v>
      </c>
    </row>
    <row r="10" spans="1:19" x14ac:dyDescent="0.55000000000000004">
      <c r="A10">
        <v>9</v>
      </c>
      <c r="B10">
        <f>VLOOKUP(F10,nodes!$A$1:$L$167,2)</f>
        <v>6</v>
      </c>
      <c r="C10" t="s">
        <v>377</v>
      </c>
      <c r="D10">
        <v>49.914338000000001</v>
      </c>
      <c r="E10">
        <v>-123.32503199999999</v>
      </c>
      <c r="F10" t="s">
        <v>382</v>
      </c>
      <c r="G10" t="s">
        <v>563</v>
      </c>
      <c r="H10">
        <v>49.9</v>
      </c>
      <c r="I10">
        <f>VLOOKUP(G10,gen_cost!$A$1:$AY$31,15)</f>
        <v>66563</v>
      </c>
      <c r="J10">
        <f>VLOOKUP(G10,gen_cost!$A$1:$AY$31,16)</f>
        <v>1</v>
      </c>
      <c r="K10">
        <f>VLOOKUP(G10,gen_cost!$A$1:$AY$31,21)</f>
        <v>0</v>
      </c>
      <c r="L10">
        <f>VLOOKUP(G10,gen_cost!$A$1:$AY$31,22)</f>
        <v>0</v>
      </c>
      <c r="M10">
        <f t="shared" si="0"/>
        <v>0.499</v>
      </c>
      <c r="N10" s="1">
        <f t="shared" si="1"/>
        <v>1</v>
      </c>
      <c r="O10" s="1">
        <f t="shared" si="2"/>
        <v>1</v>
      </c>
      <c r="P10" s="1">
        <f t="shared" si="2"/>
        <v>1</v>
      </c>
      <c r="Q10" s="1">
        <f t="shared" si="2"/>
        <v>1</v>
      </c>
      <c r="R10" s="1">
        <f t="shared" si="2"/>
        <v>1</v>
      </c>
      <c r="S10" s="1">
        <f t="shared" si="2"/>
        <v>1</v>
      </c>
    </row>
    <row r="11" spans="1:19" x14ac:dyDescent="0.55000000000000004">
      <c r="A11">
        <v>10</v>
      </c>
      <c r="B11">
        <f>VLOOKUP(F11,nodes!$A$1:$L$167,2)</f>
        <v>62</v>
      </c>
      <c r="C11" t="s">
        <v>377</v>
      </c>
      <c r="D11">
        <v>49.811453</v>
      </c>
      <c r="E11">
        <v>-121.458495</v>
      </c>
      <c r="F11" t="s">
        <v>439</v>
      </c>
      <c r="G11" t="s">
        <v>563</v>
      </c>
      <c r="H11">
        <v>9</v>
      </c>
      <c r="I11">
        <f>VLOOKUP(G11,gen_cost!$A$1:$AY$31,15)</f>
        <v>66563</v>
      </c>
      <c r="J11">
        <f>VLOOKUP(G11,gen_cost!$A$1:$AY$31,16)</f>
        <v>1</v>
      </c>
      <c r="K11">
        <f>VLOOKUP(G11,gen_cost!$A$1:$AY$31,21)</f>
        <v>0</v>
      </c>
      <c r="L11">
        <f>VLOOKUP(G11,gen_cost!$A$1:$AY$31,22)</f>
        <v>0</v>
      </c>
      <c r="M11">
        <f t="shared" si="0"/>
        <v>0.09</v>
      </c>
      <c r="N11" s="1">
        <f t="shared" si="1"/>
        <v>1</v>
      </c>
      <c r="O11" s="1">
        <f t="shared" si="2"/>
        <v>1</v>
      </c>
      <c r="P11" s="1">
        <f t="shared" si="2"/>
        <v>1</v>
      </c>
      <c r="Q11" s="1">
        <f t="shared" si="2"/>
        <v>1</v>
      </c>
      <c r="R11" s="1">
        <f t="shared" si="2"/>
        <v>1</v>
      </c>
      <c r="S11" s="1">
        <f t="shared" si="2"/>
        <v>1</v>
      </c>
    </row>
    <row r="12" spans="1:19" x14ac:dyDescent="0.55000000000000004">
      <c r="A12">
        <v>11</v>
      </c>
      <c r="B12">
        <f>VLOOKUP(F12,nodes!$A$1:$L$167,2)</f>
        <v>9</v>
      </c>
      <c r="C12" t="s">
        <v>377</v>
      </c>
      <c r="D12">
        <v>50.635523999999997</v>
      </c>
      <c r="E12">
        <v>-123.405928</v>
      </c>
      <c r="F12" t="s">
        <v>385</v>
      </c>
      <c r="G12" t="s">
        <v>563</v>
      </c>
      <c r="H12">
        <v>25.3</v>
      </c>
      <c r="I12">
        <f>VLOOKUP(G12,gen_cost!$A$1:$AY$31,15)</f>
        <v>66563</v>
      </c>
      <c r="J12">
        <f>VLOOKUP(G12,gen_cost!$A$1:$AY$31,16)</f>
        <v>1</v>
      </c>
      <c r="K12">
        <f>VLOOKUP(G12,gen_cost!$A$1:$AY$31,21)</f>
        <v>0</v>
      </c>
      <c r="L12">
        <f>VLOOKUP(G12,gen_cost!$A$1:$AY$31,22)</f>
        <v>0</v>
      </c>
      <c r="M12">
        <f t="shared" si="0"/>
        <v>0.253</v>
      </c>
      <c r="N12" s="1">
        <f t="shared" si="1"/>
        <v>1</v>
      </c>
      <c r="O12" s="1">
        <f t="shared" ref="O12:S21" si="3">+N12</f>
        <v>1</v>
      </c>
      <c r="P12" s="1">
        <f t="shared" si="3"/>
        <v>1</v>
      </c>
      <c r="Q12" s="1">
        <f t="shared" si="3"/>
        <v>1</v>
      </c>
      <c r="R12" s="1">
        <f t="shared" si="3"/>
        <v>1</v>
      </c>
      <c r="S12" s="1">
        <f t="shared" si="3"/>
        <v>1</v>
      </c>
    </row>
    <row r="13" spans="1:19" x14ac:dyDescent="0.55000000000000004">
      <c r="A13">
        <v>12</v>
      </c>
      <c r="B13">
        <f>VLOOKUP(F13,nodes!$A$1:$L$167,2)</f>
        <v>43</v>
      </c>
      <c r="C13" t="s">
        <v>377</v>
      </c>
      <c r="D13">
        <v>50.057918000000001</v>
      </c>
      <c r="E13">
        <v>-123.131294</v>
      </c>
      <c r="F13" t="s">
        <v>420</v>
      </c>
      <c r="G13" t="s">
        <v>563</v>
      </c>
      <c r="H13">
        <v>7.6</v>
      </c>
      <c r="I13">
        <f>VLOOKUP(G13,gen_cost!$A$1:$AY$31,15)</f>
        <v>66563</v>
      </c>
      <c r="J13">
        <f>VLOOKUP(G13,gen_cost!$A$1:$AY$31,16)</f>
        <v>1</v>
      </c>
      <c r="K13">
        <f>VLOOKUP(G13,gen_cost!$A$1:$AY$31,21)</f>
        <v>0</v>
      </c>
      <c r="L13">
        <f>VLOOKUP(G13,gen_cost!$A$1:$AY$31,22)</f>
        <v>0</v>
      </c>
      <c r="M13">
        <f t="shared" si="0"/>
        <v>7.5999999999999998E-2</v>
      </c>
      <c r="N13" s="1">
        <f t="shared" si="1"/>
        <v>1</v>
      </c>
      <c r="O13" s="1">
        <f t="shared" si="3"/>
        <v>1</v>
      </c>
      <c r="P13" s="1">
        <f t="shared" si="3"/>
        <v>1</v>
      </c>
      <c r="Q13" s="1">
        <f t="shared" si="3"/>
        <v>1</v>
      </c>
      <c r="R13" s="1">
        <f t="shared" si="3"/>
        <v>1</v>
      </c>
      <c r="S13" s="1">
        <f t="shared" si="3"/>
        <v>1</v>
      </c>
    </row>
    <row r="14" spans="1:19" x14ac:dyDescent="0.55000000000000004">
      <c r="A14">
        <v>13</v>
      </c>
      <c r="B14">
        <f>VLOOKUP(F14,nodes!$A$1:$L$167,2)</f>
        <v>6</v>
      </c>
      <c r="C14" t="s">
        <v>377</v>
      </c>
      <c r="D14">
        <v>49.748007999999999</v>
      </c>
      <c r="E14">
        <v>-123.515924</v>
      </c>
      <c r="F14" t="s">
        <v>382</v>
      </c>
      <c r="G14" t="s">
        <v>563</v>
      </c>
      <c r="H14">
        <v>10</v>
      </c>
      <c r="I14">
        <f>VLOOKUP(G14,gen_cost!$A$1:$AY$31,15)</f>
        <v>66563</v>
      </c>
      <c r="J14">
        <f>VLOOKUP(G14,gen_cost!$A$1:$AY$31,16)</f>
        <v>1</v>
      </c>
      <c r="K14">
        <f>VLOOKUP(G14,gen_cost!$A$1:$AY$31,21)</f>
        <v>0</v>
      </c>
      <c r="L14">
        <f>VLOOKUP(G14,gen_cost!$A$1:$AY$31,22)</f>
        <v>0</v>
      </c>
      <c r="M14">
        <f t="shared" si="0"/>
        <v>0.1</v>
      </c>
      <c r="N14" s="1">
        <f t="shared" si="1"/>
        <v>1</v>
      </c>
      <c r="O14" s="1">
        <f t="shared" si="3"/>
        <v>1</v>
      </c>
      <c r="P14" s="1">
        <f t="shared" si="3"/>
        <v>1</v>
      </c>
      <c r="Q14" s="1">
        <f t="shared" si="3"/>
        <v>1</v>
      </c>
      <c r="R14" s="1">
        <f t="shared" si="3"/>
        <v>1</v>
      </c>
      <c r="S14" s="1">
        <f t="shared" si="3"/>
        <v>1</v>
      </c>
    </row>
    <row r="15" spans="1:19" x14ac:dyDescent="0.55000000000000004">
      <c r="A15">
        <v>14</v>
      </c>
      <c r="B15">
        <f>VLOOKUP(F15,nodes!$A$1:$L$167,2)</f>
        <v>6</v>
      </c>
      <c r="C15" t="s">
        <v>377</v>
      </c>
      <c r="D15">
        <v>49.795324000000001</v>
      </c>
      <c r="E15">
        <v>-123.57185</v>
      </c>
      <c r="F15" t="s">
        <v>382</v>
      </c>
      <c r="G15" t="s">
        <v>563</v>
      </c>
      <c r="H15">
        <v>10</v>
      </c>
      <c r="I15">
        <f>VLOOKUP(G15,gen_cost!$A$1:$AY$31,15)</f>
        <v>66563</v>
      </c>
      <c r="J15">
        <f>VLOOKUP(G15,gen_cost!$A$1:$AY$31,16)</f>
        <v>1</v>
      </c>
      <c r="K15">
        <f>VLOOKUP(G15,gen_cost!$A$1:$AY$31,21)</f>
        <v>0</v>
      </c>
      <c r="L15">
        <f>VLOOKUP(G15,gen_cost!$A$1:$AY$31,22)</f>
        <v>0</v>
      </c>
      <c r="M15">
        <f t="shared" si="0"/>
        <v>0.1</v>
      </c>
      <c r="N15" s="1">
        <f t="shared" si="1"/>
        <v>1</v>
      </c>
      <c r="O15" s="1">
        <f t="shared" si="3"/>
        <v>1</v>
      </c>
      <c r="P15" s="1">
        <f t="shared" si="3"/>
        <v>1</v>
      </c>
      <c r="Q15" s="1">
        <f t="shared" si="3"/>
        <v>1</v>
      </c>
      <c r="R15" s="1">
        <f t="shared" si="3"/>
        <v>1</v>
      </c>
      <c r="S15" s="1">
        <f t="shared" si="3"/>
        <v>1</v>
      </c>
    </row>
    <row r="16" spans="1:19" x14ac:dyDescent="0.55000000000000004">
      <c r="A16">
        <v>15</v>
      </c>
      <c r="B16">
        <f>VLOOKUP(F16,nodes!$A$1:$L$167,2)</f>
        <v>14</v>
      </c>
      <c r="C16" t="s">
        <v>377</v>
      </c>
      <c r="D16">
        <v>55.704385000000002</v>
      </c>
      <c r="E16">
        <v>-120.426694</v>
      </c>
      <c r="F16" t="s">
        <v>391</v>
      </c>
      <c r="G16" t="s">
        <v>690</v>
      </c>
      <c r="H16">
        <v>102</v>
      </c>
      <c r="I16">
        <f>VLOOKUP(G16,gen_cost!$A$1:$AY$31,15)</f>
        <v>38532</v>
      </c>
      <c r="J16">
        <f>VLOOKUP(G16,gen_cost!$A$1:$AY$31,16)</f>
        <v>0</v>
      </c>
      <c r="K16">
        <f>VLOOKUP(G16,gen_cost!$A$1:$AY$31,21)</f>
        <v>0</v>
      </c>
      <c r="L16">
        <f>VLOOKUP(G16,gen_cost!$A$1:$AY$31,22)</f>
        <v>0</v>
      </c>
      <c r="M16">
        <f t="shared" si="0"/>
        <v>1.02</v>
      </c>
      <c r="N16" s="1">
        <f t="shared" si="1"/>
        <v>0</v>
      </c>
      <c r="O16" s="1">
        <f t="shared" si="3"/>
        <v>0</v>
      </c>
      <c r="P16" s="1">
        <f t="shared" si="3"/>
        <v>0</v>
      </c>
      <c r="Q16" s="1">
        <f t="shared" si="3"/>
        <v>0</v>
      </c>
      <c r="R16" s="1">
        <f t="shared" si="3"/>
        <v>0</v>
      </c>
      <c r="S16" s="1">
        <f t="shared" si="3"/>
        <v>0</v>
      </c>
    </row>
    <row r="17" spans="1:19" x14ac:dyDescent="0.55000000000000004">
      <c r="A17">
        <v>16</v>
      </c>
      <c r="B17">
        <f>VLOOKUP(F17,nodes!$A$1:$L$167,2)</f>
        <v>80</v>
      </c>
      <c r="C17" t="s">
        <v>377</v>
      </c>
      <c r="D17">
        <v>52.255330000000001</v>
      </c>
      <c r="E17">
        <v>-119.18083</v>
      </c>
      <c r="F17" t="s">
        <v>457</v>
      </c>
      <c r="G17" t="s">
        <v>563</v>
      </c>
      <c r="H17">
        <v>20</v>
      </c>
      <c r="I17">
        <f>VLOOKUP(G17,gen_cost!$A$1:$AY$31,15)</f>
        <v>66563</v>
      </c>
      <c r="J17">
        <f>VLOOKUP(G17,gen_cost!$A$1:$AY$31,16)</f>
        <v>1</v>
      </c>
      <c r="K17">
        <f>VLOOKUP(G17,gen_cost!$A$1:$AY$31,21)</f>
        <v>0</v>
      </c>
      <c r="L17">
        <f>VLOOKUP(G17,gen_cost!$A$1:$AY$31,22)</f>
        <v>0</v>
      </c>
      <c r="M17">
        <f t="shared" si="0"/>
        <v>0.2</v>
      </c>
      <c r="N17" s="1">
        <f t="shared" si="1"/>
        <v>1</v>
      </c>
      <c r="O17" s="1">
        <f t="shared" si="3"/>
        <v>1</v>
      </c>
      <c r="P17" s="1">
        <f t="shared" si="3"/>
        <v>1</v>
      </c>
      <c r="Q17" s="1">
        <f t="shared" si="3"/>
        <v>1</v>
      </c>
      <c r="R17" s="1">
        <f t="shared" si="3"/>
        <v>1</v>
      </c>
      <c r="S17" s="1">
        <f t="shared" si="3"/>
        <v>1</v>
      </c>
    </row>
    <row r="18" spans="1:19" x14ac:dyDescent="0.55000000000000004">
      <c r="A18">
        <v>17</v>
      </c>
      <c r="B18">
        <f>VLOOKUP(F18,nodes!$A$1:$L$167,2)</f>
        <v>63</v>
      </c>
      <c r="C18" t="s">
        <v>377</v>
      </c>
      <c r="D18">
        <v>49.458202</v>
      </c>
      <c r="E18">
        <v>-117.48541</v>
      </c>
      <c r="F18" t="s">
        <v>440</v>
      </c>
      <c r="G18" t="s">
        <v>563</v>
      </c>
      <c r="H18">
        <v>16.2</v>
      </c>
      <c r="I18">
        <f>VLOOKUP(G18,gen_cost!$A$1:$AY$31,15)</f>
        <v>66563</v>
      </c>
      <c r="J18">
        <f>VLOOKUP(G18,gen_cost!$A$1:$AY$31,16)</f>
        <v>1</v>
      </c>
      <c r="K18">
        <f>VLOOKUP(G18,gen_cost!$A$1:$AY$31,21)</f>
        <v>0</v>
      </c>
      <c r="L18">
        <f>VLOOKUP(G18,gen_cost!$A$1:$AY$31,22)</f>
        <v>0</v>
      </c>
      <c r="M18">
        <f t="shared" si="0"/>
        <v>0.16200000000000001</v>
      </c>
      <c r="N18" s="1">
        <f t="shared" si="1"/>
        <v>1</v>
      </c>
      <c r="O18" s="1">
        <f t="shared" si="3"/>
        <v>1</v>
      </c>
      <c r="P18" s="1">
        <f t="shared" si="3"/>
        <v>1</v>
      </c>
      <c r="Q18" s="1">
        <f t="shared" si="3"/>
        <v>1</v>
      </c>
      <c r="R18" s="1">
        <f t="shared" si="3"/>
        <v>1</v>
      </c>
      <c r="S18" s="1">
        <f t="shared" si="3"/>
        <v>1</v>
      </c>
    </row>
    <row r="19" spans="1:19" x14ac:dyDescent="0.55000000000000004">
      <c r="A19">
        <v>18</v>
      </c>
      <c r="B19">
        <f>VLOOKUP(F19,nodes!$A$1:$L$167,2)</f>
        <v>54</v>
      </c>
      <c r="C19" t="s">
        <v>377</v>
      </c>
      <c r="D19">
        <v>49.584991000000002</v>
      </c>
      <c r="E19">
        <v>-123.393505</v>
      </c>
      <c r="F19" t="s">
        <v>431</v>
      </c>
      <c r="G19" t="s">
        <v>563</v>
      </c>
      <c r="H19">
        <v>14.7</v>
      </c>
      <c r="I19">
        <f>VLOOKUP(G19,gen_cost!$A$1:$AY$31,15)</f>
        <v>66563</v>
      </c>
      <c r="J19">
        <f>VLOOKUP(G19,gen_cost!$A$1:$AY$31,16)</f>
        <v>1</v>
      </c>
      <c r="K19">
        <f>VLOOKUP(G19,gen_cost!$A$1:$AY$31,21)</f>
        <v>0</v>
      </c>
      <c r="L19">
        <f>VLOOKUP(G19,gen_cost!$A$1:$AY$31,22)</f>
        <v>0</v>
      </c>
      <c r="M19">
        <f t="shared" si="0"/>
        <v>0.14699999999999999</v>
      </c>
      <c r="N19" s="1">
        <f t="shared" si="1"/>
        <v>1</v>
      </c>
      <c r="O19" s="1">
        <f t="shared" si="3"/>
        <v>1</v>
      </c>
      <c r="P19" s="1">
        <f t="shared" si="3"/>
        <v>1</v>
      </c>
      <c r="Q19" s="1">
        <f t="shared" si="3"/>
        <v>1</v>
      </c>
      <c r="R19" s="1">
        <f t="shared" si="3"/>
        <v>1</v>
      </c>
      <c r="S19" s="1">
        <f t="shared" si="3"/>
        <v>1</v>
      </c>
    </row>
    <row r="20" spans="1:19" x14ac:dyDescent="0.55000000000000004">
      <c r="A20">
        <v>19</v>
      </c>
      <c r="B20">
        <f>VLOOKUP(F20,nodes!$A$1:$L$167,2)</f>
        <v>18</v>
      </c>
      <c r="C20" t="s">
        <v>377</v>
      </c>
      <c r="D20">
        <v>50.729849999999999</v>
      </c>
      <c r="E20">
        <v>-122.240038</v>
      </c>
      <c r="F20" t="s">
        <v>395</v>
      </c>
      <c r="G20" t="s">
        <v>561</v>
      </c>
      <c r="H20">
        <v>52</v>
      </c>
      <c r="I20">
        <f>VLOOKUP(G20,gen_cost!$A$1:$AY$31,15)</f>
        <v>115196</v>
      </c>
      <c r="J20">
        <f>VLOOKUP(G20,gen_cost!$A$1:$AY$31,16)</f>
        <v>5</v>
      </c>
      <c r="K20">
        <f>VLOOKUP(G20,gen_cost!$A$1:$AY$31,21)</f>
        <v>0</v>
      </c>
      <c r="L20">
        <f>VLOOKUP(G20,gen_cost!$A$1:$AY$31,22)</f>
        <v>0</v>
      </c>
      <c r="M20">
        <f t="shared" si="0"/>
        <v>0.52</v>
      </c>
      <c r="N20" s="1">
        <f t="shared" si="1"/>
        <v>5</v>
      </c>
      <c r="O20" s="1">
        <f t="shared" si="3"/>
        <v>5</v>
      </c>
      <c r="P20" s="1">
        <f t="shared" si="3"/>
        <v>5</v>
      </c>
      <c r="Q20" s="1">
        <f t="shared" si="3"/>
        <v>5</v>
      </c>
      <c r="R20" s="1">
        <f t="shared" si="3"/>
        <v>5</v>
      </c>
      <c r="S20" s="1">
        <f t="shared" si="3"/>
        <v>5</v>
      </c>
    </row>
    <row r="21" spans="1:19" x14ac:dyDescent="0.55000000000000004">
      <c r="A21">
        <v>20</v>
      </c>
      <c r="B21">
        <f>VLOOKUP(F21,nodes!$A$1:$L$167,2)</f>
        <v>18</v>
      </c>
      <c r="C21" t="s">
        <v>377</v>
      </c>
      <c r="D21">
        <v>50.729849999999999</v>
      </c>
      <c r="E21">
        <v>-122.240038</v>
      </c>
      <c r="F21" t="s">
        <v>395</v>
      </c>
      <c r="G21" t="s">
        <v>561</v>
      </c>
      <c r="H21">
        <v>52</v>
      </c>
      <c r="I21">
        <f>VLOOKUP(G21,gen_cost!$A$1:$AY$31,15)</f>
        <v>115196</v>
      </c>
      <c r="J21">
        <f>VLOOKUP(G21,gen_cost!$A$1:$AY$31,16)</f>
        <v>5</v>
      </c>
      <c r="K21">
        <f>VLOOKUP(G21,gen_cost!$A$1:$AY$31,21)</f>
        <v>0</v>
      </c>
      <c r="L21">
        <f>VLOOKUP(G21,gen_cost!$A$1:$AY$31,22)</f>
        <v>0</v>
      </c>
      <c r="M21">
        <f t="shared" si="0"/>
        <v>0.52</v>
      </c>
      <c r="N21" s="1">
        <f t="shared" si="1"/>
        <v>5</v>
      </c>
      <c r="O21" s="1">
        <f t="shared" si="3"/>
        <v>5</v>
      </c>
      <c r="P21" s="1">
        <f t="shared" si="3"/>
        <v>5</v>
      </c>
      <c r="Q21" s="1">
        <f t="shared" si="3"/>
        <v>5</v>
      </c>
      <c r="R21" s="1">
        <f t="shared" si="3"/>
        <v>5</v>
      </c>
      <c r="S21" s="1">
        <f t="shared" si="3"/>
        <v>5</v>
      </c>
    </row>
    <row r="22" spans="1:19" x14ac:dyDescent="0.55000000000000004">
      <c r="A22">
        <v>21</v>
      </c>
      <c r="B22">
        <f>VLOOKUP(F22,nodes!$A$1:$L$167,2)</f>
        <v>18</v>
      </c>
      <c r="C22" t="s">
        <v>377</v>
      </c>
      <c r="D22">
        <v>50.729849999999999</v>
      </c>
      <c r="E22">
        <v>-122.240038</v>
      </c>
      <c r="F22" t="s">
        <v>395</v>
      </c>
      <c r="G22" t="s">
        <v>561</v>
      </c>
      <c r="H22">
        <v>52</v>
      </c>
      <c r="I22">
        <f>VLOOKUP(G22,gen_cost!$A$1:$AY$31,15)</f>
        <v>115196</v>
      </c>
      <c r="J22">
        <f>VLOOKUP(G22,gen_cost!$A$1:$AY$31,16)</f>
        <v>5</v>
      </c>
      <c r="K22">
        <f>VLOOKUP(G22,gen_cost!$A$1:$AY$31,21)</f>
        <v>0</v>
      </c>
      <c r="L22">
        <f>VLOOKUP(G22,gen_cost!$A$1:$AY$31,22)</f>
        <v>0</v>
      </c>
      <c r="M22">
        <f t="shared" si="0"/>
        <v>0.52</v>
      </c>
      <c r="N22" s="1">
        <f t="shared" si="1"/>
        <v>5</v>
      </c>
      <c r="O22" s="1">
        <f t="shared" ref="O22:S31" si="4">+N22</f>
        <v>5</v>
      </c>
      <c r="P22" s="1">
        <f t="shared" si="4"/>
        <v>5</v>
      </c>
      <c r="Q22" s="1">
        <f t="shared" si="4"/>
        <v>5</v>
      </c>
      <c r="R22" s="1">
        <f t="shared" si="4"/>
        <v>5</v>
      </c>
      <c r="S22" s="1">
        <f t="shared" si="4"/>
        <v>5</v>
      </c>
    </row>
    <row r="23" spans="1:19" x14ac:dyDescent="0.55000000000000004">
      <c r="A23">
        <v>22</v>
      </c>
      <c r="B23">
        <f>VLOOKUP(F23,nodes!$A$1:$L$167,2)</f>
        <v>18</v>
      </c>
      <c r="C23" t="s">
        <v>377</v>
      </c>
      <c r="D23">
        <v>50.729849999999999</v>
      </c>
      <c r="E23">
        <v>-122.240038</v>
      </c>
      <c r="F23" t="s">
        <v>395</v>
      </c>
      <c r="G23" t="s">
        <v>561</v>
      </c>
      <c r="H23">
        <v>52</v>
      </c>
      <c r="I23">
        <f>VLOOKUP(G23,gen_cost!$A$1:$AY$31,15)</f>
        <v>115196</v>
      </c>
      <c r="J23">
        <f>VLOOKUP(G23,gen_cost!$A$1:$AY$31,16)</f>
        <v>5</v>
      </c>
      <c r="K23">
        <f>VLOOKUP(G23,gen_cost!$A$1:$AY$31,21)</f>
        <v>0</v>
      </c>
      <c r="L23">
        <f>VLOOKUP(G23,gen_cost!$A$1:$AY$31,22)</f>
        <v>0</v>
      </c>
      <c r="M23">
        <f t="shared" si="0"/>
        <v>0.52</v>
      </c>
      <c r="N23" s="1">
        <f t="shared" si="1"/>
        <v>5</v>
      </c>
      <c r="O23" s="1">
        <f t="shared" si="4"/>
        <v>5</v>
      </c>
      <c r="P23" s="1">
        <f t="shared" si="4"/>
        <v>5</v>
      </c>
      <c r="Q23" s="1">
        <f t="shared" si="4"/>
        <v>5</v>
      </c>
      <c r="R23" s="1">
        <f t="shared" si="4"/>
        <v>5</v>
      </c>
      <c r="S23" s="1">
        <f t="shared" si="4"/>
        <v>5</v>
      </c>
    </row>
    <row r="24" spans="1:19" x14ac:dyDescent="0.55000000000000004">
      <c r="A24">
        <v>23</v>
      </c>
      <c r="B24">
        <f>VLOOKUP(F24,nodes!$A$1:$L$167,2)</f>
        <v>19</v>
      </c>
      <c r="C24" t="s">
        <v>377</v>
      </c>
      <c r="D24">
        <v>50.729849999999999</v>
      </c>
      <c r="E24">
        <v>-122.240038</v>
      </c>
      <c r="F24" t="s">
        <v>396</v>
      </c>
      <c r="G24" t="s">
        <v>561</v>
      </c>
      <c r="H24">
        <v>75</v>
      </c>
      <c r="I24">
        <f>VLOOKUP(G24,gen_cost!$A$1:$AY$31,15)</f>
        <v>115196</v>
      </c>
      <c r="J24">
        <f>VLOOKUP(G24,gen_cost!$A$1:$AY$31,16)</f>
        <v>5</v>
      </c>
      <c r="K24">
        <f>VLOOKUP(G24,gen_cost!$A$1:$AY$31,21)</f>
        <v>0</v>
      </c>
      <c r="L24">
        <f>VLOOKUP(G24,gen_cost!$A$1:$AY$31,22)</f>
        <v>0</v>
      </c>
      <c r="M24">
        <f t="shared" si="0"/>
        <v>0.75</v>
      </c>
      <c r="N24" s="1">
        <f t="shared" si="1"/>
        <v>5</v>
      </c>
      <c r="O24" s="1">
        <f t="shared" si="4"/>
        <v>5</v>
      </c>
      <c r="P24" s="1">
        <f t="shared" si="4"/>
        <v>5</v>
      </c>
      <c r="Q24" s="1">
        <f t="shared" si="4"/>
        <v>5</v>
      </c>
      <c r="R24" s="1">
        <f t="shared" si="4"/>
        <v>5</v>
      </c>
      <c r="S24" s="1">
        <f t="shared" si="4"/>
        <v>5</v>
      </c>
    </row>
    <row r="25" spans="1:19" x14ac:dyDescent="0.55000000000000004">
      <c r="A25">
        <v>24</v>
      </c>
      <c r="B25">
        <f>VLOOKUP(F25,nodes!$A$1:$L$167,2)</f>
        <v>19</v>
      </c>
      <c r="C25" t="s">
        <v>377</v>
      </c>
      <c r="D25">
        <v>50.729849999999999</v>
      </c>
      <c r="E25">
        <v>-122.240038</v>
      </c>
      <c r="F25" t="s">
        <v>396</v>
      </c>
      <c r="G25" t="s">
        <v>561</v>
      </c>
      <c r="H25">
        <v>75</v>
      </c>
      <c r="I25">
        <f>VLOOKUP(G25,gen_cost!$A$1:$AY$31,15)</f>
        <v>115196</v>
      </c>
      <c r="J25">
        <f>VLOOKUP(G25,gen_cost!$A$1:$AY$31,16)</f>
        <v>5</v>
      </c>
      <c r="K25">
        <f>VLOOKUP(G25,gen_cost!$A$1:$AY$31,21)</f>
        <v>0</v>
      </c>
      <c r="L25">
        <f>VLOOKUP(G25,gen_cost!$A$1:$AY$31,22)</f>
        <v>0</v>
      </c>
      <c r="M25">
        <f t="shared" si="0"/>
        <v>0.75</v>
      </c>
      <c r="N25" s="1">
        <f t="shared" si="1"/>
        <v>5</v>
      </c>
      <c r="O25" s="1">
        <f t="shared" si="4"/>
        <v>5</v>
      </c>
      <c r="P25" s="1">
        <f t="shared" si="4"/>
        <v>5</v>
      </c>
      <c r="Q25" s="1">
        <f t="shared" si="4"/>
        <v>5</v>
      </c>
      <c r="R25" s="1">
        <f t="shared" si="4"/>
        <v>5</v>
      </c>
      <c r="S25" s="1">
        <f t="shared" si="4"/>
        <v>5</v>
      </c>
    </row>
    <row r="26" spans="1:19" x14ac:dyDescent="0.55000000000000004">
      <c r="A26">
        <v>25</v>
      </c>
      <c r="B26">
        <f>VLOOKUP(F26,nodes!$A$1:$L$167,2)</f>
        <v>19</v>
      </c>
      <c r="C26" t="s">
        <v>377</v>
      </c>
      <c r="D26">
        <v>50.729849999999999</v>
      </c>
      <c r="E26">
        <v>-122.240038</v>
      </c>
      <c r="F26" t="s">
        <v>396</v>
      </c>
      <c r="G26" t="s">
        <v>561</v>
      </c>
      <c r="H26">
        <v>75</v>
      </c>
      <c r="I26">
        <f>VLOOKUP(G26,gen_cost!$A$1:$AY$31,15)</f>
        <v>115196</v>
      </c>
      <c r="J26">
        <f>VLOOKUP(G26,gen_cost!$A$1:$AY$31,16)</f>
        <v>5</v>
      </c>
      <c r="K26">
        <f>VLOOKUP(G26,gen_cost!$A$1:$AY$31,21)</f>
        <v>0</v>
      </c>
      <c r="L26">
        <f>VLOOKUP(G26,gen_cost!$A$1:$AY$31,22)</f>
        <v>0</v>
      </c>
      <c r="M26">
        <f t="shared" si="0"/>
        <v>0.75</v>
      </c>
      <c r="N26" s="1">
        <f t="shared" si="1"/>
        <v>5</v>
      </c>
      <c r="O26" s="1">
        <f t="shared" si="4"/>
        <v>5</v>
      </c>
      <c r="P26" s="1">
        <f t="shared" si="4"/>
        <v>5</v>
      </c>
      <c r="Q26" s="1">
        <f t="shared" si="4"/>
        <v>5</v>
      </c>
      <c r="R26" s="1">
        <f t="shared" si="4"/>
        <v>5</v>
      </c>
      <c r="S26" s="1">
        <f t="shared" si="4"/>
        <v>5</v>
      </c>
    </row>
    <row r="27" spans="1:19" x14ac:dyDescent="0.55000000000000004">
      <c r="A27">
        <v>26</v>
      </c>
      <c r="B27">
        <f>VLOOKUP(F27,nodes!$A$1:$L$167,2)</f>
        <v>19</v>
      </c>
      <c r="C27" t="s">
        <v>377</v>
      </c>
      <c r="D27">
        <v>50.729849999999999</v>
      </c>
      <c r="E27">
        <v>-122.240038</v>
      </c>
      <c r="F27" t="s">
        <v>396</v>
      </c>
      <c r="G27" t="s">
        <v>561</v>
      </c>
      <c r="H27">
        <v>75</v>
      </c>
      <c r="I27">
        <f>VLOOKUP(G27,gen_cost!$A$1:$AY$31,15)</f>
        <v>115196</v>
      </c>
      <c r="J27">
        <f>VLOOKUP(G27,gen_cost!$A$1:$AY$31,16)</f>
        <v>5</v>
      </c>
      <c r="K27">
        <f>VLOOKUP(G27,gen_cost!$A$1:$AY$31,21)</f>
        <v>0</v>
      </c>
      <c r="L27">
        <f>VLOOKUP(G27,gen_cost!$A$1:$AY$31,22)</f>
        <v>0</v>
      </c>
      <c r="M27">
        <f t="shared" si="0"/>
        <v>0.75</v>
      </c>
      <c r="N27" s="1">
        <f t="shared" si="1"/>
        <v>5</v>
      </c>
      <c r="O27" s="1">
        <f t="shared" si="4"/>
        <v>5</v>
      </c>
      <c r="P27" s="1">
        <f t="shared" si="4"/>
        <v>5</v>
      </c>
      <c r="Q27" s="1">
        <f t="shared" si="4"/>
        <v>5</v>
      </c>
      <c r="R27" s="1">
        <f t="shared" si="4"/>
        <v>5</v>
      </c>
      <c r="S27" s="1">
        <f t="shared" si="4"/>
        <v>5</v>
      </c>
    </row>
    <row r="28" spans="1:19" x14ac:dyDescent="0.55000000000000004">
      <c r="A28">
        <v>27</v>
      </c>
      <c r="B28">
        <f>VLOOKUP(F28,nodes!$A$1:$L$167,2)</f>
        <v>46</v>
      </c>
      <c r="C28" t="s">
        <v>377</v>
      </c>
      <c r="D28">
        <v>49.927833999999997</v>
      </c>
      <c r="E28">
        <v>-126.760347</v>
      </c>
      <c r="F28" t="s">
        <v>423</v>
      </c>
      <c r="G28" t="s">
        <v>563</v>
      </c>
      <c r="H28">
        <v>4</v>
      </c>
      <c r="I28">
        <f>VLOOKUP(G28,gen_cost!$A$1:$AY$31,15)</f>
        <v>66563</v>
      </c>
      <c r="J28">
        <f>VLOOKUP(G28,gen_cost!$A$1:$AY$31,16)</f>
        <v>1</v>
      </c>
      <c r="K28">
        <f>VLOOKUP(G28,gen_cost!$A$1:$AY$31,21)</f>
        <v>0</v>
      </c>
      <c r="L28">
        <f>VLOOKUP(G28,gen_cost!$A$1:$AY$31,22)</f>
        <v>0</v>
      </c>
      <c r="M28">
        <f t="shared" si="0"/>
        <v>0.04</v>
      </c>
      <c r="N28" s="1">
        <f t="shared" si="1"/>
        <v>1</v>
      </c>
      <c r="O28" s="1">
        <f t="shared" si="4"/>
        <v>1</v>
      </c>
      <c r="P28" s="1">
        <f t="shared" si="4"/>
        <v>1</v>
      </c>
      <c r="Q28" s="1">
        <f t="shared" si="4"/>
        <v>1</v>
      </c>
      <c r="R28" s="1">
        <f t="shared" si="4"/>
        <v>1</v>
      </c>
      <c r="S28" s="1">
        <f t="shared" si="4"/>
        <v>1</v>
      </c>
    </row>
    <row r="29" spans="1:19" x14ac:dyDescent="0.55000000000000004">
      <c r="A29">
        <v>28</v>
      </c>
      <c r="B29">
        <f>VLOOKUP(F29,nodes!$A$1:$L$167,2)</f>
        <v>21</v>
      </c>
      <c r="C29" t="s">
        <v>377</v>
      </c>
      <c r="D29">
        <v>49.32488</v>
      </c>
      <c r="E29">
        <v>-117.620653</v>
      </c>
      <c r="F29" t="s">
        <v>398</v>
      </c>
      <c r="G29" t="s">
        <v>561</v>
      </c>
      <c r="H29">
        <v>37.5</v>
      </c>
      <c r="I29">
        <f>VLOOKUP(G29,gen_cost!$A$1:$AY$31,15)</f>
        <v>115196</v>
      </c>
      <c r="J29">
        <f>VLOOKUP(G29,gen_cost!$A$1:$AY$31,16)</f>
        <v>5</v>
      </c>
      <c r="K29">
        <f>VLOOKUP(G29,gen_cost!$A$1:$AY$31,21)</f>
        <v>0</v>
      </c>
      <c r="L29">
        <f>VLOOKUP(G29,gen_cost!$A$1:$AY$31,22)</f>
        <v>0</v>
      </c>
      <c r="M29">
        <f t="shared" si="0"/>
        <v>0.375</v>
      </c>
      <c r="N29" s="1">
        <f t="shared" si="1"/>
        <v>5</v>
      </c>
      <c r="O29" s="1">
        <f t="shared" si="4"/>
        <v>5</v>
      </c>
      <c r="P29" s="1">
        <f t="shared" si="4"/>
        <v>5</v>
      </c>
      <c r="Q29" s="1">
        <f t="shared" si="4"/>
        <v>5</v>
      </c>
      <c r="R29" s="1">
        <f t="shared" si="4"/>
        <v>5</v>
      </c>
      <c r="S29" s="1">
        <f t="shared" si="4"/>
        <v>5</v>
      </c>
    </row>
    <row r="30" spans="1:19" x14ac:dyDescent="0.55000000000000004">
      <c r="A30">
        <v>29</v>
      </c>
      <c r="B30">
        <f>VLOOKUP(F30,nodes!$A$1:$L$167,2)</f>
        <v>21</v>
      </c>
      <c r="C30" t="s">
        <v>377</v>
      </c>
      <c r="D30">
        <v>49.32488</v>
      </c>
      <c r="E30">
        <v>-117.620653</v>
      </c>
      <c r="F30" t="s">
        <v>398</v>
      </c>
      <c r="G30" t="s">
        <v>561</v>
      </c>
      <c r="H30">
        <v>37.5</v>
      </c>
      <c r="I30">
        <f>VLOOKUP(G30,gen_cost!$A$1:$AY$31,15)</f>
        <v>115196</v>
      </c>
      <c r="J30">
        <f>VLOOKUP(G30,gen_cost!$A$1:$AY$31,16)</f>
        <v>5</v>
      </c>
      <c r="K30">
        <f>VLOOKUP(G30,gen_cost!$A$1:$AY$31,21)</f>
        <v>0</v>
      </c>
      <c r="L30">
        <f>VLOOKUP(G30,gen_cost!$A$1:$AY$31,22)</f>
        <v>0</v>
      </c>
      <c r="M30">
        <f t="shared" si="0"/>
        <v>0.375</v>
      </c>
      <c r="N30" s="1">
        <f t="shared" si="1"/>
        <v>5</v>
      </c>
      <c r="O30" s="1">
        <f t="shared" si="4"/>
        <v>5</v>
      </c>
      <c r="P30" s="1">
        <f t="shared" si="4"/>
        <v>5</v>
      </c>
      <c r="Q30" s="1">
        <f t="shared" si="4"/>
        <v>5</v>
      </c>
      <c r="R30" s="1">
        <f t="shared" si="4"/>
        <v>5</v>
      </c>
      <c r="S30" s="1">
        <f t="shared" si="4"/>
        <v>5</v>
      </c>
    </row>
    <row r="31" spans="1:19" x14ac:dyDescent="0.55000000000000004">
      <c r="A31">
        <v>30</v>
      </c>
      <c r="B31">
        <f>VLOOKUP(F31,nodes!$A$1:$L$167,2)</f>
        <v>21</v>
      </c>
      <c r="C31" t="s">
        <v>377</v>
      </c>
      <c r="D31">
        <v>49.32488</v>
      </c>
      <c r="E31">
        <v>-117.620653</v>
      </c>
      <c r="F31" t="s">
        <v>398</v>
      </c>
      <c r="G31" t="s">
        <v>561</v>
      </c>
      <c r="H31">
        <v>37.5</v>
      </c>
      <c r="I31">
        <f>VLOOKUP(G31,gen_cost!$A$1:$AY$31,15)</f>
        <v>115196</v>
      </c>
      <c r="J31">
        <f>VLOOKUP(G31,gen_cost!$A$1:$AY$31,16)</f>
        <v>5</v>
      </c>
      <c r="K31">
        <f>VLOOKUP(G31,gen_cost!$A$1:$AY$31,21)</f>
        <v>0</v>
      </c>
      <c r="L31">
        <f>VLOOKUP(G31,gen_cost!$A$1:$AY$31,22)</f>
        <v>0</v>
      </c>
      <c r="M31">
        <f t="shared" si="0"/>
        <v>0.375</v>
      </c>
      <c r="N31" s="1">
        <f t="shared" si="1"/>
        <v>5</v>
      </c>
      <c r="O31" s="1">
        <f t="shared" si="4"/>
        <v>5</v>
      </c>
      <c r="P31" s="1">
        <f t="shared" si="4"/>
        <v>5</v>
      </c>
      <c r="Q31" s="1">
        <f t="shared" si="4"/>
        <v>5</v>
      </c>
      <c r="R31" s="1">
        <f t="shared" si="4"/>
        <v>5</v>
      </c>
      <c r="S31" s="1">
        <f t="shared" si="4"/>
        <v>5</v>
      </c>
    </row>
    <row r="32" spans="1:19" x14ac:dyDescent="0.55000000000000004">
      <c r="A32">
        <v>31</v>
      </c>
      <c r="B32">
        <f>VLOOKUP(F32,nodes!$A$1:$L$167,2)</f>
        <v>21</v>
      </c>
      <c r="C32" t="s">
        <v>377</v>
      </c>
      <c r="D32">
        <v>49.32488</v>
      </c>
      <c r="E32">
        <v>-117.620653</v>
      </c>
      <c r="F32" t="s">
        <v>398</v>
      </c>
      <c r="G32" t="s">
        <v>561</v>
      </c>
      <c r="H32">
        <v>37.5</v>
      </c>
      <c r="I32">
        <f>VLOOKUP(G32,gen_cost!$A$1:$AY$31,15)</f>
        <v>115196</v>
      </c>
      <c r="J32">
        <f>VLOOKUP(G32,gen_cost!$A$1:$AY$31,16)</f>
        <v>5</v>
      </c>
      <c r="K32">
        <f>VLOOKUP(G32,gen_cost!$A$1:$AY$31,21)</f>
        <v>0</v>
      </c>
      <c r="L32">
        <f>VLOOKUP(G32,gen_cost!$A$1:$AY$31,22)</f>
        <v>0</v>
      </c>
      <c r="M32">
        <f t="shared" si="0"/>
        <v>0.375</v>
      </c>
      <c r="N32" s="1">
        <f t="shared" si="1"/>
        <v>5</v>
      </c>
      <c r="O32" s="1">
        <f t="shared" ref="O32:S41" si="5">+N32</f>
        <v>5</v>
      </c>
      <c r="P32" s="1">
        <f t="shared" si="5"/>
        <v>5</v>
      </c>
      <c r="Q32" s="1">
        <f t="shared" si="5"/>
        <v>5</v>
      </c>
      <c r="R32" s="1">
        <f t="shared" si="5"/>
        <v>5</v>
      </c>
      <c r="S32" s="1">
        <f t="shared" si="5"/>
        <v>5</v>
      </c>
    </row>
    <row r="33" spans="1:19" x14ac:dyDescent="0.55000000000000004">
      <c r="A33">
        <v>32</v>
      </c>
      <c r="B33">
        <f>VLOOKUP(F33,nodes!$A$1:$L$167,2)</f>
        <v>152</v>
      </c>
      <c r="C33" t="s">
        <v>377</v>
      </c>
      <c r="D33">
        <v>49.669291000000001</v>
      </c>
      <c r="E33">
        <v>-122.015649</v>
      </c>
      <c r="F33" t="s">
        <v>530</v>
      </c>
      <c r="G33" t="s">
        <v>563</v>
      </c>
      <c r="H33">
        <v>27.5</v>
      </c>
      <c r="I33">
        <f>VLOOKUP(G33,gen_cost!$A$1:$AY$31,15)</f>
        <v>66563</v>
      </c>
      <c r="J33">
        <f>VLOOKUP(G33,gen_cost!$A$1:$AY$31,16)</f>
        <v>1</v>
      </c>
      <c r="K33">
        <f>VLOOKUP(G33,gen_cost!$A$1:$AY$31,21)</f>
        <v>0</v>
      </c>
      <c r="L33">
        <f>VLOOKUP(G33,gen_cost!$A$1:$AY$31,22)</f>
        <v>0</v>
      </c>
      <c r="M33">
        <f t="shared" si="0"/>
        <v>0.27500000000000002</v>
      </c>
      <c r="N33" s="1">
        <f t="shared" si="1"/>
        <v>1</v>
      </c>
      <c r="O33" s="1">
        <f t="shared" si="5"/>
        <v>1</v>
      </c>
      <c r="P33" s="1">
        <f t="shared" si="5"/>
        <v>1</v>
      </c>
      <c r="Q33" s="1">
        <f t="shared" si="5"/>
        <v>1</v>
      </c>
      <c r="R33" s="1">
        <f t="shared" si="5"/>
        <v>1</v>
      </c>
      <c r="S33" s="1">
        <f t="shared" si="5"/>
        <v>1</v>
      </c>
    </row>
    <row r="34" spans="1:19" x14ac:dyDescent="0.55000000000000004">
      <c r="A34">
        <v>33</v>
      </c>
      <c r="B34">
        <f>VLOOKUP(F34,nodes!$A$1:$L$167,2)</f>
        <v>119</v>
      </c>
      <c r="C34" t="s">
        <v>377</v>
      </c>
      <c r="D34">
        <v>54.027182000000003</v>
      </c>
      <c r="E34">
        <v>-129.84375800000001</v>
      </c>
      <c r="F34" t="s">
        <v>497</v>
      </c>
      <c r="G34" t="s">
        <v>561</v>
      </c>
      <c r="H34">
        <v>7.2</v>
      </c>
      <c r="I34">
        <f>VLOOKUP(G34,gen_cost!$A$1:$AY$31,15)</f>
        <v>115196</v>
      </c>
      <c r="J34">
        <f>VLOOKUP(G34,gen_cost!$A$1:$AY$31,16)</f>
        <v>5</v>
      </c>
      <c r="K34">
        <f>VLOOKUP(G34,gen_cost!$A$1:$AY$31,21)</f>
        <v>0</v>
      </c>
      <c r="L34">
        <f>VLOOKUP(G34,gen_cost!$A$1:$AY$31,22)</f>
        <v>0</v>
      </c>
      <c r="M34">
        <f t="shared" si="0"/>
        <v>7.2000000000000008E-2</v>
      </c>
      <c r="N34" s="1">
        <f t="shared" si="1"/>
        <v>5</v>
      </c>
      <c r="O34" s="1">
        <f t="shared" si="5"/>
        <v>5</v>
      </c>
      <c r="P34" s="1">
        <f t="shared" si="5"/>
        <v>5</v>
      </c>
      <c r="Q34" s="1">
        <f t="shared" si="5"/>
        <v>5</v>
      </c>
      <c r="R34" s="1">
        <f t="shared" si="5"/>
        <v>5</v>
      </c>
      <c r="S34" s="1">
        <f t="shared" si="5"/>
        <v>5</v>
      </c>
    </row>
    <row r="35" spans="1:19" x14ac:dyDescent="0.55000000000000004">
      <c r="A35">
        <v>34</v>
      </c>
      <c r="B35">
        <f>VLOOKUP(F35,nodes!$A$1:$L$167,2)</f>
        <v>21</v>
      </c>
      <c r="C35" t="s">
        <v>377</v>
      </c>
      <c r="D35">
        <v>49.323118000000001</v>
      </c>
      <c r="E35">
        <v>-117.619793</v>
      </c>
      <c r="F35" t="s">
        <v>398</v>
      </c>
      <c r="G35" t="s">
        <v>561</v>
      </c>
      <c r="H35">
        <v>120</v>
      </c>
      <c r="I35">
        <f>VLOOKUP(G35,gen_cost!$A$1:$AY$31,15)</f>
        <v>115196</v>
      </c>
      <c r="J35">
        <f>VLOOKUP(G35,gen_cost!$A$1:$AY$31,16)</f>
        <v>5</v>
      </c>
      <c r="K35">
        <f>VLOOKUP(G35,gen_cost!$A$1:$AY$31,21)</f>
        <v>0</v>
      </c>
      <c r="L35">
        <f>VLOOKUP(G35,gen_cost!$A$1:$AY$31,22)</f>
        <v>0</v>
      </c>
      <c r="M35">
        <f t="shared" si="0"/>
        <v>1.2</v>
      </c>
      <c r="N35" s="1">
        <f t="shared" si="1"/>
        <v>5</v>
      </c>
      <c r="O35" s="1">
        <f t="shared" si="5"/>
        <v>5</v>
      </c>
      <c r="P35" s="1">
        <f t="shared" si="5"/>
        <v>5</v>
      </c>
      <c r="Q35" s="1">
        <f t="shared" si="5"/>
        <v>5</v>
      </c>
      <c r="R35" s="1">
        <f t="shared" si="5"/>
        <v>5</v>
      </c>
      <c r="S35" s="1">
        <f t="shared" si="5"/>
        <v>5</v>
      </c>
    </row>
    <row r="36" spans="1:19" x14ac:dyDescent="0.55000000000000004">
      <c r="A36">
        <v>35</v>
      </c>
      <c r="B36">
        <f>VLOOKUP(F36,nodes!$A$1:$L$167,2)</f>
        <v>152</v>
      </c>
      <c r="C36" t="s">
        <v>377</v>
      </c>
      <c r="D36">
        <v>49.693044999999998</v>
      </c>
      <c r="E36">
        <v>-121.859106</v>
      </c>
      <c r="F36" t="s">
        <v>530</v>
      </c>
      <c r="G36" t="s">
        <v>563</v>
      </c>
      <c r="H36">
        <v>40.6</v>
      </c>
      <c r="I36">
        <f>VLOOKUP(G36,gen_cost!$A$1:$AY$31,15)</f>
        <v>66563</v>
      </c>
      <c r="J36">
        <f>VLOOKUP(G36,gen_cost!$A$1:$AY$31,16)</f>
        <v>1</v>
      </c>
      <c r="K36">
        <f>VLOOKUP(G36,gen_cost!$A$1:$AY$31,21)</f>
        <v>0</v>
      </c>
      <c r="L36">
        <f>VLOOKUP(G36,gen_cost!$A$1:$AY$31,22)</f>
        <v>0</v>
      </c>
      <c r="M36">
        <f t="shared" si="0"/>
        <v>0.40600000000000003</v>
      </c>
      <c r="N36" s="1">
        <f t="shared" si="1"/>
        <v>1</v>
      </c>
      <c r="O36" s="1">
        <f t="shared" si="5"/>
        <v>1</v>
      </c>
      <c r="P36" s="1">
        <f t="shared" si="5"/>
        <v>1</v>
      </c>
      <c r="Q36" s="1">
        <f t="shared" si="5"/>
        <v>1</v>
      </c>
      <c r="R36" s="1">
        <f t="shared" si="5"/>
        <v>1</v>
      </c>
      <c r="S36" s="1">
        <f t="shared" si="5"/>
        <v>1</v>
      </c>
    </row>
    <row r="37" spans="1:19" x14ac:dyDescent="0.55000000000000004">
      <c r="A37">
        <v>36</v>
      </c>
      <c r="B37">
        <f>VLOOKUP(F37,nodes!$A$1:$L$167,2)</f>
        <v>110</v>
      </c>
      <c r="C37" t="s">
        <v>377</v>
      </c>
      <c r="D37">
        <v>52.997039000000001</v>
      </c>
      <c r="E37">
        <v>-122.485266</v>
      </c>
      <c r="F37" t="s">
        <v>488</v>
      </c>
      <c r="G37" t="s">
        <v>557</v>
      </c>
      <c r="H37">
        <v>30.65</v>
      </c>
      <c r="I37">
        <f>VLOOKUP(G37,gen_cost!$A$1:$AY$31,15)</f>
        <v>183950</v>
      </c>
      <c r="J37">
        <f>VLOOKUP(G37,gen_cost!$A$1:$AY$31,16)</f>
        <v>7.07</v>
      </c>
      <c r="K37">
        <f>VLOOKUP(G37,gen_cost!$A$1:$AY$31,21)</f>
        <v>0</v>
      </c>
      <c r="L37">
        <f>VLOOKUP(G37,gen_cost!$A$1:$AY$31,22)</f>
        <v>13.5</v>
      </c>
      <c r="M37">
        <f t="shared" si="0"/>
        <v>0.30649999999999999</v>
      </c>
      <c r="N37" s="1">
        <f t="shared" si="1"/>
        <v>7.07</v>
      </c>
      <c r="O37" s="1">
        <f t="shared" si="5"/>
        <v>7.07</v>
      </c>
      <c r="P37" s="1">
        <f t="shared" si="5"/>
        <v>7.07</v>
      </c>
      <c r="Q37" s="1">
        <f t="shared" si="5"/>
        <v>7.07</v>
      </c>
      <c r="R37" s="1">
        <f t="shared" si="5"/>
        <v>7.07</v>
      </c>
      <c r="S37" s="1">
        <f t="shared" si="5"/>
        <v>7.07</v>
      </c>
    </row>
    <row r="38" spans="1:19" x14ac:dyDescent="0.55000000000000004">
      <c r="A38">
        <v>37</v>
      </c>
      <c r="B38">
        <f>VLOOKUP(F38,nodes!$A$1:$L$167,2)</f>
        <v>110</v>
      </c>
      <c r="C38" t="s">
        <v>377</v>
      </c>
      <c r="D38">
        <v>52.997039000000001</v>
      </c>
      <c r="E38">
        <v>-122.485266</v>
      </c>
      <c r="F38" t="s">
        <v>488</v>
      </c>
      <c r="G38" t="s">
        <v>557</v>
      </c>
      <c r="H38">
        <v>30.65</v>
      </c>
      <c r="I38">
        <f>VLOOKUP(G38,gen_cost!$A$1:$AY$31,15)</f>
        <v>183950</v>
      </c>
      <c r="J38">
        <f>VLOOKUP(G38,gen_cost!$A$1:$AY$31,16)</f>
        <v>7.07</v>
      </c>
      <c r="K38">
        <f>VLOOKUP(G38,gen_cost!$A$1:$AY$31,21)</f>
        <v>0</v>
      </c>
      <c r="L38">
        <f>VLOOKUP(G38,gen_cost!$A$1:$AY$31,22)</f>
        <v>13.5</v>
      </c>
      <c r="M38">
        <f t="shared" si="0"/>
        <v>0.30649999999999999</v>
      </c>
      <c r="N38" s="1">
        <f t="shared" si="1"/>
        <v>7.07</v>
      </c>
      <c r="O38" s="1">
        <f t="shared" si="5"/>
        <v>7.07</v>
      </c>
      <c r="P38" s="1">
        <f t="shared" si="5"/>
        <v>7.07</v>
      </c>
      <c r="Q38" s="1">
        <f t="shared" si="5"/>
        <v>7.07</v>
      </c>
      <c r="R38" s="1">
        <f t="shared" si="5"/>
        <v>7.07</v>
      </c>
      <c r="S38" s="1">
        <f t="shared" si="5"/>
        <v>7.07</v>
      </c>
    </row>
    <row r="39" spans="1:19" x14ac:dyDescent="0.55000000000000004">
      <c r="A39">
        <v>38</v>
      </c>
      <c r="B39">
        <f>VLOOKUP(F39,nodes!$A$1:$L$167,2)</f>
        <v>38</v>
      </c>
      <c r="C39" t="s">
        <v>377</v>
      </c>
      <c r="D39">
        <v>49.185606</v>
      </c>
      <c r="E39">
        <v>-124.739465</v>
      </c>
      <c r="F39" t="s">
        <v>415</v>
      </c>
      <c r="G39" t="s">
        <v>563</v>
      </c>
      <c r="H39">
        <v>6.3</v>
      </c>
      <c r="I39">
        <f>VLOOKUP(G39,gen_cost!$A$1:$AY$31,15)</f>
        <v>66563</v>
      </c>
      <c r="J39">
        <f>VLOOKUP(G39,gen_cost!$A$1:$AY$31,16)</f>
        <v>1</v>
      </c>
      <c r="K39">
        <f>VLOOKUP(G39,gen_cost!$A$1:$AY$31,21)</f>
        <v>0</v>
      </c>
      <c r="L39">
        <f>VLOOKUP(G39,gen_cost!$A$1:$AY$31,22)</f>
        <v>0</v>
      </c>
      <c r="M39">
        <f t="shared" si="0"/>
        <v>6.3E-2</v>
      </c>
      <c r="N39" s="1">
        <f t="shared" si="1"/>
        <v>1</v>
      </c>
      <c r="O39" s="1">
        <f t="shared" si="5"/>
        <v>1</v>
      </c>
      <c r="P39" s="1">
        <f t="shared" si="5"/>
        <v>1</v>
      </c>
      <c r="Q39" s="1">
        <f t="shared" si="5"/>
        <v>1</v>
      </c>
      <c r="R39" s="1">
        <f t="shared" si="5"/>
        <v>1</v>
      </c>
      <c r="S39" s="1">
        <f t="shared" si="5"/>
        <v>1</v>
      </c>
    </row>
    <row r="40" spans="1:19" x14ac:dyDescent="0.55000000000000004">
      <c r="A40">
        <v>39</v>
      </c>
      <c r="B40">
        <f>VLOOKUP(F40,nodes!$A$1:$L$167,2)</f>
        <v>56</v>
      </c>
      <c r="C40" t="s">
        <v>377</v>
      </c>
      <c r="D40">
        <v>49.118386000000001</v>
      </c>
      <c r="E40">
        <v>-123.896422</v>
      </c>
      <c r="F40" t="s">
        <v>433</v>
      </c>
      <c r="G40" t="s">
        <v>566</v>
      </c>
      <c r="H40">
        <v>1.26</v>
      </c>
      <c r="I40">
        <f>VLOOKUP(G40,gen_cost!$A$1:$AY$31,15)</f>
        <v>31512</v>
      </c>
      <c r="J40">
        <f>VLOOKUP(G40,gen_cost!$A$1:$AY$31,16)</f>
        <v>9.7200000000000006</v>
      </c>
      <c r="K40">
        <f>VLOOKUP(G40,gen_cost!$A$1:$AY$31,21)</f>
        <v>0</v>
      </c>
      <c r="L40">
        <f>VLOOKUP(G40,gen_cost!$A$1:$AY$31,22)</f>
        <v>8.5129999999999999</v>
      </c>
      <c r="M40">
        <f t="shared" si="0"/>
        <v>1.26E-2</v>
      </c>
      <c r="N40" s="1">
        <f t="shared" si="1"/>
        <v>9.7200000000000006</v>
      </c>
      <c r="O40" s="1">
        <f t="shared" si="5"/>
        <v>9.7200000000000006</v>
      </c>
      <c r="P40" s="1">
        <f t="shared" si="5"/>
        <v>9.7200000000000006</v>
      </c>
      <c r="Q40" s="1">
        <f t="shared" si="5"/>
        <v>9.7200000000000006</v>
      </c>
      <c r="R40" s="1">
        <f t="shared" si="5"/>
        <v>9.7200000000000006</v>
      </c>
      <c r="S40" s="1">
        <f t="shared" si="5"/>
        <v>9.7200000000000006</v>
      </c>
    </row>
    <row r="41" spans="1:19" x14ac:dyDescent="0.55000000000000004">
      <c r="A41">
        <v>40</v>
      </c>
      <c r="B41">
        <f>VLOOKUP(F41,nodes!$A$1:$L$167,2)</f>
        <v>155</v>
      </c>
      <c r="C41" t="s">
        <v>377</v>
      </c>
      <c r="D41">
        <v>48.875706999999998</v>
      </c>
      <c r="E41">
        <v>-123.650029</v>
      </c>
      <c r="F41" t="s">
        <v>533</v>
      </c>
      <c r="G41" t="s">
        <v>557</v>
      </c>
      <c r="H41">
        <v>38</v>
      </c>
      <c r="I41">
        <f>VLOOKUP(G41,gen_cost!$A$1:$AY$31,15)</f>
        <v>183950</v>
      </c>
      <c r="J41">
        <f>VLOOKUP(G41,gen_cost!$A$1:$AY$31,16)</f>
        <v>7.07</v>
      </c>
      <c r="K41">
        <f>VLOOKUP(G41,gen_cost!$A$1:$AY$31,21)</f>
        <v>0</v>
      </c>
      <c r="L41">
        <f>VLOOKUP(G41,gen_cost!$A$1:$AY$31,22)</f>
        <v>13.5</v>
      </c>
      <c r="M41">
        <f t="shared" si="0"/>
        <v>0.38</v>
      </c>
      <c r="N41" s="1">
        <f t="shared" si="1"/>
        <v>7.07</v>
      </c>
      <c r="O41" s="1">
        <f t="shared" si="5"/>
        <v>7.07</v>
      </c>
      <c r="P41" s="1">
        <f t="shared" si="5"/>
        <v>7.07</v>
      </c>
      <c r="Q41" s="1">
        <f t="shared" si="5"/>
        <v>7.07</v>
      </c>
      <c r="R41" s="1">
        <f t="shared" si="5"/>
        <v>7.07</v>
      </c>
      <c r="S41" s="1">
        <f t="shared" si="5"/>
        <v>7.07</v>
      </c>
    </row>
    <row r="42" spans="1:19" x14ac:dyDescent="0.55000000000000004">
      <c r="A42">
        <v>41</v>
      </c>
      <c r="B42">
        <f>VLOOKUP(F42,nodes!$A$1:$L$167,2)</f>
        <v>64</v>
      </c>
      <c r="C42" t="s">
        <v>377</v>
      </c>
      <c r="D42">
        <v>55.337068000000002</v>
      </c>
      <c r="E42">
        <v>-123.18212800000001</v>
      </c>
      <c r="F42" t="s">
        <v>441</v>
      </c>
      <c r="G42" t="s">
        <v>557</v>
      </c>
      <c r="H42">
        <v>36</v>
      </c>
      <c r="I42">
        <f>VLOOKUP(G42,gen_cost!$A$1:$AY$31,15)</f>
        <v>183950</v>
      </c>
      <c r="J42">
        <f>VLOOKUP(G42,gen_cost!$A$1:$AY$31,16)</f>
        <v>7.07</v>
      </c>
      <c r="K42">
        <f>VLOOKUP(G42,gen_cost!$A$1:$AY$31,21)</f>
        <v>0</v>
      </c>
      <c r="L42">
        <f>VLOOKUP(G42,gen_cost!$A$1:$AY$31,22)</f>
        <v>13.5</v>
      </c>
      <c r="M42">
        <f t="shared" si="0"/>
        <v>0.36</v>
      </c>
      <c r="N42" s="1">
        <f t="shared" si="1"/>
        <v>7.07</v>
      </c>
      <c r="O42" s="1">
        <f t="shared" ref="O42:S51" si="6">+N42</f>
        <v>7.07</v>
      </c>
      <c r="P42" s="1">
        <f t="shared" si="6"/>
        <v>7.07</v>
      </c>
      <c r="Q42" s="1">
        <f t="shared" si="6"/>
        <v>7.07</v>
      </c>
      <c r="R42" s="1">
        <f t="shared" si="6"/>
        <v>7.07</v>
      </c>
      <c r="S42" s="1">
        <f t="shared" si="6"/>
        <v>7.07</v>
      </c>
    </row>
    <row r="43" spans="1:19" x14ac:dyDescent="0.55000000000000004">
      <c r="A43">
        <v>42</v>
      </c>
      <c r="B43">
        <f>VLOOKUP(F43,nodes!$A$1:$L$167,2)</f>
        <v>139</v>
      </c>
      <c r="C43" t="s">
        <v>377</v>
      </c>
      <c r="D43">
        <v>50.787312</v>
      </c>
      <c r="E43">
        <v>-121.319672</v>
      </c>
      <c r="F43" t="s">
        <v>517</v>
      </c>
      <c r="G43" t="s">
        <v>566</v>
      </c>
      <c r="H43">
        <v>4.8</v>
      </c>
      <c r="I43">
        <f>VLOOKUP(G43,gen_cost!$A$1:$AY$31,15)</f>
        <v>31512</v>
      </c>
      <c r="J43">
        <f>VLOOKUP(G43,gen_cost!$A$1:$AY$31,16)</f>
        <v>9.7200000000000006</v>
      </c>
      <c r="K43">
        <f>VLOOKUP(G43,gen_cost!$A$1:$AY$31,21)</f>
        <v>0</v>
      </c>
      <c r="L43">
        <f>VLOOKUP(G43,gen_cost!$A$1:$AY$31,22)</f>
        <v>8.5129999999999999</v>
      </c>
      <c r="M43">
        <f t="shared" si="0"/>
        <v>4.8000000000000001E-2</v>
      </c>
      <c r="N43" s="1">
        <f t="shared" si="1"/>
        <v>9.7200000000000006</v>
      </c>
      <c r="O43" s="1">
        <f t="shared" si="6"/>
        <v>9.7200000000000006</v>
      </c>
      <c r="P43" s="1">
        <f t="shared" si="6"/>
        <v>9.7200000000000006</v>
      </c>
      <c r="Q43" s="1">
        <f t="shared" si="6"/>
        <v>9.7200000000000006</v>
      </c>
      <c r="R43" s="1">
        <f t="shared" si="6"/>
        <v>9.7200000000000006</v>
      </c>
      <c r="S43" s="1">
        <f t="shared" si="6"/>
        <v>9.7200000000000006</v>
      </c>
    </row>
    <row r="44" spans="1:19" x14ac:dyDescent="0.55000000000000004">
      <c r="A44">
        <v>43</v>
      </c>
      <c r="B44">
        <f>VLOOKUP(F44,nodes!$A$1:$L$167,2)</f>
        <v>3</v>
      </c>
      <c r="C44" t="s">
        <v>377</v>
      </c>
      <c r="D44">
        <v>49.336055999999999</v>
      </c>
      <c r="E44">
        <v>-117.72754999999999</v>
      </c>
      <c r="F44" t="s">
        <v>379</v>
      </c>
      <c r="G44" t="s">
        <v>557</v>
      </c>
      <c r="H44">
        <v>100</v>
      </c>
      <c r="I44">
        <f>VLOOKUP(G44,gen_cost!$A$1:$AY$31,15)</f>
        <v>183950</v>
      </c>
      <c r="J44">
        <f>VLOOKUP(G44,gen_cost!$A$1:$AY$31,16)</f>
        <v>7.07</v>
      </c>
      <c r="K44">
        <f>VLOOKUP(G44,gen_cost!$A$1:$AY$31,21)</f>
        <v>0</v>
      </c>
      <c r="L44">
        <f>VLOOKUP(G44,gen_cost!$A$1:$AY$31,22)</f>
        <v>13.5</v>
      </c>
      <c r="M44">
        <f t="shared" si="0"/>
        <v>1</v>
      </c>
      <c r="N44" s="1">
        <f t="shared" si="1"/>
        <v>7.07</v>
      </c>
      <c r="O44" s="1">
        <f t="shared" si="6"/>
        <v>7.07</v>
      </c>
      <c r="P44" s="1">
        <f t="shared" si="6"/>
        <v>7.07</v>
      </c>
      <c r="Q44" s="1">
        <f t="shared" si="6"/>
        <v>7.07</v>
      </c>
      <c r="R44" s="1">
        <f t="shared" si="6"/>
        <v>7.07</v>
      </c>
      <c r="S44" s="1">
        <f t="shared" si="6"/>
        <v>7.07</v>
      </c>
    </row>
    <row r="45" spans="1:19" x14ac:dyDescent="0.55000000000000004">
      <c r="A45">
        <v>44</v>
      </c>
      <c r="B45">
        <f>VLOOKUP(F45,nodes!$A$1:$L$167,2)</f>
        <v>30</v>
      </c>
      <c r="C45" t="s">
        <v>377</v>
      </c>
      <c r="D45">
        <v>49.933701999999997</v>
      </c>
      <c r="E45">
        <v>-123.29098500000001</v>
      </c>
      <c r="F45" t="s">
        <v>407</v>
      </c>
      <c r="G45" t="s">
        <v>561</v>
      </c>
      <c r="H45">
        <v>90</v>
      </c>
      <c r="I45">
        <f>VLOOKUP(G45,gen_cost!$A$1:$AY$31,15)</f>
        <v>115196</v>
      </c>
      <c r="J45">
        <f>VLOOKUP(G45,gen_cost!$A$1:$AY$31,16)</f>
        <v>5</v>
      </c>
      <c r="K45">
        <f>VLOOKUP(G45,gen_cost!$A$1:$AY$31,21)</f>
        <v>0</v>
      </c>
      <c r="L45">
        <f>VLOOKUP(G45,gen_cost!$A$1:$AY$31,22)</f>
        <v>0</v>
      </c>
      <c r="M45">
        <f t="shared" si="0"/>
        <v>0.9</v>
      </c>
      <c r="N45" s="1">
        <f t="shared" si="1"/>
        <v>5</v>
      </c>
      <c r="O45" s="1">
        <f t="shared" si="6"/>
        <v>5</v>
      </c>
      <c r="P45" s="1">
        <f t="shared" si="6"/>
        <v>5</v>
      </c>
      <c r="Q45" s="1">
        <f t="shared" si="6"/>
        <v>5</v>
      </c>
      <c r="R45" s="1">
        <f t="shared" si="6"/>
        <v>5</v>
      </c>
      <c r="S45" s="1">
        <f t="shared" si="6"/>
        <v>5</v>
      </c>
    </row>
    <row r="46" spans="1:19" x14ac:dyDescent="0.55000000000000004">
      <c r="A46">
        <v>45</v>
      </c>
      <c r="B46">
        <f>VLOOKUP(F46,nodes!$A$1:$L$167,2)</f>
        <v>30</v>
      </c>
      <c r="C46" t="s">
        <v>377</v>
      </c>
      <c r="D46">
        <v>49.933701999999997</v>
      </c>
      <c r="E46">
        <v>-123.29098500000001</v>
      </c>
      <c r="F46" t="s">
        <v>407</v>
      </c>
      <c r="G46" t="s">
        <v>561</v>
      </c>
      <c r="H46">
        <v>90</v>
      </c>
      <c r="I46">
        <f>VLOOKUP(G46,gen_cost!$A$1:$AY$31,15)</f>
        <v>115196</v>
      </c>
      <c r="J46">
        <f>VLOOKUP(G46,gen_cost!$A$1:$AY$31,16)</f>
        <v>5</v>
      </c>
      <c r="K46">
        <f>VLOOKUP(G46,gen_cost!$A$1:$AY$31,21)</f>
        <v>0</v>
      </c>
      <c r="L46">
        <f>VLOOKUP(G46,gen_cost!$A$1:$AY$31,22)</f>
        <v>0</v>
      </c>
      <c r="M46">
        <f t="shared" si="0"/>
        <v>0.9</v>
      </c>
      <c r="N46" s="1">
        <f t="shared" si="1"/>
        <v>5</v>
      </c>
      <c r="O46" s="1">
        <f t="shared" si="6"/>
        <v>5</v>
      </c>
      <c r="P46" s="1">
        <f t="shared" si="6"/>
        <v>5</v>
      </c>
      <c r="Q46" s="1">
        <f t="shared" si="6"/>
        <v>5</v>
      </c>
      <c r="R46" s="1">
        <f t="shared" si="6"/>
        <v>5</v>
      </c>
      <c r="S46" s="1">
        <f t="shared" si="6"/>
        <v>5</v>
      </c>
    </row>
    <row r="47" spans="1:19" x14ac:dyDescent="0.55000000000000004">
      <c r="A47">
        <v>46</v>
      </c>
      <c r="B47">
        <f>VLOOKUP(F47,nodes!$A$1:$L$167,2)</f>
        <v>38</v>
      </c>
      <c r="C47" t="s">
        <v>377</v>
      </c>
      <c r="D47">
        <v>49.176918999999998</v>
      </c>
      <c r="E47">
        <v>-125.395572</v>
      </c>
      <c r="F47" t="s">
        <v>415</v>
      </c>
      <c r="G47" t="s">
        <v>563</v>
      </c>
      <c r="H47">
        <v>5.5</v>
      </c>
      <c r="I47">
        <f>VLOOKUP(G47,gen_cost!$A$1:$AY$31,15)</f>
        <v>66563</v>
      </c>
      <c r="J47">
        <f>VLOOKUP(G47,gen_cost!$A$1:$AY$31,16)</f>
        <v>1</v>
      </c>
      <c r="K47">
        <f>VLOOKUP(G47,gen_cost!$A$1:$AY$31,21)</f>
        <v>0</v>
      </c>
      <c r="L47">
        <f>VLOOKUP(G47,gen_cost!$A$1:$AY$31,22)</f>
        <v>0</v>
      </c>
      <c r="M47">
        <f t="shared" si="0"/>
        <v>5.5E-2</v>
      </c>
      <c r="N47" s="1">
        <f t="shared" si="1"/>
        <v>1</v>
      </c>
      <c r="O47" s="1">
        <f t="shared" si="6"/>
        <v>1</v>
      </c>
      <c r="P47" s="1">
        <f t="shared" si="6"/>
        <v>1</v>
      </c>
      <c r="Q47" s="1">
        <f t="shared" si="6"/>
        <v>1</v>
      </c>
      <c r="R47" s="1">
        <f t="shared" si="6"/>
        <v>1</v>
      </c>
      <c r="S47" s="1">
        <f t="shared" si="6"/>
        <v>1</v>
      </c>
    </row>
    <row r="48" spans="1:19" x14ac:dyDescent="0.55000000000000004">
      <c r="A48">
        <v>47</v>
      </c>
      <c r="B48">
        <f>VLOOKUP(F48,nodes!$A$1:$L$167,2)</f>
        <v>54</v>
      </c>
      <c r="C48" t="s">
        <v>377</v>
      </c>
      <c r="D48">
        <v>49.710932999999997</v>
      </c>
      <c r="E48">
        <v>-123.53210799999999</v>
      </c>
      <c r="F48" t="s">
        <v>431</v>
      </c>
      <c r="G48" t="s">
        <v>561</v>
      </c>
      <c r="H48">
        <v>45</v>
      </c>
      <c r="I48">
        <f>VLOOKUP(G48,gen_cost!$A$1:$AY$31,15)</f>
        <v>115196</v>
      </c>
      <c r="J48">
        <f>VLOOKUP(G48,gen_cost!$A$1:$AY$31,16)</f>
        <v>5</v>
      </c>
      <c r="K48">
        <f>VLOOKUP(G48,gen_cost!$A$1:$AY$31,21)</f>
        <v>0</v>
      </c>
      <c r="L48">
        <f>VLOOKUP(G48,gen_cost!$A$1:$AY$31,22)</f>
        <v>0</v>
      </c>
      <c r="M48">
        <f t="shared" si="0"/>
        <v>0.45</v>
      </c>
      <c r="N48" s="1">
        <f t="shared" si="1"/>
        <v>5</v>
      </c>
      <c r="O48" s="1">
        <f t="shared" si="6"/>
        <v>5</v>
      </c>
      <c r="P48" s="1">
        <f t="shared" si="6"/>
        <v>5</v>
      </c>
      <c r="Q48" s="1">
        <f t="shared" si="6"/>
        <v>5</v>
      </c>
      <c r="R48" s="1">
        <f t="shared" si="6"/>
        <v>5</v>
      </c>
      <c r="S48" s="1">
        <f t="shared" si="6"/>
        <v>5</v>
      </c>
    </row>
    <row r="49" spans="1:19" x14ac:dyDescent="0.55000000000000004">
      <c r="A49">
        <v>48</v>
      </c>
      <c r="B49">
        <f>VLOOKUP(F49,nodes!$A$1:$L$167,2)</f>
        <v>63</v>
      </c>
      <c r="C49" t="s">
        <v>377</v>
      </c>
      <c r="D49">
        <v>49.468876999999999</v>
      </c>
      <c r="E49">
        <v>-117.46863</v>
      </c>
      <c r="F49" t="s">
        <v>440</v>
      </c>
      <c r="G49" t="s">
        <v>561</v>
      </c>
      <c r="H49">
        <v>17</v>
      </c>
      <c r="I49">
        <f>VLOOKUP(G49,gen_cost!$A$1:$AY$31,15)</f>
        <v>115196</v>
      </c>
      <c r="J49">
        <f>VLOOKUP(G49,gen_cost!$A$1:$AY$31,16)</f>
        <v>5</v>
      </c>
      <c r="K49">
        <f>VLOOKUP(G49,gen_cost!$A$1:$AY$31,21)</f>
        <v>0</v>
      </c>
      <c r="L49">
        <f>VLOOKUP(G49,gen_cost!$A$1:$AY$31,22)</f>
        <v>0</v>
      </c>
      <c r="M49">
        <f t="shared" si="0"/>
        <v>0.17</v>
      </c>
      <c r="N49" s="1">
        <f t="shared" si="1"/>
        <v>5</v>
      </c>
      <c r="O49" s="1">
        <f t="shared" si="6"/>
        <v>5</v>
      </c>
      <c r="P49" s="1">
        <f t="shared" si="6"/>
        <v>5</v>
      </c>
      <c r="Q49" s="1">
        <f t="shared" si="6"/>
        <v>5</v>
      </c>
      <c r="R49" s="1">
        <f t="shared" si="6"/>
        <v>5</v>
      </c>
      <c r="S49" s="1">
        <f t="shared" si="6"/>
        <v>5</v>
      </c>
    </row>
    <row r="50" spans="1:19" x14ac:dyDescent="0.55000000000000004">
      <c r="A50">
        <v>49</v>
      </c>
      <c r="B50">
        <f>VLOOKUP(F50,nodes!$A$1:$L$167,2)</f>
        <v>63</v>
      </c>
      <c r="C50" t="s">
        <v>377</v>
      </c>
      <c r="D50">
        <v>49.468876999999999</v>
      </c>
      <c r="E50">
        <v>-117.46863</v>
      </c>
      <c r="F50" t="s">
        <v>440</v>
      </c>
      <c r="G50" t="s">
        <v>561</v>
      </c>
      <c r="H50">
        <v>17</v>
      </c>
      <c r="I50">
        <f>VLOOKUP(G50,gen_cost!$A$1:$AY$31,15)</f>
        <v>115196</v>
      </c>
      <c r="J50">
        <f>VLOOKUP(G50,gen_cost!$A$1:$AY$31,16)</f>
        <v>5</v>
      </c>
      <c r="K50">
        <f>VLOOKUP(G50,gen_cost!$A$1:$AY$31,21)</f>
        <v>0</v>
      </c>
      <c r="L50">
        <f>VLOOKUP(G50,gen_cost!$A$1:$AY$31,22)</f>
        <v>0</v>
      </c>
      <c r="M50">
        <f t="shared" si="0"/>
        <v>0.17</v>
      </c>
      <c r="N50" s="1">
        <f t="shared" si="1"/>
        <v>5</v>
      </c>
      <c r="O50" s="1">
        <f t="shared" si="6"/>
        <v>5</v>
      </c>
      <c r="P50" s="1">
        <f t="shared" si="6"/>
        <v>5</v>
      </c>
      <c r="Q50" s="1">
        <f t="shared" si="6"/>
        <v>5</v>
      </c>
      <c r="R50" s="1">
        <f t="shared" si="6"/>
        <v>5</v>
      </c>
      <c r="S50" s="1">
        <f t="shared" si="6"/>
        <v>5</v>
      </c>
    </row>
    <row r="51" spans="1:19" x14ac:dyDescent="0.55000000000000004">
      <c r="A51">
        <v>50</v>
      </c>
      <c r="B51">
        <f>VLOOKUP(F51,nodes!$A$1:$L$167,2)</f>
        <v>63</v>
      </c>
      <c r="C51" t="s">
        <v>377</v>
      </c>
      <c r="D51">
        <v>49.468876999999999</v>
      </c>
      <c r="E51">
        <v>-117.46863</v>
      </c>
      <c r="F51" t="s">
        <v>440</v>
      </c>
      <c r="G51" t="s">
        <v>561</v>
      </c>
      <c r="H51">
        <v>17</v>
      </c>
      <c r="I51">
        <f>VLOOKUP(G51,gen_cost!$A$1:$AY$31,15)</f>
        <v>115196</v>
      </c>
      <c r="J51">
        <f>VLOOKUP(G51,gen_cost!$A$1:$AY$31,16)</f>
        <v>5</v>
      </c>
      <c r="K51">
        <f>VLOOKUP(G51,gen_cost!$A$1:$AY$31,21)</f>
        <v>0</v>
      </c>
      <c r="L51">
        <f>VLOOKUP(G51,gen_cost!$A$1:$AY$31,22)</f>
        <v>0</v>
      </c>
      <c r="M51">
        <f t="shared" si="0"/>
        <v>0.17</v>
      </c>
      <c r="N51" s="1">
        <f t="shared" si="1"/>
        <v>5</v>
      </c>
      <c r="O51" s="1">
        <f t="shared" si="6"/>
        <v>5</v>
      </c>
      <c r="P51" s="1">
        <f t="shared" si="6"/>
        <v>5</v>
      </c>
      <c r="Q51" s="1">
        <f t="shared" si="6"/>
        <v>5</v>
      </c>
      <c r="R51" s="1">
        <f t="shared" si="6"/>
        <v>5</v>
      </c>
      <c r="S51" s="1">
        <f t="shared" si="6"/>
        <v>5</v>
      </c>
    </row>
    <row r="52" spans="1:19" x14ac:dyDescent="0.55000000000000004">
      <c r="A52">
        <v>51</v>
      </c>
      <c r="B52">
        <f>VLOOKUP(F52,nodes!$A$1:$L$167,2)</f>
        <v>58</v>
      </c>
      <c r="C52" t="s">
        <v>377</v>
      </c>
      <c r="D52">
        <v>50.771577000000001</v>
      </c>
      <c r="E52">
        <v>-118.104136</v>
      </c>
      <c r="F52" t="s">
        <v>435</v>
      </c>
      <c r="G52" t="s">
        <v>563</v>
      </c>
      <c r="H52">
        <v>3</v>
      </c>
      <c r="I52">
        <f>VLOOKUP(G52,gen_cost!$A$1:$AY$31,15)</f>
        <v>66563</v>
      </c>
      <c r="J52">
        <f>VLOOKUP(G52,gen_cost!$A$1:$AY$31,16)</f>
        <v>1</v>
      </c>
      <c r="K52">
        <f>VLOOKUP(G52,gen_cost!$A$1:$AY$31,21)</f>
        <v>0</v>
      </c>
      <c r="L52">
        <f>VLOOKUP(G52,gen_cost!$A$1:$AY$31,22)</f>
        <v>0</v>
      </c>
      <c r="M52">
        <f t="shared" si="0"/>
        <v>0.03</v>
      </c>
      <c r="N52" s="1">
        <f t="shared" si="1"/>
        <v>1</v>
      </c>
      <c r="O52" s="1">
        <f t="shared" ref="O52:S61" si="7">+N52</f>
        <v>1</v>
      </c>
      <c r="P52" s="1">
        <f t="shared" si="7"/>
        <v>1</v>
      </c>
      <c r="Q52" s="1">
        <f t="shared" si="7"/>
        <v>1</v>
      </c>
      <c r="R52" s="1">
        <f t="shared" si="7"/>
        <v>1</v>
      </c>
      <c r="S52" s="1">
        <f t="shared" si="7"/>
        <v>1</v>
      </c>
    </row>
    <row r="53" spans="1:19" x14ac:dyDescent="0.55000000000000004">
      <c r="A53">
        <v>52</v>
      </c>
      <c r="B53">
        <f>VLOOKUP(F53,nodes!$A$1:$L$167,2)</f>
        <v>26</v>
      </c>
      <c r="C53" t="s">
        <v>377</v>
      </c>
      <c r="D53">
        <v>49.528364000000003</v>
      </c>
      <c r="E53">
        <v>-115.75777600000001</v>
      </c>
      <c r="F53" t="s">
        <v>403</v>
      </c>
      <c r="G53" t="s">
        <v>557</v>
      </c>
      <c r="H53">
        <v>51</v>
      </c>
      <c r="I53">
        <f>VLOOKUP(G53,gen_cost!$A$1:$AY$31,15)</f>
        <v>183950</v>
      </c>
      <c r="J53">
        <f>VLOOKUP(G53,gen_cost!$A$1:$AY$31,16)</f>
        <v>7.07</v>
      </c>
      <c r="K53">
        <f>VLOOKUP(G53,gen_cost!$A$1:$AY$31,21)</f>
        <v>0</v>
      </c>
      <c r="L53">
        <f>VLOOKUP(G53,gen_cost!$A$1:$AY$31,22)</f>
        <v>13.5</v>
      </c>
      <c r="M53">
        <f t="shared" si="0"/>
        <v>0.51</v>
      </c>
      <c r="N53" s="1">
        <f t="shared" si="1"/>
        <v>7.07</v>
      </c>
      <c r="O53" s="1">
        <f t="shared" si="7"/>
        <v>7.07</v>
      </c>
      <c r="P53" s="1">
        <f t="shared" si="7"/>
        <v>7.07</v>
      </c>
      <c r="Q53" s="1">
        <f t="shared" si="7"/>
        <v>7.07</v>
      </c>
      <c r="R53" s="1">
        <f t="shared" si="7"/>
        <v>7.07</v>
      </c>
      <c r="S53" s="1">
        <f t="shared" si="7"/>
        <v>7.07</v>
      </c>
    </row>
    <row r="54" spans="1:19" x14ac:dyDescent="0.55000000000000004">
      <c r="A54">
        <v>53</v>
      </c>
      <c r="B54">
        <f>VLOOKUP(F54,nodes!$A$1:$L$167,2)</f>
        <v>103</v>
      </c>
      <c r="C54" t="s">
        <v>377</v>
      </c>
      <c r="D54">
        <v>49.647641</v>
      </c>
      <c r="E54">
        <v>-114.717725</v>
      </c>
      <c r="F54" t="s">
        <v>481</v>
      </c>
      <c r="G54" t="s">
        <v>557</v>
      </c>
      <c r="H54">
        <v>10.5</v>
      </c>
      <c r="I54">
        <f>VLOOKUP(G54,gen_cost!$A$1:$AY$31,15)</f>
        <v>183950</v>
      </c>
      <c r="J54">
        <f>VLOOKUP(G54,gen_cost!$A$1:$AY$31,16)</f>
        <v>7.07</v>
      </c>
      <c r="K54">
        <f>VLOOKUP(G54,gen_cost!$A$1:$AY$31,21)</f>
        <v>0</v>
      </c>
      <c r="L54">
        <f>VLOOKUP(G54,gen_cost!$A$1:$AY$31,22)</f>
        <v>13.5</v>
      </c>
      <c r="M54">
        <f t="shared" si="0"/>
        <v>0.105</v>
      </c>
      <c r="N54" s="1">
        <f t="shared" si="1"/>
        <v>7.07</v>
      </c>
      <c r="O54" s="1">
        <f t="shared" si="7"/>
        <v>7.07</v>
      </c>
      <c r="P54" s="1">
        <f t="shared" si="7"/>
        <v>7.07</v>
      </c>
      <c r="Q54" s="1">
        <f t="shared" si="7"/>
        <v>7.07</v>
      </c>
      <c r="R54" s="1">
        <f t="shared" si="7"/>
        <v>7.07</v>
      </c>
      <c r="S54" s="1">
        <f t="shared" si="7"/>
        <v>7.07</v>
      </c>
    </row>
    <row r="55" spans="1:19" x14ac:dyDescent="0.55000000000000004">
      <c r="A55">
        <v>54</v>
      </c>
      <c r="B55">
        <f>VLOOKUP(F55,nodes!$A$1:$L$167,2)</f>
        <v>13</v>
      </c>
      <c r="C55" t="s">
        <v>377</v>
      </c>
      <c r="D55">
        <v>53.110441000000002</v>
      </c>
      <c r="E55">
        <v>-120.19105500000001</v>
      </c>
      <c r="F55" t="s">
        <v>390</v>
      </c>
      <c r="G55" t="s">
        <v>563</v>
      </c>
      <c r="H55">
        <v>6</v>
      </c>
      <c r="I55">
        <f>VLOOKUP(G55,gen_cost!$A$1:$AY$31,15)</f>
        <v>66563</v>
      </c>
      <c r="J55">
        <f>VLOOKUP(G55,gen_cost!$A$1:$AY$31,16)</f>
        <v>1</v>
      </c>
      <c r="K55">
        <f>VLOOKUP(G55,gen_cost!$A$1:$AY$31,21)</f>
        <v>0</v>
      </c>
      <c r="L55">
        <f>VLOOKUP(G55,gen_cost!$A$1:$AY$31,22)</f>
        <v>0</v>
      </c>
      <c r="M55">
        <f t="shared" si="0"/>
        <v>0.06</v>
      </c>
      <c r="N55" s="1">
        <f t="shared" si="1"/>
        <v>1</v>
      </c>
      <c r="O55" s="1">
        <f t="shared" si="7"/>
        <v>1</v>
      </c>
      <c r="P55" s="1">
        <f t="shared" si="7"/>
        <v>1</v>
      </c>
      <c r="Q55" s="1">
        <f t="shared" si="7"/>
        <v>1</v>
      </c>
      <c r="R55" s="1">
        <f t="shared" si="7"/>
        <v>1</v>
      </c>
      <c r="S55" s="1">
        <f t="shared" si="7"/>
        <v>1</v>
      </c>
    </row>
    <row r="56" spans="1:19" x14ac:dyDescent="0.55000000000000004">
      <c r="A56">
        <v>55</v>
      </c>
      <c r="B56">
        <f>VLOOKUP(F56,nodes!$A$1:$L$167,2)</f>
        <v>32</v>
      </c>
      <c r="C56" t="s">
        <v>377</v>
      </c>
      <c r="D56">
        <v>49.260241000000001</v>
      </c>
      <c r="E56">
        <v>-123.25453</v>
      </c>
      <c r="F56" t="s">
        <v>409</v>
      </c>
      <c r="G56" t="s">
        <v>557</v>
      </c>
      <c r="H56">
        <v>2</v>
      </c>
      <c r="I56">
        <f>VLOOKUP(G56,gen_cost!$A$1:$AY$31,15)</f>
        <v>183950</v>
      </c>
      <c r="J56">
        <f>VLOOKUP(G56,gen_cost!$A$1:$AY$31,16)</f>
        <v>7.07</v>
      </c>
      <c r="K56">
        <f>VLOOKUP(G56,gen_cost!$A$1:$AY$31,21)</f>
        <v>0</v>
      </c>
      <c r="L56">
        <f>VLOOKUP(G56,gen_cost!$A$1:$AY$31,22)</f>
        <v>13.5</v>
      </c>
      <c r="M56">
        <f t="shared" si="0"/>
        <v>0.02</v>
      </c>
      <c r="N56" s="1">
        <f t="shared" si="1"/>
        <v>7.07</v>
      </c>
      <c r="O56" s="1">
        <f t="shared" si="7"/>
        <v>7.07</v>
      </c>
      <c r="P56" s="1">
        <f t="shared" si="7"/>
        <v>7.07</v>
      </c>
      <c r="Q56" s="1">
        <f t="shared" si="7"/>
        <v>7.07</v>
      </c>
      <c r="R56" s="1">
        <f t="shared" si="7"/>
        <v>7.07</v>
      </c>
      <c r="S56" s="1">
        <f t="shared" si="7"/>
        <v>7.07</v>
      </c>
    </row>
    <row r="57" spans="1:19" x14ac:dyDescent="0.55000000000000004">
      <c r="A57">
        <v>56</v>
      </c>
      <c r="B57">
        <f>VLOOKUP(F57,nodes!$A$1:$L$167,2)</f>
        <v>46</v>
      </c>
      <c r="C57" t="s">
        <v>377</v>
      </c>
      <c r="D57">
        <v>50.771304999999998</v>
      </c>
      <c r="E57">
        <v>-128.03193200000001</v>
      </c>
      <c r="F57" t="s">
        <v>423</v>
      </c>
      <c r="G57" t="s">
        <v>690</v>
      </c>
      <c r="H57">
        <v>99.2</v>
      </c>
      <c r="I57">
        <f>VLOOKUP(G57,gen_cost!$A$1:$AY$31,15)</f>
        <v>38532</v>
      </c>
      <c r="J57">
        <f>VLOOKUP(G57,gen_cost!$A$1:$AY$31,16)</f>
        <v>0</v>
      </c>
      <c r="K57">
        <f>VLOOKUP(G57,gen_cost!$A$1:$AY$31,21)</f>
        <v>0</v>
      </c>
      <c r="L57">
        <f>VLOOKUP(G57,gen_cost!$A$1:$AY$31,22)</f>
        <v>0</v>
      </c>
      <c r="M57">
        <f t="shared" si="0"/>
        <v>0.99199999999999999</v>
      </c>
      <c r="N57" s="1">
        <f t="shared" si="1"/>
        <v>0</v>
      </c>
      <c r="O57" s="1">
        <f t="shared" si="7"/>
        <v>0</v>
      </c>
      <c r="P57" s="1">
        <f t="shared" si="7"/>
        <v>0</v>
      </c>
      <c r="Q57" s="1">
        <f t="shared" si="7"/>
        <v>0</v>
      </c>
      <c r="R57" s="1">
        <f t="shared" si="7"/>
        <v>0</v>
      </c>
      <c r="S57" s="1">
        <f t="shared" si="7"/>
        <v>0</v>
      </c>
    </row>
    <row r="58" spans="1:19" x14ac:dyDescent="0.55000000000000004">
      <c r="A58">
        <v>57</v>
      </c>
      <c r="B58">
        <f>VLOOKUP(F58,nodes!$A$1:$L$167,2)</f>
        <v>29</v>
      </c>
      <c r="C58" t="s">
        <v>377</v>
      </c>
      <c r="D58">
        <v>49.877039000000003</v>
      </c>
      <c r="E58">
        <v>-123.15967999999999</v>
      </c>
      <c r="F58" t="s">
        <v>406</v>
      </c>
      <c r="G58" t="s">
        <v>563</v>
      </c>
      <c r="H58">
        <v>15</v>
      </c>
      <c r="I58">
        <f>VLOOKUP(G58,gen_cost!$A$1:$AY$31,15)</f>
        <v>66563</v>
      </c>
      <c r="J58">
        <f>VLOOKUP(G58,gen_cost!$A$1:$AY$31,16)</f>
        <v>1</v>
      </c>
      <c r="K58">
        <f>VLOOKUP(G58,gen_cost!$A$1:$AY$31,21)</f>
        <v>0</v>
      </c>
      <c r="L58">
        <f>VLOOKUP(G58,gen_cost!$A$1:$AY$31,22)</f>
        <v>0</v>
      </c>
      <c r="M58">
        <f t="shared" si="0"/>
        <v>0.15</v>
      </c>
      <c r="N58" s="1">
        <f t="shared" si="1"/>
        <v>1</v>
      </c>
      <c r="O58" s="1">
        <f t="shared" si="7"/>
        <v>1</v>
      </c>
      <c r="P58" s="1">
        <f t="shared" si="7"/>
        <v>1</v>
      </c>
      <c r="Q58" s="1">
        <f t="shared" si="7"/>
        <v>1</v>
      </c>
      <c r="R58" s="1">
        <f t="shared" si="7"/>
        <v>1</v>
      </c>
      <c r="S58" s="1">
        <f t="shared" si="7"/>
        <v>1</v>
      </c>
    </row>
    <row r="59" spans="1:19" x14ac:dyDescent="0.55000000000000004">
      <c r="A59">
        <v>58</v>
      </c>
      <c r="B59">
        <f>VLOOKUP(F59,nodes!$A$1:$L$167,2)</f>
        <v>75</v>
      </c>
      <c r="C59" t="s">
        <v>377</v>
      </c>
      <c r="D59">
        <v>55.723249000000003</v>
      </c>
      <c r="E59">
        <v>-121.564779</v>
      </c>
      <c r="F59" t="s">
        <v>452</v>
      </c>
      <c r="G59" t="s">
        <v>557</v>
      </c>
      <c r="H59">
        <v>12</v>
      </c>
      <c r="I59">
        <f>VLOOKUP(G59,gen_cost!$A$1:$AY$31,15)</f>
        <v>183950</v>
      </c>
      <c r="J59">
        <f>VLOOKUP(G59,gen_cost!$A$1:$AY$31,16)</f>
        <v>7.07</v>
      </c>
      <c r="K59">
        <f>VLOOKUP(G59,gen_cost!$A$1:$AY$31,21)</f>
        <v>0</v>
      </c>
      <c r="L59">
        <f>VLOOKUP(G59,gen_cost!$A$1:$AY$31,22)</f>
        <v>13.5</v>
      </c>
      <c r="M59">
        <f t="shared" si="0"/>
        <v>0.12</v>
      </c>
      <c r="N59" s="1">
        <f t="shared" si="1"/>
        <v>7.07</v>
      </c>
      <c r="O59" s="1">
        <f t="shared" si="7"/>
        <v>7.07</v>
      </c>
      <c r="P59" s="1">
        <f t="shared" si="7"/>
        <v>7.07</v>
      </c>
      <c r="Q59" s="1">
        <f t="shared" si="7"/>
        <v>7.07</v>
      </c>
      <c r="R59" s="1">
        <f t="shared" si="7"/>
        <v>7.07</v>
      </c>
      <c r="S59" s="1">
        <f t="shared" si="7"/>
        <v>7.07</v>
      </c>
    </row>
    <row r="60" spans="1:19" x14ac:dyDescent="0.55000000000000004">
      <c r="A60">
        <v>59</v>
      </c>
      <c r="B60">
        <f>VLOOKUP(F60,nodes!$A$1:$L$167,2)</f>
        <v>46</v>
      </c>
      <c r="C60" t="s">
        <v>377</v>
      </c>
      <c r="D60">
        <v>49.842748999999998</v>
      </c>
      <c r="E60">
        <v>-126.127661</v>
      </c>
      <c r="F60" t="s">
        <v>423</v>
      </c>
      <c r="G60" t="s">
        <v>563</v>
      </c>
      <c r="H60">
        <v>2.83</v>
      </c>
      <c r="I60">
        <f>VLOOKUP(G60,gen_cost!$A$1:$AY$31,15)</f>
        <v>66563</v>
      </c>
      <c r="J60">
        <f>VLOOKUP(G60,gen_cost!$A$1:$AY$31,16)</f>
        <v>1</v>
      </c>
      <c r="K60">
        <f>VLOOKUP(G60,gen_cost!$A$1:$AY$31,21)</f>
        <v>0</v>
      </c>
      <c r="L60">
        <f>VLOOKUP(G60,gen_cost!$A$1:$AY$31,22)</f>
        <v>0</v>
      </c>
      <c r="M60">
        <f t="shared" si="0"/>
        <v>2.8300000000000002E-2</v>
      </c>
      <c r="N60" s="1">
        <f t="shared" si="1"/>
        <v>1</v>
      </c>
      <c r="O60" s="1">
        <f t="shared" si="7"/>
        <v>1</v>
      </c>
      <c r="P60" s="1">
        <f t="shared" si="7"/>
        <v>1</v>
      </c>
      <c r="Q60" s="1">
        <f t="shared" si="7"/>
        <v>1</v>
      </c>
      <c r="R60" s="1">
        <f t="shared" si="7"/>
        <v>1</v>
      </c>
      <c r="S60" s="1">
        <f t="shared" si="7"/>
        <v>1</v>
      </c>
    </row>
    <row r="61" spans="1:19" x14ac:dyDescent="0.55000000000000004">
      <c r="A61">
        <v>60</v>
      </c>
      <c r="B61">
        <f>VLOOKUP(F61,nodes!$A$1:$L$167,2)</f>
        <v>152</v>
      </c>
      <c r="C61" t="s">
        <v>377</v>
      </c>
      <c r="D61">
        <v>49.767563000000003</v>
      </c>
      <c r="E61">
        <v>-122.150954</v>
      </c>
      <c r="F61" t="s">
        <v>530</v>
      </c>
      <c r="G61" t="s">
        <v>563</v>
      </c>
      <c r="H61">
        <v>28.76</v>
      </c>
      <c r="I61">
        <f>VLOOKUP(G61,gen_cost!$A$1:$AY$31,15)</f>
        <v>66563</v>
      </c>
      <c r="J61">
        <f>VLOOKUP(G61,gen_cost!$A$1:$AY$31,16)</f>
        <v>1</v>
      </c>
      <c r="K61">
        <f>VLOOKUP(G61,gen_cost!$A$1:$AY$31,21)</f>
        <v>0</v>
      </c>
      <c r="L61">
        <f>VLOOKUP(G61,gen_cost!$A$1:$AY$31,22)</f>
        <v>0</v>
      </c>
      <c r="M61">
        <f t="shared" si="0"/>
        <v>0.28760000000000002</v>
      </c>
      <c r="N61" s="1">
        <f t="shared" si="1"/>
        <v>1</v>
      </c>
      <c r="O61" s="1">
        <f t="shared" si="7"/>
        <v>1</v>
      </c>
      <c r="P61" s="1">
        <f t="shared" si="7"/>
        <v>1</v>
      </c>
      <c r="Q61" s="1">
        <f t="shared" si="7"/>
        <v>1</v>
      </c>
      <c r="R61" s="1">
        <f t="shared" si="7"/>
        <v>1</v>
      </c>
      <c r="S61" s="1">
        <f t="shared" si="7"/>
        <v>1</v>
      </c>
    </row>
    <row r="62" spans="1:19" x14ac:dyDescent="0.55000000000000004">
      <c r="A62">
        <v>61</v>
      </c>
      <c r="B62">
        <f>VLOOKUP(F62,nodes!$A$1:$L$167,2)</f>
        <v>37</v>
      </c>
      <c r="C62" t="s">
        <v>377</v>
      </c>
      <c r="D62">
        <v>55.781694000000002</v>
      </c>
      <c r="E62">
        <v>-122.22692499999999</v>
      </c>
      <c r="F62" t="s">
        <v>414</v>
      </c>
      <c r="G62" t="s">
        <v>690</v>
      </c>
      <c r="H62">
        <v>144</v>
      </c>
      <c r="I62">
        <f>VLOOKUP(G62,gen_cost!$A$1:$AY$31,15)</f>
        <v>38532</v>
      </c>
      <c r="J62">
        <f>VLOOKUP(G62,gen_cost!$A$1:$AY$31,16)</f>
        <v>0</v>
      </c>
      <c r="K62">
        <f>VLOOKUP(G62,gen_cost!$A$1:$AY$31,21)</f>
        <v>0</v>
      </c>
      <c r="L62">
        <f>VLOOKUP(G62,gen_cost!$A$1:$AY$31,22)</f>
        <v>0</v>
      </c>
      <c r="M62">
        <f t="shared" si="0"/>
        <v>1.44</v>
      </c>
      <c r="N62" s="1">
        <f t="shared" si="1"/>
        <v>0</v>
      </c>
      <c r="O62" s="1">
        <f t="shared" ref="O62:S71" si="8">+N62</f>
        <v>0</v>
      </c>
      <c r="P62" s="1">
        <f t="shared" si="8"/>
        <v>0</v>
      </c>
      <c r="Q62" s="1">
        <f t="shared" si="8"/>
        <v>0</v>
      </c>
      <c r="R62" s="1">
        <f t="shared" si="8"/>
        <v>0</v>
      </c>
      <c r="S62" s="1">
        <f t="shared" si="8"/>
        <v>0</v>
      </c>
    </row>
    <row r="63" spans="1:19" x14ac:dyDescent="0.55000000000000004">
      <c r="A63">
        <v>62</v>
      </c>
      <c r="B63">
        <f>VLOOKUP(F63,nodes!$A$1:$L$167,2)</f>
        <v>131</v>
      </c>
      <c r="C63" t="s">
        <v>377</v>
      </c>
      <c r="D63">
        <v>54.378487999999997</v>
      </c>
      <c r="E63">
        <v>-128.88813999999999</v>
      </c>
      <c r="F63" t="s">
        <v>509</v>
      </c>
      <c r="G63" t="s">
        <v>563</v>
      </c>
      <c r="H63">
        <v>20</v>
      </c>
      <c r="I63">
        <f>VLOOKUP(G63,gen_cost!$A$1:$AY$31,15)</f>
        <v>66563</v>
      </c>
      <c r="J63">
        <f>VLOOKUP(G63,gen_cost!$A$1:$AY$31,16)</f>
        <v>1</v>
      </c>
      <c r="K63">
        <f>VLOOKUP(G63,gen_cost!$A$1:$AY$31,21)</f>
        <v>0</v>
      </c>
      <c r="L63">
        <f>VLOOKUP(G63,gen_cost!$A$1:$AY$31,22)</f>
        <v>0</v>
      </c>
      <c r="M63">
        <f t="shared" si="0"/>
        <v>0.2</v>
      </c>
      <c r="N63" s="1">
        <f t="shared" si="1"/>
        <v>1</v>
      </c>
      <c r="O63" s="1">
        <f t="shared" si="8"/>
        <v>1</v>
      </c>
      <c r="P63" s="1">
        <f t="shared" si="8"/>
        <v>1</v>
      </c>
      <c r="Q63" s="1">
        <f t="shared" si="8"/>
        <v>1</v>
      </c>
      <c r="R63" s="1">
        <f t="shared" si="8"/>
        <v>1</v>
      </c>
      <c r="S63" s="1">
        <f t="shared" si="8"/>
        <v>1</v>
      </c>
    </row>
    <row r="64" spans="1:19" x14ac:dyDescent="0.55000000000000004">
      <c r="A64">
        <v>63</v>
      </c>
      <c r="B64">
        <f>VLOOKUP(F64,nodes!$A$1:$L$167,2)</f>
        <v>38</v>
      </c>
      <c r="C64" t="s">
        <v>377</v>
      </c>
      <c r="D64">
        <v>49.296467999999997</v>
      </c>
      <c r="E64">
        <v>-125.275413</v>
      </c>
      <c r="F64" t="s">
        <v>415</v>
      </c>
      <c r="G64" t="s">
        <v>563</v>
      </c>
      <c r="H64">
        <v>6</v>
      </c>
      <c r="I64">
        <f>VLOOKUP(G64,gen_cost!$A$1:$AY$31,15)</f>
        <v>66563</v>
      </c>
      <c r="J64">
        <f>VLOOKUP(G64,gen_cost!$A$1:$AY$31,16)</f>
        <v>1</v>
      </c>
      <c r="K64">
        <f>VLOOKUP(G64,gen_cost!$A$1:$AY$31,21)</f>
        <v>0</v>
      </c>
      <c r="L64">
        <f>VLOOKUP(G64,gen_cost!$A$1:$AY$31,22)</f>
        <v>0</v>
      </c>
      <c r="M64">
        <f t="shared" si="0"/>
        <v>0.06</v>
      </c>
      <c r="N64" s="1">
        <f t="shared" si="1"/>
        <v>1</v>
      </c>
      <c r="O64" s="1">
        <f t="shared" si="8"/>
        <v>1</v>
      </c>
      <c r="P64" s="1">
        <f t="shared" si="8"/>
        <v>1</v>
      </c>
      <c r="Q64" s="1">
        <f t="shared" si="8"/>
        <v>1</v>
      </c>
      <c r="R64" s="1">
        <f t="shared" si="8"/>
        <v>1</v>
      </c>
      <c r="S64" s="1">
        <f t="shared" si="8"/>
        <v>1</v>
      </c>
    </row>
    <row r="65" spans="1:19" x14ac:dyDescent="0.55000000000000004">
      <c r="A65">
        <v>64</v>
      </c>
      <c r="B65">
        <f>VLOOKUP(F65,nodes!$A$1:$L$167,2)</f>
        <v>76</v>
      </c>
      <c r="C65" t="s">
        <v>377</v>
      </c>
      <c r="D65">
        <v>50.019015000000003</v>
      </c>
      <c r="E65">
        <v>-119.35893799999999</v>
      </c>
      <c r="F65" t="s">
        <v>453</v>
      </c>
      <c r="G65" t="s">
        <v>561</v>
      </c>
      <c r="H65">
        <v>1.1000000000000001</v>
      </c>
      <c r="I65">
        <f>VLOOKUP(G65,gen_cost!$A$1:$AY$31,15)</f>
        <v>115196</v>
      </c>
      <c r="J65">
        <f>VLOOKUP(G65,gen_cost!$A$1:$AY$31,16)</f>
        <v>5</v>
      </c>
      <c r="K65">
        <f>VLOOKUP(G65,gen_cost!$A$1:$AY$31,21)</f>
        <v>0</v>
      </c>
      <c r="L65">
        <f>VLOOKUP(G65,gen_cost!$A$1:$AY$31,22)</f>
        <v>0</v>
      </c>
      <c r="M65">
        <f t="shared" si="0"/>
        <v>1.1000000000000001E-2</v>
      </c>
      <c r="N65" s="1">
        <f t="shared" si="1"/>
        <v>5</v>
      </c>
      <c r="O65" s="1">
        <f t="shared" si="8"/>
        <v>5</v>
      </c>
      <c r="P65" s="1">
        <f t="shared" si="8"/>
        <v>5</v>
      </c>
      <c r="Q65" s="1">
        <f t="shared" si="8"/>
        <v>5</v>
      </c>
      <c r="R65" s="1">
        <f t="shared" si="8"/>
        <v>5</v>
      </c>
      <c r="S65" s="1">
        <f t="shared" si="8"/>
        <v>5</v>
      </c>
    </row>
    <row r="66" spans="1:19" x14ac:dyDescent="0.55000000000000004">
      <c r="A66">
        <v>65</v>
      </c>
      <c r="B66">
        <f>VLOOKUP(F66,nodes!$A$1:$L$167,2)</f>
        <v>26</v>
      </c>
      <c r="C66" t="s">
        <v>377</v>
      </c>
      <c r="D66">
        <v>49.290067000000001</v>
      </c>
      <c r="E66">
        <v>-115.104613</v>
      </c>
      <c r="F66" t="s">
        <v>403</v>
      </c>
      <c r="G66" t="s">
        <v>561</v>
      </c>
      <c r="H66">
        <v>5.6</v>
      </c>
      <c r="I66">
        <f>VLOOKUP(G66,gen_cost!$A$1:$AY$31,15)</f>
        <v>115196</v>
      </c>
      <c r="J66">
        <f>VLOOKUP(G66,gen_cost!$A$1:$AY$31,16)</f>
        <v>5</v>
      </c>
      <c r="K66">
        <f>VLOOKUP(G66,gen_cost!$A$1:$AY$31,21)</f>
        <v>0</v>
      </c>
      <c r="L66">
        <f>VLOOKUP(G66,gen_cost!$A$1:$AY$31,22)</f>
        <v>0</v>
      </c>
      <c r="M66">
        <f t="shared" ref="M66:M129" si="9">H66/100</f>
        <v>5.5999999999999994E-2</v>
      </c>
      <c r="N66" s="1">
        <f t="shared" ref="N66:N129" si="10">J66</f>
        <v>5</v>
      </c>
      <c r="O66" s="1">
        <f t="shared" si="8"/>
        <v>5</v>
      </c>
      <c r="P66" s="1">
        <f t="shared" si="8"/>
        <v>5</v>
      </c>
      <c r="Q66" s="1">
        <f t="shared" si="8"/>
        <v>5</v>
      </c>
      <c r="R66" s="1">
        <f t="shared" si="8"/>
        <v>5</v>
      </c>
      <c r="S66" s="1">
        <f t="shared" si="8"/>
        <v>5</v>
      </c>
    </row>
    <row r="67" spans="1:19" x14ac:dyDescent="0.55000000000000004">
      <c r="A67">
        <v>66</v>
      </c>
      <c r="B67">
        <f>VLOOKUP(F67,nodes!$A$1:$L$167,2)</f>
        <v>26</v>
      </c>
      <c r="C67" t="s">
        <v>377</v>
      </c>
      <c r="D67">
        <v>49.290067000000001</v>
      </c>
      <c r="E67">
        <v>-115.104613</v>
      </c>
      <c r="F67" t="s">
        <v>403</v>
      </c>
      <c r="G67" t="s">
        <v>561</v>
      </c>
      <c r="H67">
        <v>5.6</v>
      </c>
      <c r="I67">
        <f>VLOOKUP(G67,gen_cost!$A$1:$AY$31,15)</f>
        <v>115196</v>
      </c>
      <c r="J67">
        <f>VLOOKUP(G67,gen_cost!$A$1:$AY$31,16)</f>
        <v>5</v>
      </c>
      <c r="K67">
        <f>VLOOKUP(G67,gen_cost!$A$1:$AY$31,21)</f>
        <v>0</v>
      </c>
      <c r="L67">
        <f>VLOOKUP(G67,gen_cost!$A$1:$AY$31,22)</f>
        <v>0</v>
      </c>
      <c r="M67">
        <f t="shared" si="9"/>
        <v>5.5999999999999994E-2</v>
      </c>
      <c r="N67" s="1">
        <f t="shared" si="10"/>
        <v>5</v>
      </c>
      <c r="O67" s="1">
        <f t="shared" si="8"/>
        <v>5</v>
      </c>
      <c r="P67" s="1">
        <f t="shared" si="8"/>
        <v>5</v>
      </c>
      <c r="Q67" s="1">
        <f t="shared" si="8"/>
        <v>5</v>
      </c>
      <c r="R67" s="1">
        <f t="shared" si="8"/>
        <v>5</v>
      </c>
      <c r="S67" s="1">
        <f t="shared" si="8"/>
        <v>5</v>
      </c>
    </row>
    <row r="68" spans="1:19" x14ac:dyDescent="0.55000000000000004">
      <c r="A68">
        <v>67</v>
      </c>
      <c r="B68">
        <f>VLOOKUP(F68,nodes!$A$1:$L$167,2)</f>
        <v>41</v>
      </c>
      <c r="C68" t="s">
        <v>377</v>
      </c>
      <c r="D68">
        <v>50.675080999999999</v>
      </c>
      <c r="E68">
        <v>-123.96027599999999</v>
      </c>
      <c r="F68" t="s">
        <v>418</v>
      </c>
      <c r="G68" t="s">
        <v>563</v>
      </c>
      <c r="H68">
        <v>147.30000000000001</v>
      </c>
      <c r="I68">
        <f>VLOOKUP(G68,gen_cost!$A$1:$AY$31,15)</f>
        <v>66563</v>
      </c>
      <c r="J68">
        <f>VLOOKUP(G68,gen_cost!$A$1:$AY$31,16)</f>
        <v>1</v>
      </c>
      <c r="K68">
        <f>VLOOKUP(G68,gen_cost!$A$1:$AY$31,21)</f>
        <v>0</v>
      </c>
      <c r="L68">
        <f>VLOOKUP(G68,gen_cost!$A$1:$AY$31,22)</f>
        <v>0</v>
      </c>
      <c r="M68">
        <f t="shared" si="9"/>
        <v>1.4730000000000001</v>
      </c>
      <c r="N68" s="1">
        <f t="shared" si="10"/>
        <v>1</v>
      </c>
      <c r="O68" s="1">
        <f t="shared" si="8"/>
        <v>1</v>
      </c>
      <c r="P68" s="1">
        <f t="shared" si="8"/>
        <v>1</v>
      </c>
      <c r="Q68" s="1">
        <f t="shared" si="8"/>
        <v>1</v>
      </c>
      <c r="R68" s="1">
        <f t="shared" si="8"/>
        <v>1</v>
      </c>
      <c r="S68" s="1">
        <f t="shared" si="8"/>
        <v>1</v>
      </c>
    </row>
    <row r="69" spans="1:19" x14ac:dyDescent="0.55000000000000004">
      <c r="A69">
        <v>68</v>
      </c>
      <c r="B69">
        <f>VLOOKUP(F69,nodes!$A$1:$L$167,2)</f>
        <v>13</v>
      </c>
      <c r="C69" t="s">
        <v>377</v>
      </c>
      <c r="D69">
        <v>53.458136000000003</v>
      </c>
      <c r="E69">
        <v>-120.38339499999999</v>
      </c>
      <c r="F69" t="s">
        <v>390</v>
      </c>
      <c r="G69" t="s">
        <v>563</v>
      </c>
      <c r="H69">
        <v>1.6</v>
      </c>
      <c r="I69">
        <f>VLOOKUP(G69,gen_cost!$A$1:$AY$31,15)</f>
        <v>66563</v>
      </c>
      <c r="J69">
        <f>VLOOKUP(G69,gen_cost!$A$1:$AY$31,16)</f>
        <v>1</v>
      </c>
      <c r="K69">
        <f>VLOOKUP(G69,gen_cost!$A$1:$AY$31,21)</f>
        <v>0</v>
      </c>
      <c r="L69">
        <f>VLOOKUP(G69,gen_cost!$A$1:$AY$31,22)</f>
        <v>0</v>
      </c>
      <c r="M69">
        <f t="shared" si="9"/>
        <v>1.6E-2</v>
      </c>
      <c r="N69" s="1">
        <f t="shared" si="10"/>
        <v>1</v>
      </c>
      <c r="O69" s="1">
        <f t="shared" si="8"/>
        <v>1</v>
      </c>
      <c r="P69" s="1">
        <f t="shared" si="8"/>
        <v>1</v>
      </c>
      <c r="Q69" s="1">
        <f t="shared" si="8"/>
        <v>1</v>
      </c>
      <c r="R69" s="1">
        <f t="shared" si="8"/>
        <v>1</v>
      </c>
      <c r="S69" s="1">
        <f t="shared" si="8"/>
        <v>1</v>
      </c>
    </row>
    <row r="70" spans="1:19" x14ac:dyDescent="0.55000000000000004">
      <c r="A70">
        <v>69</v>
      </c>
      <c r="B70">
        <f>VLOOKUP(F70,nodes!$A$1:$L$167,2)</f>
        <v>143</v>
      </c>
      <c r="C70" t="s">
        <v>377</v>
      </c>
      <c r="D70">
        <v>54.489317</v>
      </c>
      <c r="E70">
        <v>-124.21527500000001</v>
      </c>
      <c r="F70" t="s">
        <v>521</v>
      </c>
      <c r="G70" t="s">
        <v>557</v>
      </c>
      <c r="H70">
        <v>40</v>
      </c>
      <c r="I70">
        <f>VLOOKUP(G70,gen_cost!$A$1:$AY$31,15)</f>
        <v>183950</v>
      </c>
      <c r="J70">
        <f>VLOOKUP(G70,gen_cost!$A$1:$AY$31,16)</f>
        <v>7.07</v>
      </c>
      <c r="K70">
        <f>VLOOKUP(G70,gen_cost!$A$1:$AY$31,21)</f>
        <v>0</v>
      </c>
      <c r="L70">
        <f>VLOOKUP(G70,gen_cost!$A$1:$AY$31,22)</f>
        <v>13.5</v>
      </c>
      <c r="M70">
        <f t="shared" si="9"/>
        <v>0.4</v>
      </c>
      <c r="N70" s="1">
        <f t="shared" si="10"/>
        <v>7.07</v>
      </c>
      <c r="O70" s="1">
        <f t="shared" si="8"/>
        <v>7.07</v>
      </c>
      <c r="P70" s="1">
        <f t="shared" si="8"/>
        <v>7.07</v>
      </c>
      <c r="Q70" s="1">
        <f t="shared" si="8"/>
        <v>7.07</v>
      </c>
      <c r="R70" s="1">
        <f t="shared" si="8"/>
        <v>7.07</v>
      </c>
      <c r="S70" s="1">
        <f t="shared" si="8"/>
        <v>7.07</v>
      </c>
    </row>
    <row r="71" spans="1:19" x14ac:dyDescent="0.55000000000000004">
      <c r="A71">
        <v>70</v>
      </c>
      <c r="B71">
        <f>VLOOKUP(F71,nodes!$A$1:$L$167,2)</f>
        <v>44</v>
      </c>
      <c r="C71" t="s">
        <v>377</v>
      </c>
      <c r="D71">
        <v>56.717098999999997</v>
      </c>
      <c r="E71">
        <v>-130.687453</v>
      </c>
      <c r="F71" t="s">
        <v>421</v>
      </c>
      <c r="G71" t="s">
        <v>563</v>
      </c>
      <c r="H71">
        <v>21.7</v>
      </c>
      <c r="I71">
        <f>VLOOKUP(G71,gen_cost!$A$1:$AY$31,15)</f>
        <v>66563</v>
      </c>
      <c r="J71">
        <f>VLOOKUP(G71,gen_cost!$A$1:$AY$31,16)</f>
        <v>1</v>
      </c>
      <c r="K71">
        <f>VLOOKUP(G71,gen_cost!$A$1:$AY$31,21)</f>
        <v>0</v>
      </c>
      <c r="L71">
        <f>VLOOKUP(G71,gen_cost!$A$1:$AY$31,22)</f>
        <v>0</v>
      </c>
      <c r="M71">
        <f t="shared" si="9"/>
        <v>0.217</v>
      </c>
      <c r="N71" s="1">
        <f t="shared" si="10"/>
        <v>1</v>
      </c>
      <c r="O71" s="1">
        <f t="shared" si="8"/>
        <v>1</v>
      </c>
      <c r="P71" s="1">
        <f t="shared" si="8"/>
        <v>1</v>
      </c>
      <c r="Q71" s="1">
        <f t="shared" si="8"/>
        <v>1</v>
      </c>
      <c r="R71" s="1">
        <f t="shared" si="8"/>
        <v>1</v>
      </c>
      <c r="S71" s="1">
        <f t="shared" si="8"/>
        <v>1</v>
      </c>
    </row>
    <row r="72" spans="1:19" x14ac:dyDescent="0.55000000000000004">
      <c r="A72">
        <v>71</v>
      </c>
      <c r="B72">
        <f>VLOOKUP(F72,nodes!$A$1:$L$167,2)</f>
        <v>44</v>
      </c>
      <c r="C72" t="s">
        <v>377</v>
      </c>
      <c r="D72">
        <v>56.717098999999997</v>
      </c>
      <c r="E72">
        <v>-130.687453</v>
      </c>
      <c r="F72" t="s">
        <v>421</v>
      </c>
      <c r="G72" t="s">
        <v>563</v>
      </c>
      <c r="H72">
        <v>21.7</v>
      </c>
      <c r="I72">
        <f>VLOOKUP(G72,gen_cost!$A$1:$AY$31,15)</f>
        <v>66563</v>
      </c>
      <c r="J72">
        <f>VLOOKUP(G72,gen_cost!$A$1:$AY$31,16)</f>
        <v>1</v>
      </c>
      <c r="K72">
        <f>VLOOKUP(G72,gen_cost!$A$1:$AY$31,21)</f>
        <v>0</v>
      </c>
      <c r="L72">
        <f>VLOOKUP(G72,gen_cost!$A$1:$AY$31,22)</f>
        <v>0</v>
      </c>
      <c r="M72">
        <f t="shared" si="9"/>
        <v>0.217</v>
      </c>
      <c r="N72" s="1">
        <f t="shared" si="10"/>
        <v>1</v>
      </c>
      <c r="O72" s="1">
        <f t="shared" ref="O72:S81" si="11">+N72</f>
        <v>1</v>
      </c>
      <c r="P72" s="1">
        <f t="shared" si="11"/>
        <v>1</v>
      </c>
      <c r="Q72" s="1">
        <f t="shared" si="11"/>
        <v>1</v>
      </c>
      <c r="R72" s="1">
        <f t="shared" si="11"/>
        <v>1</v>
      </c>
      <c r="S72" s="1">
        <f t="shared" si="11"/>
        <v>1</v>
      </c>
    </row>
    <row r="73" spans="1:19" x14ac:dyDescent="0.55000000000000004">
      <c r="A73">
        <v>72</v>
      </c>
      <c r="B73">
        <f>VLOOKUP(F73,nodes!$A$1:$L$167,2)</f>
        <v>44</v>
      </c>
      <c r="C73" t="s">
        <v>377</v>
      </c>
      <c r="D73">
        <v>56.717098999999997</v>
      </c>
      <c r="E73">
        <v>-130.687453</v>
      </c>
      <c r="F73" t="s">
        <v>421</v>
      </c>
      <c r="G73" t="s">
        <v>563</v>
      </c>
      <c r="H73">
        <v>21.7</v>
      </c>
      <c r="I73">
        <f>VLOOKUP(G73,gen_cost!$A$1:$AY$31,15)</f>
        <v>66563</v>
      </c>
      <c r="J73">
        <f>VLOOKUP(G73,gen_cost!$A$1:$AY$31,16)</f>
        <v>1</v>
      </c>
      <c r="K73">
        <f>VLOOKUP(G73,gen_cost!$A$1:$AY$31,21)</f>
        <v>0</v>
      </c>
      <c r="L73">
        <f>VLOOKUP(G73,gen_cost!$A$1:$AY$31,22)</f>
        <v>0</v>
      </c>
      <c r="M73">
        <f t="shared" si="9"/>
        <v>0.217</v>
      </c>
      <c r="N73" s="1">
        <f t="shared" si="10"/>
        <v>1</v>
      </c>
      <c r="O73" s="1">
        <f t="shared" si="11"/>
        <v>1</v>
      </c>
      <c r="P73" s="1">
        <f t="shared" si="11"/>
        <v>1</v>
      </c>
      <c r="Q73" s="1">
        <f t="shared" si="11"/>
        <v>1</v>
      </c>
      <c r="R73" s="1">
        <f t="shared" si="11"/>
        <v>1</v>
      </c>
      <c r="S73" s="1">
        <f t="shared" si="11"/>
        <v>1</v>
      </c>
    </row>
    <row r="74" spans="1:19" x14ac:dyDescent="0.55000000000000004">
      <c r="A74">
        <v>73</v>
      </c>
      <c r="B74">
        <f>VLOOKUP(F74,nodes!$A$1:$L$167,2)</f>
        <v>44</v>
      </c>
      <c r="C74" t="s">
        <v>377</v>
      </c>
      <c r="D74">
        <v>56.717098999999997</v>
      </c>
      <c r="E74">
        <v>-130.687453</v>
      </c>
      <c r="F74" t="s">
        <v>421</v>
      </c>
      <c r="G74" t="s">
        <v>563</v>
      </c>
      <c r="H74">
        <v>21.7</v>
      </c>
      <c r="I74">
        <f>VLOOKUP(G74,gen_cost!$A$1:$AY$31,15)</f>
        <v>66563</v>
      </c>
      <c r="J74">
        <f>VLOOKUP(G74,gen_cost!$A$1:$AY$31,16)</f>
        <v>1</v>
      </c>
      <c r="K74">
        <f>VLOOKUP(G74,gen_cost!$A$1:$AY$31,21)</f>
        <v>0</v>
      </c>
      <c r="L74">
        <f>VLOOKUP(G74,gen_cost!$A$1:$AY$31,22)</f>
        <v>0</v>
      </c>
      <c r="M74">
        <f t="shared" si="9"/>
        <v>0.217</v>
      </c>
      <c r="N74" s="1">
        <f t="shared" si="10"/>
        <v>1</v>
      </c>
      <c r="O74" s="1">
        <f t="shared" si="11"/>
        <v>1</v>
      </c>
      <c r="P74" s="1">
        <f t="shared" si="11"/>
        <v>1</v>
      </c>
      <c r="Q74" s="1">
        <f t="shared" si="11"/>
        <v>1</v>
      </c>
      <c r="R74" s="1">
        <f t="shared" si="11"/>
        <v>1</v>
      </c>
      <c r="S74" s="1">
        <f t="shared" si="11"/>
        <v>1</v>
      </c>
    </row>
    <row r="75" spans="1:19" x14ac:dyDescent="0.55000000000000004">
      <c r="A75">
        <v>74</v>
      </c>
      <c r="B75">
        <f>VLOOKUP(F75,nodes!$A$1:$L$167,2)</f>
        <v>44</v>
      </c>
      <c r="C75" t="s">
        <v>377</v>
      </c>
      <c r="D75">
        <v>56.717098999999997</v>
      </c>
      <c r="E75">
        <v>-130.687453</v>
      </c>
      <c r="F75" t="s">
        <v>421</v>
      </c>
      <c r="G75" t="s">
        <v>563</v>
      </c>
      <c r="H75">
        <v>21.7</v>
      </c>
      <c r="I75">
        <f>VLOOKUP(G75,gen_cost!$A$1:$AY$31,15)</f>
        <v>66563</v>
      </c>
      <c r="J75">
        <f>VLOOKUP(G75,gen_cost!$A$1:$AY$31,16)</f>
        <v>1</v>
      </c>
      <c r="K75">
        <f>VLOOKUP(G75,gen_cost!$A$1:$AY$31,21)</f>
        <v>0</v>
      </c>
      <c r="L75">
        <f>VLOOKUP(G75,gen_cost!$A$1:$AY$31,22)</f>
        <v>0</v>
      </c>
      <c r="M75">
        <f t="shared" si="9"/>
        <v>0.217</v>
      </c>
      <c r="N75" s="1">
        <f t="shared" si="10"/>
        <v>1</v>
      </c>
      <c r="O75" s="1">
        <f t="shared" si="11"/>
        <v>1</v>
      </c>
      <c r="P75" s="1">
        <f t="shared" si="11"/>
        <v>1</v>
      </c>
      <c r="Q75" s="1">
        <f t="shared" si="11"/>
        <v>1</v>
      </c>
      <c r="R75" s="1">
        <f t="shared" si="11"/>
        <v>1</v>
      </c>
      <c r="S75" s="1">
        <f t="shared" si="11"/>
        <v>1</v>
      </c>
    </row>
    <row r="76" spans="1:19" x14ac:dyDescent="0.55000000000000004">
      <c r="A76">
        <v>75</v>
      </c>
      <c r="B76">
        <f>VLOOKUP(F76,nodes!$A$1:$L$167,2)</f>
        <v>44</v>
      </c>
      <c r="C76" t="s">
        <v>377</v>
      </c>
      <c r="D76">
        <v>56.717098999999997</v>
      </c>
      <c r="E76">
        <v>-130.687453</v>
      </c>
      <c r="F76" t="s">
        <v>421</v>
      </c>
      <c r="G76" t="s">
        <v>563</v>
      </c>
      <c r="H76">
        <v>21.7</v>
      </c>
      <c r="I76">
        <f>VLOOKUP(G76,gen_cost!$A$1:$AY$31,15)</f>
        <v>66563</v>
      </c>
      <c r="J76">
        <f>VLOOKUP(G76,gen_cost!$A$1:$AY$31,16)</f>
        <v>1</v>
      </c>
      <c r="K76">
        <f>VLOOKUP(G76,gen_cost!$A$1:$AY$31,21)</f>
        <v>0</v>
      </c>
      <c r="L76">
        <f>VLOOKUP(G76,gen_cost!$A$1:$AY$31,22)</f>
        <v>0</v>
      </c>
      <c r="M76">
        <f t="shared" si="9"/>
        <v>0.217</v>
      </c>
      <c r="N76" s="1">
        <f t="shared" si="10"/>
        <v>1</v>
      </c>
      <c r="O76" s="1">
        <f t="shared" si="11"/>
        <v>1</v>
      </c>
      <c r="P76" s="1">
        <f t="shared" si="11"/>
        <v>1</v>
      </c>
      <c r="Q76" s="1">
        <f t="shared" si="11"/>
        <v>1</v>
      </c>
      <c r="R76" s="1">
        <f t="shared" si="11"/>
        <v>1</v>
      </c>
      <c r="S76" s="1">
        <f t="shared" si="11"/>
        <v>1</v>
      </c>
    </row>
    <row r="77" spans="1:19" x14ac:dyDescent="0.55000000000000004">
      <c r="A77">
        <v>76</v>
      </c>
      <c r="B77">
        <f>VLOOKUP(F77,nodes!$A$1:$L$167,2)</f>
        <v>44</v>
      </c>
      <c r="C77" t="s">
        <v>377</v>
      </c>
      <c r="D77">
        <v>56.717098999999997</v>
      </c>
      <c r="E77">
        <v>-130.687453</v>
      </c>
      <c r="F77" t="s">
        <v>421</v>
      </c>
      <c r="G77" t="s">
        <v>563</v>
      </c>
      <c r="H77">
        <v>21.7</v>
      </c>
      <c r="I77">
        <f>VLOOKUP(G77,gen_cost!$A$1:$AY$31,15)</f>
        <v>66563</v>
      </c>
      <c r="J77">
        <f>VLOOKUP(G77,gen_cost!$A$1:$AY$31,16)</f>
        <v>1</v>
      </c>
      <c r="K77">
        <f>VLOOKUP(G77,gen_cost!$A$1:$AY$31,21)</f>
        <v>0</v>
      </c>
      <c r="L77">
        <f>VLOOKUP(G77,gen_cost!$A$1:$AY$31,22)</f>
        <v>0</v>
      </c>
      <c r="M77">
        <f t="shared" si="9"/>
        <v>0.217</v>
      </c>
      <c r="N77" s="1">
        <f t="shared" si="10"/>
        <v>1</v>
      </c>
      <c r="O77" s="1">
        <f t="shared" si="11"/>
        <v>1</v>
      </c>
      <c r="P77" s="1">
        <f t="shared" si="11"/>
        <v>1</v>
      </c>
      <c r="Q77" s="1">
        <f t="shared" si="11"/>
        <v>1</v>
      </c>
      <c r="R77" s="1">
        <f t="shared" si="11"/>
        <v>1</v>
      </c>
      <c r="S77" s="1">
        <f t="shared" si="11"/>
        <v>1</v>
      </c>
    </row>
    <row r="78" spans="1:19" x14ac:dyDescent="0.55000000000000004">
      <c r="A78">
        <v>77</v>
      </c>
      <c r="B78">
        <f>VLOOKUP(F78,nodes!$A$1:$L$167,2)</f>
        <v>44</v>
      </c>
      <c r="C78" t="s">
        <v>377</v>
      </c>
      <c r="D78">
        <v>56.717098999999997</v>
      </c>
      <c r="E78">
        <v>-130.687453</v>
      </c>
      <c r="F78" t="s">
        <v>421</v>
      </c>
      <c r="G78" t="s">
        <v>563</v>
      </c>
      <c r="H78">
        <v>21.7</v>
      </c>
      <c r="I78">
        <f>VLOOKUP(G78,gen_cost!$A$1:$AY$31,15)</f>
        <v>66563</v>
      </c>
      <c r="J78">
        <f>VLOOKUP(G78,gen_cost!$A$1:$AY$31,16)</f>
        <v>1</v>
      </c>
      <c r="K78">
        <f>VLOOKUP(G78,gen_cost!$A$1:$AY$31,21)</f>
        <v>0</v>
      </c>
      <c r="L78">
        <f>VLOOKUP(G78,gen_cost!$A$1:$AY$31,22)</f>
        <v>0</v>
      </c>
      <c r="M78">
        <f t="shared" si="9"/>
        <v>0.217</v>
      </c>
      <c r="N78" s="1">
        <f t="shared" si="10"/>
        <v>1</v>
      </c>
      <c r="O78" s="1">
        <f t="shared" si="11"/>
        <v>1</v>
      </c>
      <c r="P78" s="1">
        <f t="shared" si="11"/>
        <v>1</v>
      </c>
      <c r="Q78" s="1">
        <f t="shared" si="11"/>
        <v>1</v>
      </c>
      <c r="R78" s="1">
        <f t="shared" si="11"/>
        <v>1</v>
      </c>
      <c r="S78" s="1">
        <f t="shared" si="11"/>
        <v>1</v>
      </c>
    </row>
    <row r="79" spans="1:19" x14ac:dyDescent="0.55000000000000004">
      <c r="A79">
        <v>78</v>
      </c>
      <c r="B79">
        <f>VLOOKUP(F79,nodes!$A$1:$L$167,2)</f>
        <v>44</v>
      </c>
      <c r="C79" t="s">
        <v>377</v>
      </c>
      <c r="D79">
        <v>56.717098999999997</v>
      </c>
      <c r="E79">
        <v>-130.687453</v>
      </c>
      <c r="F79" t="s">
        <v>421</v>
      </c>
      <c r="G79" t="s">
        <v>563</v>
      </c>
      <c r="H79">
        <v>21.7</v>
      </c>
      <c r="I79">
        <f>VLOOKUP(G79,gen_cost!$A$1:$AY$31,15)</f>
        <v>66563</v>
      </c>
      <c r="J79">
        <f>VLOOKUP(G79,gen_cost!$A$1:$AY$31,16)</f>
        <v>1</v>
      </c>
      <c r="K79">
        <f>VLOOKUP(G79,gen_cost!$A$1:$AY$31,21)</f>
        <v>0</v>
      </c>
      <c r="L79">
        <f>VLOOKUP(G79,gen_cost!$A$1:$AY$31,22)</f>
        <v>0</v>
      </c>
      <c r="M79">
        <f t="shared" si="9"/>
        <v>0.217</v>
      </c>
      <c r="N79" s="1">
        <f t="shared" si="10"/>
        <v>1</v>
      </c>
      <c r="O79" s="1">
        <f t="shared" si="11"/>
        <v>1</v>
      </c>
      <c r="P79" s="1">
        <f t="shared" si="11"/>
        <v>1</v>
      </c>
      <c r="Q79" s="1">
        <f t="shared" si="11"/>
        <v>1</v>
      </c>
      <c r="R79" s="1">
        <f t="shared" si="11"/>
        <v>1</v>
      </c>
      <c r="S79" s="1">
        <f t="shared" si="11"/>
        <v>1</v>
      </c>
    </row>
    <row r="80" spans="1:19" x14ac:dyDescent="0.55000000000000004">
      <c r="A80">
        <v>79</v>
      </c>
      <c r="B80">
        <f>VLOOKUP(F80,nodes!$A$1:$L$167,2)</f>
        <v>119</v>
      </c>
      <c r="C80" t="s">
        <v>377</v>
      </c>
      <c r="D80">
        <v>53.983217000000003</v>
      </c>
      <c r="E80">
        <v>-129.73412500000001</v>
      </c>
      <c r="F80" t="s">
        <v>497</v>
      </c>
      <c r="G80" t="s">
        <v>561</v>
      </c>
      <c r="H80">
        <v>3.5</v>
      </c>
      <c r="I80">
        <f>VLOOKUP(G80,gen_cost!$A$1:$AY$31,15)</f>
        <v>115196</v>
      </c>
      <c r="J80">
        <f>VLOOKUP(G80,gen_cost!$A$1:$AY$31,16)</f>
        <v>5</v>
      </c>
      <c r="K80">
        <f>VLOOKUP(G80,gen_cost!$A$1:$AY$31,21)</f>
        <v>0</v>
      </c>
      <c r="L80">
        <f>VLOOKUP(G80,gen_cost!$A$1:$AY$31,22)</f>
        <v>0</v>
      </c>
      <c r="M80">
        <f t="shared" si="9"/>
        <v>3.5000000000000003E-2</v>
      </c>
      <c r="N80" s="1">
        <f t="shared" si="10"/>
        <v>5</v>
      </c>
      <c r="O80" s="1">
        <f t="shared" si="11"/>
        <v>5</v>
      </c>
      <c r="P80" s="1">
        <f t="shared" si="11"/>
        <v>5</v>
      </c>
      <c r="Q80" s="1">
        <f t="shared" si="11"/>
        <v>5</v>
      </c>
      <c r="R80" s="1">
        <f t="shared" si="11"/>
        <v>5</v>
      </c>
      <c r="S80" s="1">
        <f t="shared" si="11"/>
        <v>5</v>
      </c>
    </row>
    <row r="81" spans="1:19" x14ac:dyDescent="0.55000000000000004">
      <c r="A81">
        <v>80</v>
      </c>
      <c r="B81">
        <f>VLOOKUP(F81,nodes!$A$1:$L$167,2)</f>
        <v>119</v>
      </c>
      <c r="C81" t="s">
        <v>377</v>
      </c>
      <c r="D81">
        <v>53.983217000000003</v>
      </c>
      <c r="E81">
        <v>-129.73412500000001</v>
      </c>
      <c r="F81" t="s">
        <v>497</v>
      </c>
      <c r="G81" t="s">
        <v>561</v>
      </c>
      <c r="H81">
        <v>3.5</v>
      </c>
      <c r="I81">
        <f>VLOOKUP(G81,gen_cost!$A$1:$AY$31,15)</f>
        <v>115196</v>
      </c>
      <c r="J81">
        <f>VLOOKUP(G81,gen_cost!$A$1:$AY$31,16)</f>
        <v>5</v>
      </c>
      <c r="K81">
        <f>VLOOKUP(G81,gen_cost!$A$1:$AY$31,21)</f>
        <v>0</v>
      </c>
      <c r="L81">
        <f>VLOOKUP(G81,gen_cost!$A$1:$AY$31,22)</f>
        <v>0</v>
      </c>
      <c r="M81">
        <f t="shared" si="9"/>
        <v>3.5000000000000003E-2</v>
      </c>
      <c r="N81" s="1">
        <f t="shared" si="10"/>
        <v>5</v>
      </c>
      <c r="O81" s="1">
        <f t="shared" si="11"/>
        <v>5</v>
      </c>
      <c r="P81" s="1">
        <f t="shared" si="11"/>
        <v>5</v>
      </c>
      <c r="Q81" s="1">
        <f t="shared" si="11"/>
        <v>5</v>
      </c>
      <c r="R81" s="1">
        <f t="shared" si="11"/>
        <v>5</v>
      </c>
      <c r="S81" s="1">
        <f t="shared" si="11"/>
        <v>5</v>
      </c>
    </row>
    <row r="82" spans="1:19" x14ac:dyDescent="0.55000000000000004">
      <c r="A82">
        <v>81</v>
      </c>
      <c r="B82">
        <f>VLOOKUP(F82,nodes!$A$1:$L$167,2)</f>
        <v>71</v>
      </c>
      <c r="C82" t="s">
        <v>377</v>
      </c>
      <c r="D82">
        <v>58.800980000000003</v>
      </c>
      <c r="E82">
        <v>-122.756204</v>
      </c>
      <c r="F82" t="s">
        <v>448</v>
      </c>
      <c r="G82" t="s">
        <v>564</v>
      </c>
      <c r="H82">
        <v>52.2</v>
      </c>
      <c r="I82">
        <f>VLOOKUP(G82,gen_cost!$A$1:$AY$31,15)</f>
        <v>17849</v>
      </c>
      <c r="J82">
        <f>VLOOKUP(G82,gen_cost!$A$1:$AY$31,16)</f>
        <v>2.73</v>
      </c>
      <c r="K82">
        <f>VLOOKUP(G82,gen_cost!$A$1:$AY$31,21)</f>
        <v>0.33752700000000002</v>
      </c>
      <c r="L82">
        <f>VLOOKUP(G82,gen_cost!$A$1:$AY$31,22)</f>
        <v>6.36</v>
      </c>
      <c r="M82">
        <f t="shared" si="9"/>
        <v>0.52200000000000002</v>
      </c>
      <c r="N82" s="1">
        <f t="shared" si="10"/>
        <v>2.73</v>
      </c>
      <c r="O82" s="1">
        <f t="shared" ref="O82:S91" si="12">+N82</f>
        <v>2.73</v>
      </c>
      <c r="P82" s="1">
        <f t="shared" si="12"/>
        <v>2.73</v>
      </c>
      <c r="Q82" s="1">
        <f t="shared" si="12"/>
        <v>2.73</v>
      </c>
      <c r="R82" s="1">
        <f t="shared" si="12"/>
        <v>2.73</v>
      </c>
      <c r="S82" s="1">
        <f t="shared" si="12"/>
        <v>2.73</v>
      </c>
    </row>
    <row r="83" spans="1:19" x14ac:dyDescent="0.55000000000000004">
      <c r="A83">
        <v>82</v>
      </c>
      <c r="B83">
        <f>VLOOKUP(F83,nodes!$A$1:$L$167,2)</f>
        <v>71</v>
      </c>
      <c r="C83" t="s">
        <v>377</v>
      </c>
      <c r="D83">
        <v>58.800980000000003</v>
      </c>
      <c r="E83">
        <v>-122.756204</v>
      </c>
      <c r="F83" t="s">
        <v>448</v>
      </c>
      <c r="G83" t="s">
        <v>564</v>
      </c>
      <c r="H83">
        <v>28</v>
      </c>
      <c r="I83">
        <f>VLOOKUP(G83,gen_cost!$A$1:$AY$31,15)</f>
        <v>17849</v>
      </c>
      <c r="J83">
        <f>VLOOKUP(G83,gen_cost!$A$1:$AY$31,16)</f>
        <v>2.73</v>
      </c>
      <c r="K83">
        <f>VLOOKUP(G83,gen_cost!$A$1:$AY$31,21)</f>
        <v>0.33752700000000002</v>
      </c>
      <c r="L83">
        <f>VLOOKUP(G83,gen_cost!$A$1:$AY$31,22)</f>
        <v>6.36</v>
      </c>
      <c r="M83">
        <f t="shared" si="9"/>
        <v>0.28000000000000003</v>
      </c>
      <c r="N83" s="1">
        <f t="shared" si="10"/>
        <v>2.73</v>
      </c>
      <c r="O83" s="1">
        <f t="shared" si="12"/>
        <v>2.73</v>
      </c>
      <c r="P83" s="1">
        <f t="shared" si="12"/>
        <v>2.73</v>
      </c>
      <c r="Q83" s="1">
        <f t="shared" si="12"/>
        <v>2.73</v>
      </c>
      <c r="R83" s="1">
        <f t="shared" si="12"/>
        <v>2.73</v>
      </c>
      <c r="S83" s="1">
        <f t="shared" si="12"/>
        <v>2.73</v>
      </c>
    </row>
    <row r="84" spans="1:19" x14ac:dyDescent="0.55000000000000004">
      <c r="A84">
        <v>83</v>
      </c>
      <c r="B84">
        <f>VLOOKUP(F84,nodes!$A$1:$L$167,2)</f>
        <v>152</v>
      </c>
      <c r="C84" t="s">
        <v>377</v>
      </c>
      <c r="D84">
        <v>49.783363000000001</v>
      </c>
      <c r="E84">
        <v>-122.234664</v>
      </c>
      <c r="F84" t="s">
        <v>530</v>
      </c>
      <c r="G84" t="s">
        <v>563</v>
      </c>
      <c r="H84">
        <v>25.28</v>
      </c>
      <c r="I84">
        <f>VLOOKUP(G84,gen_cost!$A$1:$AY$31,15)</f>
        <v>66563</v>
      </c>
      <c r="J84">
        <f>VLOOKUP(G84,gen_cost!$A$1:$AY$31,16)</f>
        <v>1</v>
      </c>
      <c r="K84">
        <f>VLOOKUP(G84,gen_cost!$A$1:$AY$31,21)</f>
        <v>0</v>
      </c>
      <c r="L84">
        <f>VLOOKUP(G84,gen_cost!$A$1:$AY$31,22)</f>
        <v>0</v>
      </c>
      <c r="M84">
        <f t="shared" si="9"/>
        <v>0.25280000000000002</v>
      </c>
      <c r="N84" s="1">
        <f t="shared" si="10"/>
        <v>1</v>
      </c>
      <c r="O84" s="1">
        <f t="shared" si="12"/>
        <v>1</v>
      </c>
      <c r="P84" s="1">
        <f t="shared" si="12"/>
        <v>1</v>
      </c>
      <c r="Q84" s="1">
        <f t="shared" si="12"/>
        <v>1</v>
      </c>
      <c r="R84" s="1">
        <f t="shared" si="12"/>
        <v>1</v>
      </c>
      <c r="S84" s="1">
        <f t="shared" si="12"/>
        <v>1</v>
      </c>
    </row>
    <row r="85" spans="1:19" x14ac:dyDescent="0.55000000000000004">
      <c r="A85">
        <v>84</v>
      </c>
      <c r="B85">
        <f>VLOOKUP(F85,nodes!$A$1:$L$167,2)</f>
        <v>54</v>
      </c>
      <c r="C85" t="s">
        <v>377</v>
      </c>
      <c r="D85">
        <v>49.579143000000002</v>
      </c>
      <c r="E85">
        <v>-123.20208100000001</v>
      </c>
      <c r="F85" t="s">
        <v>431</v>
      </c>
      <c r="G85" t="s">
        <v>563</v>
      </c>
      <c r="H85">
        <v>10.4</v>
      </c>
      <c r="I85">
        <f>VLOOKUP(G85,gen_cost!$A$1:$AY$31,15)</f>
        <v>66563</v>
      </c>
      <c r="J85">
        <f>VLOOKUP(G85,gen_cost!$A$1:$AY$31,16)</f>
        <v>1</v>
      </c>
      <c r="K85">
        <f>VLOOKUP(G85,gen_cost!$A$1:$AY$31,21)</f>
        <v>0</v>
      </c>
      <c r="L85">
        <f>VLOOKUP(G85,gen_cost!$A$1:$AY$31,22)</f>
        <v>0</v>
      </c>
      <c r="M85">
        <f t="shared" si="9"/>
        <v>0.10400000000000001</v>
      </c>
      <c r="N85" s="1">
        <f t="shared" si="10"/>
        <v>1</v>
      </c>
      <c r="O85" s="1">
        <f t="shared" si="12"/>
        <v>1</v>
      </c>
      <c r="P85" s="1">
        <f t="shared" si="12"/>
        <v>1</v>
      </c>
      <c r="Q85" s="1">
        <f t="shared" si="12"/>
        <v>1</v>
      </c>
      <c r="R85" s="1">
        <f t="shared" si="12"/>
        <v>1</v>
      </c>
      <c r="S85" s="1">
        <f t="shared" si="12"/>
        <v>1</v>
      </c>
    </row>
    <row r="86" spans="1:19" x14ac:dyDescent="0.55000000000000004">
      <c r="A86">
        <v>85</v>
      </c>
      <c r="B86">
        <f>VLOOKUP(F86,nodes!$A$1:$L$167,2)</f>
        <v>68</v>
      </c>
      <c r="C86" t="s">
        <v>377</v>
      </c>
      <c r="D86">
        <v>49.159671000000003</v>
      </c>
      <c r="E86">
        <v>-123.03780399999999</v>
      </c>
      <c r="F86" t="s">
        <v>445</v>
      </c>
      <c r="G86" t="s">
        <v>566</v>
      </c>
      <c r="H86">
        <v>1.03</v>
      </c>
      <c r="I86">
        <f>VLOOKUP(G86,gen_cost!$A$1:$AY$31,15)</f>
        <v>31512</v>
      </c>
      <c r="J86">
        <f>VLOOKUP(G86,gen_cost!$A$1:$AY$31,16)</f>
        <v>9.7200000000000006</v>
      </c>
      <c r="K86">
        <f>VLOOKUP(G86,gen_cost!$A$1:$AY$31,21)</f>
        <v>0</v>
      </c>
      <c r="L86">
        <f>VLOOKUP(G86,gen_cost!$A$1:$AY$31,22)</f>
        <v>8.5129999999999999</v>
      </c>
      <c r="M86">
        <f t="shared" si="9"/>
        <v>1.03E-2</v>
      </c>
      <c r="N86" s="1">
        <f t="shared" si="10"/>
        <v>9.7200000000000006</v>
      </c>
      <c r="O86" s="1">
        <f t="shared" si="12"/>
        <v>9.7200000000000006</v>
      </c>
      <c r="P86" s="1">
        <f t="shared" si="12"/>
        <v>9.7200000000000006</v>
      </c>
      <c r="Q86" s="1">
        <f t="shared" si="12"/>
        <v>9.7200000000000006</v>
      </c>
      <c r="R86" s="1">
        <f t="shared" si="12"/>
        <v>9.7200000000000006</v>
      </c>
      <c r="S86" s="1">
        <f t="shared" si="12"/>
        <v>9.7200000000000006</v>
      </c>
    </row>
    <row r="87" spans="1:19" x14ac:dyDescent="0.55000000000000004">
      <c r="A87">
        <v>86</v>
      </c>
      <c r="B87">
        <f>VLOOKUP(F87,nodes!$A$1:$L$167,2)</f>
        <v>47</v>
      </c>
      <c r="C87" t="s">
        <v>377</v>
      </c>
      <c r="D87">
        <v>54.067329000000001</v>
      </c>
      <c r="E87">
        <v>-124.74839</v>
      </c>
      <c r="F87" t="s">
        <v>424</v>
      </c>
      <c r="G87" t="s">
        <v>557</v>
      </c>
      <c r="H87">
        <v>6</v>
      </c>
      <c r="I87">
        <f>VLOOKUP(G87,gen_cost!$A$1:$AY$31,15)</f>
        <v>183950</v>
      </c>
      <c r="J87">
        <f>VLOOKUP(G87,gen_cost!$A$1:$AY$31,16)</f>
        <v>7.07</v>
      </c>
      <c r="K87">
        <f>VLOOKUP(G87,gen_cost!$A$1:$AY$31,21)</f>
        <v>0</v>
      </c>
      <c r="L87">
        <f>VLOOKUP(G87,gen_cost!$A$1:$AY$31,22)</f>
        <v>13.5</v>
      </c>
      <c r="M87">
        <f t="shared" si="9"/>
        <v>0.06</v>
      </c>
      <c r="N87" s="1">
        <f t="shared" si="10"/>
        <v>7.07</v>
      </c>
      <c r="O87" s="1">
        <f t="shared" si="12"/>
        <v>7.07</v>
      </c>
      <c r="P87" s="1">
        <f t="shared" si="12"/>
        <v>7.07</v>
      </c>
      <c r="Q87" s="1">
        <f t="shared" si="12"/>
        <v>7.07</v>
      </c>
      <c r="R87" s="1">
        <f t="shared" si="12"/>
        <v>7.07</v>
      </c>
      <c r="S87" s="1">
        <f t="shared" si="12"/>
        <v>7.07</v>
      </c>
    </row>
    <row r="88" spans="1:19" x14ac:dyDescent="0.55000000000000004">
      <c r="A88">
        <v>87</v>
      </c>
      <c r="B88">
        <f>VLOOKUP(F88,nodes!$A$1:$L$167,2)</f>
        <v>47</v>
      </c>
      <c r="C88" t="s">
        <v>377</v>
      </c>
      <c r="D88">
        <v>54.067329000000001</v>
      </c>
      <c r="E88">
        <v>-124.74839</v>
      </c>
      <c r="F88" t="s">
        <v>424</v>
      </c>
      <c r="G88" t="s">
        <v>557</v>
      </c>
      <c r="H88">
        <v>6</v>
      </c>
      <c r="I88">
        <f>VLOOKUP(G88,gen_cost!$A$1:$AY$31,15)</f>
        <v>183950</v>
      </c>
      <c r="J88">
        <f>VLOOKUP(G88,gen_cost!$A$1:$AY$31,16)</f>
        <v>7.07</v>
      </c>
      <c r="K88">
        <f>VLOOKUP(G88,gen_cost!$A$1:$AY$31,21)</f>
        <v>0</v>
      </c>
      <c r="L88">
        <f>VLOOKUP(G88,gen_cost!$A$1:$AY$31,22)</f>
        <v>13.5</v>
      </c>
      <c r="M88">
        <f t="shared" si="9"/>
        <v>0.06</v>
      </c>
      <c r="N88" s="1">
        <f t="shared" si="10"/>
        <v>7.07</v>
      </c>
      <c r="O88" s="1">
        <f t="shared" si="12"/>
        <v>7.07</v>
      </c>
      <c r="P88" s="1">
        <f t="shared" si="12"/>
        <v>7.07</v>
      </c>
      <c r="Q88" s="1">
        <f t="shared" si="12"/>
        <v>7.07</v>
      </c>
      <c r="R88" s="1">
        <f t="shared" si="12"/>
        <v>7.07</v>
      </c>
      <c r="S88" s="1">
        <f t="shared" si="12"/>
        <v>7.07</v>
      </c>
    </row>
    <row r="89" spans="1:19" x14ac:dyDescent="0.55000000000000004">
      <c r="A89">
        <v>88</v>
      </c>
      <c r="B89">
        <f>VLOOKUP(F89,nodes!$A$1:$L$167,2)</f>
        <v>29</v>
      </c>
      <c r="C89" t="s">
        <v>377</v>
      </c>
      <c r="D89">
        <v>50.105587</v>
      </c>
      <c r="E89">
        <v>-122.944717</v>
      </c>
      <c r="F89" t="s">
        <v>406</v>
      </c>
      <c r="G89" t="s">
        <v>563</v>
      </c>
      <c r="H89">
        <v>7.9</v>
      </c>
      <c r="I89">
        <f>VLOOKUP(G89,gen_cost!$A$1:$AY$31,15)</f>
        <v>66563</v>
      </c>
      <c r="J89">
        <f>VLOOKUP(G89,gen_cost!$A$1:$AY$31,16)</f>
        <v>1</v>
      </c>
      <c r="K89">
        <f>VLOOKUP(G89,gen_cost!$A$1:$AY$31,21)</f>
        <v>0</v>
      </c>
      <c r="L89">
        <f>VLOOKUP(G89,gen_cost!$A$1:$AY$31,22)</f>
        <v>0</v>
      </c>
      <c r="M89">
        <f t="shared" si="9"/>
        <v>7.9000000000000001E-2</v>
      </c>
      <c r="N89" s="1">
        <f t="shared" si="10"/>
        <v>1</v>
      </c>
      <c r="O89" s="1">
        <f t="shared" si="12"/>
        <v>1</v>
      </c>
      <c r="P89" s="1">
        <f t="shared" si="12"/>
        <v>1</v>
      </c>
      <c r="Q89" s="1">
        <f t="shared" si="12"/>
        <v>1</v>
      </c>
      <c r="R89" s="1">
        <f t="shared" si="12"/>
        <v>1</v>
      </c>
      <c r="S89" s="1">
        <f t="shared" si="12"/>
        <v>1</v>
      </c>
    </row>
    <row r="90" spans="1:19" x14ac:dyDescent="0.55000000000000004">
      <c r="A90">
        <v>89</v>
      </c>
      <c r="B90">
        <f>VLOOKUP(F90,nodes!$A$1:$L$167,2)</f>
        <v>66</v>
      </c>
      <c r="C90" t="s">
        <v>377</v>
      </c>
      <c r="D90">
        <v>51.312855999999996</v>
      </c>
      <c r="E90">
        <v>-116.98054999999999</v>
      </c>
      <c r="F90" t="s">
        <v>443</v>
      </c>
      <c r="G90" t="s">
        <v>557</v>
      </c>
      <c r="H90">
        <v>7.5</v>
      </c>
      <c r="I90">
        <f>VLOOKUP(G90,gen_cost!$A$1:$AY$31,15)</f>
        <v>183950</v>
      </c>
      <c r="J90">
        <f>VLOOKUP(G90,gen_cost!$A$1:$AY$31,16)</f>
        <v>7.07</v>
      </c>
      <c r="K90">
        <f>VLOOKUP(G90,gen_cost!$A$1:$AY$31,21)</f>
        <v>0</v>
      </c>
      <c r="L90">
        <f>VLOOKUP(G90,gen_cost!$A$1:$AY$31,22)</f>
        <v>13.5</v>
      </c>
      <c r="M90">
        <f t="shared" si="9"/>
        <v>7.4999999999999997E-2</v>
      </c>
      <c r="N90" s="1">
        <f t="shared" si="10"/>
        <v>7.07</v>
      </c>
      <c r="O90" s="1">
        <f t="shared" si="12"/>
        <v>7.07</v>
      </c>
      <c r="P90" s="1">
        <f t="shared" si="12"/>
        <v>7.07</v>
      </c>
      <c r="Q90" s="1">
        <f t="shared" si="12"/>
        <v>7.07</v>
      </c>
      <c r="R90" s="1">
        <f t="shared" si="12"/>
        <v>7.07</v>
      </c>
      <c r="S90" s="1">
        <f t="shared" si="12"/>
        <v>7.07</v>
      </c>
    </row>
    <row r="91" spans="1:19" x14ac:dyDescent="0.55000000000000004">
      <c r="A91">
        <v>90</v>
      </c>
      <c r="B91">
        <f>VLOOKUP(F91,nodes!$A$1:$L$167,2)</f>
        <v>48</v>
      </c>
      <c r="C91" t="s">
        <v>377</v>
      </c>
      <c r="D91">
        <v>56.014729000000003</v>
      </c>
      <c r="E91">
        <v>-122.195747</v>
      </c>
      <c r="F91" t="s">
        <v>425</v>
      </c>
      <c r="G91" t="s">
        <v>567</v>
      </c>
      <c r="H91">
        <v>305</v>
      </c>
      <c r="I91">
        <f>VLOOKUP(G91,gen_cost!$A$1:$AY$31,15)</f>
        <v>18305</v>
      </c>
      <c r="J91">
        <f>VLOOKUP(G91,gen_cost!$A$1:$AY$31,16)</f>
        <v>2</v>
      </c>
      <c r="K91">
        <f>VLOOKUP(G91,gen_cost!$A$1:$AY$31,21)</f>
        <v>0</v>
      </c>
      <c r="L91">
        <f>VLOOKUP(G91,gen_cost!$A$1:$AY$31,22)</f>
        <v>0</v>
      </c>
      <c r="M91">
        <f t="shared" si="9"/>
        <v>3.05</v>
      </c>
      <c r="N91" s="1">
        <f t="shared" si="10"/>
        <v>2</v>
      </c>
      <c r="O91" s="1">
        <f t="shared" si="12"/>
        <v>2</v>
      </c>
      <c r="P91" s="1">
        <f t="shared" si="12"/>
        <v>2</v>
      </c>
      <c r="Q91" s="1">
        <f t="shared" si="12"/>
        <v>2</v>
      </c>
      <c r="R91" s="1">
        <f t="shared" si="12"/>
        <v>2</v>
      </c>
      <c r="S91" s="1">
        <f t="shared" si="12"/>
        <v>2</v>
      </c>
    </row>
    <row r="92" spans="1:19" x14ac:dyDescent="0.55000000000000004">
      <c r="A92">
        <v>91</v>
      </c>
      <c r="B92">
        <f>VLOOKUP(F92,nodes!$A$1:$L$167,2)</f>
        <v>48</v>
      </c>
      <c r="C92" t="s">
        <v>377</v>
      </c>
      <c r="D92">
        <v>56.014729000000003</v>
      </c>
      <c r="E92">
        <v>-122.195747</v>
      </c>
      <c r="F92" t="s">
        <v>425</v>
      </c>
      <c r="G92" t="s">
        <v>567</v>
      </c>
      <c r="H92">
        <v>305</v>
      </c>
      <c r="I92">
        <f>VLOOKUP(G92,gen_cost!$A$1:$AY$31,15)</f>
        <v>18305</v>
      </c>
      <c r="J92">
        <f>VLOOKUP(G92,gen_cost!$A$1:$AY$31,16)</f>
        <v>2</v>
      </c>
      <c r="K92">
        <f>VLOOKUP(G92,gen_cost!$A$1:$AY$31,21)</f>
        <v>0</v>
      </c>
      <c r="L92">
        <f>VLOOKUP(G92,gen_cost!$A$1:$AY$31,22)</f>
        <v>0</v>
      </c>
      <c r="M92">
        <f t="shared" si="9"/>
        <v>3.05</v>
      </c>
      <c r="N92" s="1">
        <f t="shared" si="10"/>
        <v>2</v>
      </c>
      <c r="O92" s="1">
        <f t="shared" ref="O92:S101" si="13">+N92</f>
        <v>2</v>
      </c>
      <c r="P92" s="1">
        <f t="shared" si="13"/>
        <v>2</v>
      </c>
      <c r="Q92" s="1">
        <f t="shared" si="13"/>
        <v>2</v>
      </c>
      <c r="R92" s="1">
        <f t="shared" si="13"/>
        <v>2</v>
      </c>
      <c r="S92" s="1">
        <f t="shared" si="13"/>
        <v>2</v>
      </c>
    </row>
    <row r="93" spans="1:19" x14ac:dyDescent="0.55000000000000004">
      <c r="A93">
        <v>92</v>
      </c>
      <c r="B93">
        <f>VLOOKUP(F93,nodes!$A$1:$L$167,2)</f>
        <v>48</v>
      </c>
      <c r="C93" t="s">
        <v>377</v>
      </c>
      <c r="D93">
        <v>56.014729000000003</v>
      </c>
      <c r="E93">
        <v>-122.195747</v>
      </c>
      <c r="F93" t="s">
        <v>425</v>
      </c>
      <c r="G93" t="s">
        <v>567</v>
      </c>
      <c r="H93">
        <v>305</v>
      </c>
      <c r="I93">
        <f>VLOOKUP(G93,gen_cost!$A$1:$AY$31,15)</f>
        <v>18305</v>
      </c>
      <c r="J93">
        <f>VLOOKUP(G93,gen_cost!$A$1:$AY$31,16)</f>
        <v>2</v>
      </c>
      <c r="K93">
        <f>VLOOKUP(G93,gen_cost!$A$1:$AY$31,21)</f>
        <v>0</v>
      </c>
      <c r="L93">
        <f>VLOOKUP(G93,gen_cost!$A$1:$AY$31,22)</f>
        <v>0</v>
      </c>
      <c r="M93">
        <f t="shared" si="9"/>
        <v>3.05</v>
      </c>
      <c r="N93" s="1">
        <f t="shared" si="10"/>
        <v>2</v>
      </c>
      <c r="O93" s="1">
        <f t="shared" si="13"/>
        <v>2</v>
      </c>
      <c r="P93" s="1">
        <f t="shared" si="13"/>
        <v>2</v>
      </c>
      <c r="Q93" s="1">
        <f t="shared" si="13"/>
        <v>2</v>
      </c>
      <c r="R93" s="1">
        <f t="shared" si="13"/>
        <v>2</v>
      </c>
      <c r="S93" s="1">
        <f t="shared" si="13"/>
        <v>2</v>
      </c>
    </row>
    <row r="94" spans="1:19" x14ac:dyDescent="0.55000000000000004">
      <c r="A94">
        <v>93</v>
      </c>
      <c r="B94">
        <f>VLOOKUP(F94,nodes!$A$1:$L$167,2)</f>
        <v>48</v>
      </c>
      <c r="C94" t="s">
        <v>377</v>
      </c>
      <c r="D94">
        <v>56.014729000000003</v>
      </c>
      <c r="E94">
        <v>-122.195747</v>
      </c>
      <c r="F94" t="s">
        <v>425</v>
      </c>
      <c r="G94" t="s">
        <v>567</v>
      </c>
      <c r="H94">
        <v>305</v>
      </c>
      <c r="I94">
        <f>VLOOKUP(G94,gen_cost!$A$1:$AY$31,15)</f>
        <v>18305</v>
      </c>
      <c r="J94">
        <f>VLOOKUP(G94,gen_cost!$A$1:$AY$31,16)</f>
        <v>2</v>
      </c>
      <c r="K94">
        <f>VLOOKUP(G94,gen_cost!$A$1:$AY$31,21)</f>
        <v>0</v>
      </c>
      <c r="L94">
        <f>VLOOKUP(G94,gen_cost!$A$1:$AY$31,22)</f>
        <v>0</v>
      </c>
      <c r="M94">
        <f t="shared" si="9"/>
        <v>3.05</v>
      </c>
      <c r="N94" s="1">
        <f t="shared" si="10"/>
        <v>2</v>
      </c>
      <c r="O94" s="1">
        <f t="shared" si="13"/>
        <v>2</v>
      </c>
      <c r="P94" s="1">
        <f t="shared" si="13"/>
        <v>2</v>
      </c>
      <c r="Q94" s="1">
        <f t="shared" si="13"/>
        <v>2</v>
      </c>
      <c r="R94" s="1">
        <f t="shared" si="13"/>
        <v>2</v>
      </c>
      <c r="S94" s="1">
        <f t="shared" si="13"/>
        <v>2</v>
      </c>
    </row>
    <row r="95" spans="1:19" x14ac:dyDescent="0.55000000000000004">
      <c r="A95">
        <v>94</v>
      </c>
      <c r="B95">
        <f>VLOOKUP(F95,nodes!$A$1:$L$167,2)</f>
        <v>48</v>
      </c>
      <c r="C95" t="s">
        <v>377</v>
      </c>
      <c r="D95">
        <v>56.014729000000003</v>
      </c>
      <c r="E95">
        <v>-122.195747</v>
      </c>
      <c r="F95" t="s">
        <v>425</v>
      </c>
      <c r="G95" t="s">
        <v>567</v>
      </c>
      <c r="H95">
        <v>305</v>
      </c>
      <c r="I95">
        <f>VLOOKUP(G95,gen_cost!$A$1:$AY$31,15)</f>
        <v>18305</v>
      </c>
      <c r="J95">
        <f>VLOOKUP(G95,gen_cost!$A$1:$AY$31,16)</f>
        <v>2</v>
      </c>
      <c r="K95">
        <f>VLOOKUP(G95,gen_cost!$A$1:$AY$31,21)</f>
        <v>0</v>
      </c>
      <c r="L95">
        <f>VLOOKUP(G95,gen_cost!$A$1:$AY$31,22)</f>
        <v>0</v>
      </c>
      <c r="M95">
        <f t="shared" si="9"/>
        <v>3.05</v>
      </c>
      <c r="N95" s="1">
        <f t="shared" si="10"/>
        <v>2</v>
      </c>
      <c r="O95" s="1">
        <f t="shared" si="13"/>
        <v>2</v>
      </c>
      <c r="P95" s="1">
        <f t="shared" si="13"/>
        <v>2</v>
      </c>
      <c r="Q95" s="1">
        <f t="shared" si="13"/>
        <v>2</v>
      </c>
      <c r="R95" s="1">
        <f t="shared" si="13"/>
        <v>2</v>
      </c>
      <c r="S95" s="1">
        <f t="shared" si="13"/>
        <v>2</v>
      </c>
    </row>
    <row r="96" spans="1:19" x14ac:dyDescent="0.55000000000000004">
      <c r="A96">
        <v>95</v>
      </c>
      <c r="B96">
        <f>VLOOKUP(F96,nodes!$A$1:$L$167,2)</f>
        <v>48</v>
      </c>
      <c r="C96" t="s">
        <v>377</v>
      </c>
      <c r="D96">
        <v>56.014729000000003</v>
      </c>
      <c r="E96">
        <v>-122.195747</v>
      </c>
      <c r="F96" t="s">
        <v>425</v>
      </c>
      <c r="G96" t="s">
        <v>567</v>
      </c>
      <c r="H96">
        <v>305</v>
      </c>
      <c r="I96">
        <f>VLOOKUP(G96,gen_cost!$A$1:$AY$31,15)</f>
        <v>18305</v>
      </c>
      <c r="J96">
        <f>VLOOKUP(G96,gen_cost!$A$1:$AY$31,16)</f>
        <v>2</v>
      </c>
      <c r="K96">
        <f>VLOOKUP(G96,gen_cost!$A$1:$AY$31,21)</f>
        <v>0</v>
      </c>
      <c r="L96">
        <f>VLOOKUP(G96,gen_cost!$A$1:$AY$31,22)</f>
        <v>0</v>
      </c>
      <c r="M96">
        <f t="shared" si="9"/>
        <v>3.05</v>
      </c>
      <c r="N96" s="1">
        <f t="shared" si="10"/>
        <v>2</v>
      </c>
      <c r="O96" s="1">
        <f t="shared" si="13"/>
        <v>2</v>
      </c>
      <c r="P96" s="1">
        <f t="shared" si="13"/>
        <v>2</v>
      </c>
      <c r="Q96" s="1">
        <f t="shared" si="13"/>
        <v>2</v>
      </c>
      <c r="R96" s="1">
        <f t="shared" si="13"/>
        <v>2</v>
      </c>
      <c r="S96" s="1">
        <f t="shared" si="13"/>
        <v>2</v>
      </c>
    </row>
    <row r="97" spans="1:19" x14ac:dyDescent="0.55000000000000004">
      <c r="A97">
        <v>96</v>
      </c>
      <c r="B97">
        <f>VLOOKUP(F97,nodes!$A$1:$L$167,2)</f>
        <v>48</v>
      </c>
      <c r="C97" t="s">
        <v>377</v>
      </c>
      <c r="D97">
        <v>56.014729000000003</v>
      </c>
      <c r="E97">
        <v>-122.195747</v>
      </c>
      <c r="F97" t="s">
        <v>425</v>
      </c>
      <c r="G97" t="s">
        <v>567</v>
      </c>
      <c r="H97">
        <v>305</v>
      </c>
      <c r="I97">
        <f>VLOOKUP(G97,gen_cost!$A$1:$AY$31,15)</f>
        <v>18305</v>
      </c>
      <c r="J97">
        <f>VLOOKUP(G97,gen_cost!$A$1:$AY$31,16)</f>
        <v>2</v>
      </c>
      <c r="K97">
        <f>VLOOKUP(G97,gen_cost!$A$1:$AY$31,21)</f>
        <v>0</v>
      </c>
      <c r="L97">
        <f>VLOOKUP(G97,gen_cost!$A$1:$AY$31,22)</f>
        <v>0</v>
      </c>
      <c r="M97">
        <f t="shared" si="9"/>
        <v>3.05</v>
      </c>
      <c r="N97" s="1">
        <f t="shared" si="10"/>
        <v>2</v>
      </c>
      <c r="O97" s="1">
        <f t="shared" si="13"/>
        <v>2</v>
      </c>
      <c r="P97" s="1">
        <f t="shared" si="13"/>
        <v>2</v>
      </c>
      <c r="Q97" s="1">
        <f t="shared" si="13"/>
        <v>2</v>
      </c>
      <c r="R97" s="1">
        <f t="shared" si="13"/>
        <v>2</v>
      </c>
      <c r="S97" s="1">
        <f t="shared" si="13"/>
        <v>2</v>
      </c>
    </row>
    <row r="98" spans="1:19" x14ac:dyDescent="0.55000000000000004">
      <c r="A98">
        <v>97</v>
      </c>
      <c r="B98">
        <f>VLOOKUP(F98,nodes!$A$1:$L$167,2)</f>
        <v>48</v>
      </c>
      <c r="C98" t="s">
        <v>377</v>
      </c>
      <c r="D98">
        <v>56.014729000000003</v>
      </c>
      <c r="E98">
        <v>-122.195747</v>
      </c>
      <c r="F98" t="s">
        <v>425</v>
      </c>
      <c r="G98" t="s">
        <v>567</v>
      </c>
      <c r="H98">
        <v>305</v>
      </c>
      <c r="I98">
        <f>VLOOKUP(G98,gen_cost!$A$1:$AY$31,15)</f>
        <v>18305</v>
      </c>
      <c r="J98">
        <f>VLOOKUP(G98,gen_cost!$A$1:$AY$31,16)</f>
        <v>2</v>
      </c>
      <c r="K98">
        <f>VLOOKUP(G98,gen_cost!$A$1:$AY$31,21)</f>
        <v>0</v>
      </c>
      <c r="L98">
        <f>VLOOKUP(G98,gen_cost!$A$1:$AY$31,22)</f>
        <v>0</v>
      </c>
      <c r="M98">
        <f t="shared" si="9"/>
        <v>3.05</v>
      </c>
      <c r="N98" s="1">
        <f t="shared" si="10"/>
        <v>2</v>
      </c>
      <c r="O98" s="1">
        <f t="shared" si="13"/>
        <v>2</v>
      </c>
      <c r="P98" s="1">
        <f t="shared" si="13"/>
        <v>2</v>
      </c>
      <c r="Q98" s="1">
        <f t="shared" si="13"/>
        <v>2</v>
      </c>
      <c r="R98" s="1">
        <f t="shared" si="13"/>
        <v>2</v>
      </c>
      <c r="S98" s="1">
        <f t="shared" si="13"/>
        <v>2</v>
      </c>
    </row>
    <row r="99" spans="1:19" x14ac:dyDescent="0.55000000000000004">
      <c r="A99">
        <v>98</v>
      </c>
      <c r="B99">
        <f>VLOOKUP(F99,nodes!$A$1:$L$167,2)</f>
        <v>48</v>
      </c>
      <c r="C99" t="s">
        <v>377</v>
      </c>
      <c r="D99">
        <v>56.014729000000003</v>
      </c>
      <c r="E99">
        <v>-122.195747</v>
      </c>
      <c r="F99" t="s">
        <v>425</v>
      </c>
      <c r="G99" t="s">
        <v>567</v>
      </c>
      <c r="H99">
        <v>305</v>
      </c>
      <c r="I99">
        <f>VLOOKUP(G99,gen_cost!$A$1:$AY$31,15)</f>
        <v>18305</v>
      </c>
      <c r="J99">
        <f>VLOOKUP(G99,gen_cost!$A$1:$AY$31,16)</f>
        <v>2</v>
      </c>
      <c r="K99">
        <f>VLOOKUP(G99,gen_cost!$A$1:$AY$31,21)</f>
        <v>0</v>
      </c>
      <c r="L99">
        <f>VLOOKUP(G99,gen_cost!$A$1:$AY$31,22)</f>
        <v>0</v>
      </c>
      <c r="M99">
        <f t="shared" si="9"/>
        <v>3.05</v>
      </c>
      <c r="N99" s="1">
        <f t="shared" si="10"/>
        <v>2</v>
      </c>
      <c r="O99" s="1">
        <f t="shared" si="13"/>
        <v>2</v>
      </c>
      <c r="P99" s="1">
        <f t="shared" si="13"/>
        <v>2</v>
      </c>
      <c r="Q99" s="1">
        <f t="shared" si="13"/>
        <v>2</v>
      </c>
      <c r="R99" s="1">
        <f t="shared" si="13"/>
        <v>2</v>
      </c>
      <c r="S99" s="1">
        <f t="shared" si="13"/>
        <v>2</v>
      </c>
    </row>
    <row r="100" spans="1:19" x14ac:dyDescent="0.55000000000000004">
      <c r="A100">
        <v>99</v>
      </c>
      <c r="B100">
        <f>VLOOKUP(F100,nodes!$A$1:$L$167,2)</f>
        <v>48</v>
      </c>
      <c r="C100" t="s">
        <v>377</v>
      </c>
      <c r="D100">
        <v>56.014729000000003</v>
      </c>
      <c r="E100">
        <v>-122.195747</v>
      </c>
      <c r="F100" t="s">
        <v>425</v>
      </c>
      <c r="G100" t="s">
        <v>567</v>
      </c>
      <c r="H100">
        <v>305</v>
      </c>
      <c r="I100">
        <f>VLOOKUP(G100,gen_cost!$A$1:$AY$31,15)</f>
        <v>18305</v>
      </c>
      <c r="J100">
        <f>VLOOKUP(G100,gen_cost!$A$1:$AY$31,16)</f>
        <v>2</v>
      </c>
      <c r="K100">
        <f>VLOOKUP(G100,gen_cost!$A$1:$AY$31,21)</f>
        <v>0</v>
      </c>
      <c r="L100">
        <f>VLOOKUP(G100,gen_cost!$A$1:$AY$31,22)</f>
        <v>0</v>
      </c>
      <c r="M100">
        <f t="shared" si="9"/>
        <v>3.05</v>
      </c>
      <c r="N100" s="1">
        <f t="shared" si="10"/>
        <v>2</v>
      </c>
      <c r="O100" s="1">
        <f t="shared" si="13"/>
        <v>2</v>
      </c>
      <c r="P100" s="1">
        <f t="shared" si="13"/>
        <v>2</v>
      </c>
      <c r="Q100" s="1">
        <f t="shared" si="13"/>
        <v>2</v>
      </c>
      <c r="R100" s="1">
        <f t="shared" si="13"/>
        <v>2</v>
      </c>
      <c r="S100" s="1">
        <f t="shared" si="13"/>
        <v>2</v>
      </c>
    </row>
    <row r="101" spans="1:19" x14ac:dyDescent="0.55000000000000004">
      <c r="A101">
        <v>100</v>
      </c>
      <c r="B101">
        <f>VLOOKUP(F101,nodes!$A$1:$L$167,2)</f>
        <v>38</v>
      </c>
      <c r="C101" t="s">
        <v>377</v>
      </c>
      <c r="D101">
        <v>49.247923</v>
      </c>
      <c r="E101">
        <v>-125.38367</v>
      </c>
      <c r="F101" t="s">
        <v>415</v>
      </c>
      <c r="G101" t="s">
        <v>563</v>
      </c>
      <c r="H101">
        <v>6</v>
      </c>
      <c r="I101">
        <f>VLOOKUP(G101,gen_cost!$A$1:$AY$31,15)</f>
        <v>66563</v>
      </c>
      <c r="J101">
        <f>VLOOKUP(G101,gen_cost!$A$1:$AY$31,16)</f>
        <v>1</v>
      </c>
      <c r="K101">
        <f>VLOOKUP(G101,gen_cost!$A$1:$AY$31,21)</f>
        <v>0</v>
      </c>
      <c r="L101">
        <f>VLOOKUP(G101,gen_cost!$A$1:$AY$31,22)</f>
        <v>0</v>
      </c>
      <c r="M101">
        <f t="shared" si="9"/>
        <v>0.06</v>
      </c>
      <c r="N101" s="1">
        <f t="shared" si="10"/>
        <v>1</v>
      </c>
      <c r="O101" s="1">
        <f t="shared" si="13"/>
        <v>1</v>
      </c>
      <c r="P101" s="1">
        <f t="shared" si="13"/>
        <v>1</v>
      </c>
      <c r="Q101" s="1">
        <f t="shared" si="13"/>
        <v>1</v>
      </c>
      <c r="R101" s="1">
        <f t="shared" si="13"/>
        <v>1</v>
      </c>
      <c r="S101" s="1">
        <f t="shared" si="13"/>
        <v>1</v>
      </c>
    </row>
    <row r="102" spans="1:19" x14ac:dyDescent="0.55000000000000004">
      <c r="A102">
        <v>101</v>
      </c>
      <c r="B102">
        <f>VLOOKUP(F102,nodes!$A$1:$L$167,2)</f>
        <v>80</v>
      </c>
      <c r="C102" t="s">
        <v>377</v>
      </c>
      <c r="D102">
        <v>52.934167000000002</v>
      </c>
      <c r="E102">
        <v>-119.456183</v>
      </c>
      <c r="F102" t="s">
        <v>457</v>
      </c>
      <c r="G102" t="s">
        <v>563</v>
      </c>
      <c r="H102">
        <v>2.4</v>
      </c>
      <c r="I102">
        <f>VLOOKUP(G102,gen_cost!$A$1:$AY$31,15)</f>
        <v>66563</v>
      </c>
      <c r="J102">
        <f>VLOOKUP(G102,gen_cost!$A$1:$AY$31,16)</f>
        <v>1</v>
      </c>
      <c r="K102">
        <f>VLOOKUP(G102,gen_cost!$A$1:$AY$31,21)</f>
        <v>0</v>
      </c>
      <c r="L102">
        <f>VLOOKUP(G102,gen_cost!$A$1:$AY$31,22)</f>
        <v>0</v>
      </c>
      <c r="M102">
        <f t="shared" si="9"/>
        <v>2.4E-2</v>
      </c>
      <c r="N102" s="1">
        <f t="shared" si="10"/>
        <v>1</v>
      </c>
      <c r="O102" s="1">
        <f t="shared" ref="O102:S111" si="14">+N102</f>
        <v>1</v>
      </c>
      <c r="P102" s="1">
        <f t="shared" si="14"/>
        <v>1</v>
      </c>
      <c r="Q102" s="1">
        <f t="shared" si="14"/>
        <v>1</v>
      </c>
      <c r="R102" s="1">
        <f t="shared" si="14"/>
        <v>1</v>
      </c>
      <c r="S102" s="1">
        <f t="shared" si="14"/>
        <v>1</v>
      </c>
    </row>
    <row r="103" spans="1:19" x14ac:dyDescent="0.55000000000000004">
      <c r="A103">
        <v>102</v>
      </c>
      <c r="B103">
        <f>VLOOKUP(F103,nodes!$A$1:$L$167,2)</f>
        <v>56</v>
      </c>
      <c r="C103" t="s">
        <v>377</v>
      </c>
      <c r="D103">
        <v>49.138461</v>
      </c>
      <c r="E103">
        <v>-123.85707499999999</v>
      </c>
      <c r="F103" t="s">
        <v>433</v>
      </c>
      <c r="G103" t="s">
        <v>557</v>
      </c>
      <c r="H103">
        <v>55</v>
      </c>
      <c r="I103">
        <f>VLOOKUP(G103,gen_cost!$A$1:$AY$31,15)</f>
        <v>183950</v>
      </c>
      <c r="J103">
        <f>VLOOKUP(G103,gen_cost!$A$1:$AY$31,16)</f>
        <v>7.07</v>
      </c>
      <c r="K103">
        <f>VLOOKUP(G103,gen_cost!$A$1:$AY$31,21)</f>
        <v>0</v>
      </c>
      <c r="L103">
        <f>VLOOKUP(G103,gen_cost!$A$1:$AY$31,22)</f>
        <v>13.5</v>
      </c>
      <c r="M103">
        <f t="shared" si="9"/>
        <v>0.55000000000000004</v>
      </c>
      <c r="N103" s="1">
        <f t="shared" si="10"/>
        <v>7.07</v>
      </c>
      <c r="O103" s="1">
        <f t="shared" si="14"/>
        <v>7.07</v>
      </c>
      <c r="P103" s="1">
        <f t="shared" si="14"/>
        <v>7.07</v>
      </c>
      <c r="Q103" s="1">
        <f t="shared" si="14"/>
        <v>7.07</v>
      </c>
      <c r="R103" s="1">
        <f t="shared" si="14"/>
        <v>7.07</v>
      </c>
      <c r="S103" s="1">
        <f t="shared" si="14"/>
        <v>7.07</v>
      </c>
    </row>
    <row r="104" spans="1:19" x14ac:dyDescent="0.55000000000000004">
      <c r="A104">
        <v>103</v>
      </c>
      <c r="B104">
        <f>VLOOKUP(F104,nodes!$A$1:$L$167,2)</f>
        <v>160</v>
      </c>
      <c r="C104" t="s">
        <v>377</v>
      </c>
      <c r="D104">
        <v>49.364823999999999</v>
      </c>
      <c r="E104">
        <v>-121.57136300000001</v>
      </c>
      <c r="F104" t="s">
        <v>538</v>
      </c>
      <c r="G104" t="s">
        <v>563</v>
      </c>
      <c r="H104">
        <v>11</v>
      </c>
      <c r="I104">
        <f>VLOOKUP(G104,gen_cost!$A$1:$AY$31,15)</f>
        <v>66563</v>
      </c>
      <c r="J104">
        <f>VLOOKUP(G104,gen_cost!$A$1:$AY$31,16)</f>
        <v>1</v>
      </c>
      <c r="K104">
        <f>VLOOKUP(G104,gen_cost!$A$1:$AY$31,21)</f>
        <v>0</v>
      </c>
      <c r="L104">
        <f>VLOOKUP(G104,gen_cost!$A$1:$AY$31,22)</f>
        <v>0</v>
      </c>
      <c r="M104">
        <f t="shared" si="9"/>
        <v>0.11</v>
      </c>
      <c r="N104" s="1">
        <f t="shared" si="10"/>
        <v>1</v>
      </c>
      <c r="O104" s="1">
        <f t="shared" si="14"/>
        <v>1</v>
      </c>
      <c r="P104" s="1">
        <f t="shared" si="14"/>
        <v>1</v>
      </c>
      <c r="Q104" s="1">
        <f t="shared" si="14"/>
        <v>1</v>
      </c>
      <c r="R104" s="1">
        <f t="shared" si="14"/>
        <v>1</v>
      </c>
      <c r="S104" s="1">
        <f t="shared" si="14"/>
        <v>1</v>
      </c>
    </row>
    <row r="105" spans="1:19" x14ac:dyDescent="0.55000000000000004">
      <c r="A105">
        <v>104</v>
      </c>
      <c r="B105">
        <f>VLOOKUP(F105,nodes!$A$1:$L$167,2)</f>
        <v>54</v>
      </c>
      <c r="C105" t="s">
        <v>377</v>
      </c>
      <c r="D105">
        <v>49.522021000000002</v>
      </c>
      <c r="E105">
        <v>-123.48616199999999</v>
      </c>
      <c r="F105" t="s">
        <v>431</v>
      </c>
      <c r="G105" t="s">
        <v>557</v>
      </c>
      <c r="H105">
        <v>112</v>
      </c>
      <c r="I105">
        <f>VLOOKUP(G105,gen_cost!$A$1:$AY$31,15)</f>
        <v>183950</v>
      </c>
      <c r="J105">
        <f>VLOOKUP(G105,gen_cost!$A$1:$AY$31,16)</f>
        <v>7.07</v>
      </c>
      <c r="K105">
        <f>VLOOKUP(G105,gen_cost!$A$1:$AY$31,21)</f>
        <v>0</v>
      </c>
      <c r="L105">
        <f>VLOOKUP(G105,gen_cost!$A$1:$AY$31,22)</f>
        <v>13.5</v>
      </c>
      <c r="M105">
        <f t="shared" si="9"/>
        <v>1.1200000000000001</v>
      </c>
      <c r="N105" s="1">
        <f t="shared" si="10"/>
        <v>7.07</v>
      </c>
      <c r="O105" s="1">
        <f t="shared" si="14"/>
        <v>7.07</v>
      </c>
      <c r="P105" s="1">
        <f t="shared" si="14"/>
        <v>7.07</v>
      </c>
      <c r="Q105" s="1">
        <f t="shared" si="14"/>
        <v>7.07</v>
      </c>
      <c r="R105" s="1">
        <f t="shared" si="14"/>
        <v>7.07</v>
      </c>
      <c r="S105" s="1">
        <f t="shared" si="14"/>
        <v>7.07</v>
      </c>
    </row>
    <row r="106" spans="1:19" x14ac:dyDescent="0.55000000000000004">
      <c r="A106">
        <v>105</v>
      </c>
      <c r="B106">
        <f>VLOOKUP(F106,nodes!$A$1:$L$167,2)</f>
        <v>74</v>
      </c>
      <c r="C106" t="s">
        <v>377</v>
      </c>
      <c r="D106">
        <v>48.539164</v>
      </c>
      <c r="E106">
        <v>-123.462412</v>
      </c>
      <c r="F106" t="s">
        <v>451</v>
      </c>
      <c r="G106" t="s">
        <v>566</v>
      </c>
      <c r="H106">
        <v>1.8</v>
      </c>
      <c r="I106">
        <f>VLOOKUP(G106,gen_cost!$A$1:$AY$31,15)</f>
        <v>31512</v>
      </c>
      <c r="J106">
        <f>VLOOKUP(G106,gen_cost!$A$1:$AY$31,16)</f>
        <v>9.7200000000000006</v>
      </c>
      <c r="K106">
        <f>VLOOKUP(G106,gen_cost!$A$1:$AY$31,21)</f>
        <v>0</v>
      </c>
      <c r="L106">
        <f>VLOOKUP(G106,gen_cost!$A$1:$AY$31,22)</f>
        <v>8.5129999999999999</v>
      </c>
      <c r="M106">
        <f t="shared" si="9"/>
        <v>1.8000000000000002E-2</v>
      </c>
      <c r="N106" s="1">
        <f t="shared" si="10"/>
        <v>9.7200000000000006</v>
      </c>
      <c r="O106" s="1">
        <f t="shared" si="14"/>
        <v>9.7200000000000006</v>
      </c>
      <c r="P106" s="1">
        <f t="shared" si="14"/>
        <v>9.7200000000000006</v>
      </c>
      <c r="Q106" s="1">
        <f t="shared" si="14"/>
        <v>9.7200000000000006</v>
      </c>
      <c r="R106" s="1">
        <f t="shared" si="14"/>
        <v>9.7200000000000006</v>
      </c>
      <c r="S106" s="1">
        <f t="shared" si="14"/>
        <v>9.7200000000000006</v>
      </c>
    </row>
    <row r="107" spans="1:19" x14ac:dyDescent="0.55000000000000004">
      <c r="A107">
        <v>106</v>
      </c>
      <c r="B107">
        <f>VLOOKUP(F107,nodes!$A$1:$L$167,2)</f>
        <v>5</v>
      </c>
      <c r="C107" t="s">
        <v>377</v>
      </c>
      <c r="D107">
        <v>49.053604999999997</v>
      </c>
      <c r="E107">
        <v>-123.046027</v>
      </c>
      <c r="F107" t="s">
        <v>381</v>
      </c>
      <c r="G107" t="s">
        <v>566</v>
      </c>
      <c r="H107">
        <v>8.8000000000000007</v>
      </c>
      <c r="I107">
        <f>VLOOKUP(G107,gen_cost!$A$1:$AY$31,15)</f>
        <v>31512</v>
      </c>
      <c r="J107">
        <f>VLOOKUP(G107,gen_cost!$A$1:$AY$31,16)</f>
        <v>9.7200000000000006</v>
      </c>
      <c r="K107">
        <f>VLOOKUP(G107,gen_cost!$A$1:$AY$31,21)</f>
        <v>0</v>
      </c>
      <c r="L107">
        <f>VLOOKUP(G107,gen_cost!$A$1:$AY$31,22)</f>
        <v>8.5129999999999999</v>
      </c>
      <c r="M107">
        <f t="shared" si="9"/>
        <v>8.8000000000000009E-2</v>
      </c>
      <c r="N107" s="1">
        <f t="shared" si="10"/>
        <v>9.7200000000000006</v>
      </c>
      <c r="O107" s="1">
        <f t="shared" si="14"/>
        <v>9.7200000000000006</v>
      </c>
      <c r="P107" s="1">
        <f t="shared" si="14"/>
        <v>9.7200000000000006</v>
      </c>
      <c r="Q107" s="1">
        <f t="shared" si="14"/>
        <v>9.7200000000000006</v>
      </c>
      <c r="R107" s="1">
        <f t="shared" si="14"/>
        <v>9.7200000000000006</v>
      </c>
      <c r="S107" s="1">
        <f t="shared" si="14"/>
        <v>9.7200000000000006</v>
      </c>
    </row>
    <row r="108" spans="1:19" x14ac:dyDescent="0.55000000000000004">
      <c r="A108">
        <v>107</v>
      </c>
      <c r="B108">
        <f>VLOOKUP(F108,nodes!$A$1:$L$167,2)</f>
        <v>80</v>
      </c>
      <c r="C108" t="s">
        <v>377</v>
      </c>
      <c r="D108">
        <v>52.841270999999999</v>
      </c>
      <c r="E108">
        <v>-119.352397</v>
      </c>
      <c r="F108" t="s">
        <v>457</v>
      </c>
      <c r="G108" t="s">
        <v>563</v>
      </c>
      <c r="H108">
        <v>5.7</v>
      </c>
      <c r="I108">
        <f>VLOOKUP(G108,gen_cost!$A$1:$AY$31,15)</f>
        <v>66563</v>
      </c>
      <c r="J108">
        <f>VLOOKUP(G108,gen_cost!$A$1:$AY$31,16)</f>
        <v>1</v>
      </c>
      <c r="K108">
        <f>VLOOKUP(G108,gen_cost!$A$1:$AY$31,21)</f>
        <v>0</v>
      </c>
      <c r="L108">
        <f>VLOOKUP(G108,gen_cost!$A$1:$AY$31,22)</f>
        <v>0</v>
      </c>
      <c r="M108">
        <f t="shared" si="9"/>
        <v>5.7000000000000002E-2</v>
      </c>
      <c r="N108" s="1">
        <f t="shared" si="10"/>
        <v>1</v>
      </c>
      <c r="O108" s="1">
        <f t="shared" si="14"/>
        <v>1</v>
      </c>
      <c r="P108" s="1">
        <f t="shared" si="14"/>
        <v>1</v>
      </c>
      <c r="Q108" s="1">
        <f t="shared" si="14"/>
        <v>1</v>
      </c>
      <c r="R108" s="1">
        <f t="shared" si="14"/>
        <v>1</v>
      </c>
      <c r="S108" s="1">
        <f t="shared" si="14"/>
        <v>1</v>
      </c>
    </row>
    <row r="109" spans="1:19" x14ac:dyDescent="0.55000000000000004">
      <c r="A109">
        <v>108</v>
      </c>
      <c r="B109">
        <f>VLOOKUP(F109,nodes!$A$1:$L$167,2)</f>
        <v>46</v>
      </c>
      <c r="C109" t="s">
        <v>377</v>
      </c>
      <c r="D109">
        <v>50.069090000000003</v>
      </c>
      <c r="E109">
        <v>-125.28187800000001</v>
      </c>
      <c r="F109" t="s">
        <v>423</v>
      </c>
      <c r="G109" t="s">
        <v>564</v>
      </c>
      <c r="H109">
        <v>275</v>
      </c>
      <c r="I109">
        <f>VLOOKUP(G109,gen_cost!$A$1:$AY$31,15)</f>
        <v>17849</v>
      </c>
      <c r="J109">
        <f>VLOOKUP(G109,gen_cost!$A$1:$AY$31,16)</f>
        <v>2.73</v>
      </c>
      <c r="K109">
        <f>VLOOKUP(G109,gen_cost!$A$1:$AY$31,21)</f>
        <v>0.33752700000000002</v>
      </c>
      <c r="L109">
        <f>VLOOKUP(G109,gen_cost!$A$1:$AY$31,22)</f>
        <v>6.36</v>
      </c>
      <c r="M109">
        <f t="shared" si="9"/>
        <v>2.75</v>
      </c>
      <c r="N109" s="1">
        <f t="shared" si="10"/>
        <v>2.73</v>
      </c>
      <c r="O109" s="1">
        <f t="shared" si="14"/>
        <v>2.73</v>
      </c>
      <c r="P109" s="1">
        <f t="shared" si="14"/>
        <v>2.73</v>
      </c>
      <c r="Q109" s="1">
        <f t="shared" si="14"/>
        <v>2.73</v>
      </c>
      <c r="R109" s="1">
        <f t="shared" si="14"/>
        <v>2.73</v>
      </c>
      <c r="S109" s="1">
        <f t="shared" si="14"/>
        <v>2.73</v>
      </c>
    </row>
    <row r="110" spans="1:19" x14ac:dyDescent="0.55000000000000004">
      <c r="A110">
        <v>109</v>
      </c>
      <c r="B110">
        <f>VLOOKUP(F110,nodes!$A$1:$L$167,2)</f>
        <v>165</v>
      </c>
      <c r="C110" t="s">
        <v>377</v>
      </c>
      <c r="D110">
        <v>53.923892000000002</v>
      </c>
      <c r="E110">
        <v>-122.695866</v>
      </c>
      <c r="F110" t="s">
        <v>543</v>
      </c>
      <c r="G110" t="s">
        <v>557</v>
      </c>
      <c r="H110">
        <v>31.7</v>
      </c>
      <c r="I110">
        <f>VLOOKUP(G110,gen_cost!$A$1:$AY$31,15)</f>
        <v>183950</v>
      </c>
      <c r="J110">
        <f>VLOOKUP(G110,gen_cost!$A$1:$AY$31,16)</f>
        <v>7.07</v>
      </c>
      <c r="K110">
        <f>VLOOKUP(G110,gen_cost!$A$1:$AY$31,21)</f>
        <v>0</v>
      </c>
      <c r="L110">
        <f>VLOOKUP(G110,gen_cost!$A$1:$AY$31,22)</f>
        <v>13.5</v>
      </c>
      <c r="M110">
        <f t="shared" si="9"/>
        <v>0.317</v>
      </c>
      <c r="N110" s="1">
        <f t="shared" si="10"/>
        <v>7.07</v>
      </c>
      <c r="O110" s="1">
        <f t="shared" si="14"/>
        <v>7.07</v>
      </c>
      <c r="P110" s="1">
        <f t="shared" si="14"/>
        <v>7.07</v>
      </c>
      <c r="Q110" s="1">
        <f t="shared" si="14"/>
        <v>7.07</v>
      </c>
      <c r="R110" s="1">
        <f t="shared" si="14"/>
        <v>7.07</v>
      </c>
      <c r="S110" s="1">
        <f t="shared" si="14"/>
        <v>7.07</v>
      </c>
    </row>
    <row r="111" spans="1:19" x14ac:dyDescent="0.55000000000000004">
      <c r="A111">
        <v>110</v>
      </c>
      <c r="B111">
        <f>VLOOKUP(F111,nodes!$A$1:$L$167,2)</f>
        <v>46</v>
      </c>
      <c r="C111" t="s">
        <v>377</v>
      </c>
      <c r="D111">
        <v>50.044004999999999</v>
      </c>
      <c r="E111">
        <v>-125.311014</v>
      </c>
      <c r="F111" t="s">
        <v>423</v>
      </c>
      <c r="G111" t="s">
        <v>561</v>
      </c>
      <c r="H111">
        <v>46</v>
      </c>
      <c r="I111">
        <f>VLOOKUP(G111,gen_cost!$A$1:$AY$31,15)</f>
        <v>115196</v>
      </c>
      <c r="J111">
        <f>VLOOKUP(G111,gen_cost!$A$1:$AY$31,16)</f>
        <v>5</v>
      </c>
      <c r="K111">
        <f>VLOOKUP(G111,gen_cost!$A$1:$AY$31,21)</f>
        <v>0</v>
      </c>
      <c r="L111">
        <f>VLOOKUP(G111,gen_cost!$A$1:$AY$31,22)</f>
        <v>0</v>
      </c>
      <c r="M111">
        <f t="shared" si="9"/>
        <v>0.46</v>
      </c>
      <c r="N111" s="1">
        <f t="shared" si="10"/>
        <v>5</v>
      </c>
      <c r="O111" s="1">
        <f t="shared" si="14"/>
        <v>5</v>
      </c>
      <c r="P111" s="1">
        <f t="shared" si="14"/>
        <v>5</v>
      </c>
      <c r="Q111" s="1">
        <f t="shared" si="14"/>
        <v>5</v>
      </c>
      <c r="R111" s="1">
        <f t="shared" si="14"/>
        <v>5</v>
      </c>
      <c r="S111" s="1">
        <f t="shared" si="14"/>
        <v>5</v>
      </c>
    </row>
    <row r="112" spans="1:19" x14ac:dyDescent="0.55000000000000004">
      <c r="A112">
        <v>111</v>
      </c>
      <c r="B112">
        <f>VLOOKUP(F112,nodes!$A$1:$L$167,2)</f>
        <v>46</v>
      </c>
      <c r="C112" t="s">
        <v>377</v>
      </c>
      <c r="D112">
        <v>50.044004999999999</v>
      </c>
      <c r="E112">
        <v>-125.311014</v>
      </c>
      <c r="F112" t="s">
        <v>423</v>
      </c>
      <c r="G112" t="s">
        <v>561</v>
      </c>
      <c r="H112">
        <v>46</v>
      </c>
      <c r="I112">
        <f>VLOOKUP(G112,gen_cost!$A$1:$AY$31,15)</f>
        <v>115196</v>
      </c>
      <c r="J112">
        <f>VLOOKUP(G112,gen_cost!$A$1:$AY$31,16)</f>
        <v>5</v>
      </c>
      <c r="K112">
        <f>VLOOKUP(G112,gen_cost!$A$1:$AY$31,21)</f>
        <v>0</v>
      </c>
      <c r="L112">
        <f>VLOOKUP(G112,gen_cost!$A$1:$AY$31,22)</f>
        <v>0</v>
      </c>
      <c r="M112">
        <f t="shared" si="9"/>
        <v>0.46</v>
      </c>
      <c r="N112" s="1">
        <f t="shared" si="10"/>
        <v>5</v>
      </c>
      <c r="O112" s="1">
        <f t="shared" ref="O112:S121" si="15">+N112</f>
        <v>5</v>
      </c>
      <c r="P112" s="1">
        <f t="shared" si="15"/>
        <v>5</v>
      </c>
      <c r="Q112" s="1">
        <f t="shared" si="15"/>
        <v>5</v>
      </c>
      <c r="R112" s="1">
        <f t="shared" si="15"/>
        <v>5</v>
      </c>
      <c r="S112" s="1">
        <f t="shared" si="15"/>
        <v>5</v>
      </c>
    </row>
    <row r="113" spans="1:19" x14ac:dyDescent="0.55000000000000004">
      <c r="A113">
        <v>112</v>
      </c>
      <c r="B113">
        <f>VLOOKUP(F113,nodes!$A$1:$L$167,2)</f>
        <v>46</v>
      </c>
      <c r="C113" t="s">
        <v>377</v>
      </c>
      <c r="D113">
        <v>50.044004999999999</v>
      </c>
      <c r="E113">
        <v>-125.311014</v>
      </c>
      <c r="F113" t="s">
        <v>423</v>
      </c>
      <c r="G113" t="s">
        <v>561</v>
      </c>
      <c r="H113">
        <v>46</v>
      </c>
      <c r="I113">
        <f>VLOOKUP(G113,gen_cost!$A$1:$AY$31,15)</f>
        <v>115196</v>
      </c>
      <c r="J113">
        <f>VLOOKUP(G113,gen_cost!$A$1:$AY$31,16)</f>
        <v>5</v>
      </c>
      <c r="K113">
        <f>VLOOKUP(G113,gen_cost!$A$1:$AY$31,21)</f>
        <v>0</v>
      </c>
      <c r="L113">
        <f>VLOOKUP(G113,gen_cost!$A$1:$AY$31,22)</f>
        <v>0</v>
      </c>
      <c r="M113">
        <f t="shared" si="9"/>
        <v>0.46</v>
      </c>
      <c r="N113" s="1">
        <f t="shared" si="10"/>
        <v>5</v>
      </c>
      <c r="O113" s="1">
        <f t="shared" si="15"/>
        <v>5</v>
      </c>
      <c r="P113" s="1">
        <f t="shared" si="15"/>
        <v>5</v>
      </c>
      <c r="Q113" s="1">
        <f t="shared" si="15"/>
        <v>5</v>
      </c>
      <c r="R113" s="1">
        <f t="shared" si="15"/>
        <v>5</v>
      </c>
      <c r="S113" s="1">
        <f t="shared" si="15"/>
        <v>5</v>
      </c>
    </row>
    <row r="114" spans="1:19" x14ac:dyDescent="0.55000000000000004">
      <c r="A114">
        <v>113</v>
      </c>
      <c r="B114">
        <f>VLOOKUP(F114,nodes!$A$1:$L$167,2)</f>
        <v>61</v>
      </c>
      <c r="C114" t="s">
        <v>377</v>
      </c>
      <c r="D114">
        <v>50.605200000000004</v>
      </c>
      <c r="E114">
        <v>-124.025728</v>
      </c>
      <c r="F114" t="s">
        <v>438</v>
      </c>
      <c r="G114" t="s">
        <v>563</v>
      </c>
      <c r="H114">
        <v>62</v>
      </c>
      <c r="I114">
        <f>VLOOKUP(G114,gen_cost!$A$1:$AY$31,15)</f>
        <v>66563</v>
      </c>
      <c r="J114">
        <f>VLOOKUP(G114,gen_cost!$A$1:$AY$31,16)</f>
        <v>1</v>
      </c>
      <c r="K114">
        <f>VLOOKUP(G114,gen_cost!$A$1:$AY$31,21)</f>
        <v>0</v>
      </c>
      <c r="L114">
        <f>VLOOKUP(G114,gen_cost!$A$1:$AY$31,22)</f>
        <v>0</v>
      </c>
      <c r="M114">
        <f t="shared" si="9"/>
        <v>0.62</v>
      </c>
      <c r="N114" s="1">
        <f t="shared" si="10"/>
        <v>1</v>
      </c>
      <c r="O114" s="1">
        <f t="shared" si="15"/>
        <v>1</v>
      </c>
      <c r="P114" s="1">
        <f t="shared" si="15"/>
        <v>1</v>
      </c>
      <c r="Q114" s="1">
        <f t="shared" si="15"/>
        <v>1</v>
      </c>
      <c r="R114" s="1">
        <f t="shared" si="15"/>
        <v>1</v>
      </c>
      <c r="S114" s="1">
        <f t="shared" si="15"/>
        <v>1</v>
      </c>
    </row>
    <row r="115" spans="1:19" x14ac:dyDescent="0.55000000000000004">
      <c r="A115">
        <v>114</v>
      </c>
      <c r="B115">
        <f>VLOOKUP(F115,nodes!$A$1:$L$167,2)</f>
        <v>9</v>
      </c>
      <c r="C115" t="s">
        <v>377</v>
      </c>
      <c r="D115">
        <v>50.828209999999999</v>
      </c>
      <c r="E115">
        <v>-123.05682</v>
      </c>
      <c r="F115" t="s">
        <v>385</v>
      </c>
      <c r="G115" t="s">
        <v>563</v>
      </c>
      <c r="H115">
        <v>21.3</v>
      </c>
      <c r="I115">
        <f>VLOOKUP(G115,gen_cost!$A$1:$AY$31,15)</f>
        <v>66563</v>
      </c>
      <c r="J115">
        <f>VLOOKUP(G115,gen_cost!$A$1:$AY$31,16)</f>
        <v>1</v>
      </c>
      <c r="K115">
        <f>VLOOKUP(G115,gen_cost!$A$1:$AY$31,21)</f>
        <v>0</v>
      </c>
      <c r="L115">
        <f>VLOOKUP(G115,gen_cost!$A$1:$AY$31,22)</f>
        <v>0</v>
      </c>
      <c r="M115">
        <f t="shared" si="9"/>
        <v>0.21299999999999999</v>
      </c>
      <c r="N115" s="1">
        <f t="shared" si="10"/>
        <v>1</v>
      </c>
      <c r="O115" s="1">
        <f t="shared" si="15"/>
        <v>1</v>
      </c>
      <c r="P115" s="1">
        <f t="shared" si="15"/>
        <v>1</v>
      </c>
      <c r="Q115" s="1">
        <f t="shared" si="15"/>
        <v>1</v>
      </c>
      <c r="R115" s="1">
        <f t="shared" si="15"/>
        <v>1</v>
      </c>
      <c r="S115" s="1">
        <f t="shared" si="15"/>
        <v>1</v>
      </c>
    </row>
    <row r="116" spans="1:19" x14ac:dyDescent="0.55000000000000004">
      <c r="A116">
        <v>115</v>
      </c>
      <c r="B116">
        <f>VLOOKUP(F116,nodes!$A$1:$L$167,2)</f>
        <v>107</v>
      </c>
      <c r="C116" t="s">
        <v>377</v>
      </c>
      <c r="D116">
        <v>48.429654999999997</v>
      </c>
      <c r="E116">
        <v>-124.052251</v>
      </c>
      <c r="F116" t="s">
        <v>485</v>
      </c>
      <c r="G116" t="s">
        <v>561</v>
      </c>
      <c r="H116">
        <v>170</v>
      </c>
      <c r="I116">
        <f>VLOOKUP(G116,gen_cost!$A$1:$AY$31,15)</f>
        <v>115196</v>
      </c>
      <c r="J116">
        <f>VLOOKUP(G116,gen_cost!$A$1:$AY$31,16)</f>
        <v>5</v>
      </c>
      <c r="K116">
        <f>VLOOKUP(G116,gen_cost!$A$1:$AY$31,21)</f>
        <v>0</v>
      </c>
      <c r="L116">
        <f>VLOOKUP(G116,gen_cost!$A$1:$AY$31,22)</f>
        <v>0</v>
      </c>
      <c r="M116">
        <f t="shared" si="9"/>
        <v>1.7</v>
      </c>
      <c r="N116" s="1">
        <f t="shared" si="10"/>
        <v>5</v>
      </c>
      <c r="O116" s="1">
        <f t="shared" si="15"/>
        <v>5</v>
      </c>
      <c r="P116" s="1">
        <f t="shared" si="15"/>
        <v>5</v>
      </c>
      <c r="Q116" s="1">
        <f t="shared" si="15"/>
        <v>5</v>
      </c>
      <c r="R116" s="1">
        <f t="shared" si="15"/>
        <v>5</v>
      </c>
      <c r="S116" s="1">
        <f t="shared" si="15"/>
        <v>5</v>
      </c>
    </row>
    <row r="117" spans="1:19" x14ac:dyDescent="0.55000000000000004">
      <c r="A117">
        <v>116</v>
      </c>
      <c r="B117">
        <f>VLOOKUP(F117,nodes!$A$1:$L$167,2)</f>
        <v>62</v>
      </c>
      <c r="C117" t="s">
        <v>377</v>
      </c>
      <c r="D117">
        <v>50.105189000000003</v>
      </c>
      <c r="E117">
        <v>-121.567245</v>
      </c>
      <c r="F117" t="s">
        <v>439</v>
      </c>
      <c r="G117" t="s">
        <v>563</v>
      </c>
      <c r="H117">
        <v>50</v>
      </c>
      <c r="I117">
        <f>VLOOKUP(G117,gen_cost!$A$1:$AY$31,15)</f>
        <v>66563</v>
      </c>
      <c r="J117">
        <f>VLOOKUP(G117,gen_cost!$A$1:$AY$31,16)</f>
        <v>1</v>
      </c>
      <c r="K117">
        <f>VLOOKUP(G117,gen_cost!$A$1:$AY$31,21)</f>
        <v>0</v>
      </c>
      <c r="L117">
        <f>VLOOKUP(G117,gen_cost!$A$1:$AY$31,22)</f>
        <v>0</v>
      </c>
      <c r="M117">
        <f t="shared" si="9"/>
        <v>0.5</v>
      </c>
      <c r="N117" s="1">
        <f t="shared" si="10"/>
        <v>1</v>
      </c>
      <c r="O117" s="1">
        <f t="shared" si="15"/>
        <v>1</v>
      </c>
      <c r="P117" s="1">
        <f t="shared" si="15"/>
        <v>1</v>
      </c>
      <c r="Q117" s="1">
        <f t="shared" si="15"/>
        <v>1</v>
      </c>
      <c r="R117" s="1">
        <f t="shared" si="15"/>
        <v>1</v>
      </c>
      <c r="S117" s="1">
        <f t="shared" si="15"/>
        <v>1</v>
      </c>
    </row>
    <row r="118" spans="1:19" x14ac:dyDescent="0.55000000000000004">
      <c r="A118">
        <v>117</v>
      </c>
      <c r="B118">
        <f>VLOOKUP(F118,nodes!$A$1:$L$167,2)</f>
        <v>63</v>
      </c>
      <c r="C118" t="s">
        <v>377</v>
      </c>
      <c r="D118">
        <v>49.453257999999998</v>
      </c>
      <c r="E118">
        <v>-117.517897</v>
      </c>
      <c r="F118" t="s">
        <v>440</v>
      </c>
      <c r="G118" t="s">
        <v>561</v>
      </c>
      <c r="H118">
        <v>146.25</v>
      </c>
      <c r="I118">
        <f>VLOOKUP(G118,gen_cost!$A$1:$AY$31,15)</f>
        <v>115196</v>
      </c>
      <c r="J118">
        <f>VLOOKUP(G118,gen_cost!$A$1:$AY$31,16)</f>
        <v>5</v>
      </c>
      <c r="K118">
        <f>VLOOKUP(G118,gen_cost!$A$1:$AY$31,21)</f>
        <v>0</v>
      </c>
      <c r="L118">
        <f>VLOOKUP(G118,gen_cost!$A$1:$AY$31,22)</f>
        <v>0</v>
      </c>
      <c r="M118">
        <f t="shared" si="9"/>
        <v>1.4624999999999999</v>
      </c>
      <c r="N118" s="1">
        <f t="shared" si="10"/>
        <v>5</v>
      </c>
      <c r="O118" s="1">
        <f t="shared" si="15"/>
        <v>5</v>
      </c>
      <c r="P118" s="1">
        <f t="shared" si="15"/>
        <v>5</v>
      </c>
      <c r="Q118" s="1">
        <f t="shared" si="15"/>
        <v>5</v>
      </c>
      <c r="R118" s="1">
        <f t="shared" si="15"/>
        <v>5</v>
      </c>
      <c r="S118" s="1">
        <f t="shared" si="15"/>
        <v>5</v>
      </c>
    </row>
    <row r="119" spans="1:19" x14ac:dyDescent="0.55000000000000004">
      <c r="A119">
        <v>118</v>
      </c>
      <c r="B119">
        <f>VLOOKUP(F119,nodes!$A$1:$L$167,2)</f>
        <v>63</v>
      </c>
      <c r="C119" t="s">
        <v>377</v>
      </c>
      <c r="D119">
        <v>49.453257999999998</v>
      </c>
      <c r="E119">
        <v>-117.517897</v>
      </c>
      <c r="F119" t="s">
        <v>440</v>
      </c>
      <c r="G119" t="s">
        <v>561</v>
      </c>
      <c r="H119">
        <v>146.25</v>
      </c>
      <c r="I119">
        <f>VLOOKUP(G119,gen_cost!$A$1:$AY$31,15)</f>
        <v>115196</v>
      </c>
      <c r="J119">
        <f>VLOOKUP(G119,gen_cost!$A$1:$AY$31,16)</f>
        <v>5</v>
      </c>
      <c r="K119">
        <f>VLOOKUP(G119,gen_cost!$A$1:$AY$31,21)</f>
        <v>0</v>
      </c>
      <c r="L119">
        <f>VLOOKUP(G119,gen_cost!$A$1:$AY$31,22)</f>
        <v>0</v>
      </c>
      <c r="M119">
        <f t="shared" si="9"/>
        <v>1.4624999999999999</v>
      </c>
      <c r="N119" s="1">
        <f t="shared" si="10"/>
        <v>5</v>
      </c>
      <c r="O119" s="1">
        <f t="shared" si="15"/>
        <v>5</v>
      </c>
      <c r="P119" s="1">
        <f t="shared" si="15"/>
        <v>5</v>
      </c>
      <c r="Q119" s="1">
        <f t="shared" si="15"/>
        <v>5</v>
      </c>
      <c r="R119" s="1">
        <f t="shared" si="15"/>
        <v>5</v>
      </c>
      <c r="S119" s="1">
        <f t="shared" si="15"/>
        <v>5</v>
      </c>
    </row>
    <row r="120" spans="1:19" x14ac:dyDescent="0.55000000000000004">
      <c r="A120">
        <v>119</v>
      </c>
      <c r="B120">
        <f>VLOOKUP(F120,nodes!$A$1:$L$167,2)</f>
        <v>63</v>
      </c>
      <c r="C120" t="s">
        <v>377</v>
      </c>
      <c r="D120">
        <v>49.453257999999998</v>
      </c>
      <c r="E120">
        <v>-117.517897</v>
      </c>
      <c r="F120" t="s">
        <v>440</v>
      </c>
      <c r="G120" t="s">
        <v>561</v>
      </c>
      <c r="H120">
        <v>146.25</v>
      </c>
      <c r="I120">
        <f>VLOOKUP(G120,gen_cost!$A$1:$AY$31,15)</f>
        <v>115196</v>
      </c>
      <c r="J120">
        <f>VLOOKUP(G120,gen_cost!$A$1:$AY$31,16)</f>
        <v>5</v>
      </c>
      <c r="K120">
        <f>VLOOKUP(G120,gen_cost!$A$1:$AY$31,21)</f>
        <v>0</v>
      </c>
      <c r="L120">
        <f>VLOOKUP(G120,gen_cost!$A$1:$AY$31,22)</f>
        <v>0</v>
      </c>
      <c r="M120">
        <f t="shared" si="9"/>
        <v>1.4624999999999999</v>
      </c>
      <c r="N120" s="1">
        <f t="shared" si="10"/>
        <v>5</v>
      </c>
      <c r="O120" s="1">
        <f t="shared" si="15"/>
        <v>5</v>
      </c>
      <c r="P120" s="1">
        <f t="shared" si="15"/>
        <v>5</v>
      </c>
      <c r="Q120" s="1">
        <f t="shared" si="15"/>
        <v>5</v>
      </c>
      <c r="R120" s="1">
        <f t="shared" si="15"/>
        <v>5</v>
      </c>
      <c r="S120" s="1">
        <f t="shared" si="15"/>
        <v>5</v>
      </c>
    </row>
    <row r="121" spans="1:19" x14ac:dyDescent="0.55000000000000004">
      <c r="A121">
        <v>120</v>
      </c>
      <c r="B121">
        <f>VLOOKUP(F121,nodes!$A$1:$L$167,2)</f>
        <v>63</v>
      </c>
      <c r="C121" t="s">
        <v>377</v>
      </c>
      <c r="D121">
        <v>49.453257999999998</v>
      </c>
      <c r="E121">
        <v>-117.517897</v>
      </c>
      <c r="F121" t="s">
        <v>440</v>
      </c>
      <c r="G121" t="s">
        <v>561</v>
      </c>
      <c r="H121">
        <v>146.25</v>
      </c>
      <c r="I121">
        <f>VLOOKUP(G121,gen_cost!$A$1:$AY$31,15)</f>
        <v>115196</v>
      </c>
      <c r="J121">
        <f>VLOOKUP(G121,gen_cost!$A$1:$AY$31,16)</f>
        <v>5</v>
      </c>
      <c r="K121">
        <f>VLOOKUP(G121,gen_cost!$A$1:$AY$31,21)</f>
        <v>0</v>
      </c>
      <c r="L121">
        <f>VLOOKUP(G121,gen_cost!$A$1:$AY$31,22)</f>
        <v>0</v>
      </c>
      <c r="M121">
        <f t="shared" si="9"/>
        <v>1.4624999999999999</v>
      </c>
      <c r="N121" s="1">
        <f t="shared" si="10"/>
        <v>5</v>
      </c>
      <c r="O121" s="1">
        <f t="shared" si="15"/>
        <v>5</v>
      </c>
      <c r="P121" s="1">
        <f t="shared" si="15"/>
        <v>5</v>
      </c>
      <c r="Q121" s="1">
        <f t="shared" si="15"/>
        <v>5</v>
      </c>
      <c r="R121" s="1">
        <f t="shared" si="15"/>
        <v>5</v>
      </c>
      <c r="S121" s="1">
        <f t="shared" si="15"/>
        <v>5</v>
      </c>
    </row>
    <row r="122" spans="1:19" x14ac:dyDescent="0.55000000000000004">
      <c r="A122">
        <v>121</v>
      </c>
      <c r="B122">
        <f>VLOOKUP(F122,nodes!$A$1:$L$167,2)</f>
        <v>159</v>
      </c>
      <c r="C122" t="s">
        <v>377</v>
      </c>
      <c r="D122">
        <v>50.689371000000001</v>
      </c>
      <c r="E122">
        <v>-120.405337</v>
      </c>
      <c r="F122" t="s">
        <v>537</v>
      </c>
      <c r="G122" t="s">
        <v>557</v>
      </c>
      <c r="H122">
        <v>76</v>
      </c>
      <c r="I122">
        <f>VLOOKUP(G122,gen_cost!$A$1:$AY$31,15)</f>
        <v>183950</v>
      </c>
      <c r="J122">
        <f>VLOOKUP(G122,gen_cost!$A$1:$AY$31,16)</f>
        <v>7.07</v>
      </c>
      <c r="K122">
        <f>VLOOKUP(G122,gen_cost!$A$1:$AY$31,21)</f>
        <v>0</v>
      </c>
      <c r="L122">
        <f>VLOOKUP(G122,gen_cost!$A$1:$AY$31,22)</f>
        <v>13.5</v>
      </c>
      <c r="M122">
        <f t="shared" si="9"/>
        <v>0.76</v>
      </c>
      <c r="N122" s="1">
        <f t="shared" si="10"/>
        <v>7.07</v>
      </c>
      <c r="O122" s="1">
        <f t="shared" ref="O122:S131" si="16">+N122</f>
        <v>7.07</v>
      </c>
      <c r="P122" s="1">
        <f t="shared" si="16"/>
        <v>7.07</v>
      </c>
      <c r="Q122" s="1">
        <f t="shared" si="16"/>
        <v>7.07</v>
      </c>
      <c r="R122" s="1">
        <f t="shared" si="16"/>
        <v>7.07</v>
      </c>
      <c r="S122" s="1">
        <f t="shared" si="16"/>
        <v>7.07</v>
      </c>
    </row>
    <row r="123" spans="1:19" x14ac:dyDescent="0.55000000000000004">
      <c r="A123">
        <v>122</v>
      </c>
      <c r="B123">
        <f>VLOOKUP(F123,nodes!$A$1:$L$167,2)</f>
        <v>46</v>
      </c>
      <c r="C123" t="s">
        <v>377</v>
      </c>
      <c r="D123">
        <v>50.520201</v>
      </c>
      <c r="E123">
        <v>-126.875643</v>
      </c>
      <c r="F123" t="s">
        <v>423</v>
      </c>
      <c r="G123" t="s">
        <v>563</v>
      </c>
      <c r="H123">
        <v>45</v>
      </c>
      <c r="I123">
        <f>VLOOKUP(G123,gen_cost!$A$1:$AY$31,15)</f>
        <v>66563</v>
      </c>
      <c r="J123">
        <f>VLOOKUP(G123,gen_cost!$A$1:$AY$31,16)</f>
        <v>1</v>
      </c>
      <c r="K123">
        <f>VLOOKUP(G123,gen_cost!$A$1:$AY$31,21)</f>
        <v>0</v>
      </c>
      <c r="L123">
        <f>VLOOKUP(G123,gen_cost!$A$1:$AY$31,22)</f>
        <v>0</v>
      </c>
      <c r="M123">
        <f t="shared" si="9"/>
        <v>0.45</v>
      </c>
      <c r="N123" s="1">
        <f t="shared" si="10"/>
        <v>1</v>
      </c>
      <c r="O123" s="1">
        <f t="shared" si="16"/>
        <v>1</v>
      </c>
      <c r="P123" s="1">
        <f t="shared" si="16"/>
        <v>1</v>
      </c>
      <c r="Q123" s="1">
        <f t="shared" si="16"/>
        <v>1</v>
      </c>
      <c r="R123" s="1">
        <f t="shared" si="16"/>
        <v>1</v>
      </c>
      <c r="S123" s="1">
        <f t="shared" si="16"/>
        <v>1</v>
      </c>
    </row>
    <row r="124" spans="1:19" x14ac:dyDescent="0.55000000000000004">
      <c r="A124">
        <v>123</v>
      </c>
      <c r="B124">
        <f>VLOOKUP(F124,nodes!$A$1:$L$167,2)</f>
        <v>72</v>
      </c>
      <c r="C124" t="s">
        <v>377</v>
      </c>
      <c r="D124">
        <v>53.563170999999997</v>
      </c>
      <c r="E124">
        <v>-127.942556</v>
      </c>
      <c r="F124" t="s">
        <v>449</v>
      </c>
      <c r="G124" t="s">
        <v>567</v>
      </c>
      <c r="H124">
        <v>112</v>
      </c>
      <c r="I124">
        <f>VLOOKUP(G124,gen_cost!$A$1:$AY$31,15)</f>
        <v>18305</v>
      </c>
      <c r="J124">
        <f>VLOOKUP(G124,gen_cost!$A$1:$AY$31,16)</f>
        <v>2</v>
      </c>
      <c r="K124">
        <f>VLOOKUP(G124,gen_cost!$A$1:$AY$31,21)</f>
        <v>0</v>
      </c>
      <c r="L124">
        <f>VLOOKUP(G124,gen_cost!$A$1:$AY$31,22)</f>
        <v>0</v>
      </c>
      <c r="M124">
        <f t="shared" si="9"/>
        <v>1.1200000000000001</v>
      </c>
      <c r="N124" s="1">
        <f t="shared" si="10"/>
        <v>2</v>
      </c>
      <c r="O124" s="1">
        <f t="shared" si="16"/>
        <v>2</v>
      </c>
      <c r="P124" s="1">
        <f t="shared" si="16"/>
        <v>2</v>
      </c>
      <c r="Q124" s="1">
        <f t="shared" si="16"/>
        <v>2</v>
      </c>
      <c r="R124" s="1">
        <f t="shared" si="16"/>
        <v>2</v>
      </c>
      <c r="S124" s="1">
        <f t="shared" si="16"/>
        <v>2</v>
      </c>
    </row>
    <row r="125" spans="1:19" x14ac:dyDescent="0.55000000000000004">
      <c r="A125">
        <v>124</v>
      </c>
      <c r="B125">
        <f>VLOOKUP(F125,nodes!$A$1:$L$167,2)</f>
        <v>72</v>
      </c>
      <c r="C125" t="s">
        <v>377</v>
      </c>
      <c r="D125">
        <v>53.563170999999997</v>
      </c>
      <c r="E125">
        <v>-127.942556</v>
      </c>
      <c r="F125" t="s">
        <v>449</v>
      </c>
      <c r="G125" t="s">
        <v>567</v>
      </c>
      <c r="H125">
        <v>112</v>
      </c>
      <c r="I125">
        <f>VLOOKUP(G125,gen_cost!$A$1:$AY$31,15)</f>
        <v>18305</v>
      </c>
      <c r="J125">
        <f>VLOOKUP(G125,gen_cost!$A$1:$AY$31,16)</f>
        <v>2</v>
      </c>
      <c r="K125">
        <f>VLOOKUP(G125,gen_cost!$A$1:$AY$31,21)</f>
        <v>0</v>
      </c>
      <c r="L125">
        <f>VLOOKUP(G125,gen_cost!$A$1:$AY$31,22)</f>
        <v>0</v>
      </c>
      <c r="M125">
        <f t="shared" si="9"/>
        <v>1.1200000000000001</v>
      </c>
      <c r="N125" s="1">
        <f t="shared" si="10"/>
        <v>2</v>
      </c>
      <c r="O125" s="1">
        <f t="shared" si="16"/>
        <v>2</v>
      </c>
      <c r="P125" s="1">
        <f t="shared" si="16"/>
        <v>2</v>
      </c>
      <c r="Q125" s="1">
        <f t="shared" si="16"/>
        <v>2</v>
      </c>
      <c r="R125" s="1">
        <f t="shared" si="16"/>
        <v>2</v>
      </c>
      <c r="S125" s="1">
        <f t="shared" si="16"/>
        <v>2</v>
      </c>
    </row>
    <row r="126" spans="1:19" x14ac:dyDescent="0.55000000000000004">
      <c r="A126">
        <v>125</v>
      </c>
      <c r="B126">
        <f>VLOOKUP(F126,nodes!$A$1:$L$167,2)</f>
        <v>72</v>
      </c>
      <c r="C126" t="s">
        <v>377</v>
      </c>
      <c r="D126">
        <v>53.563170999999997</v>
      </c>
      <c r="E126">
        <v>-127.942556</v>
      </c>
      <c r="F126" t="s">
        <v>449</v>
      </c>
      <c r="G126" t="s">
        <v>567</v>
      </c>
      <c r="H126">
        <v>112</v>
      </c>
      <c r="I126">
        <f>VLOOKUP(G126,gen_cost!$A$1:$AY$31,15)</f>
        <v>18305</v>
      </c>
      <c r="J126">
        <f>VLOOKUP(G126,gen_cost!$A$1:$AY$31,16)</f>
        <v>2</v>
      </c>
      <c r="K126">
        <f>VLOOKUP(G126,gen_cost!$A$1:$AY$31,21)</f>
        <v>0</v>
      </c>
      <c r="L126">
        <f>VLOOKUP(G126,gen_cost!$A$1:$AY$31,22)</f>
        <v>0</v>
      </c>
      <c r="M126">
        <f t="shared" si="9"/>
        <v>1.1200000000000001</v>
      </c>
      <c r="N126" s="1">
        <f t="shared" si="10"/>
        <v>2</v>
      </c>
      <c r="O126" s="1">
        <f t="shared" si="16"/>
        <v>2</v>
      </c>
      <c r="P126" s="1">
        <f t="shared" si="16"/>
        <v>2</v>
      </c>
      <c r="Q126" s="1">
        <f t="shared" si="16"/>
        <v>2</v>
      </c>
      <c r="R126" s="1">
        <f t="shared" si="16"/>
        <v>2</v>
      </c>
      <c r="S126" s="1">
        <f t="shared" si="16"/>
        <v>2</v>
      </c>
    </row>
    <row r="127" spans="1:19" x14ac:dyDescent="0.55000000000000004">
      <c r="A127">
        <v>126</v>
      </c>
      <c r="B127">
        <f>VLOOKUP(F127,nodes!$A$1:$L$167,2)</f>
        <v>72</v>
      </c>
      <c r="C127" t="s">
        <v>377</v>
      </c>
      <c r="D127">
        <v>53.563170999999997</v>
      </c>
      <c r="E127">
        <v>-127.942556</v>
      </c>
      <c r="F127" t="s">
        <v>449</v>
      </c>
      <c r="G127" t="s">
        <v>567</v>
      </c>
      <c r="H127">
        <v>112</v>
      </c>
      <c r="I127">
        <f>VLOOKUP(G127,gen_cost!$A$1:$AY$31,15)</f>
        <v>18305</v>
      </c>
      <c r="J127">
        <f>VLOOKUP(G127,gen_cost!$A$1:$AY$31,16)</f>
        <v>2</v>
      </c>
      <c r="K127">
        <f>VLOOKUP(G127,gen_cost!$A$1:$AY$31,21)</f>
        <v>0</v>
      </c>
      <c r="L127">
        <f>VLOOKUP(G127,gen_cost!$A$1:$AY$31,22)</f>
        <v>0</v>
      </c>
      <c r="M127">
        <f t="shared" si="9"/>
        <v>1.1200000000000001</v>
      </c>
      <c r="N127" s="1">
        <f t="shared" si="10"/>
        <v>2</v>
      </c>
      <c r="O127" s="1">
        <f t="shared" si="16"/>
        <v>2</v>
      </c>
      <c r="P127" s="1">
        <f t="shared" si="16"/>
        <v>2</v>
      </c>
      <c r="Q127" s="1">
        <f t="shared" si="16"/>
        <v>2</v>
      </c>
      <c r="R127" s="1">
        <f t="shared" si="16"/>
        <v>2</v>
      </c>
      <c r="S127" s="1">
        <f t="shared" si="16"/>
        <v>2</v>
      </c>
    </row>
    <row r="128" spans="1:19" x14ac:dyDescent="0.55000000000000004">
      <c r="A128">
        <v>127</v>
      </c>
      <c r="B128">
        <f>VLOOKUP(F128,nodes!$A$1:$L$167,2)</f>
        <v>72</v>
      </c>
      <c r="C128" t="s">
        <v>377</v>
      </c>
      <c r="D128">
        <v>53.563170999999997</v>
      </c>
      <c r="E128">
        <v>-127.942556</v>
      </c>
      <c r="F128" t="s">
        <v>449</v>
      </c>
      <c r="G128" t="s">
        <v>567</v>
      </c>
      <c r="H128">
        <v>112</v>
      </c>
      <c r="I128">
        <f>VLOOKUP(G128,gen_cost!$A$1:$AY$31,15)</f>
        <v>18305</v>
      </c>
      <c r="J128">
        <f>VLOOKUP(G128,gen_cost!$A$1:$AY$31,16)</f>
        <v>2</v>
      </c>
      <c r="K128">
        <f>VLOOKUP(G128,gen_cost!$A$1:$AY$31,21)</f>
        <v>0</v>
      </c>
      <c r="L128">
        <f>VLOOKUP(G128,gen_cost!$A$1:$AY$31,22)</f>
        <v>0</v>
      </c>
      <c r="M128">
        <f t="shared" si="9"/>
        <v>1.1200000000000001</v>
      </c>
      <c r="N128" s="1">
        <f t="shared" si="10"/>
        <v>2</v>
      </c>
      <c r="O128" s="1">
        <f t="shared" si="16"/>
        <v>2</v>
      </c>
      <c r="P128" s="1">
        <f t="shared" si="16"/>
        <v>2</v>
      </c>
      <c r="Q128" s="1">
        <f t="shared" si="16"/>
        <v>2</v>
      </c>
      <c r="R128" s="1">
        <f t="shared" si="16"/>
        <v>2</v>
      </c>
      <c r="S128" s="1">
        <f t="shared" si="16"/>
        <v>2</v>
      </c>
    </row>
    <row r="129" spans="1:19" x14ac:dyDescent="0.55000000000000004">
      <c r="A129">
        <v>128</v>
      </c>
      <c r="B129">
        <f>VLOOKUP(F129,nodes!$A$1:$L$167,2)</f>
        <v>72</v>
      </c>
      <c r="C129" t="s">
        <v>377</v>
      </c>
      <c r="D129">
        <v>53.563170999999997</v>
      </c>
      <c r="E129">
        <v>-127.942556</v>
      </c>
      <c r="F129" t="s">
        <v>449</v>
      </c>
      <c r="G129" t="s">
        <v>567</v>
      </c>
      <c r="H129">
        <v>112</v>
      </c>
      <c r="I129">
        <f>VLOOKUP(G129,gen_cost!$A$1:$AY$31,15)</f>
        <v>18305</v>
      </c>
      <c r="J129">
        <f>VLOOKUP(G129,gen_cost!$A$1:$AY$31,16)</f>
        <v>2</v>
      </c>
      <c r="K129">
        <f>VLOOKUP(G129,gen_cost!$A$1:$AY$31,21)</f>
        <v>0</v>
      </c>
      <c r="L129">
        <f>VLOOKUP(G129,gen_cost!$A$1:$AY$31,22)</f>
        <v>0</v>
      </c>
      <c r="M129">
        <f t="shared" si="9"/>
        <v>1.1200000000000001</v>
      </c>
      <c r="N129" s="1">
        <f t="shared" si="10"/>
        <v>2</v>
      </c>
      <c r="O129" s="1">
        <f t="shared" si="16"/>
        <v>2</v>
      </c>
      <c r="P129" s="1">
        <f t="shared" si="16"/>
        <v>2</v>
      </c>
      <c r="Q129" s="1">
        <f t="shared" si="16"/>
        <v>2</v>
      </c>
      <c r="R129" s="1">
        <f t="shared" si="16"/>
        <v>2</v>
      </c>
      <c r="S129" s="1">
        <f t="shared" si="16"/>
        <v>2</v>
      </c>
    </row>
    <row r="130" spans="1:19" x14ac:dyDescent="0.55000000000000004">
      <c r="A130">
        <v>129</v>
      </c>
      <c r="B130">
        <f>VLOOKUP(F130,nodes!$A$1:$L$167,2)</f>
        <v>72</v>
      </c>
      <c r="C130" t="s">
        <v>377</v>
      </c>
      <c r="D130">
        <v>53.563170999999997</v>
      </c>
      <c r="E130">
        <v>-127.942556</v>
      </c>
      <c r="F130" t="s">
        <v>449</v>
      </c>
      <c r="G130" t="s">
        <v>567</v>
      </c>
      <c r="H130">
        <v>112</v>
      </c>
      <c r="I130">
        <f>VLOOKUP(G130,gen_cost!$A$1:$AY$31,15)</f>
        <v>18305</v>
      </c>
      <c r="J130">
        <f>VLOOKUP(G130,gen_cost!$A$1:$AY$31,16)</f>
        <v>2</v>
      </c>
      <c r="K130">
        <f>VLOOKUP(G130,gen_cost!$A$1:$AY$31,21)</f>
        <v>0</v>
      </c>
      <c r="L130">
        <f>VLOOKUP(G130,gen_cost!$A$1:$AY$31,22)</f>
        <v>0</v>
      </c>
      <c r="M130">
        <f t="shared" ref="M130:M193" si="17">H130/100</f>
        <v>1.1200000000000001</v>
      </c>
      <c r="N130" s="1">
        <f t="shared" ref="N130:N193" si="18">J130</f>
        <v>2</v>
      </c>
      <c r="O130" s="1">
        <f t="shared" si="16"/>
        <v>2</v>
      </c>
      <c r="P130" s="1">
        <f t="shared" si="16"/>
        <v>2</v>
      </c>
      <c r="Q130" s="1">
        <f t="shared" si="16"/>
        <v>2</v>
      </c>
      <c r="R130" s="1">
        <f t="shared" si="16"/>
        <v>2</v>
      </c>
      <c r="S130" s="1">
        <f t="shared" si="16"/>
        <v>2</v>
      </c>
    </row>
    <row r="131" spans="1:19" x14ac:dyDescent="0.55000000000000004">
      <c r="A131">
        <v>130</v>
      </c>
      <c r="B131">
        <f>VLOOKUP(F131,nodes!$A$1:$L$167,2)</f>
        <v>72</v>
      </c>
      <c r="C131" t="s">
        <v>377</v>
      </c>
      <c r="D131">
        <v>53.563170999999997</v>
      </c>
      <c r="E131">
        <v>-127.942556</v>
      </c>
      <c r="F131" t="s">
        <v>449</v>
      </c>
      <c r="G131" t="s">
        <v>567</v>
      </c>
      <c r="H131">
        <v>112</v>
      </c>
      <c r="I131">
        <f>VLOOKUP(G131,gen_cost!$A$1:$AY$31,15)</f>
        <v>18305</v>
      </c>
      <c r="J131">
        <f>VLOOKUP(G131,gen_cost!$A$1:$AY$31,16)</f>
        <v>2</v>
      </c>
      <c r="K131">
        <f>VLOOKUP(G131,gen_cost!$A$1:$AY$31,21)</f>
        <v>0</v>
      </c>
      <c r="L131">
        <f>VLOOKUP(G131,gen_cost!$A$1:$AY$31,22)</f>
        <v>0</v>
      </c>
      <c r="M131">
        <f t="shared" si="17"/>
        <v>1.1200000000000001</v>
      </c>
      <c r="N131" s="1">
        <f t="shared" si="18"/>
        <v>2</v>
      </c>
      <c r="O131" s="1">
        <f t="shared" si="16"/>
        <v>2</v>
      </c>
      <c r="P131" s="1">
        <f t="shared" si="16"/>
        <v>2</v>
      </c>
      <c r="Q131" s="1">
        <f t="shared" si="16"/>
        <v>2</v>
      </c>
      <c r="R131" s="1">
        <f t="shared" si="16"/>
        <v>2</v>
      </c>
      <c r="S131" s="1">
        <f t="shared" si="16"/>
        <v>2</v>
      </c>
    </row>
    <row r="132" spans="1:19" x14ac:dyDescent="0.55000000000000004">
      <c r="A132">
        <v>131</v>
      </c>
      <c r="B132">
        <f>VLOOKUP(F132,nodes!$A$1:$L$167,2)</f>
        <v>20</v>
      </c>
      <c r="C132" t="s">
        <v>377</v>
      </c>
      <c r="D132">
        <v>50.839993999999997</v>
      </c>
      <c r="E132">
        <v>-122.85606199999999</v>
      </c>
      <c r="F132" t="s">
        <v>397</v>
      </c>
      <c r="G132" t="s">
        <v>561</v>
      </c>
      <c r="H132">
        <v>25</v>
      </c>
      <c r="I132">
        <f>VLOOKUP(G132,gen_cost!$A$1:$AY$31,15)</f>
        <v>115196</v>
      </c>
      <c r="J132">
        <f>VLOOKUP(G132,gen_cost!$A$1:$AY$31,16)</f>
        <v>5</v>
      </c>
      <c r="K132">
        <f>VLOOKUP(G132,gen_cost!$A$1:$AY$31,21)</f>
        <v>0</v>
      </c>
      <c r="L132">
        <f>VLOOKUP(G132,gen_cost!$A$1:$AY$31,22)</f>
        <v>0</v>
      </c>
      <c r="M132">
        <f t="shared" si="17"/>
        <v>0.25</v>
      </c>
      <c r="N132" s="1">
        <f t="shared" si="18"/>
        <v>5</v>
      </c>
      <c r="O132" s="1">
        <f t="shared" ref="O132:S141" si="19">+N132</f>
        <v>5</v>
      </c>
      <c r="P132" s="1">
        <f t="shared" si="19"/>
        <v>5</v>
      </c>
      <c r="Q132" s="1">
        <f t="shared" si="19"/>
        <v>5</v>
      </c>
      <c r="R132" s="1">
        <f t="shared" si="19"/>
        <v>5</v>
      </c>
      <c r="S132" s="1">
        <f t="shared" si="19"/>
        <v>5</v>
      </c>
    </row>
    <row r="133" spans="1:19" x14ac:dyDescent="0.55000000000000004">
      <c r="A133">
        <v>132</v>
      </c>
      <c r="B133">
        <f>VLOOKUP(F133,nodes!$A$1:$L$167,2)</f>
        <v>81</v>
      </c>
      <c r="C133" t="s">
        <v>377</v>
      </c>
      <c r="D133">
        <v>49.375179000000003</v>
      </c>
      <c r="E133">
        <v>-122.86865299999999</v>
      </c>
      <c r="F133" t="s">
        <v>458</v>
      </c>
      <c r="G133" t="s">
        <v>561</v>
      </c>
      <c r="H133">
        <v>55</v>
      </c>
      <c r="I133">
        <f>VLOOKUP(G133,gen_cost!$A$1:$AY$31,15)</f>
        <v>115196</v>
      </c>
      <c r="J133">
        <f>VLOOKUP(G133,gen_cost!$A$1:$AY$31,16)</f>
        <v>5</v>
      </c>
      <c r="K133">
        <f>VLOOKUP(G133,gen_cost!$A$1:$AY$31,21)</f>
        <v>0</v>
      </c>
      <c r="L133">
        <f>VLOOKUP(G133,gen_cost!$A$1:$AY$31,22)</f>
        <v>0</v>
      </c>
      <c r="M133">
        <f t="shared" si="17"/>
        <v>0.55000000000000004</v>
      </c>
      <c r="N133" s="1">
        <f t="shared" si="18"/>
        <v>5</v>
      </c>
      <c r="O133" s="1">
        <f t="shared" si="19"/>
        <v>5</v>
      </c>
      <c r="P133" s="1">
        <f t="shared" si="19"/>
        <v>5</v>
      </c>
      <c r="Q133" s="1">
        <f t="shared" si="19"/>
        <v>5</v>
      </c>
      <c r="R133" s="1">
        <f t="shared" si="19"/>
        <v>5</v>
      </c>
      <c r="S133" s="1">
        <f t="shared" si="19"/>
        <v>5</v>
      </c>
    </row>
    <row r="134" spans="1:19" x14ac:dyDescent="0.55000000000000004">
      <c r="A134">
        <v>133</v>
      </c>
      <c r="B134">
        <f>VLOOKUP(F134,nodes!$A$1:$L$167,2)</f>
        <v>63</v>
      </c>
      <c r="C134" t="s">
        <v>377</v>
      </c>
      <c r="D134">
        <v>49.461708999999999</v>
      </c>
      <c r="E134">
        <v>-117.50042500000001</v>
      </c>
      <c r="F134" t="s">
        <v>440</v>
      </c>
      <c r="G134" t="s">
        <v>561</v>
      </c>
      <c r="H134">
        <v>16</v>
      </c>
      <c r="I134">
        <f>VLOOKUP(G134,gen_cost!$A$1:$AY$31,15)</f>
        <v>115196</v>
      </c>
      <c r="J134">
        <f>VLOOKUP(G134,gen_cost!$A$1:$AY$31,16)</f>
        <v>5</v>
      </c>
      <c r="K134">
        <f>VLOOKUP(G134,gen_cost!$A$1:$AY$31,21)</f>
        <v>0</v>
      </c>
      <c r="L134">
        <f>VLOOKUP(G134,gen_cost!$A$1:$AY$31,22)</f>
        <v>0</v>
      </c>
      <c r="M134">
        <f t="shared" si="17"/>
        <v>0.16</v>
      </c>
      <c r="N134" s="1">
        <f t="shared" si="18"/>
        <v>5</v>
      </c>
      <c r="O134" s="1">
        <f t="shared" si="19"/>
        <v>5</v>
      </c>
      <c r="P134" s="1">
        <f t="shared" si="19"/>
        <v>5</v>
      </c>
      <c r="Q134" s="1">
        <f t="shared" si="19"/>
        <v>5</v>
      </c>
      <c r="R134" s="1">
        <f t="shared" si="19"/>
        <v>5</v>
      </c>
      <c r="S134" s="1">
        <f t="shared" si="19"/>
        <v>5</v>
      </c>
    </row>
    <row r="135" spans="1:19" x14ac:dyDescent="0.55000000000000004">
      <c r="A135">
        <v>134</v>
      </c>
      <c r="B135">
        <f>VLOOKUP(F135,nodes!$A$1:$L$167,2)</f>
        <v>63</v>
      </c>
      <c r="C135" t="s">
        <v>377</v>
      </c>
      <c r="D135">
        <v>49.461708999999999</v>
      </c>
      <c r="E135">
        <v>-117.50042500000001</v>
      </c>
      <c r="F135" t="s">
        <v>440</v>
      </c>
      <c r="G135" t="s">
        <v>561</v>
      </c>
      <c r="H135">
        <v>16</v>
      </c>
      <c r="I135">
        <f>VLOOKUP(G135,gen_cost!$A$1:$AY$31,15)</f>
        <v>115196</v>
      </c>
      <c r="J135">
        <f>VLOOKUP(G135,gen_cost!$A$1:$AY$31,16)</f>
        <v>5</v>
      </c>
      <c r="K135">
        <f>VLOOKUP(G135,gen_cost!$A$1:$AY$31,21)</f>
        <v>0</v>
      </c>
      <c r="L135">
        <f>VLOOKUP(G135,gen_cost!$A$1:$AY$31,22)</f>
        <v>0</v>
      </c>
      <c r="M135">
        <f t="shared" si="17"/>
        <v>0.16</v>
      </c>
      <c r="N135" s="1">
        <f t="shared" si="18"/>
        <v>5</v>
      </c>
      <c r="O135" s="1">
        <f t="shared" si="19"/>
        <v>5</v>
      </c>
      <c r="P135" s="1">
        <f t="shared" si="19"/>
        <v>5</v>
      </c>
      <c r="Q135" s="1">
        <f t="shared" si="19"/>
        <v>5</v>
      </c>
      <c r="R135" s="1">
        <f t="shared" si="19"/>
        <v>5</v>
      </c>
      <c r="S135" s="1">
        <f t="shared" si="19"/>
        <v>5</v>
      </c>
    </row>
    <row r="136" spans="1:19" x14ac:dyDescent="0.55000000000000004">
      <c r="A136">
        <v>135</v>
      </c>
      <c r="B136">
        <f>VLOOKUP(F136,nodes!$A$1:$L$167,2)</f>
        <v>63</v>
      </c>
      <c r="C136" t="s">
        <v>377</v>
      </c>
      <c r="D136">
        <v>49.461708999999999</v>
      </c>
      <c r="E136">
        <v>-117.50042500000001</v>
      </c>
      <c r="F136" t="s">
        <v>440</v>
      </c>
      <c r="G136" t="s">
        <v>561</v>
      </c>
      <c r="H136">
        <v>14</v>
      </c>
      <c r="I136">
        <f>VLOOKUP(G136,gen_cost!$A$1:$AY$31,15)</f>
        <v>115196</v>
      </c>
      <c r="J136">
        <f>VLOOKUP(G136,gen_cost!$A$1:$AY$31,16)</f>
        <v>5</v>
      </c>
      <c r="K136">
        <f>VLOOKUP(G136,gen_cost!$A$1:$AY$31,21)</f>
        <v>0</v>
      </c>
      <c r="L136">
        <f>VLOOKUP(G136,gen_cost!$A$1:$AY$31,22)</f>
        <v>0</v>
      </c>
      <c r="M136">
        <f t="shared" si="17"/>
        <v>0.14000000000000001</v>
      </c>
      <c r="N136" s="1">
        <f t="shared" si="18"/>
        <v>5</v>
      </c>
      <c r="O136" s="1">
        <f t="shared" si="19"/>
        <v>5</v>
      </c>
      <c r="P136" s="1">
        <f t="shared" si="19"/>
        <v>5</v>
      </c>
      <c r="Q136" s="1">
        <f t="shared" si="19"/>
        <v>5</v>
      </c>
      <c r="R136" s="1">
        <f t="shared" si="19"/>
        <v>5</v>
      </c>
      <c r="S136" s="1">
        <f t="shared" si="19"/>
        <v>5</v>
      </c>
    </row>
    <row r="137" spans="1:19" x14ac:dyDescent="0.55000000000000004">
      <c r="A137">
        <v>136</v>
      </c>
      <c r="B137">
        <f>VLOOKUP(F137,nodes!$A$1:$L$167,2)</f>
        <v>6</v>
      </c>
      <c r="C137" t="s">
        <v>377</v>
      </c>
      <c r="D137">
        <v>49.817605999999998</v>
      </c>
      <c r="E137">
        <v>-123.397341</v>
      </c>
      <c r="F137" t="s">
        <v>382</v>
      </c>
      <c r="G137" t="s">
        <v>563</v>
      </c>
      <c r="H137">
        <v>11</v>
      </c>
      <c r="I137">
        <f>VLOOKUP(G137,gen_cost!$A$1:$AY$31,15)</f>
        <v>66563</v>
      </c>
      <c r="J137">
        <f>VLOOKUP(G137,gen_cost!$A$1:$AY$31,16)</f>
        <v>1</v>
      </c>
      <c r="K137">
        <f>VLOOKUP(G137,gen_cost!$A$1:$AY$31,21)</f>
        <v>0</v>
      </c>
      <c r="L137">
        <f>VLOOKUP(G137,gen_cost!$A$1:$AY$31,22)</f>
        <v>0</v>
      </c>
      <c r="M137">
        <f t="shared" si="17"/>
        <v>0.11</v>
      </c>
      <c r="N137" s="1">
        <f t="shared" si="18"/>
        <v>1</v>
      </c>
      <c r="O137" s="1">
        <f t="shared" si="19"/>
        <v>1</v>
      </c>
      <c r="P137" s="1">
        <f t="shared" si="19"/>
        <v>1</v>
      </c>
      <c r="Q137" s="1">
        <f t="shared" si="19"/>
        <v>1</v>
      </c>
      <c r="R137" s="1">
        <f t="shared" si="19"/>
        <v>1</v>
      </c>
      <c r="S137" s="1">
        <f t="shared" si="19"/>
        <v>1</v>
      </c>
    </row>
    <row r="138" spans="1:19" x14ac:dyDescent="0.55000000000000004">
      <c r="A138">
        <v>137</v>
      </c>
      <c r="B138">
        <f>VLOOKUP(F138,nodes!$A$1:$L$167,2)</f>
        <v>46</v>
      </c>
      <c r="C138" t="s">
        <v>377</v>
      </c>
      <c r="D138">
        <v>50.017305999999998</v>
      </c>
      <c r="E138">
        <v>-125.393057</v>
      </c>
      <c r="F138" t="s">
        <v>423</v>
      </c>
      <c r="G138" t="s">
        <v>561</v>
      </c>
      <c r="H138">
        <v>23.5</v>
      </c>
      <c r="I138">
        <f>VLOOKUP(G138,gen_cost!$A$1:$AY$31,15)</f>
        <v>115196</v>
      </c>
      <c r="J138">
        <f>VLOOKUP(G138,gen_cost!$A$1:$AY$31,16)</f>
        <v>5</v>
      </c>
      <c r="K138">
        <f>VLOOKUP(G138,gen_cost!$A$1:$AY$31,21)</f>
        <v>0</v>
      </c>
      <c r="L138">
        <f>VLOOKUP(G138,gen_cost!$A$1:$AY$31,22)</f>
        <v>0</v>
      </c>
      <c r="M138">
        <f t="shared" si="17"/>
        <v>0.23499999999999999</v>
      </c>
      <c r="N138" s="1">
        <f t="shared" si="18"/>
        <v>5</v>
      </c>
      <c r="O138" s="1">
        <f t="shared" si="19"/>
        <v>5</v>
      </c>
      <c r="P138" s="1">
        <f t="shared" si="19"/>
        <v>5</v>
      </c>
      <c r="Q138" s="1">
        <f t="shared" si="19"/>
        <v>5</v>
      </c>
      <c r="R138" s="1">
        <f t="shared" si="19"/>
        <v>5</v>
      </c>
      <c r="S138" s="1">
        <f t="shared" si="19"/>
        <v>5</v>
      </c>
    </row>
    <row r="139" spans="1:19" x14ac:dyDescent="0.55000000000000004">
      <c r="A139">
        <v>138</v>
      </c>
      <c r="B139">
        <f>VLOOKUP(F139,nodes!$A$1:$L$167,2)</f>
        <v>46</v>
      </c>
      <c r="C139" t="s">
        <v>377</v>
      </c>
      <c r="D139">
        <v>50.017305999999998</v>
      </c>
      <c r="E139">
        <v>-125.393057</v>
      </c>
      <c r="F139" t="s">
        <v>423</v>
      </c>
      <c r="G139" t="s">
        <v>561</v>
      </c>
      <c r="H139">
        <v>23.5</v>
      </c>
      <c r="I139">
        <f>VLOOKUP(G139,gen_cost!$A$1:$AY$31,15)</f>
        <v>115196</v>
      </c>
      <c r="J139">
        <f>VLOOKUP(G139,gen_cost!$A$1:$AY$31,16)</f>
        <v>5</v>
      </c>
      <c r="K139">
        <f>VLOOKUP(G139,gen_cost!$A$1:$AY$31,21)</f>
        <v>0</v>
      </c>
      <c r="L139">
        <f>VLOOKUP(G139,gen_cost!$A$1:$AY$31,22)</f>
        <v>0</v>
      </c>
      <c r="M139">
        <f t="shared" si="17"/>
        <v>0.23499999999999999</v>
      </c>
      <c r="N139" s="1">
        <f t="shared" si="18"/>
        <v>5</v>
      </c>
      <c r="O139" s="1">
        <f t="shared" si="19"/>
        <v>5</v>
      </c>
      <c r="P139" s="1">
        <f t="shared" si="19"/>
        <v>5</v>
      </c>
      <c r="Q139" s="1">
        <f t="shared" si="19"/>
        <v>5</v>
      </c>
      <c r="R139" s="1">
        <f t="shared" si="19"/>
        <v>5</v>
      </c>
      <c r="S139" s="1">
        <f t="shared" si="19"/>
        <v>5</v>
      </c>
    </row>
    <row r="140" spans="1:19" x14ac:dyDescent="0.55000000000000004">
      <c r="A140">
        <v>139</v>
      </c>
      <c r="B140">
        <f>VLOOKUP(F140,nodes!$A$1:$L$167,2)</f>
        <v>125</v>
      </c>
      <c r="C140" t="s">
        <v>377</v>
      </c>
      <c r="D140">
        <v>49.769902000000002</v>
      </c>
      <c r="E140">
        <v>-124.31698900000001</v>
      </c>
      <c r="F140" t="s">
        <v>503</v>
      </c>
      <c r="G140" t="s">
        <v>563</v>
      </c>
      <c r="H140">
        <v>37</v>
      </c>
      <c r="I140">
        <f>VLOOKUP(G140,gen_cost!$A$1:$AY$31,15)</f>
        <v>66563</v>
      </c>
      <c r="J140">
        <f>VLOOKUP(G140,gen_cost!$A$1:$AY$31,16)</f>
        <v>1</v>
      </c>
      <c r="K140">
        <f>VLOOKUP(G140,gen_cost!$A$1:$AY$31,21)</f>
        <v>0</v>
      </c>
      <c r="L140">
        <f>VLOOKUP(G140,gen_cost!$A$1:$AY$31,22)</f>
        <v>0</v>
      </c>
      <c r="M140">
        <f t="shared" si="17"/>
        <v>0.37</v>
      </c>
      <c r="N140" s="1">
        <f t="shared" si="18"/>
        <v>1</v>
      </c>
      <c r="O140" s="1">
        <f t="shared" si="19"/>
        <v>1</v>
      </c>
      <c r="P140" s="1">
        <f t="shared" si="19"/>
        <v>1</v>
      </c>
      <c r="Q140" s="1">
        <f t="shared" si="19"/>
        <v>1</v>
      </c>
      <c r="R140" s="1">
        <f t="shared" si="19"/>
        <v>1</v>
      </c>
      <c r="S140" s="1">
        <f t="shared" si="19"/>
        <v>1</v>
      </c>
    </row>
    <row r="141" spans="1:19" x14ac:dyDescent="0.55000000000000004">
      <c r="A141">
        <v>140</v>
      </c>
      <c r="B141">
        <f>VLOOKUP(F141,nodes!$A$1:$L$167,2)</f>
        <v>157</v>
      </c>
      <c r="C141" t="s">
        <v>377</v>
      </c>
      <c r="D141">
        <v>56.058714999999999</v>
      </c>
      <c r="E141">
        <v>-130.027625</v>
      </c>
      <c r="F141" t="s">
        <v>535</v>
      </c>
      <c r="G141" t="s">
        <v>561</v>
      </c>
      <c r="H141">
        <v>15.5</v>
      </c>
      <c r="I141">
        <f>VLOOKUP(G141,gen_cost!$A$1:$AY$31,15)</f>
        <v>115196</v>
      </c>
      <c r="J141">
        <f>VLOOKUP(G141,gen_cost!$A$1:$AY$31,16)</f>
        <v>5</v>
      </c>
      <c r="K141">
        <f>VLOOKUP(G141,gen_cost!$A$1:$AY$31,21)</f>
        <v>0</v>
      </c>
      <c r="L141">
        <f>VLOOKUP(G141,gen_cost!$A$1:$AY$31,22)</f>
        <v>0</v>
      </c>
      <c r="M141">
        <f t="shared" si="17"/>
        <v>0.155</v>
      </c>
      <c r="N141" s="1">
        <f t="shared" si="18"/>
        <v>5</v>
      </c>
      <c r="O141" s="1">
        <f t="shared" si="19"/>
        <v>5</v>
      </c>
      <c r="P141" s="1">
        <f t="shared" si="19"/>
        <v>5</v>
      </c>
      <c r="Q141" s="1">
        <f t="shared" si="19"/>
        <v>5</v>
      </c>
      <c r="R141" s="1">
        <f t="shared" si="19"/>
        <v>5</v>
      </c>
      <c r="S141" s="1">
        <f t="shared" si="19"/>
        <v>5</v>
      </c>
    </row>
    <row r="142" spans="1:19" x14ac:dyDescent="0.55000000000000004">
      <c r="A142">
        <v>141</v>
      </c>
      <c r="B142">
        <f>VLOOKUP(F142,nodes!$A$1:$L$167,2)</f>
        <v>157</v>
      </c>
      <c r="C142" t="s">
        <v>377</v>
      </c>
      <c r="D142">
        <v>56.058714999999999</v>
      </c>
      <c r="E142">
        <v>-130.027625</v>
      </c>
      <c r="F142" t="s">
        <v>535</v>
      </c>
      <c r="G142" t="s">
        <v>561</v>
      </c>
      <c r="H142">
        <v>15.5</v>
      </c>
      <c r="I142">
        <f>VLOOKUP(G142,gen_cost!$A$1:$AY$31,15)</f>
        <v>115196</v>
      </c>
      <c r="J142">
        <f>VLOOKUP(G142,gen_cost!$A$1:$AY$31,16)</f>
        <v>5</v>
      </c>
      <c r="K142">
        <f>VLOOKUP(G142,gen_cost!$A$1:$AY$31,21)</f>
        <v>0</v>
      </c>
      <c r="L142">
        <f>VLOOKUP(G142,gen_cost!$A$1:$AY$31,22)</f>
        <v>0</v>
      </c>
      <c r="M142">
        <f t="shared" si="17"/>
        <v>0.155</v>
      </c>
      <c r="N142" s="1">
        <f t="shared" si="18"/>
        <v>5</v>
      </c>
      <c r="O142" s="1">
        <f t="shared" ref="O142:S151" si="20">+N142</f>
        <v>5</v>
      </c>
      <c r="P142" s="1">
        <f t="shared" si="20"/>
        <v>5</v>
      </c>
      <c r="Q142" s="1">
        <f t="shared" si="20"/>
        <v>5</v>
      </c>
      <c r="R142" s="1">
        <f t="shared" si="20"/>
        <v>5</v>
      </c>
      <c r="S142" s="1">
        <f t="shared" si="20"/>
        <v>5</v>
      </c>
    </row>
    <row r="143" spans="1:19" x14ac:dyDescent="0.55000000000000004">
      <c r="A143">
        <v>142</v>
      </c>
      <c r="B143">
        <f>VLOOKUP(F143,nodes!$A$1:$L$167,2)</f>
        <v>160</v>
      </c>
      <c r="C143" t="s">
        <v>377</v>
      </c>
      <c r="D143">
        <v>49.327581000000002</v>
      </c>
      <c r="E143">
        <v>-121.600898</v>
      </c>
      <c r="F143" t="s">
        <v>538</v>
      </c>
      <c r="G143" t="s">
        <v>563</v>
      </c>
      <c r="H143">
        <v>3.2</v>
      </c>
      <c r="I143">
        <f>VLOOKUP(G143,gen_cost!$A$1:$AY$31,15)</f>
        <v>66563</v>
      </c>
      <c r="J143">
        <f>VLOOKUP(G143,gen_cost!$A$1:$AY$31,16)</f>
        <v>1</v>
      </c>
      <c r="K143">
        <f>VLOOKUP(G143,gen_cost!$A$1:$AY$31,21)</f>
        <v>0</v>
      </c>
      <c r="L143">
        <f>VLOOKUP(G143,gen_cost!$A$1:$AY$31,22)</f>
        <v>0</v>
      </c>
      <c r="M143">
        <f t="shared" si="17"/>
        <v>3.2000000000000001E-2</v>
      </c>
      <c r="N143" s="1">
        <f t="shared" si="18"/>
        <v>1</v>
      </c>
      <c r="O143" s="1">
        <f t="shared" si="20"/>
        <v>1</v>
      </c>
      <c r="P143" s="1">
        <f t="shared" si="20"/>
        <v>1</v>
      </c>
      <c r="Q143" s="1">
        <f t="shared" si="20"/>
        <v>1</v>
      </c>
      <c r="R143" s="1">
        <f t="shared" si="20"/>
        <v>1</v>
      </c>
      <c r="S143" s="1">
        <f t="shared" si="20"/>
        <v>1</v>
      </c>
    </row>
    <row r="144" spans="1:19" x14ac:dyDescent="0.55000000000000004">
      <c r="A144">
        <v>143</v>
      </c>
      <c r="B144">
        <f>VLOOKUP(F144,nodes!$A$1:$L$167,2)</f>
        <v>29</v>
      </c>
      <c r="C144" t="s">
        <v>377</v>
      </c>
      <c r="D144">
        <v>49.721443000000001</v>
      </c>
      <c r="E144">
        <v>-123.091894</v>
      </c>
      <c r="F144" t="s">
        <v>406</v>
      </c>
      <c r="G144" t="s">
        <v>563</v>
      </c>
      <c r="H144">
        <v>58</v>
      </c>
      <c r="I144">
        <f>VLOOKUP(G144,gen_cost!$A$1:$AY$31,15)</f>
        <v>66563</v>
      </c>
      <c r="J144">
        <f>VLOOKUP(G144,gen_cost!$A$1:$AY$31,16)</f>
        <v>1</v>
      </c>
      <c r="K144">
        <f>VLOOKUP(G144,gen_cost!$A$1:$AY$31,21)</f>
        <v>0</v>
      </c>
      <c r="L144">
        <f>VLOOKUP(G144,gen_cost!$A$1:$AY$31,22)</f>
        <v>0</v>
      </c>
      <c r="M144">
        <f t="shared" si="17"/>
        <v>0.57999999999999996</v>
      </c>
      <c r="N144" s="1">
        <f t="shared" si="18"/>
        <v>1</v>
      </c>
      <c r="O144" s="1">
        <f t="shared" si="20"/>
        <v>1</v>
      </c>
      <c r="P144" s="1">
        <f t="shared" si="20"/>
        <v>1</v>
      </c>
      <c r="Q144" s="1">
        <f t="shared" si="20"/>
        <v>1</v>
      </c>
      <c r="R144" s="1">
        <f t="shared" si="20"/>
        <v>1</v>
      </c>
      <c r="S144" s="1">
        <f t="shared" si="20"/>
        <v>1</v>
      </c>
    </row>
    <row r="145" spans="1:19" x14ac:dyDescent="0.55000000000000004">
      <c r="A145">
        <v>144</v>
      </c>
      <c r="B145">
        <f>VLOOKUP(F145,nodes!$A$1:$L$167,2)</f>
        <v>80</v>
      </c>
      <c r="C145" t="s">
        <v>377</v>
      </c>
      <c r="D145">
        <v>52.075721999999999</v>
      </c>
      <c r="E145">
        <v>-118.571028</v>
      </c>
      <c r="F145" t="s">
        <v>457</v>
      </c>
      <c r="G145" t="s">
        <v>567</v>
      </c>
      <c r="H145">
        <v>492</v>
      </c>
      <c r="I145">
        <f>VLOOKUP(G145,gen_cost!$A$1:$AY$31,15)</f>
        <v>18305</v>
      </c>
      <c r="J145">
        <f>VLOOKUP(G145,gen_cost!$A$1:$AY$31,16)</f>
        <v>2</v>
      </c>
      <c r="K145">
        <f>VLOOKUP(G145,gen_cost!$A$1:$AY$31,21)</f>
        <v>0</v>
      </c>
      <c r="L145">
        <f>VLOOKUP(G145,gen_cost!$A$1:$AY$31,22)</f>
        <v>0</v>
      </c>
      <c r="M145">
        <f t="shared" si="17"/>
        <v>4.92</v>
      </c>
      <c r="N145" s="1">
        <f t="shared" si="18"/>
        <v>2</v>
      </c>
      <c r="O145" s="1">
        <f t="shared" si="20"/>
        <v>2</v>
      </c>
      <c r="P145" s="1">
        <f t="shared" si="20"/>
        <v>2</v>
      </c>
      <c r="Q145" s="1">
        <f t="shared" si="20"/>
        <v>2</v>
      </c>
      <c r="R145" s="1">
        <f t="shared" si="20"/>
        <v>2</v>
      </c>
      <c r="S145" s="1">
        <f t="shared" si="20"/>
        <v>2</v>
      </c>
    </row>
    <row r="146" spans="1:19" x14ac:dyDescent="0.55000000000000004">
      <c r="A146">
        <v>145</v>
      </c>
      <c r="B146">
        <f>VLOOKUP(F146,nodes!$A$1:$L$167,2)</f>
        <v>80</v>
      </c>
      <c r="C146" t="s">
        <v>377</v>
      </c>
      <c r="D146">
        <v>52.075721999999999</v>
      </c>
      <c r="E146">
        <v>-118.571028</v>
      </c>
      <c r="F146" t="s">
        <v>457</v>
      </c>
      <c r="G146" t="s">
        <v>567</v>
      </c>
      <c r="H146">
        <v>492</v>
      </c>
      <c r="I146">
        <f>VLOOKUP(G146,gen_cost!$A$1:$AY$31,15)</f>
        <v>18305</v>
      </c>
      <c r="J146">
        <f>VLOOKUP(G146,gen_cost!$A$1:$AY$31,16)</f>
        <v>2</v>
      </c>
      <c r="K146">
        <f>VLOOKUP(G146,gen_cost!$A$1:$AY$31,21)</f>
        <v>0</v>
      </c>
      <c r="L146">
        <f>VLOOKUP(G146,gen_cost!$A$1:$AY$31,22)</f>
        <v>0</v>
      </c>
      <c r="M146">
        <f t="shared" si="17"/>
        <v>4.92</v>
      </c>
      <c r="N146" s="1">
        <f t="shared" si="18"/>
        <v>2</v>
      </c>
      <c r="O146" s="1">
        <f t="shared" si="20"/>
        <v>2</v>
      </c>
      <c r="P146" s="1">
        <f t="shared" si="20"/>
        <v>2</v>
      </c>
      <c r="Q146" s="1">
        <f t="shared" si="20"/>
        <v>2</v>
      </c>
      <c r="R146" s="1">
        <f t="shared" si="20"/>
        <v>2</v>
      </c>
      <c r="S146" s="1">
        <f t="shared" si="20"/>
        <v>2</v>
      </c>
    </row>
    <row r="147" spans="1:19" x14ac:dyDescent="0.55000000000000004">
      <c r="A147">
        <v>146</v>
      </c>
      <c r="B147">
        <f>VLOOKUP(F147,nodes!$A$1:$L$167,2)</f>
        <v>80</v>
      </c>
      <c r="C147" t="s">
        <v>377</v>
      </c>
      <c r="D147">
        <v>52.075721999999999</v>
      </c>
      <c r="E147">
        <v>-118.571028</v>
      </c>
      <c r="F147" t="s">
        <v>457</v>
      </c>
      <c r="G147" t="s">
        <v>567</v>
      </c>
      <c r="H147">
        <v>493.5</v>
      </c>
      <c r="I147">
        <f>VLOOKUP(G147,gen_cost!$A$1:$AY$31,15)</f>
        <v>18305</v>
      </c>
      <c r="J147">
        <f>VLOOKUP(G147,gen_cost!$A$1:$AY$31,16)</f>
        <v>2</v>
      </c>
      <c r="K147">
        <f>VLOOKUP(G147,gen_cost!$A$1:$AY$31,21)</f>
        <v>0</v>
      </c>
      <c r="L147">
        <f>VLOOKUP(G147,gen_cost!$A$1:$AY$31,22)</f>
        <v>0</v>
      </c>
      <c r="M147">
        <f t="shared" si="17"/>
        <v>4.9349999999999996</v>
      </c>
      <c r="N147" s="1">
        <f t="shared" si="18"/>
        <v>2</v>
      </c>
      <c r="O147" s="1">
        <f t="shared" si="20"/>
        <v>2</v>
      </c>
      <c r="P147" s="1">
        <f t="shared" si="20"/>
        <v>2</v>
      </c>
      <c r="Q147" s="1">
        <f t="shared" si="20"/>
        <v>2</v>
      </c>
      <c r="R147" s="1">
        <f t="shared" si="20"/>
        <v>2</v>
      </c>
      <c r="S147" s="1">
        <f t="shared" si="20"/>
        <v>2</v>
      </c>
    </row>
    <row r="148" spans="1:19" x14ac:dyDescent="0.55000000000000004">
      <c r="A148">
        <v>147</v>
      </c>
      <c r="B148">
        <f>VLOOKUP(F148,nodes!$A$1:$L$167,2)</f>
        <v>80</v>
      </c>
      <c r="C148" t="s">
        <v>377</v>
      </c>
      <c r="D148">
        <v>52.075721999999999</v>
      </c>
      <c r="E148">
        <v>-118.571028</v>
      </c>
      <c r="F148" t="s">
        <v>457</v>
      </c>
      <c r="G148" t="s">
        <v>567</v>
      </c>
      <c r="H148">
        <v>493.5</v>
      </c>
      <c r="I148">
        <f>VLOOKUP(G148,gen_cost!$A$1:$AY$31,15)</f>
        <v>18305</v>
      </c>
      <c r="J148">
        <f>VLOOKUP(G148,gen_cost!$A$1:$AY$31,16)</f>
        <v>2</v>
      </c>
      <c r="K148">
        <f>VLOOKUP(G148,gen_cost!$A$1:$AY$31,21)</f>
        <v>0</v>
      </c>
      <c r="L148">
        <f>VLOOKUP(G148,gen_cost!$A$1:$AY$31,22)</f>
        <v>0</v>
      </c>
      <c r="M148">
        <f t="shared" si="17"/>
        <v>4.9349999999999996</v>
      </c>
      <c r="N148" s="1">
        <f t="shared" si="18"/>
        <v>2</v>
      </c>
      <c r="O148" s="1">
        <f t="shared" si="20"/>
        <v>2</v>
      </c>
      <c r="P148" s="1">
        <f t="shared" si="20"/>
        <v>2</v>
      </c>
      <c r="Q148" s="1">
        <f t="shared" si="20"/>
        <v>2</v>
      </c>
      <c r="R148" s="1">
        <f t="shared" si="20"/>
        <v>2</v>
      </c>
      <c r="S148" s="1">
        <f t="shared" si="20"/>
        <v>2</v>
      </c>
    </row>
    <row r="149" spans="1:19" x14ac:dyDescent="0.55000000000000004">
      <c r="A149">
        <v>148</v>
      </c>
      <c r="B149">
        <f>VLOOKUP(F149,nodes!$A$1:$L$167,2)</f>
        <v>80</v>
      </c>
      <c r="C149" t="s">
        <v>377</v>
      </c>
      <c r="D149">
        <v>52.075721999999999</v>
      </c>
      <c r="E149">
        <v>-118.571028</v>
      </c>
      <c r="F149" t="s">
        <v>457</v>
      </c>
      <c r="G149" t="s">
        <v>567</v>
      </c>
      <c r="H149">
        <v>500</v>
      </c>
      <c r="I149">
        <f>VLOOKUP(G149,gen_cost!$A$1:$AY$31,15)</f>
        <v>18305</v>
      </c>
      <c r="J149">
        <f>VLOOKUP(G149,gen_cost!$A$1:$AY$31,16)</f>
        <v>2</v>
      </c>
      <c r="K149">
        <f>VLOOKUP(G149,gen_cost!$A$1:$AY$31,21)</f>
        <v>0</v>
      </c>
      <c r="L149">
        <f>VLOOKUP(G149,gen_cost!$A$1:$AY$31,22)</f>
        <v>0</v>
      </c>
      <c r="M149">
        <f t="shared" si="17"/>
        <v>5</v>
      </c>
      <c r="N149" s="1">
        <f t="shared" si="18"/>
        <v>2</v>
      </c>
      <c r="O149" s="1">
        <f t="shared" si="20"/>
        <v>2</v>
      </c>
      <c r="P149" s="1">
        <f t="shared" si="20"/>
        <v>2</v>
      </c>
      <c r="Q149" s="1">
        <f t="shared" si="20"/>
        <v>2</v>
      </c>
      <c r="R149" s="1">
        <f t="shared" si="20"/>
        <v>2</v>
      </c>
      <c r="S149" s="1">
        <f t="shared" si="20"/>
        <v>2</v>
      </c>
    </row>
    <row r="150" spans="1:19" x14ac:dyDescent="0.55000000000000004">
      <c r="A150">
        <v>149</v>
      </c>
      <c r="B150">
        <f>VLOOKUP(F150,nodes!$A$1:$L$167,2)</f>
        <v>80</v>
      </c>
      <c r="C150" t="s">
        <v>377</v>
      </c>
      <c r="D150">
        <v>52.075721999999999</v>
      </c>
      <c r="E150">
        <v>-118.571028</v>
      </c>
      <c r="F150" t="s">
        <v>457</v>
      </c>
      <c r="G150" t="s">
        <v>567</v>
      </c>
      <c r="H150">
        <v>500</v>
      </c>
      <c r="I150">
        <f>VLOOKUP(G150,gen_cost!$A$1:$AY$31,15)</f>
        <v>18305</v>
      </c>
      <c r="J150">
        <f>VLOOKUP(G150,gen_cost!$A$1:$AY$31,16)</f>
        <v>2</v>
      </c>
      <c r="K150">
        <f>VLOOKUP(G150,gen_cost!$A$1:$AY$31,21)</f>
        <v>0</v>
      </c>
      <c r="L150">
        <f>VLOOKUP(G150,gen_cost!$A$1:$AY$31,22)</f>
        <v>0</v>
      </c>
      <c r="M150">
        <f t="shared" si="17"/>
        <v>5</v>
      </c>
      <c r="N150" s="1">
        <f t="shared" si="18"/>
        <v>2</v>
      </c>
      <c r="O150" s="1">
        <f t="shared" si="20"/>
        <v>2</v>
      </c>
      <c r="P150" s="1">
        <f t="shared" si="20"/>
        <v>2</v>
      </c>
      <c r="Q150" s="1">
        <f t="shared" si="20"/>
        <v>2</v>
      </c>
      <c r="R150" s="1">
        <f t="shared" si="20"/>
        <v>2</v>
      </c>
      <c r="S150" s="1">
        <f t="shared" si="20"/>
        <v>2</v>
      </c>
    </row>
    <row r="151" spans="1:19" x14ac:dyDescent="0.55000000000000004">
      <c r="A151">
        <v>150</v>
      </c>
      <c r="B151">
        <f>VLOOKUP(F151,nodes!$A$1:$L$167,2)</f>
        <v>46</v>
      </c>
      <c r="C151" t="s">
        <v>377</v>
      </c>
      <c r="D151">
        <v>49.872036000000001</v>
      </c>
      <c r="E151">
        <v>-126.213578</v>
      </c>
      <c r="F151" t="s">
        <v>423</v>
      </c>
      <c r="G151" t="s">
        <v>563</v>
      </c>
      <c r="H151">
        <v>3.8</v>
      </c>
      <c r="I151">
        <f>VLOOKUP(G151,gen_cost!$A$1:$AY$31,15)</f>
        <v>66563</v>
      </c>
      <c r="J151">
        <f>VLOOKUP(G151,gen_cost!$A$1:$AY$31,16)</f>
        <v>1</v>
      </c>
      <c r="K151">
        <f>VLOOKUP(G151,gen_cost!$A$1:$AY$31,21)</f>
        <v>0</v>
      </c>
      <c r="L151">
        <f>VLOOKUP(G151,gen_cost!$A$1:$AY$31,22)</f>
        <v>0</v>
      </c>
      <c r="M151">
        <f t="shared" si="17"/>
        <v>3.7999999999999999E-2</v>
      </c>
      <c r="N151" s="1">
        <f t="shared" si="18"/>
        <v>1</v>
      </c>
      <c r="O151" s="1">
        <f t="shared" si="20"/>
        <v>1</v>
      </c>
      <c r="P151" s="1">
        <f t="shared" si="20"/>
        <v>1</v>
      </c>
      <c r="Q151" s="1">
        <f t="shared" si="20"/>
        <v>1</v>
      </c>
      <c r="R151" s="1">
        <f t="shared" si="20"/>
        <v>1</v>
      </c>
      <c r="S151" s="1">
        <f t="shared" si="20"/>
        <v>1</v>
      </c>
    </row>
    <row r="152" spans="1:19" x14ac:dyDescent="0.55000000000000004">
      <c r="A152">
        <v>151</v>
      </c>
      <c r="B152">
        <f>VLOOKUP(F152,nodes!$A$1:$L$167,2)</f>
        <v>126</v>
      </c>
      <c r="C152" t="s">
        <v>377</v>
      </c>
      <c r="D152">
        <v>56.146329999999999</v>
      </c>
      <c r="E152">
        <v>-120.67107300000001</v>
      </c>
      <c r="F152" t="s">
        <v>504</v>
      </c>
      <c r="G152" t="s">
        <v>560</v>
      </c>
      <c r="H152">
        <v>60</v>
      </c>
      <c r="I152">
        <f>VLOOKUP(G152,gen_cost!$A$1:$AY$31,15)</f>
        <v>17849</v>
      </c>
      <c r="J152">
        <f>VLOOKUP(G152,gen_cost!$A$1:$AY$31,16)</f>
        <v>2.73</v>
      </c>
      <c r="K152">
        <f>VLOOKUP(G152,gen_cost!$A$1:$AY$31,21)</f>
        <v>0.33750000000000002</v>
      </c>
      <c r="L152">
        <f>VLOOKUP(G152,gen_cost!$A$1:$AY$31,22)</f>
        <v>7.16</v>
      </c>
      <c r="M152">
        <f t="shared" si="17"/>
        <v>0.6</v>
      </c>
      <c r="N152" s="1">
        <f t="shared" si="18"/>
        <v>2.73</v>
      </c>
      <c r="O152" s="1">
        <f t="shared" ref="O152:S161" si="21">+N152</f>
        <v>2.73</v>
      </c>
      <c r="P152" s="1">
        <f t="shared" si="21"/>
        <v>2.73</v>
      </c>
      <c r="Q152" s="1">
        <f t="shared" si="21"/>
        <v>2.73</v>
      </c>
      <c r="R152" s="1">
        <f t="shared" si="21"/>
        <v>2.73</v>
      </c>
      <c r="S152" s="1">
        <f t="shared" si="21"/>
        <v>2.73</v>
      </c>
    </row>
    <row r="153" spans="1:19" x14ac:dyDescent="0.55000000000000004">
      <c r="A153">
        <v>152</v>
      </c>
      <c r="B153">
        <f>VLOOKUP(F153,nodes!$A$1:$L$167,2)</f>
        <v>126</v>
      </c>
      <c r="C153" t="s">
        <v>377</v>
      </c>
      <c r="D153">
        <v>56.146329999999999</v>
      </c>
      <c r="E153">
        <v>-120.67107300000001</v>
      </c>
      <c r="F153" t="s">
        <v>504</v>
      </c>
      <c r="G153" t="s">
        <v>560</v>
      </c>
      <c r="H153">
        <v>60</v>
      </c>
      <c r="I153">
        <f>VLOOKUP(G153,gen_cost!$A$1:$AY$31,15)</f>
        <v>17849</v>
      </c>
      <c r="J153">
        <f>VLOOKUP(G153,gen_cost!$A$1:$AY$31,16)</f>
        <v>2.73</v>
      </c>
      <c r="K153">
        <f>VLOOKUP(G153,gen_cost!$A$1:$AY$31,21)</f>
        <v>0.33750000000000002</v>
      </c>
      <c r="L153">
        <f>VLOOKUP(G153,gen_cost!$A$1:$AY$31,22)</f>
        <v>7.16</v>
      </c>
      <c r="M153">
        <f t="shared" si="17"/>
        <v>0.6</v>
      </c>
      <c r="N153" s="1">
        <f t="shared" si="18"/>
        <v>2.73</v>
      </c>
      <c r="O153" s="1">
        <f t="shared" si="21"/>
        <v>2.73</v>
      </c>
      <c r="P153" s="1">
        <f t="shared" si="21"/>
        <v>2.73</v>
      </c>
      <c r="Q153" s="1">
        <f t="shared" si="21"/>
        <v>2.73</v>
      </c>
      <c r="R153" s="1">
        <f t="shared" si="21"/>
        <v>2.73</v>
      </c>
      <c r="S153" s="1">
        <f t="shared" si="21"/>
        <v>2.73</v>
      </c>
    </row>
    <row r="154" spans="1:19" x14ac:dyDescent="0.55000000000000004">
      <c r="A154">
        <v>153</v>
      </c>
      <c r="B154">
        <f>VLOOKUP(F154,nodes!$A$1:$L$167,2)</f>
        <v>54</v>
      </c>
      <c r="C154" t="s">
        <v>377</v>
      </c>
      <c r="D154">
        <v>49.515816999999998</v>
      </c>
      <c r="E154">
        <v>-123.501548</v>
      </c>
      <c r="F154" t="s">
        <v>431</v>
      </c>
      <c r="G154" t="s">
        <v>563</v>
      </c>
      <c r="H154">
        <v>9.8000000000000007</v>
      </c>
      <c r="I154">
        <f>VLOOKUP(G154,gen_cost!$A$1:$AY$31,15)</f>
        <v>66563</v>
      </c>
      <c r="J154">
        <f>VLOOKUP(G154,gen_cost!$A$1:$AY$31,16)</f>
        <v>1</v>
      </c>
      <c r="K154">
        <f>VLOOKUP(G154,gen_cost!$A$1:$AY$31,21)</f>
        <v>0</v>
      </c>
      <c r="L154">
        <f>VLOOKUP(G154,gen_cost!$A$1:$AY$31,22)</f>
        <v>0</v>
      </c>
      <c r="M154">
        <f t="shared" si="17"/>
        <v>9.8000000000000004E-2</v>
      </c>
      <c r="N154" s="1">
        <f t="shared" si="18"/>
        <v>1</v>
      </c>
      <c r="O154" s="1">
        <f t="shared" si="21"/>
        <v>1</v>
      </c>
      <c r="P154" s="1">
        <f t="shared" si="21"/>
        <v>1</v>
      </c>
      <c r="Q154" s="1">
        <f t="shared" si="21"/>
        <v>1</v>
      </c>
      <c r="R154" s="1">
        <f t="shared" si="21"/>
        <v>1</v>
      </c>
      <c r="S154" s="1">
        <f t="shared" si="21"/>
        <v>1</v>
      </c>
    </row>
    <row r="155" spans="1:19" x14ac:dyDescent="0.55000000000000004">
      <c r="A155">
        <v>154</v>
      </c>
      <c r="B155">
        <f>VLOOKUP(F155,nodes!$A$1:$L$167,2)</f>
        <v>147</v>
      </c>
      <c r="C155" t="s">
        <v>377</v>
      </c>
      <c r="D155">
        <v>50.349882999999998</v>
      </c>
      <c r="E155">
        <v>-122.871352</v>
      </c>
      <c r="F155" t="s">
        <v>525</v>
      </c>
      <c r="G155" t="s">
        <v>563</v>
      </c>
      <c r="H155">
        <v>29.5</v>
      </c>
      <c r="I155">
        <f>VLOOKUP(G155,gen_cost!$A$1:$AY$31,15)</f>
        <v>66563</v>
      </c>
      <c r="J155">
        <f>VLOOKUP(G155,gen_cost!$A$1:$AY$31,16)</f>
        <v>1</v>
      </c>
      <c r="K155">
        <f>VLOOKUP(G155,gen_cost!$A$1:$AY$31,21)</f>
        <v>0</v>
      </c>
      <c r="L155">
        <f>VLOOKUP(G155,gen_cost!$A$1:$AY$31,22)</f>
        <v>0</v>
      </c>
      <c r="M155">
        <f t="shared" si="17"/>
        <v>0.29499999999999998</v>
      </c>
      <c r="N155" s="1">
        <f t="shared" si="18"/>
        <v>1</v>
      </c>
      <c r="O155" s="1">
        <f t="shared" si="21"/>
        <v>1</v>
      </c>
      <c r="P155" s="1">
        <f t="shared" si="21"/>
        <v>1</v>
      </c>
      <c r="Q155" s="1">
        <f t="shared" si="21"/>
        <v>1</v>
      </c>
      <c r="R155" s="1">
        <f t="shared" si="21"/>
        <v>1</v>
      </c>
      <c r="S155" s="1">
        <f t="shared" si="21"/>
        <v>1</v>
      </c>
    </row>
    <row r="156" spans="1:19" x14ac:dyDescent="0.55000000000000004">
      <c r="A156">
        <v>155</v>
      </c>
      <c r="B156">
        <f>VLOOKUP(F156,nodes!$A$1:$L$167,2)</f>
        <v>44</v>
      </c>
      <c r="C156" t="s">
        <v>377</v>
      </c>
      <c r="D156">
        <v>56.687196999999998</v>
      </c>
      <c r="E156">
        <v>-130.79745199999999</v>
      </c>
      <c r="F156" t="s">
        <v>421</v>
      </c>
      <c r="G156" t="s">
        <v>563</v>
      </c>
      <c r="H156">
        <v>66</v>
      </c>
      <c r="I156">
        <f>VLOOKUP(G156,gen_cost!$A$1:$AY$31,15)</f>
        <v>66563</v>
      </c>
      <c r="J156">
        <f>VLOOKUP(G156,gen_cost!$A$1:$AY$31,16)</f>
        <v>1</v>
      </c>
      <c r="K156">
        <f>VLOOKUP(G156,gen_cost!$A$1:$AY$31,21)</f>
        <v>0</v>
      </c>
      <c r="L156">
        <f>VLOOKUP(G156,gen_cost!$A$1:$AY$31,22)</f>
        <v>0</v>
      </c>
      <c r="M156">
        <f t="shared" si="17"/>
        <v>0.66</v>
      </c>
      <c r="N156" s="1">
        <f t="shared" si="18"/>
        <v>1</v>
      </c>
      <c r="O156" s="1">
        <f t="shared" si="21"/>
        <v>1</v>
      </c>
      <c r="P156" s="1">
        <f t="shared" si="21"/>
        <v>1</v>
      </c>
      <c r="Q156" s="1">
        <f t="shared" si="21"/>
        <v>1</v>
      </c>
      <c r="R156" s="1">
        <f t="shared" si="21"/>
        <v>1</v>
      </c>
      <c r="S156" s="1">
        <f t="shared" si="21"/>
        <v>1</v>
      </c>
    </row>
    <row r="157" spans="1:19" x14ac:dyDescent="0.55000000000000004">
      <c r="A157">
        <v>156</v>
      </c>
      <c r="B157">
        <f>VLOOKUP(F157,nodes!$A$1:$L$167,2)</f>
        <v>101</v>
      </c>
      <c r="C157" t="s">
        <v>377</v>
      </c>
      <c r="D157">
        <v>50.097098000000003</v>
      </c>
      <c r="E157">
        <v>-120.795714</v>
      </c>
      <c r="F157" t="s">
        <v>479</v>
      </c>
      <c r="G157" t="s">
        <v>557</v>
      </c>
      <c r="H157">
        <v>40</v>
      </c>
      <c r="I157">
        <f>VLOOKUP(G157,gen_cost!$A$1:$AY$31,15)</f>
        <v>183950</v>
      </c>
      <c r="J157">
        <f>VLOOKUP(G157,gen_cost!$A$1:$AY$31,16)</f>
        <v>7.07</v>
      </c>
      <c r="K157">
        <f>VLOOKUP(G157,gen_cost!$A$1:$AY$31,21)</f>
        <v>0</v>
      </c>
      <c r="L157">
        <f>VLOOKUP(G157,gen_cost!$A$1:$AY$31,22)</f>
        <v>13.5</v>
      </c>
      <c r="M157">
        <f t="shared" si="17"/>
        <v>0.4</v>
      </c>
      <c r="N157" s="1">
        <f t="shared" si="18"/>
        <v>7.07</v>
      </c>
      <c r="O157" s="1">
        <f t="shared" si="21"/>
        <v>7.07</v>
      </c>
      <c r="P157" s="1">
        <f t="shared" si="21"/>
        <v>7.07</v>
      </c>
      <c r="Q157" s="1">
        <f t="shared" si="21"/>
        <v>7.07</v>
      </c>
      <c r="R157" s="1">
        <f t="shared" si="21"/>
        <v>7.07</v>
      </c>
      <c r="S157" s="1">
        <f t="shared" si="21"/>
        <v>7.07</v>
      </c>
    </row>
    <row r="158" spans="1:19" x14ac:dyDescent="0.55000000000000004">
      <c r="A158">
        <v>157</v>
      </c>
      <c r="B158">
        <f>VLOOKUP(F158,nodes!$A$1:$L$167,2)</f>
        <v>13</v>
      </c>
      <c r="C158" t="s">
        <v>377</v>
      </c>
      <c r="D158">
        <v>53.367364999999999</v>
      </c>
      <c r="E158">
        <v>-120.372923</v>
      </c>
      <c r="F158" t="s">
        <v>390</v>
      </c>
      <c r="G158" t="s">
        <v>563</v>
      </c>
      <c r="H158">
        <v>1.2</v>
      </c>
      <c r="I158">
        <f>VLOOKUP(G158,gen_cost!$A$1:$AY$31,15)</f>
        <v>66563</v>
      </c>
      <c r="J158">
        <f>VLOOKUP(G158,gen_cost!$A$1:$AY$31,16)</f>
        <v>1</v>
      </c>
      <c r="K158">
        <f>VLOOKUP(G158,gen_cost!$A$1:$AY$31,21)</f>
        <v>0</v>
      </c>
      <c r="L158">
        <f>VLOOKUP(G158,gen_cost!$A$1:$AY$31,22)</f>
        <v>0</v>
      </c>
      <c r="M158">
        <f t="shared" si="17"/>
        <v>1.2E-2</v>
      </c>
      <c r="N158" s="1">
        <f t="shared" si="18"/>
        <v>1</v>
      </c>
      <c r="O158" s="1">
        <f t="shared" si="21"/>
        <v>1</v>
      </c>
      <c r="P158" s="1">
        <f t="shared" si="21"/>
        <v>1</v>
      </c>
      <c r="Q158" s="1">
        <f t="shared" si="21"/>
        <v>1</v>
      </c>
      <c r="R158" s="1">
        <f t="shared" si="21"/>
        <v>1</v>
      </c>
      <c r="S158" s="1">
        <f t="shared" si="21"/>
        <v>1</v>
      </c>
    </row>
    <row r="159" spans="1:19" x14ac:dyDescent="0.55000000000000004">
      <c r="A159">
        <v>158</v>
      </c>
      <c r="B159">
        <f>VLOOKUP(F159,nodes!$A$1:$L$167,2)</f>
        <v>83</v>
      </c>
      <c r="C159" t="s">
        <v>377</v>
      </c>
      <c r="D159">
        <v>55.284379999999999</v>
      </c>
      <c r="E159">
        <v>-121.458034</v>
      </c>
      <c r="F159" t="s">
        <v>460</v>
      </c>
      <c r="G159" t="s">
        <v>690</v>
      </c>
      <c r="H159">
        <v>184.6</v>
      </c>
      <c r="I159">
        <f>VLOOKUP(G159,gen_cost!$A$1:$AY$31,15)</f>
        <v>38532</v>
      </c>
      <c r="J159">
        <f>VLOOKUP(G159,gen_cost!$A$1:$AY$31,16)</f>
        <v>0</v>
      </c>
      <c r="K159">
        <f>VLOOKUP(G159,gen_cost!$A$1:$AY$31,21)</f>
        <v>0</v>
      </c>
      <c r="L159">
        <f>VLOOKUP(G159,gen_cost!$A$1:$AY$31,22)</f>
        <v>0</v>
      </c>
      <c r="M159">
        <f t="shared" si="17"/>
        <v>1.8459999999999999</v>
      </c>
      <c r="N159" s="1">
        <f t="shared" si="18"/>
        <v>0</v>
      </c>
      <c r="O159" s="1">
        <f t="shared" si="21"/>
        <v>0</v>
      </c>
      <c r="P159" s="1">
        <f t="shared" si="21"/>
        <v>0</v>
      </c>
      <c r="Q159" s="1">
        <f t="shared" si="21"/>
        <v>0</v>
      </c>
      <c r="R159" s="1">
        <f t="shared" si="21"/>
        <v>0</v>
      </c>
      <c r="S159" s="1">
        <f t="shared" si="21"/>
        <v>0</v>
      </c>
    </row>
    <row r="160" spans="1:19" x14ac:dyDescent="0.55000000000000004">
      <c r="A160">
        <v>159</v>
      </c>
      <c r="B160">
        <f>VLOOKUP(F160,nodes!$A$1:$L$167,2)</f>
        <v>87</v>
      </c>
      <c r="C160" t="s">
        <v>377</v>
      </c>
      <c r="D160">
        <v>55.285632999999997</v>
      </c>
      <c r="E160">
        <v>-121.298571</v>
      </c>
      <c r="F160" t="s">
        <v>465</v>
      </c>
      <c r="G160" t="s">
        <v>690</v>
      </c>
      <c r="H160">
        <v>15</v>
      </c>
      <c r="I160">
        <f>VLOOKUP(G160,gen_cost!$A$1:$AY$31,15)</f>
        <v>38532</v>
      </c>
      <c r="J160">
        <f>VLOOKUP(G160,gen_cost!$A$1:$AY$31,16)</f>
        <v>0</v>
      </c>
      <c r="K160">
        <f>VLOOKUP(G160,gen_cost!$A$1:$AY$31,21)</f>
        <v>0</v>
      </c>
      <c r="L160">
        <f>VLOOKUP(G160,gen_cost!$A$1:$AY$31,22)</f>
        <v>0</v>
      </c>
      <c r="M160">
        <f t="shared" si="17"/>
        <v>0.15</v>
      </c>
      <c r="N160" s="1">
        <f t="shared" si="18"/>
        <v>0</v>
      </c>
      <c r="O160" s="1">
        <f t="shared" si="21"/>
        <v>0</v>
      </c>
      <c r="P160" s="1">
        <f t="shared" si="21"/>
        <v>0</v>
      </c>
      <c r="Q160" s="1">
        <f t="shared" si="21"/>
        <v>0</v>
      </c>
      <c r="R160" s="1">
        <f t="shared" si="21"/>
        <v>0</v>
      </c>
      <c r="S160" s="1">
        <f t="shared" si="21"/>
        <v>0</v>
      </c>
    </row>
    <row r="161" spans="1:19" x14ac:dyDescent="0.55000000000000004">
      <c r="A161">
        <v>160</v>
      </c>
      <c r="B161">
        <f>VLOOKUP(F161,nodes!$A$1:$L$167,2)</f>
        <v>38</v>
      </c>
      <c r="C161" t="s">
        <v>377</v>
      </c>
      <c r="D161">
        <v>49.234214999999999</v>
      </c>
      <c r="E161">
        <v>-125.356863</v>
      </c>
      <c r="F161" t="s">
        <v>415</v>
      </c>
      <c r="G161" t="s">
        <v>563</v>
      </c>
      <c r="H161">
        <v>4.5999999999999996</v>
      </c>
      <c r="I161">
        <f>VLOOKUP(G161,gen_cost!$A$1:$AY$31,15)</f>
        <v>66563</v>
      </c>
      <c r="J161">
        <f>VLOOKUP(G161,gen_cost!$A$1:$AY$31,16)</f>
        <v>1</v>
      </c>
      <c r="K161">
        <f>VLOOKUP(G161,gen_cost!$A$1:$AY$31,21)</f>
        <v>0</v>
      </c>
      <c r="L161">
        <f>VLOOKUP(G161,gen_cost!$A$1:$AY$31,22)</f>
        <v>0</v>
      </c>
      <c r="M161">
        <f t="shared" si="17"/>
        <v>4.5999999999999999E-2</v>
      </c>
      <c r="N161" s="1">
        <f t="shared" si="18"/>
        <v>1</v>
      </c>
      <c r="O161" s="1">
        <f t="shared" si="21"/>
        <v>1</v>
      </c>
      <c r="P161" s="1">
        <f t="shared" si="21"/>
        <v>1</v>
      </c>
      <c r="Q161" s="1">
        <f t="shared" si="21"/>
        <v>1</v>
      </c>
      <c r="R161" s="1">
        <f t="shared" si="21"/>
        <v>1</v>
      </c>
      <c r="S161" s="1">
        <f t="shared" si="21"/>
        <v>1</v>
      </c>
    </row>
    <row r="162" spans="1:19" x14ac:dyDescent="0.55000000000000004">
      <c r="A162">
        <v>161</v>
      </c>
      <c r="B162">
        <f>VLOOKUP(F162,nodes!$A$1:$L$167,2)</f>
        <v>96</v>
      </c>
      <c r="C162" t="s">
        <v>377</v>
      </c>
      <c r="D162">
        <v>50.623136000000002</v>
      </c>
      <c r="E162">
        <v>-124.187332</v>
      </c>
      <c r="F162" t="s">
        <v>474</v>
      </c>
      <c r="G162" t="s">
        <v>563</v>
      </c>
      <c r="H162">
        <v>77.900000000000006</v>
      </c>
      <c r="I162">
        <f>VLOOKUP(G162,gen_cost!$A$1:$AY$31,15)</f>
        <v>66563</v>
      </c>
      <c r="J162">
        <f>VLOOKUP(G162,gen_cost!$A$1:$AY$31,16)</f>
        <v>1</v>
      </c>
      <c r="K162">
        <f>VLOOKUP(G162,gen_cost!$A$1:$AY$31,21)</f>
        <v>0</v>
      </c>
      <c r="L162">
        <f>VLOOKUP(G162,gen_cost!$A$1:$AY$31,22)</f>
        <v>0</v>
      </c>
      <c r="M162">
        <f t="shared" si="17"/>
        <v>0.77900000000000003</v>
      </c>
      <c r="N162" s="1">
        <f t="shared" si="18"/>
        <v>1</v>
      </c>
      <c r="O162" s="1">
        <f t="shared" ref="O162:S171" si="22">+N162</f>
        <v>1</v>
      </c>
      <c r="P162" s="1">
        <f t="shared" si="22"/>
        <v>1</v>
      </c>
      <c r="Q162" s="1">
        <f t="shared" si="22"/>
        <v>1</v>
      </c>
      <c r="R162" s="1">
        <f t="shared" si="22"/>
        <v>1</v>
      </c>
      <c r="S162" s="1">
        <f t="shared" si="22"/>
        <v>1</v>
      </c>
    </row>
    <row r="163" spans="1:19" x14ac:dyDescent="0.55000000000000004">
      <c r="A163">
        <v>162</v>
      </c>
      <c r="B163">
        <f>VLOOKUP(F163,nodes!$A$1:$L$167,2)</f>
        <v>143</v>
      </c>
      <c r="C163" t="s">
        <v>377</v>
      </c>
      <c r="D163">
        <v>54.014716999999997</v>
      </c>
      <c r="E163">
        <v>-124.051327</v>
      </c>
      <c r="F163" t="s">
        <v>521</v>
      </c>
      <c r="G163" t="s">
        <v>557</v>
      </c>
      <c r="H163">
        <v>1.8</v>
      </c>
      <c r="I163">
        <f>VLOOKUP(G163,gen_cost!$A$1:$AY$31,15)</f>
        <v>183950</v>
      </c>
      <c r="J163">
        <f>VLOOKUP(G163,gen_cost!$A$1:$AY$31,16)</f>
        <v>7.07</v>
      </c>
      <c r="K163">
        <f>VLOOKUP(G163,gen_cost!$A$1:$AY$31,21)</f>
        <v>0</v>
      </c>
      <c r="L163">
        <f>VLOOKUP(G163,gen_cost!$A$1:$AY$31,22)</f>
        <v>13.5</v>
      </c>
      <c r="M163">
        <f t="shared" si="17"/>
        <v>1.8000000000000002E-2</v>
      </c>
      <c r="N163" s="1">
        <f t="shared" si="18"/>
        <v>7.07</v>
      </c>
      <c r="O163" s="1">
        <f t="shared" si="22"/>
        <v>7.07</v>
      </c>
      <c r="P163" s="1">
        <f t="shared" si="22"/>
        <v>7.07</v>
      </c>
      <c r="Q163" s="1">
        <f t="shared" si="22"/>
        <v>7.07</v>
      </c>
      <c r="R163" s="1">
        <f t="shared" si="22"/>
        <v>7.07</v>
      </c>
      <c r="S163" s="1">
        <f t="shared" si="22"/>
        <v>7.07</v>
      </c>
    </row>
    <row r="164" spans="1:19" x14ac:dyDescent="0.55000000000000004">
      <c r="A164">
        <v>163</v>
      </c>
      <c r="B164">
        <f>VLOOKUP(F164,nodes!$A$1:$L$167,2)</f>
        <v>95</v>
      </c>
      <c r="C164" t="s">
        <v>377</v>
      </c>
      <c r="D164">
        <v>49.829455000000003</v>
      </c>
      <c r="E164">
        <v>-123.664242</v>
      </c>
      <c r="F164" t="s">
        <v>473</v>
      </c>
      <c r="G164" t="s">
        <v>563</v>
      </c>
      <c r="H164">
        <v>33</v>
      </c>
      <c r="I164">
        <f>VLOOKUP(G164,gen_cost!$A$1:$AY$31,15)</f>
        <v>66563</v>
      </c>
      <c r="J164">
        <f>VLOOKUP(G164,gen_cost!$A$1:$AY$31,16)</f>
        <v>1</v>
      </c>
      <c r="K164">
        <f>VLOOKUP(G164,gen_cost!$A$1:$AY$31,21)</f>
        <v>0</v>
      </c>
      <c r="L164">
        <f>VLOOKUP(G164,gen_cost!$A$1:$AY$31,22)</f>
        <v>0</v>
      </c>
      <c r="M164">
        <f t="shared" si="17"/>
        <v>0.33</v>
      </c>
      <c r="N164" s="1">
        <f t="shared" si="18"/>
        <v>1</v>
      </c>
      <c r="O164" s="1">
        <f t="shared" si="22"/>
        <v>1</v>
      </c>
      <c r="P164" s="1">
        <f t="shared" si="22"/>
        <v>1</v>
      </c>
      <c r="Q164" s="1">
        <f t="shared" si="22"/>
        <v>1</v>
      </c>
      <c r="R164" s="1">
        <f t="shared" si="22"/>
        <v>1</v>
      </c>
      <c r="S164" s="1">
        <f t="shared" si="22"/>
        <v>1</v>
      </c>
    </row>
    <row r="165" spans="1:19" x14ac:dyDescent="0.55000000000000004">
      <c r="A165">
        <v>164</v>
      </c>
      <c r="B165">
        <f>VLOOKUP(F165,nodes!$A$1:$L$167,2)</f>
        <v>127</v>
      </c>
      <c r="C165" t="s">
        <v>377</v>
      </c>
      <c r="D165">
        <v>52.161254999999997</v>
      </c>
      <c r="E165">
        <v>-122.17115200000001</v>
      </c>
      <c r="F165" t="s">
        <v>505</v>
      </c>
      <c r="G165" t="s">
        <v>557</v>
      </c>
      <c r="H165">
        <v>66</v>
      </c>
      <c r="I165">
        <f>VLOOKUP(G165,gen_cost!$A$1:$AY$31,15)</f>
        <v>183950</v>
      </c>
      <c r="J165">
        <f>VLOOKUP(G165,gen_cost!$A$1:$AY$31,16)</f>
        <v>7.07</v>
      </c>
      <c r="K165">
        <f>VLOOKUP(G165,gen_cost!$A$1:$AY$31,21)</f>
        <v>0</v>
      </c>
      <c r="L165">
        <f>VLOOKUP(G165,gen_cost!$A$1:$AY$31,22)</f>
        <v>13.5</v>
      </c>
      <c r="M165">
        <f t="shared" si="17"/>
        <v>0.66</v>
      </c>
      <c r="N165" s="1">
        <f t="shared" si="18"/>
        <v>7.07</v>
      </c>
      <c r="O165" s="1">
        <f t="shared" si="22"/>
        <v>7.07</v>
      </c>
      <c r="P165" s="1">
        <f t="shared" si="22"/>
        <v>7.07</v>
      </c>
      <c r="Q165" s="1">
        <f t="shared" si="22"/>
        <v>7.07</v>
      </c>
      <c r="R165" s="1">
        <f t="shared" si="22"/>
        <v>7.07</v>
      </c>
      <c r="S165" s="1">
        <f t="shared" si="22"/>
        <v>7.07</v>
      </c>
    </row>
    <row r="166" spans="1:19" x14ac:dyDescent="0.55000000000000004">
      <c r="A166">
        <v>165</v>
      </c>
      <c r="B166">
        <f>VLOOKUP(F166,nodes!$A$1:$L$167,2)</f>
        <v>165</v>
      </c>
      <c r="C166" t="s">
        <v>377</v>
      </c>
      <c r="D166">
        <v>53.979193000000002</v>
      </c>
      <c r="E166">
        <v>-122.693639</v>
      </c>
      <c r="F166" t="s">
        <v>543</v>
      </c>
      <c r="G166" t="s">
        <v>557</v>
      </c>
      <c r="H166">
        <v>94.5</v>
      </c>
      <c r="I166">
        <f>VLOOKUP(G166,gen_cost!$A$1:$AY$31,15)</f>
        <v>183950</v>
      </c>
      <c r="J166">
        <f>VLOOKUP(G166,gen_cost!$A$1:$AY$31,16)</f>
        <v>7.07</v>
      </c>
      <c r="K166">
        <f>VLOOKUP(G166,gen_cost!$A$1:$AY$31,21)</f>
        <v>0</v>
      </c>
      <c r="L166">
        <f>VLOOKUP(G166,gen_cost!$A$1:$AY$31,22)</f>
        <v>13.5</v>
      </c>
      <c r="M166">
        <f t="shared" si="17"/>
        <v>0.94499999999999995</v>
      </c>
      <c r="N166" s="1">
        <f t="shared" si="18"/>
        <v>7.07</v>
      </c>
      <c r="O166" s="1">
        <f t="shared" si="22"/>
        <v>7.07</v>
      </c>
      <c r="P166" s="1">
        <f t="shared" si="22"/>
        <v>7.07</v>
      </c>
      <c r="Q166" s="1">
        <f t="shared" si="22"/>
        <v>7.07</v>
      </c>
      <c r="R166" s="1">
        <f t="shared" si="22"/>
        <v>7.07</v>
      </c>
      <c r="S166" s="1">
        <f t="shared" si="22"/>
        <v>7.07</v>
      </c>
    </row>
    <row r="167" spans="1:19" x14ac:dyDescent="0.55000000000000004">
      <c r="A167">
        <v>166</v>
      </c>
      <c r="B167">
        <f>VLOOKUP(F167,nodes!$A$1:$L$167,2)</f>
        <v>152</v>
      </c>
      <c r="C167" t="s">
        <v>377</v>
      </c>
      <c r="D167">
        <v>49.622782000000001</v>
      </c>
      <c r="E167">
        <v>-122.449803</v>
      </c>
      <c r="F167" t="s">
        <v>530</v>
      </c>
      <c r="G167" t="s">
        <v>563</v>
      </c>
      <c r="H167">
        <v>17.5</v>
      </c>
      <c r="I167">
        <f>VLOOKUP(G167,gen_cost!$A$1:$AY$31,15)</f>
        <v>66563</v>
      </c>
      <c r="J167">
        <f>VLOOKUP(G167,gen_cost!$A$1:$AY$31,16)</f>
        <v>1</v>
      </c>
      <c r="K167">
        <f>VLOOKUP(G167,gen_cost!$A$1:$AY$31,21)</f>
        <v>0</v>
      </c>
      <c r="L167">
        <f>VLOOKUP(G167,gen_cost!$A$1:$AY$31,22)</f>
        <v>0</v>
      </c>
      <c r="M167">
        <f t="shared" si="17"/>
        <v>0.17499999999999999</v>
      </c>
      <c r="N167" s="1">
        <f t="shared" si="18"/>
        <v>1</v>
      </c>
      <c r="O167" s="1">
        <f t="shared" si="22"/>
        <v>1</v>
      </c>
      <c r="P167" s="1">
        <f t="shared" si="22"/>
        <v>1</v>
      </c>
      <c r="Q167" s="1">
        <f t="shared" si="22"/>
        <v>1</v>
      </c>
      <c r="R167" s="1">
        <f t="shared" si="22"/>
        <v>1</v>
      </c>
      <c r="S167" s="1">
        <f t="shared" si="22"/>
        <v>1</v>
      </c>
    </row>
    <row r="168" spans="1:19" x14ac:dyDescent="0.55000000000000004">
      <c r="A168">
        <v>167</v>
      </c>
      <c r="B168">
        <f>VLOOKUP(F168,nodes!$A$1:$L$167,2)</f>
        <v>127</v>
      </c>
      <c r="C168" t="s">
        <v>377</v>
      </c>
      <c r="D168">
        <v>52.128746999999997</v>
      </c>
      <c r="E168">
        <v>-121.92881300000001</v>
      </c>
      <c r="F168" t="s">
        <v>505</v>
      </c>
      <c r="G168" t="s">
        <v>557</v>
      </c>
      <c r="H168">
        <v>6</v>
      </c>
      <c r="I168">
        <f>VLOOKUP(G168,gen_cost!$A$1:$AY$31,15)</f>
        <v>183950</v>
      </c>
      <c r="J168">
        <f>VLOOKUP(G168,gen_cost!$A$1:$AY$31,16)</f>
        <v>7.07</v>
      </c>
      <c r="K168">
        <f>VLOOKUP(G168,gen_cost!$A$1:$AY$31,21)</f>
        <v>0</v>
      </c>
      <c r="L168">
        <f>VLOOKUP(G168,gen_cost!$A$1:$AY$31,22)</f>
        <v>13.5</v>
      </c>
      <c r="M168">
        <f t="shared" si="17"/>
        <v>0.06</v>
      </c>
      <c r="N168" s="1">
        <f t="shared" si="18"/>
        <v>7.07</v>
      </c>
      <c r="O168" s="1">
        <f t="shared" si="22"/>
        <v>7.07</v>
      </c>
      <c r="P168" s="1">
        <f t="shared" si="22"/>
        <v>7.07</v>
      </c>
      <c r="Q168" s="1">
        <f t="shared" si="22"/>
        <v>7.07</v>
      </c>
      <c r="R168" s="1">
        <f t="shared" si="22"/>
        <v>7.07</v>
      </c>
      <c r="S168" s="1">
        <f t="shared" si="22"/>
        <v>7.07</v>
      </c>
    </row>
    <row r="169" spans="1:19" x14ac:dyDescent="0.55000000000000004">
      <c r="A169">
        <v>168</v>
      </c>
      <c r="B169">
        <f>VLOOKUP(F169,nodes!$A$1:$L$167,2)</f>
        <v>38</v>
      </c>
      <c r="C169" t="s">
        <v>377</v>
      </c>
      <c r="D169">
        <v>49.247371000000001</v>
      </c>
      <c r="E169">
        <v>-124.81118499999999</v>
      </c>
      <c r="F169" t="s">
        <v>415</v>
      </c>
      <c r="G169" t="s">
        <v>557</v>
      </c>
      <c r="H169">
        <v>17</v>
      </c>
      <c r="I169">
        <f>VLOOKUP(G169,gen_cost!$A$1:$AY$31,15)</f>
        <v>183950</v>
      </c>
      <c r="J169">
        <f>VLOOKUP(G169,gen_cost!$A$1:$AY$31,16)</f>
        <v>7.07</v>
      </c>
      <c r="K169">
        <f>VLOOKUP(G169,gen_cost!$A$1:$AY$31,21)</f>
        <v>0</v>
      </c>
      <c r="L169">
        <f>VLOOKUP(G169,gen_cost!$A$1:$AY$31,22)</f>
        <v>13.5</v>
      </c>
      <c r="M169">
        <f t="shared" si="17"/>
        <v>0.17</v>
      </c>
      <c r="N169" s="1">
        <f t="shared" si="18"/>
        <v>7.07</v>
      </c>
      <c r="O169" s="1">
        <f t="shared" si="22"/>
        <v>7.07</v>
      </c>
      <c r="P169" s="1">
        <f t="shared" si="22"/>
        <v>7.07</v>
      </c>
      <c r="Q169" s="1">
        <f t="shared" si="22"/>
        <v>7.07</v>
      </c>
      <c r="R169" s="1">
        <f t="shared" si="22"/>
        <v>7.07</v>
      </c>
      <c r="S169" s="1">
        <f t="shared" si="22"/>
        <v>7.07</v>
      </c>
    </row>
    <row r="170" spans="1:19" x14ac:dyDescent="0.55000000000000004">
      <c r="A170">
        <v>169</v>
      </c>
      <c r="B170">
        <f>VLOOKUP(F170,nodes!$A$1:$L$167,2)</f>
        <v>165</v>
      </c>
      <c r="C170" t="s">
        <v>377</v>
      </c>
      <c r="D170">
        <v>53.892629999999997</v>
      </c>
      <c r="E170">
        <v>-122.814927</v>
      </c>
      <c r="F170" t="s">
        <v>543</v>
      </c>
      <c r="G170" t="s">
        <v>557</v>
      </c>
      <c r="H170">
        <v>4.4000000000000004</v>
      </c>
      <c r="I170">
        <f>VLOOKUP(G170,gen_cost!$A$1:$AY$31,15)</f>
        <v>183950</v>
      </c>
      <c r="J170">
        <f>VLOOKUP(G170,gen_cost!$A$1:$AY$31,16)</f>
        <v>7.07</v>
      </c>
      <c r="K170">
        <f>VLOOKUP(G170,gen_cost!$A$1:$AY$31,21)</f>
        <v>0</v>
      </c>
      <c r="L170">
        <f>VLOOKUP(G170,gen_cost!$A$1:$AY$31,22)</f>
        <v>13.5</v>
      </c>
      <c r="M170">
        <f t="shared" si="17"/>
        <v>4.4000000000000004E-2</v>
      </c>
      <c r="N170" s="1">
        <f t="shared" si="18"/>
        <v>7.07</v>
      </c>
      <c r="O170" s="1">
        <f t="shared" si="22"/>
        <v>7.07</v>
      </c>
      <c r="P170" s="1">
        <f t="shared" si="22"/>
        <v>7.07</v>
      </c>
      <c r="Q170" s="1">
        <f t="shared" si="22"/>
        <v>7.07</v>
      </c>
      <c r="R170" s="1">
        <f t="shared" si="22"/>
        <v>7.07</v>
      </c>
      <c r="S170" s="1">
        <f t="shared" si="22"/>
        <v>7.07</v>
      </c>
    </row>
    <row r="171" spans="1:19" x14ac:dyDescent="0.55000000000000004">
      <c r="A171">
        <v>170</v>
      </c>
      <c r="B171">
        <f>VLOOKUP(F171,nodes!$A$1:$L$167,2)</f>
        <v>104</v>
      </c>
      <c r="C171" t="s">
        <v>377</v>
      </c>
      <c r="D171">
        <v>55.982571</v>
      </c>
      <c r="E171">
        <v>-121.99497</v>
      </c>
      <c r="F171" t="s">
        <v>482</v>
      </c>
      <c r="G171" t="s">
        <v>567</v>
      </c>
      <c r="H171">
        <v>175</v>
      </c>
      <c r="I171">
        <f>VLOOKUP(G171,gen_cost!$A$1:$AY$31,15)</f>
        <v>18305</v>
      </c>
      <c r="J171">
        <f>VLOOKUP(G171,gen_cost!$A$1:$AY$31,16)</f>
        <v>2</v>
      </c>
      <c r="K171">
        <f>VLOOKUP(G171,gen_cost!$A$1:$AY$31,21)</f>
        <v>0</v>
      </c>
      <c r="L171">
        <f>VLOOKUP(G171,gen_cost!$A$1:$AY$31,22)</f>
        <v>0</v>
      </c>
      <c r="M171">
        <f t="shared" si="17"/>
        <v>1.75</v>
      </c>
      <c r="N171" s="1">
        <f t="shared" si="18"/>
        <v>2</v>
      </c>
      <c r="O171" s="1">
        <f t="shared" si="22"/>
        <v>2</v>
      </c>
      <c r="P171" s="1">
        <f t="shared" si="22"/>
        <v>2</v>
      </c>
      <c r="Q171" s="1">
        <f t="shared" si="22"/>
        <v>2</v>
      </c>
      <c r="R171" s="1">
        <f t="shared" si="22"/>
        <v>2</v>
      </c>
      <c r="S171" s="1">
        <f t="shared" si="22"/>
        <v>2</v>
      </c>
    </row>
    <row r="172" spans="1:19" x14ac:dyDescent="0.55000000000000004">
      <c r="A172">
        <v>171</v>
      </c>
      <c r="B172">
        <f>VLOOKUP(F172,nodes!$A$1:$L$167,2)</f>
        <v>104</v>
      </c>
      <c r="C172" t="s">
        <v>377</v>
      </c>
      <c r="D172">
        <v>55.982571</v>
      </c>
      <c r="E172">
        <v>-121.99497</v>
      </c>
      <c r="F172" t="s">
        <v>482</v>
      </c>
      <c r="G172" t="s">
        <v>567</v>
      </c>
      <c r="H172">
        <v>175</v>
      </c>
      <c r="I172">
        <f>VLOOKUP(G172,gen_cost!$A$1:$AY$31,15)</f>
        <v>18305</v>
      </c>
      <c r="J172">
        <f>VLOOKUP(G172,gen_cost!$A$1:$AY$31,16)</f>
        <v>2</v>
      </c>
      <c r="K172">
        <f>VLOOKUP(G172,gen_cost!$A$1:$AY$31,21)</f>
        <v>0</v>
      </c>
      <c r="L172">
        <f>VLOOKUP(G172,gen_cost!$A$1:$AY$31,22)</f>
        <v>0</v>
      </c>
      <c r="M172">
        <f t="shared" si="17"/>
        <v>1.75</v>
      </c>
      <c r="N172" s="1">
        <f t="shared" si="18"/>
        <v>2</v>
      </c>
      <c r="O172" s="1">
        <f t="shared" ref="O172:S181" si="23">+N172</f>
        <v>2</v>
      </c>
      <c r="P172" s="1">
        <f t="shared" si="23"/>
        <v>2</v>
      </c>
      <c r="Q172" s="1">
        <f t="shared" si="23"/>
        <v>2</v>
      </c>
      <c r="R172" s="1">
        <f t="shared" si="23"/>
        <v>2</v>
      </c>
      <c r="S172" s="1">
        <f t="shared" si="23"/>
        <v>2</v>
      </c>
    </row>
    <row r="173" spans="1:19" x14ac:dyDescent="0.55000000000000004">
      <c r="A173">
        <v>172</v>
      </c>
      <c r="B173">
        <f>VLOOKUP(F173,nodes!$A$1:$L$167,2)</f>
        <v>104</v>
      </c>
      <c r="C173" t="s">
        <v>377</v>
      </c>
      <c r="D173">
        <v>55.982571</v>
      </c>
      <c r="E173">
        <v>-121.99497</v>
      </c>
      <c r="F173" t="s">
        <v>482</v>
      </c>
      <c r="G173" t="s">
        <v>567</v>
      </c>
      <c r="H173">
        <v>175</v>
      </c>
      <c r="I173">
        <f>VLOOKUP(G173,gen_cost!$A$1:$AY$31,15)</f>
        <v>18305</v>
      </c>
      <c r="J173">
        <f>VLOOKUP(G173,gen_cost!$A$1:$AY$31,16)</f>
        <v>2</v>
      </c>
      <c r="K173">
        <f>VLOOKUP(G173,gen_cost!$A$1:$AY$31,21)</f>
        <v>0</v>
      </c>
      <c r="L173">
        <f>VLOOKUP(G173,gen_cost!$A$1:$AY$31,22)</f>
        <v>0</v>
      </c>
      <c r="M173">
        <f t="shared" si="17"/>
        <v>1.75</v>
      </c>
      <c r="N173" s="1">
        <f t="shared" si="18"/>
        <v>2</v>
      </c>
      <c r="O173" s="1">
        <f t="shared" si="23"/>
        <v>2</v>
      </c>
      <c r="P173" s="1">
        <f t="shared" si="23"/>
        <v>2</v>
      </c>
      <c r="Q173" s="1">
        <f t="shared" si="23"/>
        <v>2</v>
      </c>
      <c r="R173" s="1">
        <f t="shared" si="23"/>
        <v>2</v>
      </c>
      <c r="S173" s="1">
        <f t="shared" si="23"/>
        <v>2</v>
      </c>
    </row>
    <row r="174" spans="1:19" x14ac:dyDescent="0.55000000000000004">
      <c r="A174">
        <v>173</v>
      </c>
      <c r="B174">
        <f>VLOOKUP(F174,nodes!$A$1:$L$167,2)</f>
        <v>104</v>
      </c>
      <c r="C174" t="s">
        <v>377</v>
      </c>
      <c r="D174">
        <v>55.982571</v>
      </c>
      <c r="E174">
        <v>-121.99497</v>
      </c>
      <c r="F174" t="s">
        <v>482</v>
      </c>
      <c r="G174" t="s">
        <v>567</v>
      </c>
      <c r="H174">
        <v>175</v>
      </c>
      <c r="I174">
        <f>VLOOKUP(G174,gen_cost!$A$1:$AY$31,15)</f>
        <v>18305</v>
      </c>
      <c r="J174">
        <f>VLOOKUP(G174,gen_cost!$A$1:$AY$31,16)</f>
        <v>2</v>
      </c>
      <c r="K174">
        <f>VLOOKUP(G174,gen_cost!$A$1:$AY$31,21)</f>
        <v>0</v>
      </c>
      <c r="L174">
        <f>VLOOKUP(G174,gen_cost!$A$1:$AY$31,22)</f>
        <v>0</v>
      </c>
      <c r="M174">
        <f t="shared" si="17"/>
        <v>1.75</v>
      </c>
      <c r="N174" s="1">
        <f t="shared" si="18"/>
        <v>2</v>
      </c>
      <c r="O174" s="1">
        <f t="shared" si="23"/>
        <v>2</v>
      </c>
      <c r="P174" s="1">
        <f t="shared" si="23"/>
        <v>2</v>
      </c>
      <c r="Q174" s="1">
        <f t="shared" si="23"/>
        <v>2</v>
      </c>
      <c r="R174" s="1">
        <f t="shared" si="23"/>
        <v>2</v>
      </c>
      <c r="S174" s="1">
        <f t="shared" si="23"/>
        <v>2</v>
      </c>
    </row>
    <row r="175" spans="1:19" x14ac:dyDescent="0.55000000000000004">
      <c r="A175">
        <v>174</v>
      </c>
      <c r="B175">
        <f>VLOOKUP(F175,nodes!$A$1:$L$167,2)</f>
        <v>165</v>
      </c>
      <c r="C175" t="s">
        <v>377</v>
      </c>
      <c r="D175">
        <v>53.922513000000002</v>
      </c>
      <c r="E175">
        <v>-122.685096</v>
      </c>
      <c r="F175" t="s">
        <v>543</v>
      </c>
      <c r="G175" t="s">
        <v>557</v>
      </c>
      <c r="H175">
        <v>59.9</v>
      </c>
      <c r="I175">
        <f>VLOOKUP(G175,gen_cost!$A$1:$AY$31,15)</f>
        <v>183950</v>
      </c>
      <c r="J175">
        <f>VLOOKUP(G175,gen_cost!$A$1:$AY$31,16)</f>
        <v>7.07</v>
      </c>
      <c r="K175">
        <f>VLOOKUP(G175,gen_cost!$A$1:$AY$31,21)</f>
        <v>0</v>
      </c>
      <c r="L175">
        <f>VLOOKUP(G175,gen_cost!$A$1:$AY$31,22)</f>
        <v>13.5</v>
      </c>
      <c r="M175">
        <f t="shared" si="17"/>
        <v>0.59899999999999998</v>
      </c>
      <c r="N175" s="1">
        <f t="shared" si="18"/>
        <v>7.07</v>
      </c>
      <c r="O175" s="1">
        <f t="shared" si="23"/>
        <v>7.07</v>
      </c>
      <c r="P175" s="1">
        <f t="shared" si="23"/>
        <v>7.07</v>
      </c>
      <c r="Q175" s="1">
        <f t="shared" si="23"/>
        <v>7.07</v>
      </c>
      <c r="R175" s="1">
        <f t="shared" si="23"/>
        <v>7.07</v>
      </c>
      <c r="S175" s="1">
        <f t="shared" si="23"/>
        <v>7.07</v>
      </c>
    </row>
    <row r="176" spans="1:19" x14ac:dyDescent="0.55000000000000004">
      <c r="A176">
        <v>175</v>
      </c>
      <c r="B176">
        <f>VLOOKUP(F176,nodes!$A$1:$L$167,2)</f>
        <v>58</v>
      </c>
      <c r="C176" t="s">
        <v>377</v>
      </c>
      <c r="D176">
        <v>50.550064999999996</v>
      </c>
      <c r="E176">
        <v>-117.948415</v>
      </c>
      <c r="F176" t="s">
        <v>435</v>
      </c>
      <c r="G176" t="s">
        <v>563</v>
      </c>
      <c r="H176">
        <v>45</v>
      </c>
      <c r="I176">
        <f>VLOOKUP(G176,gen_cost!$A$1:$AY$31,15)</f>
        <v>66563</v>
      </c>
      <c r="J176">
        <f>VLOOKUP(G176,gen_cost!$A$1:$AY$31,16)</f>
        <v>1</v>
      </c>
      <c r="K176">
        <f>VLOOKUP(G176,gen_cost!$A$1:$AY$31,21)</f>
        <v>0</v>
      </c>
      <c r="L176">
        <f>VLOOKUP(G176,gen_cost!$A$1:$AY$31,22)</f>
        <v>0</v>
      </c>
      <c r="M176">
        <f t="shared" si="17"/>
        <v>0.45</v>
      </c>
      <c r="N176" s="1">
        <f t="shared" si="18"/>
        <v>1</v>
      </c>
      <c r="O176" s="1">
        <f t="shared" si="23"/>
        <v>1</v>
      </c>
      <c r="P176" s="1">
        <f t="shared" si="23"/>
        <v>1</v>
      </c>
      <c r="Q176" s="1">
        <f t="shared" si="23"/>
        <v>1</v>
      </c>
      <c r="R176" s="1">
        <f t="shared" si="23"/>
        <v>1</v>
      </c>
      <c r="S176" s="1">
        <f t="shared" si="23"/>
        <v>1</v>
      </c>
    </row>
    <row r="177" spans="1:19" x14ac:dyDescent="0.55000000000000004">
      <c r="A177">
        <v>176</v>
      </c>
      <c r="B177">
        <f>VLOOKUP(F177,nodes!$A$1:$L$167,2)</f>
        <v>125</v>
      </c>
      <c r="C177" t="s">
        <v>377</v>
      </c>
      <c r="D177">
        <v>49.873131999999998</v>
      </c>
      <c r="E177">
        <v>-124.554445</v>
      </c>
      <c r="F177" t="s">
        <v>503</v>
      </c>
      <c r="G177" t="s">
        <v>557</v>
      </c>
      <c r="H177">
        <v>10</v>
      </c>
      <c r="I177">
        <f>VLOOKUP(G177,gen_cost!$A$1:$AY$31,15)</f>
        <v>183950</v>
      </c>
      <c r="J177">
        <f>VLOOKUP(G177,gen_cost!$A$1:$AY$31,16)</f>
        <v>7.07</v>
      </c>
      <c r="K177">
        <f>VLOOKUP(G177,gen_cost!$A$1:$AY$31,21)</f>
        <v>0</v>
      </c>
      <c r="L177">
        <f>VLOOKUP(G177,gen_cost!$A$1:$AY$31,22)</f>
        <v>13.5</v>
      </c>
      <c r="M177">
        <f t="shared" si="17"/>
        <v>0.1</v>
      </c>
      <c r="N177" s="1">
        <f t="shared" si="18"/>
        <v>7.07</v>
      </c>
      <c r="O177" s="1">
        <f t="shared" si="23"/>
        <v>7.07</v>
      </c>
      <c r="P177" s="1">
        <f t="shared" si="23"/>
        <v>7.07</v>
      </c>
      <c r="Q177" s="1">
        <f t="shared" si="23"/>
        <v>7.07</v>
      </c>
      <c r="R177" s="1">
        <f t="shared" si="23"/>
        <v>7.07</v>
      </c>
      <c r="S177" s="1">
        <f t="shared" si="23"/>
        <v>7.07</v>
      </c>
    </row>
    <row r="178" spans="1:19" x14ac:dyDescent="0.55000000000000004">
      <c r="A178">
        <v>177</v>
      </c>
      <c r="B178">
        <f>VLOOKUP(F178,nodes!$A$1:$L$167,2)</f>
        <v>125</v>
      </c>
      <c r="C178" t="s">
        <v>377</v>
      </c>
      <c r="D178">
        <v>49.873131999999998</v>
      </c>
      <c r="E178">
        <v>-124.554445</v>
      </c>
      <c r="F178" t="s">
        <v>503</v>
      </c>
      <c r="G178" t="s">
        <v>557</v>
      </c>
      <c r="H178">
        <v>38</v>
      </c>
      <c r="I178">
        <f>VLOOKUP(G178,gen_cost!$A$1:$AY$31,15)</f>
        <v>183950</v>
      </c>
      <c r="J178">
        <f>VLOOKUP(G178,gen_cost!$A$1:$AY$31,16)</f>
        <v>7.07</v>
      </c>
      <c r="K178">
        <f>VLOOKUP(G178,gen_cost!$A$1:$AY$31,21)</f>
        <v>0</v>
      </c>
      <c r="L178">
        <f>VLOOKUP(G178,gen_cost!$A$1:$AY$31,22)</f>
        <v>13.5</v>
      </c>
      <c r="M178">
        <f t="shared" si="17"/>
        <v>0.38</v>
      </c>
      <c r="N178" s="1">
        <f t="shared" si="18"/>
        <v>7.07</v>
      </c>
      <c r="O178" s="1">
        <f t="shared" si="23"/>
        <v>7.07</v>
      </c>
      <c r="P178" s="1">
        <f t="shared" si="23"/>
        <v>7.07</v>
      </c>
      <c r="Q178" s="1">
        <f t="shared" si="23"/>
        <v>7.07</v>
      </c>
      <c r="R178" s="1">
        <f t="shared" si="23"/>
        <v>7.07</v>
      </c>
      <c r="S178" s="1">
        <f t="shared" si="23"/>
        <v>7.07</v>
      </c>
    </row>
    <row r="179" spans="1:19" x14ac:dyDescent="0.55000000000000004">
      <c r="A179">
        <v>178</v>
      </c>
      <c r="B179">
        <f>VLOOKUP(F179,nodes!$A$1:$L$167,2)</f>
        <v>101</v>
      </c>
      <c r="C179" t="s">
        <v>377</v>
      </c>
      <c r="D179">
        <v>49.913041999999997</v>
      </c>
      <c r="E179">
        <v>-120.112522</v>
      </c>
      <c r="F179" t="s">
        <v>479</v>
      </c>
      <c r="G179" t="s">
        <v>690</v>
      </c>
      <c r="H179">
        <v>15</v>
      </c>
      <c r="I179">
        <f>VLOOKUP(G179,gen_cost!$A$1:$AY$31,15)</f>
        <v>38532</v>
      </c>
      <c r="J179">
        <f>VLOOKUP(G179,gen_cost!$A$1:$AY$31,16)</f>
        <v>0</v>
      </c>
      <c r="K179">
        <f>VLOOKUP(G179,gen_cost!$A$1:$AY$31,21)</f>
        <v>0</v>
      </c>
      <c r="L179">
        <f>VLOOKUP(G179,gen_cost!$A$1:$AY$31,22)</f>
        <v>0</v>
      </c>
      <c r="M179">
        <f t="shared" si="17"/>
        <v>0.15</v>
      </c>
      <c r="N179" s="1">
        <f t="shared" si="18"/>
        <v>0</v>
      </c>
      <c r="O179" s="1">
        <f t="shared" si="23"/>
        <v>0</v>
      </c>
      <c r="P179" s="1">
        <f t="shared" si="23"/>
        <v>0</v>
      </c>
      <c r="Q179" s="1">
        <f t="shared" si="23"/>
        <v>0</v>
      </c>
      <c r="R179" s="1">
        <f t="shared" si="23"/>
        <v>0</v>
      </c>
      <c r="S179" s="1">
        <f t="shared" si="23"/>
        <v>0</v>
      </c>
    </row>
    <row r="180" spans="1:19" x14ac:dyDescent="0.55000000000000004">
      <c r="A180">
        <v>179</v>
      </c>
      <c r="B180">
        <f>VLOOKUP(F180,nodes!$A$1:$L$167,2)</f>
        <v>165</v>
      </c>
      <c r="C180" t="s">
        <v>377</v>
      </c>
      <c r="D180">
        <v>53.678941999999999</v>
      </c>
      <c r="E180">
        <v>-120.911202</v>
      </c>
      <c r="F180" t="s">
        <v>543</v>
      </c>
      <c r="G180" t="s">
        <v>563</v>
      </c>
      <c r="H180">
        <v>3.6</v>
      </c>
      <c r="I180">
        <f>VLOOKUP(G180,gen_cost!$A$1:$AY$31,15)</f>
        <v>66563</v>
      </c>
      <c r="J180">
        <f>VLOOKUP(G180,gen_cost!$A$1:$AY$31,16)</f>
        <v>1</v>
      </c>
      <c r="K180">
        <f>VLOOKUP(G180,gen_cost!$A$1:$AY$31,21)</f>
        <v>0</v>
      </c>
      <c r="L180">
        <f>VLOOKUP(G180,gen_cost!$A$1:$AY$31,22)</f>
        <v>0</v>
      </c>
      <c r="M180">
        <f t="shared" si="17"/>
        <v>3.6000000000000004E-2</v>
      </c>
      <c r="N180" s="1">
        <f t="shared" si="18"/>
        <v>1</v>
      </c>
      <c r="O180" s="1">
        <f t="shared" si="23"/>
        <v>1</v>
      </c>
      <c r="P180" s="1">
        <f t="shared" si="23"/>
        <v>1</v>
      </c>
      <c r="Q180" s="1">
        <f t="shared" si="23"/>
        <v>1</v>
      </c>
      <c r="R180" s="1">
        <f t="shared" si="23"/>
        <v>1</v>
      </c>
      <c r="S180" s="1">
        <f t="shared" si="23"/>
        <v>1</v>
      </c>
    </row>
    <row r="181" spans="1:19" x14ac:dyDescent="0.55000000000000004">
      <c r="A181">
        <v>180</v>
      </c>
      <c r="B181">
        <f>VLOOKUP(F181,nodes!$A$1:$L$167,2)</f>
        <v>99</v>
      </c>
      <c r="C181" t="s">
        <v>377</v>
      </c>
      <c r="D181">
        <v>49.664965000000002</v>
      </c>
      <c r="E181">
        <v>-125.09390500000001</v>
      </c>
      <c r="F181" t="s">
        <v>477</v>
      </c>
      <c r="G181" t="s">
        <v>561</v>
      </c>
      <c r="H181">
        <v>24</v>
      </c>
      <c r="I181">
        <f>VLOOKUP(G181,gen_cost!$A$1:$AY$31,15)</f>
        <v>115196</v>
      </c>
      <c r="J181">
        <f>VLOOKUP(G181,gen_cost!$A$1:$AY$31,16)</f>
        <v>5</v>
      </c>
      <c r="K181">
        <f>VLOOKUP(G181,gen_cost!$A$1:$AY$31,21)</f>
        <v>0</v>
      </c>
      <c r="L181">
        <f>VLOOKUP(G181,gen_cost!$A$1:$AY$31,22)</f>
        <v>0</v>
      </c>
      <c r="M181">
        <f t="shared" si="17"/>
        <v>0.24</v>
      </c>
      <c r="N181" s="1">
        <f t="shared" si="18"/>
        <v>5</v>
      </c>
      <c r="O181" s="1">
        <f t="shared" si="23"/>
        <v>5</v>
      </c>
      <c r="P181" s="1">
        <f t="shared" si="23"/>
        <v>5</v>
      </c>
      <c r="Q181" s="1">
        <f t="shared" si="23"/>
        <v>5</v>
      </c>
      <c r="R181" s="1">
        <f t="shared" si="23"/>
        <v>5</v>
      </c>
      <c r="S181" s="1">
        <f t="shared" si="23"/>
        <v>5</v>
      </c>
    </row>
    <row r="182" spans="1:19" x14ac:dyDescent="0.55000000000000004">
      <c r="A182">
        <v>181</v>
      </c>
      <c r="B182">
        <f>VLOOKUP(F182,nodes!$A$1:$L$167,2)</f>
        <v>125</v>
      </c>
      <c r="C182" t="s">
        <v>377</v>
      </c>
      <c r="D182">
        <v>49.872348000000002</v>
      </c>
      <c r="E182">
        <v>-124.557704</v>
      </c>
      <c r="F182" t="s">
        <v>503</v>
      </c>
      <c r="G182" t="s">
        <v>563</v>
      </c>
      <c r="H182">
        <v>46</v>
      </c>
      <c r="I182">
        <f>VLOOKUP(G182,gen_cost!$A$1:$AY$31,15)</f>
        <v>66563</v>
      </c>
      <c r="J182">
        <f>VLOOKUP(G182,gen_cost!$A$1:$AY$31,16)</f>
        <v>1</v>
      </c>
      <c r="K182">
        <f>VLOOKUP(G182,gen_cost!$A$1:$AY$31,21)</f>
        <v>0</v>
      </c>
      <c r="L182">
        <f>VLOOKUP(G182,gen_cost!$A$1:$AY$31,22)</f>
        <v>0</v>
      </c>
      <c r="M182">
        <f t="shared" si="17"/>
        <v>0.46</v>
      </c>
      <c r="N182" s="1">
        <f t="shared" si="18"/>
        <v>1</v>
      </c>
      <c r="O182" s="1">
        <f t="shared" ref="O182:S191" si="24">+N182</f>
        <v>1</v>
      </c>
      <c r="P182" s="1">
        <f t="shared" si="24"/>
        <v>1</v>
      </c>
      <c r="Q182" s="1">
        <f t="shared" si="24"/>
        <v>1</v>
      </c>
      <c r="R182" s="1">
        <f t="shared" si="24"/>
        <v>1</v>
      </c>
      <c r="S182" s="1">
        <f t="shared" si="24"/>
        <v>1</v>
      </c>
    </row>
    <row r="183" spans="1:19" x14ac:dyDescent="0.55000000000000004">
      <c r="A183">
        <v>182</v>
      </c>
      <c r="B183">
        <f>VLOOKUP(F183,nodes!$A$1:$L$167,2)</f>
        <v>111</v>
      </c>
      <c r="C183" t="s">
        <v>377</v>
      </c>
      <c r="D183">
        <v>55.184336000000002</v>
      </c>
      <c r="E183">
        <v>-120.854741</v>
      </c>
      <c r="F183" t="s">
        <v>489</v>
      </c>
      <c r="G183" t="s">
        <v>690</v>
      </c>
      <c r="H183">
        <v>142.19999999999999</v>
      </c>
      <c r="I183">
        <f>VLOOKUP(G183,gen_cost!$A$1:$AY$31,15)</f>
        <v>38532</v>
      </c>
      <c r="J183">
        <f>VLOOKUP(G183,gen_cost!$A$1:$AY$31,16)</f>
        <v>0</v>
      </c>
      <c r="K183">
        <f>VLOOKUP(G183,gen_cost!$A$1:$AY$31,21)</f>
        <v>0</v>
      </c>
      <c r="L183">
        <f>VLOOKUP(G183,gen_cost!$A$1:$AY$31,22)</f>
        <v>0</v>
      </c>
      <c r="M183">
        <f t="shared" si="17"/>
        <v>1.4219999999999999</v>
      </c>
      <c r="N183" s="1">
        <f t="shared" si="18"/>
        <v>0</v>
      </c>
      <c r="O183" s="1">
        <f t="shared" si="24"/>
        <v>0</v>
      </c>
      <c r="P183" s="1">
        <f t="shared" si="24"/>
        <v>0</v>
      </c>
      <c r="Q183" s="1">
        <f t="shared" si="24"/>
        <v>0</v>
      </c>
      <c r="R183" s="1">
        <f t="shared" si="24"/>
        <v>0</v>
      </c>
      <c r="S183" s="1">
        <f t="shared" si="24"/>
        <v>0</v>
      </c>
    </row>
    <row r="184" spans="1:19" x14ac:dyDescent="0.55000000000000004">
      <c r="A184">
        <v>183</v>
      </c>
      <c r="B184">
        <f>VLOOKUP(F184,nodes!$A$1:$L$167,2)</f>
        <v>116</v>
      </c>
      <c r="C184" t="s">
        <v>377</v>
      </c>
      <c r="D184">
        <v>51.048563000000001</v>
      </c>
      <c r="E184">
        <v>-118.193945</v>
      </c>
      <c r="F184" t="s">
        <v>494</v>
      </c>
      <c r="G184" t="s">
        <v>567</v>
      </c>
      <c r="H184">
        <v>500</v>
      </c>
      <c r="I184">
        <f>VLOOKUP(G184,gen_cost!$A$1:$AY$31,15)</f>
        <v>18305</v>
      </c>
      <c r="J184">
        <f>VLOOKUP(G184,gen_cost!$A$1:$AY$31,16)</f>
        <v>2</v>
      </c>
      <c r="K184">
        <f>VLOOKUP(G184,gen_cost!$A$1:$AY$31,21)</f>
        <v>0</v>
      </c>
      <c r="L184">
        <f>VLOOKUP(G184,gen_cost!$A$1:$AY$31,22)</f>
        <v>0</v>
      </c>
      <c r="M184">
        <f t="shared" si="17"/>
        <v>5</v>
      </c>
      <c r="N184" s="1">
        <f t="shared" si="18"/>
        <v>2</v>
      </c>
      <c r="O184" s="1">
        <f t="shared" si="24"/>
        <v>2</v>
      </c>
      <c r="P184" s="1">
        <f t="shared" si="24"/>
        <v>2</v>
      </c>
      <c r="Q184" s="1">
        <f t="shared" si="24"/>
        <v>2</v>
      </c>
      <c r="R184" s="1">
        <f t="shared" si="24"/>
        <v>2</v>
      </c>
      <c r="S184" s="1">
        <f t="shared" si="24"/>
        <v>2</v>
      </c>
    </row>
    <row r="185" spans="1:19" x14ac:dyDescent="0.55000000000000004">
      <c r="A185">
        <v>184</v>
      </c>
      <c r="B185">
        <f>VLOOKUP(F185,nodes!$A$1:$L$167,2)</f>
        <v>116</v>
      </c>
      <c r="C185" t="s">
        <v>377</v>
      </c>
      <c r="D185">
        <v>51.048563000000001</v>
      </c>
      <c r="E185">
        <v>-118.193945</v>
      </c>
      <c r="F185" t="s">
        <v>494</v>
      </c>
      <c r="G185" t="s">
        <v>567</v>
      </c>
      <c r="H185">
        <v>500</v>
      </c>
      <c r="I185">
        <f>VLOOKUP(G185,gen_cost!$A$1:$AY$31,15)</f>
        <v>18305</v>
      </c>
      <c r="J185">
        <f>VLOOKUP(G185,gen_cost!$A$1:$AY$31,16)</f>
        <v>2</v>
      </c>
      <c r="K185">
        <f>VLOOKUP(G185,gen_cost!$A$1:$AY$31,21)</f>
        <v>0</v>
      </c>
      <c r="L185">
        <f>VLOOKUP(G185,gen_cost!$A$1:$AY$31,22)</f>
        <v>0</v>
      </c>
      <c r="M185">
        <f t="shared" si="17"/>
        <v>5</v>
      </c>
      <c r="N185" s="1">
        <f t="shared" si="18"/>
        <v>2</v>
      </c>
      <c r="O185" s="1">
        <f t="shared" si="24"/>
        <v>2</v>
      </c>
      <c r="P185" s="1">
        <f t="shared" si="24"/>
        <v>2</v>
      </c>
      <c r="Q185" s="1">
        <f t="shared" si="24"/>
        <v>2</v>
      </c>
      <c r="R185" s="1">
        <f t="shared" si="24"/>
        <v>2</v>
      </c>
      <c r="S185" s="1">
        <f t="shared" si="24"/>
        <v>2</v>
      </c>
    </row>
    <row r="186" spans="1:19" x14ac:dyDescent="0.55000000000000004">
      <c r="A186">
        <v>185</v>
      </c>
      <c r="B186">
        <f>VLOOKUP(F186,nodes!$A$1:$L$167,2)</f>
        <v>116</v>
      </c>
      <c r="C186" t="s">
        <v>377</v>
      </c>
      <c r="D186">
        <v>51.048563000000001</v>
      </c>
      <c r="E186">
        <v>-118.193945</v>
      </c>
      <c r="F186" t="s">
        <v>494</v>
      </c>
      <c r="G186" t="s">
        <v>567</v>
      </c>
      <c r="H186">
        <v>500</v>
      </c>
      <c r="I186">
        <f>VLOOKUP(G186,gen_cost!$A$1:$AY$31,15)</f>
        <v>18305</v>
      </c>
      <c r="J186">
        <f>VLOOKUP(G186,gen_cost!$A$1:$AY$31,16)</f>
        <v>2</v>
      </c>
      <c r="K186">
        <f>VLOOKUP(G186,gen_cost!$A$1:$AY$31,21)</f>
        <v>0</v>
      </c>
      <c r="L186">
        <f>VLOOKUP(G186,gen_cost!$A$1:$AY$31,22)</f>
        <v>0</v>
      </c>
      <c r="M186">
        <f t="shared" si="17"/>
        <v>5</v>
      </c>
      <c r="N186" s="1">
        <f t="shared" si="18"/>
        <v>2</v>
      </c>
      <c r="O186" s="1">
        <f t="shared" si="24"/>
        <v>2</v>
      </c>
      <c r="P186" s="1">
        <f t="shared" si="24"/>
        <v>2</v>
      </c>
      <c r="Q186" s="1">
        <f t="shared" si="24"/>
        <v>2</v>
      </c>
      <c r="R186" s="1">
        <f t="shared" si="24"/>
        <v>2</v>
      </c>
      <c r="S186" s="1">
        <f t="shared" si="24"/>
        <v>2</v>
      </c>
    </row>
    <row r="187" spans="1:19" x14ac:dyDescent="0.55000000000000004">
      <c r="A187">
        <v>186</v>
      </c>
      <c r="B187">
        <f>VLOOKUP(F187,nodes!$A$1:$L$167,2)</f>
        <v>116</v>
      </c>
      <c r="C187" t="s">
        <v>377</v>
      </c>
      <c r="D187">
        <v>51.048563000000001</v>
      </c>
      <c r="E187">
        <v>-118.193945</v>
      </c>
      <c r="F187" t="s">
        <v>494</v>
      </c>
      <c r="G187" t="s">
        <v>567</v>
      </c>
      <c r="H187">
        <v>500</v>
      </c>
      <c r="I187">
        <f>VLOOKUP(G187,gen_cost!$A$1:$AY$31,15)</f>
        <v>18305</v>
      </c>
      <c r="J187">
        <f>VLOOKUP(G187,gen_cost!$A$1:$AY$31,16)</f>
        <v>2</v>
      </c>
      <c r="K187">
        <f>VLOOKUP(G187,gen_cost!$A$1:$AY$31,21)</f>
        <v>0</v>
      </c>
      <c r="L187">
        <f>VLOOKUP(G187,gen_cost!$A$1:$AY$31,22)</f>
        <v>0</v>
      </c>
      <c r="M187">
        <f t="shared" si="17"/>
        <v>5</v>
      </c>
      <c r="N187" s="1">
        <f t="shared" si="18"/>
        <v>2</v>
      </c>
      <c r="O187" s="1">
        <f t="shared" si="24"/>
        <v>2</v>
      </c>
      <c r="P187" s="1">
        <f t="shared" si="24"/>
        <v>2</v>
      </c>
      <c r="Q187" s="1">
        <f t="shared" si="24"/>
        <v>2</v>
      </c>
      <c r="R187" s="1">
        <f t="shared" si="24"/>
        <v>2</v>
      </c>
      <c r="S187" s="1">
        <f t="shared" si="24"/>
        <v>2</v>
      </c>
    </row>
    <row r="188" spans="1:19" x14ac:dyDescent="0.55000000000000004">
      <c r="A188">
        <v>187</v>
      </c>
      <c r="B188">
        <f>VLOOKUP(F188,nodes!$A$1:$L$167,2)</f>
        <v>116</v>
      </c>
      <c r="C188" t="s">
        <v>377</v>
      </c>
      <c r="D188">
        <v>51.048563000000001</v>
      </c>
      <c r="E188">
        <v>-118.193945</v>
      </c>
      <c r="F188" t="s">
        <v>494</v>
      </c>
      <c r="G188" t="s">
        <v>567</v>
      </c>
      <c r="H188">
        <v>500</v>
      </c>
      <c r="I188">
        <f>VLOOKUP(G188,gen_cost!$A$1:$AY$31,15)</f>
        <v>18305</v>
      </c>
      <c r="J188">
        <f>VLOOKUP(G188,gen_cost!$A$1:$AY$31,16)</f>
        <v>2</v>
      </c>
      <c r="K188">
        <f>VLOOKUP(G188,gen_cost!$A$1:$AY$31,21)</f>
        <v>0</v>
      </c>
      <c r="L188">
        <f>VLOOKUP(G188,gen_cost!$A$1:$AY$31,22)</f>
        <v>0</v>
      </c>
      <c r="M188">
        <f t="shared" si="17"/>
        <v>5</v>
      </c>
      <c r="N188" s="1">
        <f t="shared" si="18"/>
        <v>2</v>
      </c>
      <c r="O188" s="1">
        <f t="shared" si="24"/>
        <v>2</v>
      </c>
      <c r="P188" s="1">
        <f t="shared" si="24"/>
        <v>2</v>
      </c>
      <c r="Q188" s="1">
        <f t="shared" si="24"/>
        <v>2</v>
      </c>
      <c r="R188" s="1">
        <f t="shared" si="24"/>
        <v>2</v>
      </c>
      <c r="S188" s="1">
        <f t="shared" si="24"/>
        <v>2</v>
      </c>
    </row>
    <row r="189" spans="1:19" x14ac:dyDescent="0.55000000000000004">
      <c r="A189">
        <v>188</v>
      </c>
      <c r="B189">
        <f>VLOOKUP(F189,nodes!$A$1:$L$167,2)</f>
        <v>46</v>
      </c>
      <c r="C189" t="s">
        <v>377</v>
      </c>
      <c r="D189">
        <v>50.388421000000001</v>
      </c>
      <c r="E189">
        <v>-127.23347200000001</v>
      </c>
      <c r="F189" t="s">
        <v>423</v>
      </c>
      <c r="G189" t="s">
        <v>561</v>
      </c>
      <c r="H189">
        <v>4</v>
      </c>
      <c r="I189">
        <f>VLOOKUP(G189,gen_cost!$A$1:$AY$31,15)</f>
        <v>115196</v>
      </c>
      <c r="J189">
        <f>VLOOKUP(G189,gen_cost!$A$1:$AY$31,16)</f>
        <v>5</v>
      </c>
      <c r="K189">
        <f>VLOOKUP(G189,gen_cost!$A$1:$AY$31,21)</f>
        <v>0</v>
      </c>
      <c r="L189">
        <f>VLOOKUP(G189,gen_cost!$A$1:$AY$31,22)</f>
        <v>0</v>
      </c>
      <c r="M189">
        <f t="shared" si="17"/>
        <v>0.04</v>
      </c>
      <c r="N189" s="1">
        <f t="shared" si="18"/>
        <v>5</v>
      </c>
      <c r="O189" s="1">
        <f t="shared" si="24"/>
        <v>5</v>
      </c>
      <c r="P189" s="1">
        <f t="shared" si="24"/>
        <v>5</v>
      </c>
      <c r="Q189" s="1">
        <f t="shared" si="24"/>
        <v>5</v>
      </c>
      <c r="R189" s="1">
        <f t="shared" si="24"/>
        <v>5</v>
      </c>
      <c r="S189" s="1">
        <f t="shared" si="24"/>
        <v>5</v>
      </c>
    </row>
    <row r="190" spans="1:19" x14ac:dyDescent="0.55000000000000004">
      <c r="A190">
        <v>189</v>
      </c>
      <c r="B190">
        <f>VLOOKUP(F190,nodes!$A$1:$L$167,2)</f>
        <v>46</v>
      </c>
      <c r="C190" t="s">
        <v>377</v>
      </c>
      <c r="D190">
        <v>50.388421000000001</v>
      </c>
      <c r="E190">
        <v>-127.23347200000001</v>
      </c>
      <c r="F190" t="s">
        <v>423</v>
      </c>
      <c r="G190" t="s">
        <v>561</v>
      </c>
      <c r="H190">
        <v>4</v>
      </c>
      <c r="I190">
        <f>VLOOKUP(G190,gen_cost!$A$1:$AY$31,15)</f>
        <v>115196</v>
      </c>
      <c r="J190">
        <f>VLOOKUP(G190,gen_cost!$A$1:$AY$31,16)</f>
        <v>5</v>
      </c>
      <c r="K190">
        <f>VLOOKUP(G190,gen_cost!$A$1:$AY$31,21)</f>
        <v>0</v>
      </c>
      <c r="L190">
        <f>VLOOKUP(G190,gen_cost!$A$1:$AY$31,22)</f>
        <v>0</v>
      </c>
      <c r="M190">
        <f t="shared" si="17"/>
        <v>0.04</v>
      </c>
      <c r="N190" s="1">
        <f t="shared" si="18"/>
        <v>5</v>
      </c>
      <c r="O190" s="1">
        <f t="shared" si="24"/>
        <v>5</v>
      </c>
      <c r="P190" s="1">
        <f t="shared" si="24"/>
        <v>5</v>
      </c>
      <c r="Q190" s="1">
        <f t="shared" si="24"/>
        <v>5</v>
      </c>
      <c r="R190" s="1">
        <f t="shared" si="24"/>
        <v>5</v>
      </c>
      <c r="S190" s="1">
        <f t="shared" si="24"/>
        <v>5</v>
      </c>
    </row>
    <row r="191" spans="1:19" x14ac:dyDescent="0.55000000000000004">
      <c r="A191">
        <v>190</v>
      </c>
      <c r="B191">
        <f>VLOOKUP(F191,nodes!$A$1:$L$167,2)</f>
        <v>119</v>
      </c>
      <c r="C191" t="s">
        <v>377</v>
      </c>
      <c r="D191">
        <v>54.314334000000002</v>
      </c>
      <c r="E191">
        <v>-130.29442399999999</v>
      </c>
      <c r="F191" t="s">
        <v>497</v>
      </c>
      <c r="G191" t="s">
        <v>559</v>
      </c>
      <c r="H191">
        <v>23</v>
      </c>
      <c r="I191">
        <f>VLOOKUP(G191,gen_cost!$A$1:$AY$31,15)</f>
        <v>23855</v>
      </c>
      <c r="J191">
        <f>VLOOKUP(G191,gen_cost!$A$1:$AY$31,16)</f>
        <v>6.88</v>
      </c>
      <c r="K191">
        <f>VLOOKUP(G191,gen_cost!$A$1:$AY$31,21)</f>
        <v>0.51584300000000005</v>
      </c>
      <c r="L191">
        <f>VLOOKUP(G191,gen_cost!$A$1:$AY$31,22)</f>
        <v>9.7200000000000006</v>
      </c>
      <c r="M191">
        <f t="shared" si="17"/>
        <v>0.23</v>
      </c>
      <c r="N191" s="1">
        <f t="shared" si="18"/>
        <v>6.88</v>
      </c>
      <c r="O191" s="1">
        <f t="shared" si="24"/>
        <v>6.88</v>
      </c>
      <c r="P191" s="1">
        <f t="shared" si="24"/>
        <v>6.88</v>
      </c>
      <c r="Q191" s="1">
        <f t="shared" si="24"/>
        <v>6.88</v>
      </c>
      <c r="R191" s="1">
        <f t="shared" si="24"/>
        <v>6.88</v>
      </c>
      <c r="S191" s="1">
        <f t="shared" si="24"/>
        <v>6.88</v>
      </c>
    </row>
    <row r="192" spans="1:19" x14ac:dyDescent="0.55000000000000004">
      <c r="A192">
        <v>191</v>
      </c>
      <c r="B192">
        <f>VLOOKUP(F192,nodes!$A$1:$L$167,2)</f>
        <v>119</v>
      </c>
      <c r="C192" t="s">
        <v>377</v>
      </c>
      <c r="D192">
        <v>54.314334000000002</v>
      </c>
      <c r="E192">
        <v>-130.29442399999999</v>
      </c>
      <c r="F192" t="s">
        <v>497</v>
      </c>
      <c r="G192" t="s">
        <v>559</v>
      </c>
      <c r="H192">
        <v>23</v>
      </c>
      <c r="I192">
        <f>VLOOKUP(G192,gen_cost!$A$1:$AY$31,15)</f>
        <v>23855</v>
      </c>
      <c r="J192">
        <f>VLOOKUP(G192,gen_cost!$A$1:$AY$31,16)</f>
        <v>6.88</v>
      </c>
      <c r="K192">
        <f>VLOOKUP(G192,gen_cost!$A$1:$AY$31,21)</f>
        <v>0.51584300000000005</v>
      </c>
      <c r="L192">
        <f>VLOOKUP(G192,gen_cost!$A$1:$AY$31,22)</f>
        <v>9.7200000000000006</v>
      </c>
      <c r="M192">
        <f t="shared" si="17"/>
        <v>0.23</v>
      </c>
      <c r="N192" s="1">
        <f t="shared" si="18"/>
        <v>6.88</v>
      </c>
      <c r="O192" s="1">
        <f t="shared" ref="O192:S201" si="25">+N192</f>
        <v>6.88</v>
      </c>
      <c r="P192" s="1">
        <f t="shared" si="25"/>
        <v>6.88</v>
      </c>
      <c r="Q192" s="1">
        <f t="shared" si="25"/>
        <v>6.88</v>
      </c>
      <c r="R192" s="1">
        <f t="shared" si="25"/>
        <v>6.88</v>
      </c>
      <c r="S192" s="1">
        <f t="shared" si="25"/>
        <v>6.88</v>
      </c>
    </row>
    <row r="193" spans="1:19" x14ac:dyDescent="0.55000000000000004">
      <c r="A193">
        <v>192</v>
      </c>
      <c r="B193">
        <f>VLOOKUP(F193,nodes!$A$1:$L$167,2)</f>
        <v>85</v>
      </c>
      <c r="C193" t="s">
        <v>377</v>
      </c>
      <c r="D193">
        <v>49.194972999999997</v>
      </c>
      <c r="E193">
        <v>-122.40834099999999</v>
      </c>
      <c r="F193" t="s">
        <v>463</v>
      </c>
      <c r="G193" t="s">
        <v>561</v>
      </c>
      <c r="H193">
        <v>38.33</v>
      </c>
      <c r="I193">
        <f>VLOOKUP(G193,gen_cost!$A$1:$AY$31,15)</f>
        <v>115196</v>
      </c>
      <c r="J193">
        <f>VLOOKUP(G193,gen_cost!$A$1:$AY$31,16)</f>
        <v>5</v>
      </c>
      <c r="K193">
        <f>VLOOKUP(G193,gen_cost!$A$1:$AY$31,21)</f>
        <v>0</v>
      </c>
      <c r="L193">
        <f>VLOOKUP(G193,gen_cost!$A$1:$AY$31,22)</f>
        <v>0</v>
      </c>
      <c r="M193">
        <f t="shared" si="17"/>
        <v>0.38329999999999997</v>
      </c>
      <c r="N193" s="1">
        <f t="shared" si="18"/>
        <v>5</v>
      </c>
      <c r="O193" s="1">
        <f t="shared" si="25"/>
        <v>5</v>
      </c>
      <c r="P193" s="1">
        <f t="shared" si="25"/>
        <v>5</v>
      </c>
      <c r="Q193" s="1">
        <f t="shared" si="25"/>
        <v>5</v>
      </c>
      <c r="R193" s="1">
        <f t="shared" si="25"/>
        <v>5</v>
      </c>
      <c r="S193" s="1">
        <f t="shared" si="25"/>
        <v>5</v>
      </c>
    </row>
    <row r="194" spans="1:19" x14ac:dyDescent="0.55000000000000004">
      <c r="A194">
        <v>193</v>
      </c>
      <c r="B194">
        <f>VLOOKUP(F194,nodes!$A$1:$L$167,2)</f>
        <v>85</v>
      </c>
      <c r="C194" t="s">
        <v>377</v>
      </c>
      <c r="D194">
        <v>49.194972999999997</v>
      </c>
      <c r="E194">
        <v>-122.40834099999999</v>
      </c>
      <c r="F194" t="s">
        <v>463</v>
      </c>
      <c r="G194" t="s">
        <v>561</v>
      </c>
      <c r="H194">
        <v>38.33</v>
      </c>
      <c r="I194">
        <f>VLOOKUP(G194,gen_cost!$A$1:$AY$31,15)</f>
        <v>115196</v>
      </c>
      <c r="J194">
        <f>VLOOKUP(G194,gen_cost!$A$1:$AY$31,16)</f>
        <v>5</v>
      </c>
      <c r="K194">
        <f>VLOOKUP(G194,gen_cost!$A$1:$AY$31,21)</f>
        <v>0</v>
      </c>
      <c r="L194">
        <f>VLOOKUP(G194,gen_cost!$A$1:$AY$31,22)</f>
        <v>0</v>
      </c>
      <c r="M194">
        <f t="shared" ref="M194:M257" si="26">H194/100</f>
        <v>0.38329999999999997</v>
      </c>
      <c r="N194" s="1">
        <f t="shared" ref="N194:N257" si="27">J194</f>
        <v>5</v>
      </c>
      <c r="O194" s="1">
        <f t="shared" si="25"/>
        <v>5</v>
      </c>
      <c r="P194" s="1">
        <f t="shared" si="25"/>
        <v>5</v>
      </c>
      <c r="Q194" s="1">
        <f t="shared" si="25"/>
        <v>5</v>
      </c>
      <c r="R194" s="1">
        <f t="shared" si="25"/>
        <v>5</v>
      </c>
      <c r="S194" s="1">
        <f t="shared" si="25"/>
        <v>5</v>
      </c>
    </row>
    <row r="195" spans="1:19" x14ac:dyDescent="0.55000000000000004">
      <c r="A195">
        <v>194</v>
      </c>
      <c r="B195">
        <f>VLOOKUP(F195,nodes!$A$1:$L$167,2)</f>
        <v>85</v>
      </c>
      <c r="C195" t="s">
        <v>377</v>
      </c>
      <c r="D195">
        <v>49.194972999999997</v>
      </c>
      <c r="E195">
        <v>-122.40834099999999</v>
      </c>
      <c r="F195" t="s">
        <v>463</v>
      </c>
      <c r="G195" t="s">
        <v>561</v>
      </c>
      <c r="H195">
        <v>38.33</v>
      </c>
      <c r="I195">
        <f>VLOOKUP(G195,gen_cost!$A$1:$AY$31,15)</f>
        <v>115196</v>
      </c>
      <c r="J195">
        <f>VLOOKUP(G195,gen_cost!$A$1:$AY$31,16)</f>
        <v>5</v>
      </c>
      <c r="K195">
        <f>VLOOKUP(G195,gen_cost!$A$1:$AY$31,21)</f>
        <v>0</v>
      </c>
      <c r="L195">
        <f>VLOOKUP(G195,gen_cost!$A$1:$AY$31,22)</f>
        <v>0</v>
      </c>
      <c r="M195">
        <f t="shared" si="26"/>
        <v>0.38329999999999997</v>
      </c>
      <c r="N195" s="1">
        <f t="shared" si="27"/>
        <v>5</v>
      </c>
      <c r="O195" s="1">
        <f t="shared" si="25"/>
        <v>5</v>
      </c>
      <c r="P195" s="1">
        <f t="shared" si="25"/>
        <v>5</v>
      </c>
      <c r="Q195" s="1">
        <f t="shared" si="25"/>
        <v>5</v>
      </c>
      <c r="R195" s="1">
        <f t="shared" si="25"/>
        <v>5</v>
      </c>
      <c r="S195" s="1">
        <f t="shared" si="25"/>
        <v>5</v>
      </c>
    </row>
    <row r="196" spans="1:19" x14ac:dyDescent="0.55000000000000004">
      <c r="A196">
        <v>195</v>
      </c>
      <c r="B196">
        <f>VLOOKUP(F196,nodes!$A$1:$L$167,2)</f>
        <v>120</v>
      </c>
      <c r="C196" t="s">
        <v>377</v>
      </c>
      <c r="D196">
        <v>50.272697000000001</v>
      </c>
      <c r="E196">
        <v>-122.86695400000001</v>
      </c>
      <c r="F196" t="s">
        <v>498</v>
      </c>
      <c r="G196" t="s">
        <v>563</v>
      </c>
      <c r="H196">
        <v>50</v>
      </c>
      <c r="I196">
        <f>VLOOKUP(G196,gen_cost!$A$1:$AY$31,15)</f>
        <v>66563</v>
      </c>
      <c r="J196">
        <f>VLOOKUP(G196,gen_cost!$A$1:$AY$31,16)</f>
        <v>1</v>
      </c>
      <c r="K196">
        <f>VLOOKUP(G196,gen_cost!$A$1:$AY$31,21)</f>
        <v>0</v>
      </c>
      <c r="L196">
        <f>VLOOKUP(G196,gen_cost!$A$1:$AY$31,22)</f>
        <v>0</v>
      </c>
      <c r="M196">
        <f t="shared" si="26"/>
        <v>0.5</v>
      </c>
      <c r="N196" s="1">
        <f t="shared" si="27"/>
        <v>1</v>
      </c>
      <c r="O196" s="1">
        <f t="shared" si="25"/>
        <v>1</v>
      </c>
      <c r="P196" s="1">
        <f t="shared" si="25"/>
        <v>1</v>
      </c>
      <c r="Q196" s="1">
        <f t="shared" si="25"/>
        <v>1</v>
      </c>
      <c r="R196" s="1">
        <f t="shared" si="25"/>
        <v>1</v>
      </c>
      <c r="S196" s="1">
        <f t="shared" si="25"/>
        <v>1</v>
      </c>
    </row>
    <row r="197" spans="1:19" x14ac:dyDescent="0.55000000000000004">
      <c r="A197">
        <v>196</v>
      </c>
      <c r="B197">
        <f>VLOOKUP(F197,nodes!$A$1:$L$167,2)</f>
        <v>58</v>
      </c>
      <c r="C197" t="s">
        <v>377</v>
      </c>
      <c r="D197">
        <v>50.986612999999998</v>
      </c>
      <c r="E197">
        <v>-118.197613</v>
      </c>
      <c r="F197" t="s">
        <v>435</v>
      </c>
      <c r="G197" t="s">
        <v>557</v>
      </c>
      <c r="H197">
        <v>1.5</v>
      </c>
      <c r="I197">
        <f>VLOOKUP(G197,gen_cost!$A$1:$AY$31,15)</f>
        <v>183950</v>
      </c>
      <c r="J197">
        <f>VLOOKUP(G197,gen_cost!$A$1:$AY$31,16)</f>
        <v>7.07</v>
      </c>
      <c r="K197">
        <f>VLOOKUP(G197,gen_cost!$A$1:$AY$31,21)</f>
        <v>0</v>
      </c>
      <c r="L197">
        <f>VLOOKUP(G197,gen_cost!$A$1:$AY$31,22)</f>
        <v>13.5</v>
      </c>
      <c r="M197">
        <f t="shared" si="26"/>
        <v>1.4999999999999999E-2</v>
      </c>
      <c r="N197" s="1">
        <f t="shared" si="27"/>
        <v>7.07</v>
      </c>
      <c r="O197" s="1">
        <f t="shared" si="25"/>
        <v>7.07</v>
      </c>
      <c r="P197" s="1">
        <f t="shared" si="25"/>
        <v>7.07</v>
      </c>
      <c r="Q197" s="1">
        <f t="shared" si="25"/>
        <v>7.07</v>
      </c>
      <c r="R197" s="1">
        <f t="shared" si="25"/>
        <v>7.07</v>
      </c>
      <c r="S197" s="1">
        <f t="shared" si="25"/>
        <v>7.07</v>
      </c>
    </row>
    <row r="198" spans="1:19" x14ac:dyDescent="0.55000000000000004">
      <c r="A198">
        <v>197</v>
      </c>
      <c r="B198">
        <f>VLOOKUP(F198,nodes!$A$1:$L$167,2)</f>
        <v>46</v>
      </c>
      <c r="C198" t="s">
        <v>377</v>
      </c>
      <c r="D198">
        <v>49.998081999999997</v>
      </c>
      <c r="E198">
        <v>-125.585578</v>
      </c>
      <c r="F198" t="s">
        <v>423</v>
      </c>
      <c r="G198" t="s">
        <v>561</v>
      </c>
      <c r="H198">
        <v>32.5</v>
      </c>
      <c r="I198">
        <f>VLOOKUP(G198,gen_cost!$A$1:$AY$31,15)</f>
        <v>115196</v>
      </c>
      <c r="J198">
        <f>VLOOKUP(G198,gen_cost!$A$1:$AY$31,16)</f>
        <v>5</v>
      </c>
      <c r="K198">
        <f>VLOOKUP(G198,gen_cost!$A$1:$AY$31,21)</f>
        <v>0</v>
      </c>
      <c r="L198">
        <f>VLOOKUP(G198,gen_cost!$A$1:$AY$31,22)</f>
        <v>0</v>
      </c>
      <c r="M198">
        <f t="shared" si="26"/>
        <v>0.32500000000000001</v>
      </c>
      <c r="N198" s="1">
        <f t="shared" si="27"/>
        <v>5</v>
      </c>
      <c r="O198" s="1">
        <f t="shared" si="25"/>
        <v>5</v>
      </c>
      <c r="P198" s="1">
        <f t="shared" si="25"/>
        <v>5</v>
      </c>
      <c r="Q198" s="1">
        <f t="shared" si="25"/>
        <v>5</v>
      </c>
      <c r="R198" s="1">
        <f t="shared" si="25"/>
        <v>5</v>
      </c>
      <c r="S198" s="1">
        <f t="shared" si="25"/>
        <v>5</v>
      </c>
    </row>
    <row r="199" spans="1:19" x14ac:dyDescent="0.55000000000000004">
      <c r="A199">
        <v>198</v>
      </c>
      <c r="B199">
        <f>VLOOKUP(F199,nodes!$A$1:$L$167,2)</f>
        <v>46</v>
      </c>
      <c r="C199" t="s">
        <v>377</v>
      </c>
      <c r="D199">
        <v>49.998081999999997</v>
      </c>
      <c r="E199">
        <v>-125.585578</v>
      </c>
      <c r="F199" t="s">
        <v>423</v>
      </c>
      <c r="G199" t="s">
        <v>561</v>
      </c>
      <c r="H199">
        <v>32.5</v>
      </c>
      <c r="I199">
        <f>VLOOKUP(G199,gen_cost!$A$1:$AY$31,15)</f>
        <v>115196</v>
      </c>
      <c r="J199">
        <f>VLOOKUP(G199,gen_cost!$A$1:$AY$31,16)</f>
        <v>5</v>
      </c>
      <c r="K199">
        <f>VLOOKUP(G199,gen_cost!$A$1:$AY$31,21)</f>
        <v>0</v>
      </c>
      <c r="L199">
        <f>VLOOKUP(G199,gen_cost!$A$1:$AY$31,22)</f>
        <v>0</v>
      </c>
      <c r="M199">
        <f t="shared" si="26"/>
        <v>0.32500000000000001</v>
      </c>
      <c r="N199" s="1">
        <f t="shared" si="27"/>
        <v>5</v>
      </c>
      <c r="O199" s="1">
        <f t="shared" si="25"/>
        <v>5</v>
      </c>
      <c r="P199" s="1">
        <f t="shared" si="25"/>
        <v>5</v>
      </c>
      <c r="Q199" s="1">
        <f t="shared" si="25"/>
        <v>5</v>
      </c>
      <c r="R199" s="1">
        <f t="shared" si="25"/>
        <v>5</v>
      </c>
      <c r="S199" s="1">
        <f t="shared" si="25"/>
        <v>5</v>
      </c>
    </row>
    <row r="200" spans="1:19" x14ac:dyDescent="0.55000000000000004">
      <c r="A200">
        <v>199</v>
      </c>
      <c r="B200">
        <f>VLOOKUP(F200,nodes!$A$1:$L$167,2)</f>
        <v>58</v>
      </c>
      <c r="C200" t="s">
        <v>377</v>
      </c>
      <c r="D200">
        <v>50.771577000000001</v>
      </c>
      <c r="E200">
        <v>-118.104136</v>
      </c>
      <c r="F200" t="s">
        <v>435</v>
      </c>
      <c r="G200" t="s">
        <v>563</v>
      </c>
      <c r="H200">
        <v>8.5</v>
      </c>
      <c r="I200">
        <f>VLOOKUP(G200,gen_cost!$A$1:$AY$31,15)</f>
        <v>66563</v>
      </c>
      <c r="J200">
        <f>VLOOKUP(G200,gen_cost!$A$1:$AY$31,16)</f>
        <v>1</v>
      </c>
      <c r="K200">
        <f>VLOOKUP(G200,gen_cost!$A$1:$AY$31,21)</f>
        <v>0</v>
      </c>
      <c r="L200">
        <f>VLOOKUP(G200,gen_cost!$A$1:$AY$31,22)</f>
        <v>0</v>
      </c>
      <c r="M200">
        <f t="shared" si="26"/>
        <v>8.5000000000000006E-2</v>
      </c>
      <c r="N200" s="1">
        <f t="shared" si="27"/>
        <v>1</v>
      </c>
      <c r="O200" s="1">
        <f t="shared" si="25"/>
        <v>1</v>
      </c>
      <c r="P200" s="1">
        <f t="shared" si="25"/>
        <v>1</v>
      </c>
      <c r="Q200" s="1">
        <f t="shared" si="25"/>
        <v>1</v>
      </c>
      <c r="R200" s="1">
        <f t="shared" si="25"/>
        <v>1</v>
      </c>
      <c r="S200" s="1">
        <f t="shared" si="25"/>
        <v>1</v>
      </c>
    </row>
    <row r="201" spans="1:19" x14ac:dyDescent="0.55000000000000004">
      <c r="A201">
        <v>200</v>
      </c>
      <c r="B201">
        <f>VLOOKUP(F201,nodes!$A$1:$L$167,2)</f>
        <v>54</v>
      </c>
      <c r="C201" t="s">
        <v>377</v>
      </c>
      <c r="D201">
        <v>49.677481999999998</v>
      </c>
      <c r="E201">
        <v>-123.54807</v>
      </c>
      <c r="F201" t="s">
        <v>431</v>
      </c>
      <c r="G201" t="s">
        <v>563</v>
      </c>
      <c r="H201">
        <v>16.600000000000001</v>
      </c>
      <c r="I201">
        <f>VLOOKUP(G201,gen_cost!$A$1:$AY$31,15)</f>
        <v>66563</v>
      </c>
      <c r="J201">
        <f>VLOOKUP(G201,gen_cost!$A$1:$AY$31,16)</f>
        <v>1</v>
      </c>
      <c r="K201">
        <f>VLOOKUP(G201,gen_cost!$A$1:$AY$31,21)</f>
        <v>0</v>
      </c>
      <c r="L201">
        <f>VLOOKUP(G201,gen_cost!$A$1:$AY$31,22)</f>
        <v>0</v>
      </c>
      <c r="M201">
        <f t="shared" si="26"/>
        <v>0.16600000000000001</v>
      </c>
      <c r="N201" s="1">
        <f t="shared" si="27"/>
        <v>1</v>
      </c>
      <c r="O201" s="1">
        <f t="shared" si="25"/>
        <v>1</v>
      </c>
      <c r="P201" s="1">
        <f t="shared" si="25"/>
        <v>1</v>
      </c>
      <c r="Q201" s="1">
        <f t="shared" si="25"/>
        <v>1</v>
      </c>
      <c r="R201" s="1">
        <f t="shared" si="25"/>
        <v>1</v>
      </c>
      <c r="S201" s="1">
        <f t="shared" si="25"/>
        <v>1</v>
      </c>
    </row>
    <row r="202" spans="1:19" x14ac:dyDescent="0.55000000000000004">
      <c r="A202">
        <v>201</v>
      </c>
      <c r="B202">
        <f>VLOOKUP(F202,nodes!$A$1:$L$167,2)</f>
        <v>60</v>
      </c>
      <c r="C202" t="s">
        <v>377</v>
      </c>
      <c r="D202">
        <v>50.903362000000001</v>
      </c>
      <c r="E202">
        <v>-116.40894299999999</v>
      </c>
      <c r="F202" t="s">
        <v>437</v>
      </c>
      <c r="G202" t="s">
        <v>563</v>
      </c>
      <c r="H202">
        <v>5</v>
      </c>
      <c r="I202">
        <f>VLOOKUP(G202,gen_cost!$A$1:$AY$31,15)</f>
        <v>66563</v>
      </c>
      <c r="J202">
        <f>VLOOKUP(G202,gen_cost!$A$1:$AY$31,16)</f>
        <v>1</v>
      </c>
      <c r="K202">
        <f>VLOOKUP(G202,gen_cost!$A$1:$AY$31,21)</f>
        <v>0</v>
      </c>
      <c r="L202">
        <f>VLOOKUP(G202,gen_cost!$A$1:$AY$31,22)</f>
        <v>0</v>
      </c>
      <c r="M202">
        <f t="shared" si="26"/>
        <v>0.05</v>
      </c>
      <c r="N202" s="1">
        <f t="shared" si="27"/>
        <v>1</v>
      </c>
      <c r="O202" s="1">
        <f t="shared" ref="O202:S211" si="28">+N202</f>
        <v>1</v>
      </c>
      <c r="P202" s="1">
        <f t="shared" si="28"/>
        <v>1</v>
      </c>
      <c r="Q202" s="1">
        <f t="shared" si="28"/>
        <v>1</v>
      </c>
      <c r="R202" s="1">
        <f t="shared" si="28"/>
        <v>1</v>
      </c>
      <c r="S202" s="1">
        <f t="shared" si="28"/>
        <v>1</v>
      </c>
    </row>
    <row r="203" spans="1:19" x14ac:dyDescent="0.55000000000000004">
      <c r="A203">
        <v>202</v>
      </c>
      <c r="B203">
        <f>VLOOKUP(F203,nodes!$A$1:$L$167,2)</f>
        <v>100</v>
      </c>
      <c r="C203" t="s">
        <v>377</v>
      </c>
      <c r="D203">
        <v>49.201349999999998</v>
      </c>
      <c r="E203">
        <v>-122.93658000000001</v>
      </c>
      <c r="F203" t="s">
        <v>478</v>
      </c>
      <c r="G203" t="s">
        <v>557</v>
      </c>
      <c r="H203">
        <v>14</v>
      </c>
      <c r="I203">
        <f>VLOOKUP(G203,gen_cost!$A$1:$AY$31,15)</f>
        <v>183950</v>
      </c>
      <c r="J203">
        <f>VLOOKUP(G203,gen_cost!$A$1:$AY$31,16)</f>
        <v>7.07</v>
      </c>
      <c r="K203">
        <f>VLOOKUP(G203,gen_cost!$A$1:$AY$31,21)</f>
        <v>0</v>
      </c>
      <c r="L203">
        <f>VLOOKUP(G203,gen_cost!$A$1:$AY$31,22)</f>
        <v>13.5</v>
      </c>
      <c r="M203">
        <f t="shared" si="26"/>
        <v>0.14000000000000001</v>
      </c>
      <c r="N203" s="1">
        <f t="shared" si="27"/>
        <v>7.07</v>
      </c>
      <c r="O203" s="1">
        <f t="shared" si="28"/>
        <v>7.07</v>
      </c>
      <c r="P203" s="1">
        <f t="shared" si="28"/>
        <v>7.07</v>
      </c>
      <c r="Q203" s="1">
        <f t="shared" si="28"/>
        <v>7.07</v>
      </c>
      <c r="R203" s="1">
        <f t="shared" si="28"/>
        <v>7.07</v>
      </c>
      <c r="S203" s="1">
        <f t="shared" si="28"/>
        <v>7.07</v>
      </c>
    </row>
    <row r="204" spans="1:19" x14ac:dyDescent="0.55000000000000004">
      <c r="A204">
        <v>203</v>
      </c>
      <c r="B204">
        <f>VLOOKUP(F204,nodes!$A$1:$L$167,2)</f>
        <v>100</v>
      </c>
      <c r="C204" t="s">
        <v>377</v>
      </c>
      <c r="D204">
        <v>49.186357000000001</v>
      </c>
      <c r="E204">
        <v>-122.97771899999999</v>
      </c>
      <c r="F204" t="s">
        <v>478</v>
      </c>
      <c r="G204" t="s">
        <v>557</v>
      </c>
      <c r="H204">
        <v>24.8</v>
      </c>
      <c r="I204">
        <f>VLOOKUP(G204,gen_cost!$A$1:$AY$31,15)</f>
        <v>183950</v>
      </c>
      <c r="J204">
        <f>VLOOKUP(G204,gen_cost!$A$1:$AY$31,16)</f>
        <v>7.07</v>
      </c>
      <c r="K204">
        <f>VLOOKUP(G204,gen_cost!$A$1:$AY$31,21)</f>
        <v>0</v>
      </c>
      <c r="L204">
        <f>VLOOKUP(G204,gen_cost!$A$1:$AY$31,22)</f>
        <v>13.5</v>
      </c>
      <c r="M204">
        <f t="shared" si="26"/>
        <v>0.248</v>
      </c>
      <c r="N204" s="1">
        <f t="shared" si="27"/>
        <v>7.07</v>
      </c>
      <c r="O204" s="1">
        <f t="shared" si="28"/>
        <v>7.07</v>
      </c>
      <c r="P204" s="1">
        <f t="shared" si="28"/>
        <v>7.07</v>
      </c>
      <c r="Q204" s="1">
        <f t="shared" si="28"/>
        <v>7.07</v>
      </c>
      <c r="R204" s="1">
        <f t="shared" si="28"/>
        <v>7.07</v>
      </c>
      <c r="S204" s="1">
        <f t="shared" si="28"/>
        <v>7.07</v>
      </c>
    </row>
    <row r="205" spans="1:19" x14ac:dyDescent="0.55000000000000004">
      <c r="A205">
        <v>204</v>
      </c>
      <c r="B205">
        <f>VLOOKUP(F205,nodes!$A$1:$L$167,2)</f>
        <v>129</v>
      </c>
      <c r="C205" t="s">
        <v>377</v>
      </c>
      <c r="D205">
        <v>49.030161</v>
      </c>
      <c r="E205">
        <v>-117.504098</v>
      </c>
      <c r="F205" t="s">
        <v>507</v>
      </c>
      <c r="G205" t="s">
        <v>561</v>
      </c>
      <c r="H205">
        <v>201.25</v>
      </c>
      <c r="I205">
        <f>VLOOKUP(G205,gen_cost!$A$1:$AY$31,15)</f>
        <v>115196</v>
      </c>
      <c r="J205">
        <f>VLOOKUP(G205,gen_cost!$A$1:$AY$31,16)</f>
        <v>5</v>
      </c>
      <c r="K205">
        <f>VLOOKUP(G205,gen_cost!$A$1:$AY$31,21)</f>
        <v>0</v>
      </c>
      <c r="L205">
        <f>VLOOKUP(G205,gen_cost!$A$1:$AY$31,22)</f>
        <v>0</v>
      </c>
      <c r="M205">
        <f t="shared" si="26"/>
        <v>2.0125000000000002</v>
      </c>
      <c r="N205" s="1">
        <f t="shared" si="27"/>
        <v>5</v>
      </c>
      <c r="O205" s="1">
        <f t="shared" si="28"/>
        <v>5</v>
      </c>
      <c r="P205" s="1">
        <f t="shared" si="28"/>
        <v>5</v>
      </c>
      <c r="Q205" s="1">
        <f t="shared" si="28"/>
        <v>5</v>
      </c>
      <c r="R205" s="1">
        <f t="shared" si="28"/>
        <v>5</v>
      </c>
      <c r="S205" s="1">
        <f t="shared" si="28"/>
        <v>5</v>
      </c>
    </row>
    <row r="206" spans="1:19" x14ac:dyDescent="0.55000000000000004">
      <c r="A206">
        <v>205</v>
      </c>
      <c r="B206">
        <f>VLOOKUP(F206,nodes!$A$1:$L$167,2)</f>
        <v>129</v>
      </c>
      <c r="C206" t="s">
        <v>377</v>
      </c>
      <c r="D206">
        <v>49.030161</v>
      </c>
      <c r="E206">
        <v>-117.504098</v>
      </c>
      <c r="F206" t="s">
        <v>507</v>
      </c>
      <c r="G206" t="s">
        <v>561</v>
      </c>
      <c r="H206">
        <v>201.25</v>
      </c>
      <c r="I206">
        <f>VLOOKUP(G206,gen_cost!$A$1:$AY$31,15)</f>
        <v>115196</v>
      </c>
      <c r="J206">
        <f>VLOOKUP(G206,gen_cost!$A$1:$AY$31,16)</f>
        <v>5</v>
      </c>
      <c r="K206">
        <f>VLOOKUP(G206,gen_cost!$A$1:$AY$31,21)</f>
        <v>0</v>
      </c>
      <c r="L206">
        <f>VLOOKUP(G206,gen_cost!$A$1:$AY$31,22)</f>
        <v>0</v>
      </c>
      <c r="M206">
        <f t="shared" si="26"/>
        <v>2.0125000000000002</v>
      </c>
      <c r="N206" s="1">
        <f t="shared" si="27"/>
        <v>5</v>
      </c>
      <c r="O206" s="1">
        <f t="shared" si="28"/>
        <v>5</v>
      </c>
      <c r="P206" s="1">
        <f t="shared" si="28"/>
        <v>5</v>
      </c>
      <c r="Q206" s="1">
        <f t="shared" si="28"/>
        <v>5</v>
      </c>
      <c r="R206" s="1">
        <f t="shared" si="28"/>
        <v>5</v>
      </c>
      <c r="S206" s="1">
        <f t="shared" si="28"/>
        <v>5</v>
      </c>
    </row>
    <row r="207" spans="1:19" x14ac:dyDescent="0.55000000000000004">
      <c r="A207">
        <v>206</v>
      </c>
      <c r="B207">
        <f>VLOOKUP(F207,nodes!$A$1:$L$167,2)</f>
        <v>129</v>
      </c>
      <c r="C207" t="s">
        <v>377</v>
      </c>
      <c r="D207">
        <v>49.030161</v>
      </c>
      <c r="E207">
        <v>-117.504098</v>
      </c>
      <c r="F207" t="s">
        <v>507</v>
      </c>
      <c r="G207" t="s">
        <v>561</v>
      </c>
      <c r="H207">
        <v>201.25</v>
      </c>
      <c r="I207">
        <f>VLOOKUP(G207,gen_cost!$A$1:$AY$31,15)</f>
        <v>115196</v>
      </c>
      <c r="J207">
        <f>VLOOKUP(G207,gen_cost!$A$1:$AY$31,16)</f>
        <v>5</v>
      </c>
      <c r="K207">
        <f>VLOOKUP(G207,gen_cost!$A$1:$AY$31,21)</f>
        <v>0</v>
      </c>
      <c r="L207">
        <f>VLOOKUP(G207,gen_cost!$A$1:$AY$31,22)</f>
        <v>0</v>
      </c>
      <c r="M207">
        <f t="shared" si="26"/>
        <v>2.0125000000000002</v>
      </c>
      <c r="N207" s="1">
        <f t="shared" si="27"/>
        <v>5</v>
      </c>
      <c r="O207" s="1">
        <f t="shared" si="28"/>
        <v>5</v>
      </c>
      <c r="P207" s="1">
        <f t="shared" si="28"/>
        <v>5</v>
      </c>
      <c r="Q207" s="1">
        <f t="shared" si="28"/>
        <v>5</v>
      </c>
      <c r="R207" s="1">
        <f t="shared" si="28"/>
        <v>5</v>
      </c>
      <c r="S207" s="1">
        <f t="shared" si="28"/>
        <v>5</v>
      </c>
    </row>
    <row r="208" spans="1:19" x14ac:dyDescent="0.55000000000000004">
      <c r="A208">
        <v>207</v>
      </c>
      <c r="B208">
        <f>VLOOKUP(F208,nodes!$A$1:$L$167,2)</f>
        <v>129</v>
      </c>
      <c r="C208" t="s">
        <v>377</v>
      </c>
      <c r="D208">
        <v>49.030161</v>
      </c>
      <c r="E208">
        <v>-117.504098</v>
      </c>
      <c r="F208" t="s">
        <v>507</v>
      </c>
      <c r="G208" t="s">
        <v>561</v>
      </c>
      <c r="H208">
        <v>201.25</v>
      </c>
      <c r="I208">
        <f>VLOOKUP(G208,gen_cost!$A$1:$AY$31,15)</f>
        <v>115196</v>
      </c>
      <c r="J208">
        <f>VLOOKUP(G208,gen_cost!$A$1:$AY$31,16)</f>
        <v>5</v>
      </c>
      <c r="K208">
        <f>VLOOKUP(G208,gen_cost!$A$1:$AY$31,21)</f>
        <v>0</v>
      </c>
      <c r="L208">
        <f>VLOOKUP(G208,gen_cost!$A$1:$AY$31,22)</f>
        <v>0</v>
      </c>
      <c r="M208">
        <f t="shared" si="26"/>
        <v>2.0125000000000002</v>
      </c>
      <c r="N208" s="1">
        <f t="shared" si="27"/>
        <v>5</v>
      </c>
      <c r="O208" s="1">
        <f t="shared" si="28"/>
        <v>5</v>
      </c>
      <c r="P208" s="1">
        <f t="shared" si="28"/>
        <v>5</v>
      </c>
      <c r="Q208" s="1">
        <f t="shared" si="28"/>
        <v>5</v>
      </c>
      <c r="R208" s="1">
        <f t="shared" si="28"/>
        <v>5</v>
      </c>
      <c r="S208" s="1">
        <f t="shared" si="28"/>
        <v>5</v>
      </c>
    </row>
    <row r="209" spans="1:19" x14ac:dyDescent="0.55000000000000004">
      <c r="A209">
        <v>208</v>
      </c>
      <c r="B209">
        <f>VLOOKUP(F209,nodes!$A$1:$L$167,2)</f>
        <v>85</v>
      </c>
      <c r="C209" t="s">
        <v>377</v>
      </c>
      <c r="D209">
        <v>49.228836000000001</v>
      </c>
      <c r="E209">
        <v>-122.356118</v>
      </c>
      <c r="F209" t="s">
        <v>463</v>
      </c>
      <c r="G209" t="s">
        <v>561</v>
      </c>
      <c r="H209">
        <v>45.5</v>
      </c>
      <c r="I209">
        <f>VLOOKUP(G209,gen_cost!$A$1:$AY$31,15)</f>
        <v>115196</v>
      </c>
      <c r="J209">
        <f>VLOOKUP(G209,gen_cost!$A$1:$AY$31,16)</f>
        <v>5</v>
      </c>
      <c r="K209">
        <f>VLOOKUP(G209,gen_cost!$A$1:$AY$31,21)</f>
        <v>0</v>
      </c>
      <c r="L209">
        <f>VLOOKUP(G209,gen_cost!$A$1:$AY$31,22)</f>
        <v>0</v>
      </c>
      <c r="M209">
        <f t="shared" si="26"/>
        <v>0.45500000000000002</v>
      </c>
      <c r="N209" s="1">
        <f t="shared" si="27"/>
        <v>5</v>
      </c>
      <c r="O209" s="1">
        <f t="shared" si="28"/>
        <v>5</v>
      </c>
      <c r="P209" s="1">
        <f t="shared" si="28"/>
        <v>5</v>
      </c>
      <c r="Q209" s="1">
        <f t="shared" si="28"/>
        <v>5</v>
      </c>
      <c r="R209" s="1">
        <f t="shared" si="28"/>
        <v>5</v>
      </c>
      <c r="S209" s="1">
        <f t="shared" si="28"/>
        <v>5</v>
      </c>
    </row>
    <row r="210" spans="1:19" x14ac:dyDescent="0.55000000000000004">
      <c r="A210">
        <v>209</v>
      </c>
      <c r="B210">
        <f>VLOOKUP(F210,nodes!$A$1:$L$167,2)</f>
        <v>85</v>
      </c>
      <c r="C210" t="s">
        <v>377</v>
      </c>
      <c r="D210">
        <v>49.228836000000001</v>
      </c>
      <c r="E210">
        <v>-122.356118</v>
      </c>
      <c r="F210" t="s">
        <v>463</v>
      </c>
      <c r="G210" t="s">
        <v>561</v>
      </c>
      <c r="H210">
        <v>45.5</v>
      </c>
      <c r="I210">
        <f>VLOOKUP(G210,gen_cost!$A$1:$AY$31,15)</f>
        <v>115196</v>
      </c>
      <c r="J210">
        <f>VLOOKUP(G210,gen_cost!$A$1:$AY$31,16)</f>
        <v>5</v>
      </c>
      <c r="K210">
        <f>VLOOKUP(G210,gen_cost!$A$1:$AY$31,21)</f>
        <v>0</v>
      </c>
      <c r="L210">
        <f>VLOOKUP(G210,gen_cost!$A$1:$AY$31,22)</f>
        <v>0</v>
      </c>
      <c r="M210">
        <f t="shared" si="26"/>
        <v>0.45500000000000002</v>
      </c>
      <c r="N210" s="1">
        <f t="shared" si="27"/>
        <v>5</v>
      </c>
      <c r="O210" s="1">
        <f t="shared" si="28"/>
        <v>5</v>
      </c>
      <c r="P210" s="1">
        <f t="shared" si="28"/>
        <v>5</v>
      </c>
      <c r="Q210" s="1">
        <f t="shared" si="28"/>
        <v>5</v>
      </c>
      <c r="R210" s="1">
        <f t="shared" si="28"/>
        <v>5</v>
      </c>
      <c r="S210" s="1">
        <f t="shared" si="28"/>
        <v>5</v>
      </c>
    </row>
    <row r="211" spans="1:19" x14ac:dyDescent="0.55000000000000004">
      <c r="A211">
        <v>210</v>
      </c>
      <c r="B211">
        <f>VLOOKUP(F211,nodes!$A$1:$L$167,2)</f>
        <v>117</v>
      </c>
      <c r="C211" t="s">
        <v>377</v>
      </c>
      <c r="D211">
        <v>49.649971999999998</v>
      </c>
      <c r="E211">
        <v>-120.087833</v>
      </c>
      <c r="F211" t="s">
        <v>495</v>
      </c>
      <c r="G211" t="s">
        <v>690</v>
      </c>
      <c r="H211">
        <v>15</v>
      </c>
      <c r="I211">
        <f>VLOOKUP(G211,gen_cost!$A$1:$AY$31,15)</f>
        <v>38532</v>
      </c>
      <c r="J211">
        <f>VLOOKUP(G211,gen_cost!$A$1:$AY$31,16)</f>
        <v>0</v>
      </c>
      <c r="K211">
        <f>VLOOKUP(G211,gen_cost!$A$1:$AY$31,21)</f>
        <v>0</v>
      </c>
      <c r="L211">
        <f>VLOOKUP(G211,gen_cost!$A$1:$AY$31,22)</f>
        <v>0</v>
      </c>
      <c r="M211">
        <f t="shared" si="26"/>
        <v>0.15</v>
      </c>
      <c r="N211" s="1">
        <f t="shared" si="27"/>
        <v>0</v>
      </c>
      <c r="O211" s="1">
        <f t="shared" si="28"/>
        <v>0</v>
      </c>
      <c r="P211" s="1">
        <f t="shared" si="28"/>
        <v>0</v>
      </c>
      <c r="Q211" s="1">
        <f t="shared" si="28"/>
        <v>0</v>
      </c>
      <c r="R211" s="1">
        <f t="shared" si="28"/>
        <v>0</v>
      </c>
      <c r="S211" s="1">
        <f t="shared" si="28"/>
        <v>0</v>
      </c>
    </row>
    <row r="212" spans="1:19" x14ac:dyDescent="0.55000000000000004">
      <c r="A212">
        <v>211</v>
      </c>
      <c r="B212">
        <f>VLOOKUP(F212,nodes!$A$1:$L$167,2)</f>
        <v>2</v>
      </c>
      <c r="C212" t="s">
        <v>377</v>
      </c>
      <c r="D212">
        <v>50.296008</v>
      </c>
      <c r="E212">
        <v>-118.813327</v>
      </c>
      <c r="F212" t="s">
        <v>378</v>
      </c>
      <c r="G212" t="s">
        <v>561</v>
      </c>
      <c r="H212">
        <v>5.8</v>
      </c>
      <c r="I212">
        <f>VLOOKUP(G212,gen_cost!$A$1:$AY$31,15)</f>
        <v>115196</v>
      </c>
      <c r="J212">
        <f>VLOOKUP(G212,gen_cost!$A$1:$AY$31,16)</f>
        <v>5</v>
      </c>
      <c r="K212">
        <f>VLOOKUP(G212,gen_cost!$A$1:$AY$31,21)</f>
        <v>0</v>
      </c>
      <c r="L212">
        <f>VLOOKUP(G212,gen_cost!$A$1:$AY$31,22)</f>
        <v>0</v>
      </c>
      <c r="M212">
        <f t="shared" si="26"/>
        <v>5.7999999999999996E-2</v>
      </c>
      <c r="N212" s="1">
        <f t="shared" si="27"/>
        <v>5</v>
      </c>
      <c r="O212" s="1">
        <f t="shared" ref="O212:S221" si="29">+N212</f>
        <v>5</v>
      </c>
      <c r="P212" s="1">
        <f t="shared" si="29"/>
        <v>5</v>
      </c>
      <c r="Q212" s="1">
        <f t="shared" si="29"/>
        <v>5</v>
      </c>
      <c r="R212" s="1">
        <f t="shared" si="29"/>
        <v>5</v>
      </c>
      <c r="S212" s="1">
        <f t="shared" si="29"/>
        <v>5</v>
      </c>
    </row>
    <row r="213" spans="1:19" x14ac:dyDescent="0.55000000000000004">
      <c r="A213">
        <v>212</v>
      </c>
      <c r="B213">
        <f>VLOOKUP(F213,nodes!$A$1:$L$167,2)</f>
        <v>152</v>
      </c>
      <c r="C213" t="s">
        <v>377</v>
      </c>
      <c r="D213">
        <v>49.711061999999998</v>
      </c>
      <c r="E213">
        <v>-122.034255</v>
      </c>
      <c r="F213" t="s">
        <v>530</v>
      </c>
      <c r="G213" t="s">
        <v>563</v>
      </c>
      <c r="H213">
        <v>22.04</v>
      </c>
      <c r="I213">
        <f>VLOOKUP(G213,gen_cost!$A$1:$AY$31,15)</f>
        <v>66563</v>
      </c>
      <c r="J213">
        <f>VLOOKUP(G213,gen_cost!$A$1:$AY$31,16)</f>
        <v>1</v>
      </c>
      <c r="K213">
        <f>VLOOKUP(G213,gen_cost!$A$1:$AY$31,21)</f>
        <v>0</v>
      </c>
      <c r="L213">
        <f>VLOOKUP(G213,gen_cost!$A$1:$AY$31,22)</f>
        <v>0</v>
      </c>
      <c r="M213">
        <f t="shared" si="26"/>
        <v>0.22039999999999998</v>
      </c>
      <c r="N213" s="1">
        <f t="shared" si="27"/>
        <v>1</v>
      </c>
      <c r="O213" s="1">
        <f t="shared" si="29"/>
        <v>1</v>
      </c>
      <c r="P213" s="1">
        <f t="shared" si="29"/>
        <v>1</v>
      </c>
      <c r="Q213" s="1">
        <f t="shared" si="29"/>
        <v>1</v>
      </c>
      <c r="R213" s="1">
        <f t="shared" si="29"/>
        <v>1</v>
      </c>
      <c r="S213" s="1">
        <f t="shared" si="29"/>
        <v>1</v>
      </c>
    </row>
    <row r="214" spans="1:19" x14ac:dyDescent="0.55000000000000004">
      <c r="A214">
        <v>213</v>
      </c>
      <c r="B214">
        <f>VLOOKUP(F214,nodes!$A$1:$L$167,2)</f>
        <v>29</v>
      </c>
      <c r="C214" t="s">
        <v>377</v>
      </c>
      <c r="D214">
        <v>49.720472000000001</v>
      </c>
      <c r="E214">
        <v>-122.99557299999999</v>
      </c>
      <c r="F214" t="s">
        <v>406</v>
      </c>
      <c r="G214" t="s">
        <v>563</v>
      </c>
      <c r="H214">
        <v>25</v>
      </c>
      <c r="I214">
        <f>VLOOKUP(G214,gen_cost!$A$1:$AY$31,15)</f>
        <v>66563</v>
      </c>
      <c r="J214">
        <f>VLOOKUP(G214,gen_cost!$A$1:$AY$31,16)</f>
        <v>1</v>
      </c>
      <c r="K214">
        <f>VLOOKUP(G214,gen_cost!$A$1:$AY$31,21)</f>
        <v>0</v>
      </c>
      <c r="L214">
        <f>VLOOKUP(G214,gen_cost!$A$1:$AY$31,22)</f>
        <v>0</v>
      </c>
      <c r="M214">
        <f t="shared" si="26"/>
        <v>0.25</v>
      </c>
      <c r="N214" s="1">
        <f t="shared" si="27"/>
        <v>1</v>
      </c>
      <c r="O214" s="1">
        <f t="shared" si="29"/>
        <v>1</v>
      </c>
      <c r="P214" s="1">
        <f t="shared" si="29"/>
        <v>1</v>
      </c>
      <c r="Q214" s="1">
        <f t="shared" si="29"/>
        <v>1</v>
      </c>
      <c r="R214" s="1">
        <f t="shared" si="29"/>
        <v>1</v>
      </c>
      <c r="S214" s="1">
        <f t="shared" si="29"/>
        <v>1</v>
      </c>
    </row>
    <row r="215" spans="1:19" x14ac:dyDescent="0.55000000000000004">
      <c r="A215">
        <v>214</v>
      </c>
      <c r="B215">
        <f>VLOOKUP(F215,nodes!$A$1:$L$167,2)</f>
        <v>118</v>
      </c>
      <c r="C215" t="s">
        <v>377</v>
      </c>
      <c r="D215">
        <v>49.332543000000001</v>
      </c>
      <c r="E215">
        <v>-121.88041800000001</v>
      </c>
      <c r="F215" t="s">
        <v>496</v>
      </c>
      <c r="G215" t="s">
        <v>563</v>
      </c>
      <c r="H215">
        <v>5.5</v>
      </c>
      <c r="I215">
        <f>VLOOKUP(G215,gen_cost!$A$1:$AY$31,15)</f>
        <v>66563</v>
      </c>
      <c r="J215">
        <f>VLOOKUP(G215,gen_cost!$A$1:$AY$31,16)</f>
        <v>1</v>
      </c>
      <c r="K215">
        <f>VLOOKUP(G215,gen_cost!$A$1:$AY$31,21)</f>
        <v>0</v>
      </c>
      <c r="L215">
        <f>VLOOKUP(G215,gen_cost!$A$1:$AY$31,22)</f>
        <v>0</v>
      </c>
      <c r="M215">
        <f t="shared" si="26"/>
        <v>5.5E-2</v>
      </c>
      <c r="N215" s="1">
        <f t="shared" si="27"/>
        <v>1</v>
      </c>
      <c r="O215" s="1">
        <f t="shared" si="29"/>
        <v>1</v>
      </c>
      <c r="P215" s="1">
        <f t="shared" si="29"/>
        <v>1</v>
      </c>
      <c r="Q215" s="1">
        <f t="shared" si="29"/>
        <v>1</v>
      </c>
      <c r="R215" s="1">
        <f t="shared" si="29"/>
        <v>1</v>
      </c>
      <c r="S215" s="1">
        <f t="shared" si="29"/>
        <v>1</v>
      </c>
    </row>
    <row r="216" spans="1:19" x14ac:dyDescent="0.55000000000000004">
      <c r="A216">
        <v>215</v>
      </c>
      <c r="B216">
        <f>VLOOKUP(F216,nodes!$A$1:$L$167,2)</f>
        <v>63</v>
      </c>
      <c r="C216" t="s">
        <v>377</v>
      </c>
      <c r="D216">
        <v>49.455486999999998</v>
      </c>
      <c r="E216">
        <v>-117.519712</v>
      </c>
      <c r="F216" t="s">
        <v>440</v>
      </c>
      <c r="G216" t="s">
        <v>561</v>
      </c>
      <c r="H216">
        <v>19</v>
      </c>
      <c r="I216">
        <f>VLOOKUP(G216,gen_cost!$A$1:$AY$31,15)</f>
        <v>115196</v>
      </c>
      <c r="J216">
        <f>VLOOKUP(G216,gen_cost!$A$1:$AY$31,16)</f>
        <v>5</v>
      </c>
      <c r="K216">
        <f>VLOOKUP(G216,gen_cost!$A$1:$AY$31,21)</f>
        <v>0</v>
      </c>
      <c r="L216">
        <f>VLOOKUP(G216,gen_cost!$A$1:$AY$31,22)</f>
        <v>0</v>
      </c>
      <c r="M216">
        <f t="shared" si="26"/>
        <v>0.19</v>
      </c>
      <c r="N216" s="1">
        <f t="shared" si="27"/>
        <v>5</v>
      </c>
      <c r="O216" s="1">
        <f t="shared" si="29"/>
        <v>5</v>
      </c>
      <c r="P216" s="1">
        <f t="shared" si="29"/>
        <v>5</v>
      </c>
      <c r="Q216" s="1">
        <f t="shared" si="29"/>
        <v>5</v>
      </c>
      <c r="R216" s="1">
        <f t="shared" si="29"/>
        <v>5</v>
      </c>
      <c r="S216" s="1">
        <f t="shared" si="29"/>
        <v>5</v>
      </c>
    </row>
    <row r="217" spans="1:19" x14ac:dyDescent="0.55000000000000004">
      <c r="A217">
        <v>216</v>
      </c>
      <c r="B217">
        <f>VLOOKUP(F217,nodes!$A$1:$L$167,2)</f>
        <v>63</v>
      </c>
      <c r="C217" t="s">
        <v>377</v>
      </c>
      <c r="D217">
        <v>49.455486999999998</v>
      </c>
      <c r="E217">
        <v>-117.519712</v>
      </c>
      <c r="F217" t="s">
        <v>440</v>
      </c>
      <c r="G217" t="s">
        <v>561</v>
      </c>
      <c r="H217">
        <v>19</v>
      </c>
      <c r="I217">
        <f>VLOOKUP(G217,gen_cost!$A$1:$AY$31,15)</f>
        <v>115196</v>
      </c>
      <c r="J217">
        <f>VLOOKUP(G217,gen_cost!$A$1:$AY$31,16)</f>
        <v>5</v>
      </c>
      <c r="K217">
        <f>VLOOKUP(G217,gen_cost!$A$1:$AY$31,21)</f>
        <v>0</v>
      </c>
      <c r="L217">
        <f>VLOOKUP(G217,gen_cost!$A$1:$AY$31,22)</f>
        <v>0</v>
      </c>
      <c r="M217">
        <f t="shared" si="26"/>
        <v>0.19</v>
      </c>
      <c r="N217" s="1">
        <f t="shared" si="27"/>
        <v>5</v>
      </c>
      <c r="O217" s="1">
        <f t="shared" si="29"/>
        <v>5</v>
      </c>
      <c r="P217" s="1">
        <f t="shared" si="29"/>
        <v>5</v>
      </c>
      <c r="Q217" s="1">
        <f t="shared" si="29"/>
        <v>5</v>
      </c>
      <c r="R217" s="1">
        <f t="shared" si="29"/>
        <v>5</v>
      </c>
      <c r="S217" s="1">
        <f t="shared" si="29"/>
        <v>5</v>
      </c>
    </row>
    <row r="218" spans="1:19" x14ac:dyDescent="0.55000000000000004">
      <c r="A218">
        <v>217</v>
      </c>
      <c r="B218">
        <f>VLOOKUP(F218,nodes!$A$1:$L$167,2)</f>
        <v>63</v>
      </c>
      <c r="C218" t="s">
        <v>377</v>
      </c>
      <c r="D218">
        <v>49.455486999999998</v>
      </c>
      <c r="E218">
        <v>-117.519712</v>
      </c>
      <c r="F218" t="s">
        <v>440</v>
      </c>
      <c r="G218" t="s">
        <v>561</v>
      </c>
      <c r="H218">
        <v>19</v>
      </c>
      <c r="I218">
        <f>VLOOKUP(G218,gen_cost!$A$1:$AY$31,15)</f>
        <v>115196</v>
      </c>
      <c r="J218">
        <f>VLOOKUP(G218,gen_cost!$A$1:$AY$31,16)</f>
        <v>5</v>
      </c>
      <c r="K218">
        <f>VLOOKUP(G218,gen_cost!$A$1:$AY$31,21)</f>
        <v>0</v>
      </c>
      <c r="L218">
        <f>VLOOKUP(G218,gen_cost!$A$1:$AY$31,22)</f>
        <v>0</v>
      </c>
      <c r="M218">
        <f t="shared" si="26"/>
        <v>0.19</v>
      </c>
      <c r="N218" s="1">
        <f t="shared" si="27"/>
        <v>5</v>
      </c>
      <c r="O218" s="1">
        <f t="shared" si="29"/>
        <v>5</v>
      </c>
      <c r="P218" s="1">
        <f t="shared" si="29"/>
        <v>5</v>
      </c>
      <c r="Q218" s="1">
        <f t="shared" si="29"/>
        <v>5</v>
      </c>
      <c r="R218" s="1">
        <f t="shared" si="29"/>
        <v>5</v>
      </c>
      <c r="S218" s="1">
        <f t="shared" si="29"/>
        <v>5</v>
      </c>
    </row>
    <row r="219" spans="1:19" x14ac:dyDescent="0.55000000000000004">
      <c r="A219">
        <v>218</v>
      </c>
      <c r="B219">
        <f>VLOOKUP(F219,nodes!$A$1:$L$167,2)</f>
        <v>26</v>
      </c>
      <c r="C219" t="s">
        <v>377</v>
      </c>
      <c r="D219">
        <v>49.669012000000002</v>
      </c>
      <c r="E219">
        <v>-115.94762799999999</v>
      </c>
      <c r="F219" t="s">
        <v>403</v>
      </c>
      <c r="G219" t="s">
        <v>562</v>
      </c>
      <c r="H219">
        <v>1.1000000000000001</v>
      </c>
      <c r="I219">
        <f>VLOOKUP(G219,gen_cost!$A$1:$AY$31,15)</f>
        <v>22308</v>
      </c>
      <c r="J219">
        <f>VLOOKUP(G219,gen_cost!$A$1:$AY$31,16)</f>
        <v>0</v>
      </c>
      <c r="K219">
        <f>VLOOKUP(G219,gen_cost!$A$1:$AY$31,21)</f>
        <v>0</v>
      </c>
      <c r="L219">
        <f>VLOOKUP(G219,gen_cost!$A$1:$AY$31,22)</f>
        <v>0</v>
      </c>
      <c r="M219">
        <f t="shared" si="26"/>
        <v>1.1000000000000001E-2</v>
      </c>
      <c r="N219" s="1">
        <f t="shared" si="27"/>
        <v>0</v>
      </c>
      <c r="O219" s="1">
        <f t="shared" si="29"/>
        <v>0</v>
      </c>
      <c r="P219" s="1">
        <f t="shared" si="29"/>
        <v>0</v>
      </c>
      <c r="Q219" s="1">
        <f t="shared" si="29"/>
        <v>0</v>
      </c>
      <c r="R219" s="1">
        <f t="shared" si="29"/>
        <v>0</v>
      </c>
      <c r="S219" s="1">
        <f t="shared" si="29"/>
        <v>0</v>
      </c>
    </row>
    <row r="220" spans="1:19" x14ac:dyDescent="0.55000000000000004">
      <c r="A220">
        <v>219</v>
      </c>
      <c r="B220">
        <f>VLOOKUP(F220,nodes!$A$1:$L$167,2)</f>
        <v>18</v>
      </c>
      <c r="C220" t="s">
        <v>377</v>
      </c>
      <c r="D220">
        <v>50.672742</v>
      </c>
      <c r="E220">
        <v>-121.92412400000001</v>
      </c>
      <c r="F220" t="s">
        <v>395</v>
      </c>
      <c r="G220" t="s">
        <v>561</v>
      </c>
      <c r="H220">
        <v>48</v>
      </c>
      <c r="I220">
        <f>VLOOKUP(G220,gen_cost!$A$1:$AY$31,15)</f>
        <v>115196</v>
      </c>
      <c r="J220">
        <f>VLOOKUP(G220,gen_cost!$A$1:$AY$31,16)</f>
        <v>5</v>
      </c>
      <c r="K220">
        <f>VLOOKUP(G220,gen_cost!$A$1:$AY$31,21)</f>
        <v>0</v>
      </c>
      <c r="L220">
        <f>VLOOKUP(G220,gen_cost!$A$1:$AY$31,22)</f>
        <v>0</v>
      </c>
      <c r="M220">
        <f t="shared" si="26"/>
        <v>0.48</v>
      </c>
      <c r="N220" s="1">
        <f t="shared" si="27"/>
        <v>5</v>
      </c>
      <c r="O220" s="1">
        <f t="shared" si="29"/>
        <v>5</v>
      </c>
      <c r="P220" s="1">
        <f t="shared" si="29"/>
        <v>5</v>
      </c>
      <c r="Q220" s="1">
        <f t="shared" si="29"/>
        <v>5</v>
      </c>
      <c r="R220" s="1">
        <f t="shared" si="29"/>
        <v>5</v>
      </c>
      <c r="S220" s="1">
        <f t="shared" si="29"/>
        <v>5</v>
      </c>
    </row>
    <row r="221" spans="1:19" x14ac:dyDescent="0.55000000000000004">
      <c r="A221">
        <v>220</v>
      </c>
      <c r="B221">
        <f>VLOOKUP(F221,nodes!$A$1:$L$167,2)</f>
        <v>147</v>
      </c>
      <c r="C221" t="s">
        <v>377</v>
      </c>
      <c r="D221">
        <v>50.223184000000003</v>
      </c>
      <c r="E221">
        <v>-122.895965</v>
      </c>
      <c r="F221" t="s">
        <v>525</v>
      </c>
      <c r="G221" t="s">
        <v>563</v>
      </c>
      <c r="H221">
        <v>13.1</v>
      </c>
      <c r="I221">
        <f>VLOOKUP(G221,gen_cost!$A$1:$AY$31,15)</f>
        <v>66563</v>
      </c>
      <c r="J221">
        <f>VLOOKUP(G221,gen_cost!$A$1:$AY$31,16)</f>
        <v>1</v>
      </c>
      <c r="K221">
        <f>VLOOKUP(G221,gen_cost!$A$1:$AY$31,21)</f>
        <v>0</v>
      </c>
      <c r="L221">
        <f>VLOOKUP(G221,gen_cost!$A$1:$AY$31,22)</f>
        <v>0</v>
      </c>
      <c r="M221">
        <f t="shared" si="26"/>
        <v>0.13100000000000001</v>
      </c>
      <c r="N221" s="1">
        <f t="shared" si="27"/>
        <v>1</v>
      </c>
      <c r="O221" s="1">
        <f t="shared" si="29"/>
        <v>1</v>
      </c>
      <c r="P221" s="1">
        <f t="shared" si="29"/>
        <v>1</v>
      </c>
      <c r="Q221" s="1">
        <f t="shared" si="29"/>
        <v>1</v>
      </c>
      <c r="R221" s="1">
        <f t="shared" si="29"/>
        <v>1</v>
      </c>
      <c r="S221" s="1">
        <f t="shared" si="29"/>
        <v>1</v>
      </c>
    </row>
    <row r="222" spans="1:19" x14ac:dyDescent="0.55000000000000004">
      <c r="A222">
        <v>221</v>
      </c>
      <c r="B222">
        <f>VLOOKUP(F222,nodes!$A$1:$L$167,2)</f>
        <v>38</v>
      </c>
      <c r="C222" t="s">
        <v>377</v>
      </c>
      <c r="D222">
        <v>49.287612000000003</v>
      </c>
      <c r="E222">
        <v>-125.309211</v>
      </c>
      <c r="F222" t="s">
        <v>415</v>
      </c>
      <c r="G222" t="s">
        <v>563</v>
      </c>
      <c r="H222">
        <v>4.9000000000000004</v>
      </c>
      <c r="I222">
        <f>VLOOKUP(G222,gen_cost!$A$1:$AY$31,15)</f>
        <v>66563</v>
      </c>
      <c r="J222">
        <f>VLOOKUP(G222,gen_cost!$A$1:$AY$31,16)</f>
        <v>1</v>
      </c>
      <c r="K222">
        <f>VLOOKUP(G222,gen_cost!$A$1:$AY$31,21)</f>
        <v>0</v>
      </c>
      <c r="L222">
        <f>VLOOKUP(G222,gen_cost!$A$1:$AY$31,22)</f>
        <v>0</v>
      </c>
      <c r="M222">
        <f t="shared" si="26"/>
        <v>4.9000000000000002E-2</v>
      </c>
      <c r="N222" s="1">
        <f t="shared" si="27"/>
        <v>1</v>
      </c>
      <c r="O222" s="1">
        <f t="shared" ref="O222:S231" si="30">+N222</f>
        <v>1</v>
      </c>
      <c r="P222" s="1">
        <f t="shared" si="30"/>
        <v>1</v>
      </c>
      <c r="Q222" s="1">
        <f t="shared" si="30"/>
        <v>1</v>
      </c>
      <c r="R222" s="1">
        <f t="shared" si="30"/>
        <v>1</v>
      </c>
      <c r="S222" s="1">
        <f t="shared" si="30"/>
        <v>1</v>
      </c>
    </row>
    <row r="223" spans="1:19" x14ac:dyDescent="0.55000000000000004">
      <c r="A223">
        <v>222</v>
      </c>
      <c r="B223">
        <f>VLOOKUP(F223,nodes!$A$1:$L$167,2)</f>
        <v>126</v>
      </c>
      <c r="C223" t="s">
        <v>377</v>
      </c>
      <c r="D223">
        <v>56.196553999999999</v>
      </c>
      <c r="E223">
        <v>-120.913957</v>
      </c>
      <c r="F223" t="s">
        <v>504</v>
      </c>
      <c r="G223" t="s">
        <v>567</v>
      </c>
      <c r="H223">
        <v>188.67</v>
      </c>
      <c r="I223">
        <f>VLOOKUP(G223,gen_cost!$A$1:$AY$31,15)</f>
        <v>18305</v>
      </c>
      <c r="J223">
        <f>VLOOKUP(G223,gen_cost!$A$1:$AY$31,16)</f>
        <v>2</v>
      </c>
      <c r="K223">
        <f>VLOOKUP(G223,gen_cost!$A$1:$AY$31,21)</f>
        <v>0</v>
      </c>
      <c r="L223">
        <f>VLOOKUP(G223,gen_cost!$A$1:$AY$31,22)</f>
        <v>0</v>
      </c>
      <c r="M223">
        <f t="shared" si="26"/>
        <v>1.8866999999999998</v>
      </c>
      <c r="N223" s="1">
        <f t="shared" si="27"/>
        <v>2</v>
      </c>
      <c r="O223" s="1">
        <f t="shared" si="30"/>
        <v>2</v>
      </c>
      <c r="P223" s="1">
        <f t="shared" si="30"/>
        <v>2</v>
      </c>
      <c r="Q223" s="1">
        <f t="shared" si="30"/>
        <v>2</v>
      </c>
      <c r="R223" s="1">
        <f t="shared" si="30"/>
        <v>2</v>
      </c>
      <c r="S223" s="1">
        <f t="shared" si="30"/>
        <v>2</v>
      </c>
    </row>
    <row r="224" spans="1:19" x14ac:dyDescent="0.55000000000000004">
      <c r="A224">
        <v>223</v>
      </c>
      <c r="B224">
        <f>VLOOKUP(F224,nodes!$A$1:$L$167,2)</f>
        <v>126</v>
      </c>
      <c r="C224" t="s">
        <v>377</v>
      </c>
      <c r="D224">
        <v>56.196553999999999</v>
      </c>
      <c r="E224">
        <v>-120.913957</v>
      </c>
      <c r="F224" t="s">
        <v>504</v>
      </c>
      <c r="G224" t="s">
        <v>567</v>
      </c>
      <c r="H224">
        <v>188.67</v>
      </c>
      <c r="I224">
        <f>VLOOKUP(G224,gen_cost!$A$1:$AY$31,15)</f>
        <v>18305</v>
      </c>
      <c r="J224">
        <f>VLOOKUP(G224,gen_cost!$A$1:$AY$31,16)</f>
        <v>2</v>
      </c>
      <c r="K224">
        <f>VLOOKUP(G224,gen_cost!$A$1:$AY$31,21)</f>
        <v>0</v>
      </c>
      <c r="L224">
        <f>VLOOKUP(G224,gen_cost!$A$1:$AY$31,22)</f>
        <v>0</v>
      </c>
      <c r="M224">
        <f t="shared" si="26"/>
        <v>1.8866999999999998</v>
      </c>
      <c r="N224" s="1">
        <f t="shared" si="27"/>
        <v>2</v>
      </c>
      <c r="O224" s="1">
        <f t="shared" si="30"/>
        <v>2</v>
      </c>
      <c r="P224" s="1">
        <f t="shared" si="30"/>
        <v>2</v>
      </c>
      <c r="Q224" s="1">
        <f t="shared" si="30"/>
        <v>2</v>
      </c>
      <c r="R224" s="1">
        <f t="shared" si="30"/>
        <v>2</v>
      </c>
      <c r="S224" s="1">
        <f t="shared" si="30"/>
        <v>2</v>
      </c>
    </row>
    <row r="225" spans="1:19" x14ac:dyDescent="0.55000000000000004">
      <c r="A225">
        <v>224</v>
      </c>
      <c r="B225">
        <f>VLOOKUP(F225,nodes!$A$1:$L$167,2)</f>
        <v>126</v>
      </c>
      <c r="C225" t="s">
        <v>377</v>
      </c>
      <c r="D225">
        <v>56.196553999999999</v>
      </c>
      <c r="E225">
        <v>-120.913957</v>
      </c>
      <c r="F225" t="s">
        <v>504</v>
      </c>
      <c r="G225" t="s">
        <v>567</v>
      </c>
      <c r="H225">
        <v>188.67</v>
      </c>
      <c r="I225">
        <f>VLOOKUP(G225,gen_cost!$A$1:$AY$31,15)</f>
        <v>18305</v>
      </c>
      <c r="J225">
        <f>VLOOKUP(G225,gen_cost!$A$1:$AY$31,16)</f>
        <v>2</v>
      </c>
      <c r="K225">
        <f>VLOOKUP(G225,gen_cost!$A$1:$AY$31,21)</f>
        <v>0</v>
      </c>
      <c r="L225">
        <f>VLOOKUP(G225,gen_cost!$A$1:$AY$31,22)</f>
        <v>0</v>
      </c>
      <c r="M225">
        <f t="shared" si="26"/>
        <v>1.8866999999999998</v>
      </c>
      <c r="N225" s="1">
        <f t="shared" si="27"/>
        <v>2</v>
      </c>
      <c r="O225" s="1">
        <f t="shared" si="30"/>
        <v>2</v>
      </c>
      <c r="P225" s="1">
        <f t="shared" si="30"/>
        <v>2</v>
      </c>
      <c r="Q225" s="1">
        <f t="shared" si="30"/>
        <v>2</v>
      </c>
      <c r="R225" s="1">
        <f t="shared" si="30"/>
        <v>2</v>
      </c>
      <c r="S225" s="1">
        <f t="shared" si="30"/>
        <v>2</v>
      </c>
    </row>
    <row r="226" spans="1:19" x14ac:dyDescent="0.55000000000000004">
      <c r="A226">
        <v>225</v>
      </c>
      <c r="B226">
        <f>VLOOKUP(F226,nodes!$A$1:$L$167,2)</f>
        <v>126</v>
      </c>
      <c r="C226" t="s">
        <v>377</v>
      </c>
      <c r="D226">
        <v>56.196553999999999</v>
      </c>
      <c r="E226">
        <v>-120.913957</v>
      </c>
      <c r="F226" t="s">
        <v>504</v>
      </c>
      <c r="G226" t="s">
        <v>567</v>
      </c>
      <c r="H226">
        <v>188.67</v>
      </c>
      <c r="I226">
        <f>VLOOKUP(G226,gen_cost!$A$1:$AY$31,15)</f>
        <v>18305</v>
      </c>
      <c r="J226">
        <f>VLOOKUP(G226,gen_cost!$A$1:$AY$31,16)</f>
        <v>2</v>
      </c>
      <c r="K226">
        <f>VLOOKUP(G226,gen_cost!$A$1:$AY$31,21)</f>
        <v>0</v>
      </c>
      <c r="L226">
        <f>VLOOKUP(G226,gen_cost!$A$1:$AY$31,22)</f>
        <v>0</v>
      </c>
      <c r="M226">
        <f t="shared" si="26"/>
        <v>1.8866999999999998</v>
      </c>
      <c r="N226" s="1">
        <f t="shared" si="27"/>
        <v>2</v>
      </c>
      <c r="O226" s="1">
        <f t="shared" si="30"/>
        <v>2</v>
      </c>
      <c r="P226" s="1">
        <f t="shared" si="30"/>
        <v>2</v>
      </c>
      <c r="Q226" s="1">
        <f t="shared" si="30"/>
        <v>2</v>
      </c>
      <c r="R226" s="1">
        <f t="shared" si="30"/>
        <v>2</v>
      </c>
      <c r="S226" s="1">
        <f t="shared" si="30"/>
        <v>2</v>
      </c>
    </row>
    <row r="227" spans="1:19" x14ac:dyDescent="0.55000000000000004">
      <c r="A227">
        <v>226</v>
      </c>
      <c r="B227">
        <f>VLOOKUP(F227,nodes!$A$1:$L$167,2)</f>
        <v>126</v>
      </c>
      <c r="C227" t="s">
        <v>377</v>
      </c>
      <c r="D227">
        <v>56.196553999999999</v>
      </c>
      <c r="E227">
        <v>-120.913957</v>
      </c>
      <c r="F227" t="s">
        <v>504</v>
      </c>
      <c r="G227" t="s">
        <v>567</v>
      </c>
      <c r="H227">
        <v>188.67</v>
      </c>
      <c r="I227">
        <f>VLOOKUP(G227,gen_cost!$A$1:$AY$31,15)</f>
        <v>18305</v>
      </c>
      <c r="J227">
        <f>VLOOKUP(G227,gen_cost!$A$1:$AY$31,16)</f>
        <v>2</v>
      </c>
      <c r="K227">
        <f>VLOOKUP(G227,gen_cost!$A$1:$AY$31,21)</f>
        <v>0</v>
      </c>
      <c r="L227">
        <f>VLOOKUP(G227,gen_cost!$A$1:$AY$31,22)</f>
        <v>0</v>
      </c>
      <c r="M227">
        <f t="shared" si="26"/>
        <v>1.8866999999999998</v>
      </c>
      <c r="N227" s="1">
        <f t="shared" si="27"/>
        <v>2</v>
      </c>
      <c r="O227" s="1">
        <f t="shared" si="30"/>
        <v>2</v>
      </c>
      <c r="P227" s="1">
        <f t="shared" si="30"/>
        <v>2</v>
      </c>
      <c r="Q227" s="1">
        <f t="shared" si="30"/>
        <v>2</v>
      </c>
      <c r="R227" s="1">
        <f t="shared" si="30"/>
        <v>2</v>
      </c>
      <c r="S227" s="1">
        <f t="shared" si="30"/>
        <v>2</v>
      </c>
    </row>
    <row r="228" spans="1:19" x14ac:dyDescent="0.55000000000000004">
      <c r="A228">
        <v>227</v>
      </c>
      <c r="B228">
        <f>VLOOKUP(F228,nodes!$A$1:$L$167,2)</f>
        <v>126</v>
      </c>
      <c r="C228" t="s">
        <v>377</v>
      </c>
      <c r="D228">
        <v>56.196553999999999</v>
      </c>
      <c r="E228">
        <v>-120.913957</v>
      </c>
      <c r="F228" t="s">
        <v>504</v>
      </c>
      <c r="G228" t="s">
        <v>567</v>
      </c>
      <c r="H228">
        <v>188.67</v>
      </c>
      <c r="I228">
        <f>VLOOKUP(G228,gen_cost!$A$1:$AY$31,15)</f>
        <v>18305</v>
      </c>
      <c r="J228">
        <f>VLOOKUP(G228,gen_cost!$A$1:$AY$31,16)</f>
        <v>2</v>
      </c>
      <c r="K228">
        <f>VLOOKUP(G228,gen_cost!$A$1:$AY$31,21)</f>
        <v>0</v>
      </c>
      <c r="L228">
        <f>VLOOKUP(G228,gen_cost!$A$1:$AY$31,22)</f>
        <v>0</v>
      </c>
      <c r="M228">
        <f t="shared" si="26"/>
        <v>1.8866999999999998</v>
      </c>
      <c r="N228" s="1">
        <f t="shared" si="27"/>
        <v>2</v>
      </c>
      <c r="O228" s="1">
        <f t="shared" si="30"/>
        <v>2</v>
      </c>
      <c r="P228" s="1">
        <f t="shared" si="30"/>
        <v>2</v>
      </c>
      <c r="Q228" s="1">
        <f t="shared" si="30"/>
        <v>2</v>
      </c>
      <c r="R228" s="1">
        <f t="shared" si="30"/>
        <v>2</v>
      </c>
      <c r="S228" s="1">
        <f t="shared" si="30"/>
        <v>2</v>
      </c>
    </row>
    <row r="229" spans="1:19" x14ac:dyDescent="0.55000000000000004">
      <c r="A229">
        <v>228</v>
      </c>
      <c r="B229">
        <f>VLOOKUP(F229,nodes!$A$1:$L$167,2)</f>
        <v>133</v>
      </c>
      <c r="C229" t="s">
        <v>377</v>
      </c>
      <c r="D229">
        <v>55.555061000000002</v>
      </c>
      <c r="E229">
        <v>-121.546745</v>
      </c>
      <c r="F229" t="s">
        <v>511</v>
      </c>
      <c r="G229" t="s">
        <v>690</v>
      </c>
      <c r="H229">
        <v>15</v>
      </c>
      <c r="I229">
        <f>VLOOKUP(G229,gen_cost!$A$1:$AY$31,15)</f>
        <v>38532</v>
      </c>
      <c r="J229">
        <f>VLOOKUP(G229,gen_cost!$A$1:$AY$31,16)</f>
        <v>0</v>
      </c>
      <c r="K229">
        <f>VLOOKUP(G229,gen_cost!$A$1:$AY$31,21)</f>
        <v>0</v>
      </c>
      <c r="L229">
        <f>VLOOKUP(G229,gen_cost!$A$1:$AY$31,22)</f>
        <v>0</v>
      </c>
      <c r="M229">
        <f t="shared" si="26"/>
        <v>0.15</v>
      </c>
      <c r="N229" s="1">
        <f t="shared" si="27"/>
        <v>0</v>
      </c>
      <c r="O229" s="1">
        <f t="shared" si="30"/>
        <v>0</v>
      </c>
      <c r="P229" s="1">
        <f t="shared" si="30"/>
        <v>0</v>
      </c>
      <c r="Q229" s="1">
        <f t="shared" si="30"/>
        <v>0</v>
      </c>
      <c r="R229" s="1">
        <f t="shared" si="30"/>
        <v>0</v>
      </c>
      <c r="S229" s="1">
        <f t="shared" si="30"/>
        <v>0</v>
      </c>
    </row>
    <row r="230" spans="1:19" x14ac:dyDescent="0.55000000000000004">
      <c r="A230">
        <v>229</v>
      </c>
      <c r="B230">
        <f>VLOOKUP(F230,nodes!$A$1:$L$167,2)</f>
        <v>139</v>
      </c>
      <c r="C230" t="s">
        <v>377</v>
      </c>
      <c r="D230">
        <v>50.748750000000001</v>
      </c>
      <c r="E230">
        <v>-120.855051</v>
      </c>
      <c r="F230" t="s">
        <v>517</v>
      </c>
      <c r="G230" t="s">
        <v>557</v>
      </c>
      <c r="H230">
        <v>6</v>
      </c>
      <c r="I230">
        <f>VLOOKUP(G230,gen_cost!$A$1:$AY$31,15)</f>
        <v>183950</v>
      </c>
      <c r="J230">
        <f>VLOOKUP(G230,gen_cost!$A$1:$AY$31,16)</f>
        <v>7.07</v>
      </c>
      <c r="K230">
        <f>VLOOKUP(G230,gen_cost!$A$1:$AY$31,21)</f>
        <v>0</v>
      </c>
      <c r="L230">
        <f>VLOOKUP(G230,gen_cost!$A$1:$AY$31,22)</f>
        <v>13.5</v>
      </c>
      <c r="M230">
        <f t="shared" si="26"/>
        <v>0.06</v>
      </c>
      <c r="N230" s="1">
        <f t="shared" si="27"/>
        <v>7.07</v>
      </c>
      <c r="O230" s="1">
        <f t="shared" si="30"/>
        <v>7.07</v>
      </c>
      <c r="P230" s="1">
        <f t="shared" si="30"/>
        <v>7.07</v>
      </c>
      <c r="Q230" s="1">
        <f t="shared" si="30"/>
        <v>7.07</v>
      </c>
      <c r="R230" s="1">
        <f t="shared" si="30"/>
        <v>7.07</v>
      </c>
      <c r="S230" s="1">
        <f t="shared" si="30"/>
        <v>7.07</v>
      </c>
    </row>
    <row r="231" spans="1:19" x14ac:dyDescent="0.55000000000000004">
      <c r="A231">
        <v>230</v>
      </c>
      <c r="B231">
        <f>VLOOKUP(F231,nodes!$A$1:$L$167,2)</f>
        <v>156</v>
      </c>
      <c r="C231" t="s">
        <v>377</v>
      </c>
      <c r="D231">
        <v>50.393909000000001</v>
      </c>
      <c r="E231">
        <v>-119.227221</v>
      </c>
      <c r="F231" t="s">
        <v>534</v>
      </c>
      <c r="G231" t="s">
        <v>557</v>
      </c>
      <c r="H231">
        <v>20.399999999999999</v>
      </c>
      <c r="I231">
        <f>VLOOKUP(G231,gen_cost!$A$1:$AY$31,15)</f>
        <v>183950</v>
      </c>
      <c r="J231">
        <f>VLOOKUP(G231,gen_cost!$A$1:$AY$31,16)</f>
        <v>7.07</v>
      </c>
      <c r="K231">
        <f>VLOOKUP(G231,gen_cost!$A$1:$AY$31,21)</f>
        <v>0</v>
      </c>
      <c r="L231">
        <f>VLOOKUP(G231,gen_cost!$A$1:$AY$31,22)</f>
        <v>13.5</v>
      </c>
      <c r="M231">
        <f t="shared" si="26"/>
        <v>0.20399999999999999</v>
      </c>
      <c r="N231" s="1">
        <f t="shared" si="27"/>
        <v>7.07</v>
      </c>
      <c r="O231" s="1">
        <f t="shared" si="30"/>
        <v>7.07</v>
      </c>
      <c r="P231" s="1">
        <f t="shared" si="30"/>
        <v>7.07</v>
      </c>
      <c r="Q231" s="1">
        <f t="shared" si="30"/>
        <v>7.07</v>
      </c>
      <c r="R231" s="1">
        <f t="shared" si="30"/>
        <v>7.07</v>
      </c>
      <c r="S231" s="1">
        <f t="shared" si="30"/>
        <v>7.07</v>
      </c>
    </row>
    <row r="232" spans="1:19" x14ac:dyDescent="0.55000000000000004">
      <c r="A232">
        <v>231</v>
      </c>
      <c r="B232">
        <f>VLOOKUP(F232,nodes!$A$1:$L$167,2)</f>
        <v>35</v>
      </c>
      <c r="C232" t="s">
        <v>377</v>
      </c>
      <c r="D232">
        <v>49.901380000000003</v>
      </c>
      <c r="E232">
        <v>-119.49938</v>
      </c>
      <c r="F232" t="s">
        <v>412</v>
      </c>
      <c r="G232" t="s">
        <v>557</v>
      </c>
      <c r="H232">
        <v>14.9</v>
      </c>
      <c r="I232">
        <f>VLOOKUP(G232,gen_cost!$A$1:$AY$31,15)</f>
        <v>183950</v>
      </c>
      <c r="J232">
        <f>VLOOKUP(G232,gen_cost!$A$1:$AY$31,16)</f>
        <v>7.07</v>
      </c>
      <c r="K232">
        <f>VLOOKUP(G232,gen_cost!$A$1:$AY$31,21)</f>
        <v>0</v>
      </c>
      <c r="L232">
        <f>VLOOKUP(G232,gen_cost!$A$1:$AY$31,22)</f>
        <v>13.5</v>
      </c>
      <c r="M232">
        <f t="shared" si="26"/>
        <v>0.14899999999999999</v>
      </c>
      <c r="N232" s="1">
        <f t="shared" si="27"/>
        <v>7.07</v>
      </c>
      <c r="O232" s="1">
        <f t="shared" ref="O232:S241" si="31">+N232</f>
        <v>7.07</v>
      </c>
      <c r="P232" s="1">
        <f t="shared" si="31"/>
        <v>7.07</v>
      </c>
      <c r="Q232" s="1">
        <f t="shared" si="31"/>
        <v>7.07</v>
      </c>
      <c r="R232" s="1">
        <f t="shared" si="31"/>
        <v>7.07</v>
      </c>
      <c r="S232" s="1">
        <f t="shared" si="31"/>
        <v>7.07</v>
      </c>
    </row>
    <row r="233" spans="1:19" x14ac:dyDescent="0.55000000000000004">
      <c r="A233">
        <v>232</v>
      </c>
      <c r="B233">
        <f>VLOOKUP(F233,nodes!$A$1:$L$167,2)</f>
        <v>152</v>
      </c>
      <c r="C233" t="s">
        <v>377</v>
      </c>
      <c r="D233">
        <v>49.740918000000001</v>
      </c>
      <c r="E233">
        <v>-122.162222</v>
      </c>
      <c r="F233" t="s">
        <v>530</v>
      </c>
      <c r="G233" t="s">
        <v>563</v>
      </c>
      <c r="H233">
        <v>19.36</v>
      </c>
      <c r="I233">
        <f>VLOOKUP(G233,gen_cost!$A$1:$AY$31,15)</f>
        <v>66563</v>
      </c>
      <c r="J233">
        <f>VLOOKUP(G233,gen_cost!$A$1:$AY$31,16)</f>
        <v>1</v>
      </c>
      <c r="K233">
        <f>VLOOKUP(G233,gen_cost!$A$1:$AY$31,21)</f>
        <v>0</v>
      </c>
      <c r="L233">
        <f>VLOOKUP(G233,gen_cost!$A$1:$AY$31,22)</f>
        <v>0</v>
      </c>
      <c r="M233">
        <f t="shared" si="26"/>
        <v>0.19359999999999999</v>
      </c>
      <c r="N233" s="1">
        <f t="shared" si="27"/>
        <v>1</v>
      </c>
      <c r="O233" s="1">
        <f t="shared" si="31"/>
        <v>1</v>
      </c>
      <c r="P233" s="1">
        <f t="shared" si="31"/>
        <v>1</v>
      </c>
      <c r="Q233" s="1">
        <f t="shared" si="31"/>
        <v>1</v>
      </c>
      <c r="R233" s="1">
        <f t="shared" si="31"/>
        <v>1</v>
      </c>
      <c r="S233" s="1">
        <f t="shared" si="31"/>
        <v>1</v>
      </c>
    </row>
    <row r="234" spans="1:19" x14ac:dyDescent="0.55000000000000004">
      <c r="A234">
        <v>233</v>
      </c>
      <c r="B234">
        <f>VLOOKUP(F234,nodes!$A$1:$L$167,2)</f>
        <v>152</v>
      </c>
      <c r="C234" t="s">
        <v>377</v>
      </c>
      <c r="D234">
        <v>49.632075999999998</v>
      </c>
      <c r="E234">
        <v>-121.97168499999999</v>
      </c>
      <c r="F234" t="s">
        <v>530</v>
      </c>
      <c r="G234" t="s">
        <v>563</v>
      </c>
      <c r="H234">
        <v>13.75</v>
      </c>
      <c r="I234">
        <f>VLOOKUP(G234,gen_cost!$A$1:$AY$31,15)</f>
        <v>66563</v>
      </c>
      <c r="J234">
        <f>VLOOKUP(G234,gen_cost!$A$1:$AY$31,16)</f>
        <v>1</v>
      </c>
      <c r="K234">
        <f>VLOOKUP(G234,gen_cost!$A$1:$AY$31,21)</f>
        <v>0</v>
      </c>
      <c r="L234">
        <f>VLOOKUP(G234,gen_cost!$A$1:$AY$31,22)</f>
        <v>0</v>
      </c>
      <c r="M234">
        <f t="shared" si="26"/>
        <v>0.13750000000000001</v>
      </c>
      <c r="N234" s="1">
        <f t="shared" si="27"/>
        <v>1</v>
      </c>
      <c r="O234" s="1">
        <f t="shared" si="31"/>
        <v>1</v>
      </c>
      <c r="P234" s="1">
        <f t="shared" si="31"/>
        <v>1</v>
      </c>
      <c r="Q234" s="1">
        <f t="shared" si="31"/>
        <v>1</v>
      </c>
      <c r="R234" s="1">
        <f t="shared" si="31"/>
        <v>1</v>
      </c>
      <c r="S234" s="1">
        <f t="shared" si="31"/>
        <v>1</v>
      </c>
    </row>
    <row r="235" spans="1:19" x14ac:dyDescent="0.55000000000000004">
      <c r="A235">
        <v>234</v>
      </c>
      <c r="B235">
        <f>VLOOKUP(F235,nodes!$A$1:$L$167,2)</f>
        <v>152</v>
      </c>
      <c r="C235" t="s">
        <v>377</v>
      </c>
      <c r="D235">
        <v>49.703958999999998</v>
      </c>
      <c r="E235">
        <v>-122.079654</v>
      </c>
      <c r="F235" t="s">
        <v>530</v>
      </c>
      <c r="G235" t="s">
        <v>563</v>
      </c>
      <c r="H235">
        <v>21.2</v>
      </c>
      <c r="I235">
        <f>VLOOKUP(G235,gen_cost!$A$1:$AY$31,15)</f>
        <v>66563</v>
      </c>
      <c r="J235">
        <f>VLOOKUP(G235,gen_cost!$A$1:$AY$31,16)</f>
        <v>1</v>
      </c>
      <c r="K235">
        <f>VLOOKUP(G235,gen_cost!$A$1:$AY$31,21)</f>
        <v>0</v>
      </c>
      <c r="L235">
        <f>VLOOKUP(G235,gen_cost!$A$1:$AY$31,22)</f>
        <v>0</v>
      </c>
      <c r="M235">
        <f t="shared" si="26"/>
        <v>0.21199999999999999</v>
      </c>
      <c r="N235" s="1">
        <f t="shared" si="27"/>
        <v>1</v>
      </c>
      <c r="O235" s="1">
        <f t="shared" si="31"/>
        <v>1</v>
      </c>
      <c r="P235" s="1">
        <f t="shared" si="31"/>
        <v>1</v>
      </c>
      <c r="Q235" s="1">
        <f t="shared" si="31"/>
        <v>1</v>
      </c>
      <c r="R235" s="1">
        <f t="shared" si="31"/>
        <v>1</v>
      </c>
      <c r="S235" s="1">
        <f t="shared" si="31"/>
        <v>1</v>
      </c>
    </row>
    <row r="236" spans="1:19" x14ac:dyDescent="0.55000000000000004">
      <c r="A236">
        <v>235</v>
      </c>
      <c r="B236">
        <f>VLOOKUP(F236,nodes!$A$1:$L$167,2)</f>
        <v>95</v>
      </c>
      <c r="C236" t="s">
        <v>377</v>
      </c>
      <c r="D236">
        <v>49.837085000000002</v>
      </c>
      <c r="E236">
        <v>-123.68575199999999</v>
      </c>
      <c r="F236" t="s">
        <v>473</v>
      </c>
      <c r="G236" t="s">
        <v>561</v>
      </c>
      <c r="H236">
        <v>9.3000000000000007</v>
      </c>
      <c r="I236">
        <f>VLOOKUP(G236,gen_cost!$A$1:$AY$31,15)</f>
        <v>115196</v>
      </c>
      <c r="J236">
        <f>VLOOKUP(G236,gen_cost!$A$1:$AY$31,16)</f>
        <v>5</v>
      </c>
      <c r="K236">
        <f>VLOOKUP(G236,gen_cost!$A$1:$AY$31,21)</f>
        <v>0</v>
      </c>
      <c r="L236">
        <f>VLOOKUP(G236,gen_cost!$A$1:$AY$31,22)</f>
        <v>0</v>
      </c>
      <c r="M236">
        <f t="shared" si="26"/>
        <v>9.3000000000000013E-2</v>
      </c>
      <c r="N236" s="1">
        <f t="shared" si="27"/>
        <v>5</v>
      </c>
      <c r="O236" s="1">
        <f t="shared" si="31"/>
        <v>5</v>
      </c>
      <c r="P236" s="1">
        <f t="shared" si="31"/>
        <v>5</v>
      </c>
      <c r="Q236" s="1">
        <f t="shared" si="31"/>
        <v>5</v>
      </c>
      <c r="R236" s="1">
        <f t="shared" si="31"/>
        <v>5</v>
      </c>
      <c r="S236" s="1">
        <f t="shared" si="31"/>
        <v>5</v>
      </c>
    </row>
    <row r="237" spans="1:19" x14ac:dyDescent="0.55000000000000004">
      <c r="A237">
        <v>236</v>
      </c>
      <c r="B237">
        <f>VLOOKUP(F237,nodes!$A$1:$L$167,2)</f>
        <v>63</v>
      </c>
      <c r="C237" t="s">
        <v>377</v>
      </c>
      <c r="D237">
        <v>49.460113</v>
      </c>
      <c r="E237">
        <v>-117.484182</v>
      </c>
      <c r="F237" t="s">
        <v>440</v>
      </c>
      <c r="G237" t="s">
        <v>561</v>
      </c>
      <c r="H237">
        <v>5.5</v>
      </c>
      <c r="I237">
        <f>VLOOKUP(G237,gen_cost!$A$1:$AY$31,15)</f>
        <v>115196</v>
      </c>
      <c r="J237">
        <f>VLOOKUP(G237,gen_cost!$A$1:$AY$31,16)</f>
        <v>5</v>
      </c>
      <c r="K237">
        <f>VLOOKUP(G237,gen_cost!$A$1:$AY$31,21)</f>
        <v>0</v>
      </c>
      <c r="L237">
        <f>VLOOKUP(G237,gen_cost!$A$1:$AY$31,22)</f>
        <v>0</v>
      </c>
      <c r="M237">
        <f t="shared" si="26"/>
        <v>5.5E-2</v>
      </c>
      <c r="N237" s="1">
        <f t="shared" si="27"/>
        <v>5</v>
      </c>
      <c r="O237" s="1">
        <f t="shared" si="31"/>
        <v>5</v>
      </c>
      <c r="P237" s="1">
        <f t="shared" si="31"/>
        <v>5</v>
      </c>
      <c r="Q237" s="1">
        <f t="shared" si="31"/>
        <v>5</v>
      </c>
      <c r="R237" s="1">
        <f t="shared" si="31"/>
        <v>5</v>
      </c>
      <c r="S237" s="1">
        <f t="shared" si="31"/>
        <v>5</v>
      </c>
    </row>
    <row r="238" spans="1:19" x14ac:dyDescent="0.55000000000000004">
      <c r="A238">
        <v>237</v>
      </c>
      <c r="B238">
        <f>VLOOKUP(F238,nodes!$A$1:$L$167,2)</f>
        <v>63</v>
      </c>
      <c r="C238" t="s">
        <v>377</v>
      </c>
      <c r="D238">
        <v>49.460113</v>
      </c>
      <c r="E238">
        <v>-117.484182</v>
      </c>
      <c r="F238" t="s">
        <v>440</v>
      </c>
      <c r="G238" t="s">
        <v>561</v>
      </c>
      <c r="H238">
        <v>5.5</v>
      </c>
      <c r="I238">
        <f>VLOOKUP(G238,gen_cost!$A$1:$AY$31,15)</f>
        <v>115196</v>
      </c>
      <c r="J238">
        <f>VLOOKUP(G238,gen_cost!$A$1:$AY$31,16)</f>
        <v>5</v>
      </c>
      <c r="K238">
        <f>VLOOKUP(G238,gen_cost!$A$1:$AY$31,21)</f>
        <v>0</v>
      </c>
      <c r="L238">
        <f>VLOOKUP(G238,gen_cost!$A$1:$AY$31,22)</f>
        <v>0</v>
      </c>
      <c r="M238">
        <f t="shared" si="26"/>
        <v>5.5E-2</v>
      </c>
      <c r="N238" s="1">
        <f t="shared" si="27"/>
        <v>5</v>
      </c>
      <c r="O238" s="1">
        <f t="shared" si="31"/>
        <v>5</v>
      </c>
      <c r="P238" s="1">
        <f t="shared" si="31"/>
        <v>5</v>
      </c>
      <c r="Q238" s="1">
        <f t="shared" si="31"/>
        <v>5</v>
      </c>
      <c r="R238" s="1">
        <f t="shared" si="31"/>
        <v>5</v>
      </c>
      <c r="S238" s="1">
        <f t="shared" si="31"/>
        <v>5</v>
      </c>
    </row>
    <row r="239" spans="1:19" x14ac:dyDescent="0.55000000000000004">
      <c r="A239">
        <v>238</v>
      </c>
      <c r="B239">
        <f>VLOOKUP(F239,nodes!$A$1:$L$167,2)</f>
        <v>63</v>
      </c>
      <c r="C239" t="s">
        <v>377</v>
      </c>
      <c r="D239">
        <v>49.460113</v>
      </c>
      <c r="E239">
        <v>-117.484182</v>
      </c>
      <c r="F239" t="s">
        <v>440</v>
      </c>
      <c r="G239" t="s">
        <v>561</v>
      </c>
      <c r="H239">
        <v>5.5</v>
      </c>
      <c r="I239">
        <f>VLOOKUP(G239,gen_cost!$A$1:$AY$31,15)</f>
        <v>115196</v>
      </c>
      <c r="J239">
        <f>VLOOKUP(G239,gen_cost!$A$1:$AY$31,16)</f>
        <v>5</v>
      </c>
      <c r="K239">
        <f>VLOOKUP(G239,gen_cost!$A$1:$AY$31,21)</f>
        <v>0</v>
      </c>
      <c r="L239">
        <f>VLOOKUP(G239,gen_cost!$A$1:$AY$31,22)</f>
        <v>0</v>
      </c>
      <c r="M239">
        <f t="shared" si="26"/>
        <v>5.5E-2</v>
      </c>
      <c r="N239" s="1">
        <f t="shared" si="27"/>
        <v>5</v>
      </c>
      <c r="O239" s="1">
        <f t="shared" si="31"/>
        <v>5</v>
      </c>
      <c r="P239" s="1">
        <f t="shared" si="31"/>
        <v>5</v>
      </c>
      <c r="Q239" s="1">
        <f t="shared" si="31"/>
        <v>5</v>
      </c>
      <c r="R239" s="1">
        <f t="shared" si="31"/>
        <v>5</v>
      </c>
      <c r="S239" s="1">
        <f t="shared" si="31"/>
        <v>5</v>
      </c>
    </row>
    <row r="240" spans="1:19" x14ac:dyDescent="0.55000000000000004">
      <c r="A240">
        <v>239</v>
      </c>
      <c r="B240">
        <f>VLOOKUP(F240,nodes!$A$1:$L$167,2)</f>
        <v>63</v>
      </c>
      <c r="C240" t="s">
        <v>377</v>
      </c>
      <c r="D240">
        <v>49.460113</v>
      </c>
      <c r="E240">
        <v>-117.484182</v>
      </c>
      <c r="F240" t="s">
        <v>440</v>
      </c>
      <c r="G240" t="s">
        <v>561</v>
      </c>
      <c r="H240">
        <v>5.5</v>
      </c>
      <c r="I240">
        <f>VLOOKUP(G240,gen_cost!$A$1:$AY$31,15)</f>
        <v>115196</v>
      </c>
      <c r="J240">
        <f>VLOOKUP(G240,gen_cost!$A$1:$AY$31,16)</f>
        <v>5</v>
      </c>
      <c r="K240">
        <f>VLOOKUP(G240,gen_cost!$A$1:$AY$31,21)</f>
        <v>0</v>
      </c>
      <c r="L240">
        <f>VLOOKUP(G240,gen_cost!$A$1:$AY$31,22)</f>
        <v>0</v>
      </c>
      <c r="M240">
        <f t="shared" si="26"/>
        <v>5.5E-2</v>
      </c>
      <c r="N240" s="1">
        <f t="shared" si="27"/>
        <v>5</v>
      </c>
      <c r="O240" s="1">
        <f t="shared" si="31"/>
        <v>5</v>
      </c>
      <c r="P240" s="1">
        <f t="shared" si="31"/>
        <v>5</v>
      </c>
      <c r="Q240" s="1">
        <f t="shared" si="31"/>
        <v>5</v>
      </c>
      <c r="R240" s="1">
        <f t="shared" si="31"/>
        <v>5</v>
      </c>
      <c r="S240" s="1">
        <f t="shared" si="31"/>
        <v>5</v>
      </c>
    </row>
    <row r="241" spans="1:19" x14ac:dyDescent="0.55000000000000004">
      <c r="A241">
        <v>240</v>
      </c>
      <c r="B241">
        <f>VLOOKUP(F241,nodes!$A$1:$L$167,2)</f>
        <v>63</v>
      </c>
      <c r="C241" t="s">
        <v>377</v>
      </c>
      <c r="D241">
        <v>49.460113</v>
      </c>
      <c r="E241">
        <v>-117.484182</v>
      </c>
      <c r="F241" t="s">
        <v>440</v>
      </c>
      <c r="G241" t="s">
        <v>561</v>
      </c>
      <c r="H241">
        <v>22</v>
      </c>
      <c r="I241">
        <f>VLOOKUP(G241,gen_cost!$A$1:$AY$31,15)</f>
        <v>115196</v>
      </c>
      <c r="J241">
        <f>VLOOKUP(G241,gen_cost!$A$1:$AY$31,16)</f>
        <v>5</v>
      </c>
      <c r="K241">
        <f>VLOOKUP(G241,gen_cost!$A$1:$AY$31,21)</f>
        <v>0</v>
      </c>
      <c r="L241">
        <f>VLOOKUP(G241,gen_cost!$A$1:$AY$31,22)</f>
        <v>0</v>
      </c>
      <c r="M241">
        <f t="shared" si="26"/>
        <v>0.22</v>
      </c>
      <c r="N241" s="1">
        <f t="shared" si="27"/>
        <v>5</v>
      </c>
      <c r="O241" s="1">
        <f t="shared" si="31"/>
        <v>5</v>
      </c>
      <c r="P241" s="1">
        <f t="shared" si="31"/>
        <v>5</v>
      </c>
      <c r="Q241" s="1">
        <f t="shared" si="31"/>
        <v>5</v>
      </c>
      <c r="R241" s="1">
        <f t="shared" si="31"/>
        <v>5</v>
      </c>
      <c r="S241" s="1">
        <f t="shared" si="31"/>
        <v>5</v>
      </c>
    </row>
    <row r="242" spans="1:19" x14ac:dyDescent="0.55000000000000004">
      <c r="A242">
        <v>241</v>
      </c>
      <c r="B242">
        <f>VLOOKUP(F242,nodes!$A$1:$L$167,2)</f>
        <v>63</v>
      </c>
      <c r="C242" t="s">
        <v>377</v>
      </c>
      <c r="D242">
        <v>49.460113</v>
      </c>
      <c r="E242">
        <v>-117.484182</v>
      </c>
      <c r="F242" t="s">
        <v>440</v>
      </c>
      <c r="G242" t="s">
        <v>561</v>
      </c>
      <c r="H242">
        <v>19</v>
      </c>
      <c r="I242">
        <f>VLOOKUP(G242,gen_cost!$A$1:$AY$31,15)</f>
        <v>115196</v>
      </c>
      <c r="J242">
        <f>VLOOKUP(G242,gen_cost!$A$1:$AY$31,16)</f>
        <v>5</v>
      </c>
      <c r="K242">
        <f>VLOOKUP(G242,gen_cost!$A$1:$AY$31,21)</f>
        <v>0</v>
      </c>
      <c r="L242">
        <f>VLOOKUP(G242,gen_cost!$A$1:$AY$31,22)</f>
        <v>0</v>
      </c>
      <c r="M242">
        <f t="shared" si="26"/>
        <v>0.19</v>
      </c>
      <c r="N242" s="1">
        <f t="shared" si="27"/>
        <v>5</v>
      </c>
      <c r="O242" s="1">
        <f t="shared" ref="O242:S251" si="32">+N242</f>
        <v>5</v>
      </c>
      <c r="P242" s="1">
        <f t="shared" si="32"/>
        <v>5</v>
      </c>
      <c r="Q242" s="1">
        <f t="shared" si="32"/>
        <v>5</v>
      </c>
      <c r="R242" s="1">
        <f t="shared" si="32"/>
        <v>5</v>
      </c>
      <c r="S242" s="1">
        <f t="shared" si="32"/>
        <v>5</v>
      </c>
    </row>
    <row r="243" spans="1:19" x14ac:dyDescent="0.55000000000000004">
      <c r="A243">
        <v>242</v>
      </c>
      <c r="B243">
        <f>VLOOKUP(F243,nodes!$A$1:$L$167,2)</f>
        <v>6</v>
      </c>
      <c r="C243" t="s">
        <v>377</v>
      </c>
      <c r="D243">
        <v>49.854194999999997</v>
      </c>
      <c r="E243">
        <v>-123.44617700000001</v>
      </c>
      <c r="F243" t="s">
        <v>382</v>
      </c>
      <c r="G243" t="s">
        <v>563</v>
      </c>
      <c r="H243">
        <v>11</v>
      </c>
      <c r="I243">
        <f>VLOOKUP(G243,gen_cost!$A$1:$AY$31,15)</f>
        <v>66563</v>
      </c>
      <c r="J243">
        <f>VLOOKUP(G243,gen_cost!$A$1:$AY$31,16)</f>
        <v>1</v>
      </c>
      <c r="K243">
        <f>VLOOKUP(G243,gen_cost!$A$1:$AY$31,21)</f>
        <v>0</v>
      </c>
      <c r="L243">
        <f>VLOOKUP(G243,gen_cost!$A$1:$AY$31,22)</f>
        <v>0</v>
      </c>
      <c r="M243">
        <f t="shared" si="26"/>
        <v>0.11</v>
      </c>
      <c r="N243" s="1">
        <f t="shared" si="27"/>
        <v>1</v>
      </c>
      <c r="O243" s="1">
        <f t="shared" si="32"/>
        <v>1</v>
      </c>
      <c r="P243" s="1">
        <f t="shared" si="32"/>
        <v>1</v>
      </c>
      <c r="Q243" s="1">
        <f t="shared" si="32"/>
        <v>1</v>
      </c>
      <c r="R243" s="1">
        <f t="shared" si="32"/>
        <v>1</v>
      </c>
      <c r="S243" s="1">
        <f t="shared" si="32"/>
        <v>1</v>
      </c>
    </row>
    <row r="244" spans="1:19" x14ac:dyDescent="0.55000000000000004">
      <c r="A244">
        <v>243</v>
      </c>
      <c r="B244">
        <f>VLOOKUP(F244,nodes!$A$1:$L$167,2)</f>
        <v>153</v>
      </c>
      <c r="C244" t="s">
        <v>377</v>
      </c>
      <c r="D244">
        <v>50.656007000000002</v>
      </c>
      <c r="E244">
        <v>-123.44630600000001</v>
      </c>
      <c r="F244" t="s">
        <v>531</v>
      </c>
      <c r="G244" t="s">
        <v>563</v>
      </c>
      <c r="H244">
        <v>81.400000000000006</v>
      </c>
      <c r="I244">
        <f>VLOOKUP(G244,gen_cost!$A$1:$AY$31,15)</f>
        <v>66563</v>
      </c>
      <c r="J244">
        <f>VLOOKUP(G244,gen_cost!$A$1:$AY$31,16)</f>
        <v>1</v>
      </c>
      <c r="K244">
        <f>VLOOKUP(G244,gen_cost!$A$1:$AY$31,21)</f>
        <v>0</v>
      </c>
      <c r="L244">
        <f>VLOOKUP(G244,gen_cost!$A$1:$AY$31,22)</f>
        <v>0</v>
      </c>
      <c r="M244">
        <f t="shared" si="26"/>
        <v>0.81400000000000006</v>
      </c>
      <c r="N244" s="1">
        <f t="shared" si="27"/>
        <v>1</v>
      </c>
      <c r="O244" s="1">
        <f t="shared" si="32"/>
        <v>1</v>
      </c>
      <c r="P244" s="1">
        <f t="shared" si="32"/>
        <v>1</v>
      </c>
      <c r="Q244" s="1">
        <f t="shared" si="32"/>
        <v>1</v>
      </c>
      <c r="R244" s="1">
        <f t="shared" si="32"/>
        <v>1</v>
      </c>
      <c r="S244" s="1">
        <f t="shared" si="32"/>
        <v>1</v>
      </c>
    </row>
    <row r="245" spans="1:19" x14ac:dyDescent="0.55000000000000004">
      <c r="A245">
        <v>244</v>
      </c>
      <c r="B245">
        <f>VLOOKUP(F245,nodes!$A$1:$L$167,2)</f>
        <v>29</v>
      </c>
      <c r="C245" t="s">
        <v>377</v>
      </c>
      <c r="D245">
        <v>49.717830999999997</v>
      </c>
      <c r="E245">
        <v>-123.054632</v>
      </c>
      <c r="F245" t="s">
        <v>406</v>
      </c>
      <c r="G245" t="s">
        <v>563</v>
      </c>
      <c r="H245">
        <v>25</v>
      </c>
      <c r="I245">
        <f>VLOOKUP(G245,gen_cost!$A$1:$AY$31,15)</f>
        <v>66563</v>
      </c>
      <c r="J245">
        <f>VLOOKUP(G245,gen_cost!$A$1:$AY$31,16)</f>
        <v>1</v>
      </c>
      <c r="K245">
        <f>VLOOKUP(G245,gen_cost!$A$1:$AY$31,21)</f>
        <v>0</v>
      </c>
      <c r="L245">
        <f>VLOOKUP(G245,gen_cost!$A$1:$AY$31,22)</f>
        <v>0</v>
      </c>
      <c r="M245">
        <f t="shared" si="26"/>
        <v>0.25</v>
      </c>
      <c r="N245" s="1">
        <f t="shared" si="27"/>
        <v>1</v>
      </c>
      <c r="O245" s="1">
        <f t="shared" si="32"/>
        <v>1</v>
      </c>
      <c r="P245" s="1">
        <f t="shared" si="32"/>
        <v>1</v>
      </c>
      <c r="Q245" s="1">
        <f t="shared" si="32"/>
        <v>1</v>
      </c>
      <c r="R245" s="1">
        <f t="shared" si="32"/>
        <v>1</v>
      </c>
      <c r="S245" s="1">
        <f t="shared" si="32"/>
        <v>1</v>
      </c>
    </row>
    <row r="246" spans="1:19" x14ac:dyDescent="0.55000000000000004">
      <c r="A246">
        <v>245</v>
      </c>
      <c r="B246">
        <f>VLOOKUP(F246,nodes!$A$1:$L$167,2)</f>
        <v>152</v>
      </c>
      <c r="C246" t="s">
        <v>377</v>
      </c>
      <c r="D246">
        <v>49.566135000000003</v>
      </c>
      <c r="E246">
        <v>-122.350359</v>
      </c>
      <c r="F246" t="s">
        <v>530</v>
      </c>
      <c r="G246" t="s">
        <v>563</v>
      </c>
      <c r="H246">
        <v>33</v>
      </c>
      <c r="I246">
        <f>VLOOKUP(G246,gen_cost!$A$1:$AY$31,15)</f>
        <v>66563</v>
      </c>
      <c r="J246">
        <f>VLOOKUP(G246,gen_cost!$A$1:$AY$31,16)</f>
        <v>1</v>
      </c>
      <c r="K246">
        <f>VLOOKUP(G246,gen_cost!$A$1:$AY$31,21)</f>
        <v>0</v>
      </c>
      <c r="L246">
        <f>VLOOKUP(G246,gen_cost!$A$1:$AY$31,22)</f>
        <v>0</v>
      </c>
      <c r="M246">
        <f t="shared" si="26"/>
        <v>0.33</v>
      </c>
      <c r="N246" s="1">
        <f t="shared" si="27"/>
        <v>1</v>
      </c>
      <c r="O246" s="1">
        <f t="shared" si="32"/>
        <v>1</v>
      </c>
      <c r="P246" s="1">
        <f t="shared" si="32"/>
        <v>1</v>
      </c>
      <c r="Q246" s="1">
        <f t="shared" si="32"/>
        <v>1</v>
      </c>
      <c r="R246" s="1">
        <f t="shared" si="32"/>
        <v>1</v>
      </c>
      <c r="S246" s="1">
        <f t="shared" si="32"/>
        <v>1</v>
      </c>
    </row>
    <row r="247" spans="1:19" x14ac:dyDescent="0.55000000000000004">
      <c r="A247">
        <v>246</v>
      </c>
      <c r="B247">
        <f>VLOOKUP(F247,nodes!$A$1:$L$167,2)</f>
        <v>152</v>
      </c>
      <c r="C247" t="s">
        <v>377</v>
      </c>
      <c r="D247">
        <v>49.568961999999999</v>
      </c>
      <c r="E247">
        <v>-122.344598</v>
      </c>
      <c r="F247" t="s">
        <v>530</v>
      </c>
      <c r="G247" t="s">
        <v>563</v>
      </c>
      <c r="H247">
        <v>27</v>
      </c>
      <c r="I247">
        <f>VLOOKUP(G247,gen_cost!$A$1:$AY$31,15)</f>
        <v>66563</v>
      </c>
      <c r="J247">
        <f>VLOOKUP(G247,gen_cost!$A$1:$AY$31,16)</f>
        <v>1</v>
      </c>
      <c r="K247">
        <f>VLOOKUP(G247,gen_cost!$A$1:$AY$31,21)</f>
        <v>0</v>
      </c>
      <c r="L247">
        <f>VLOOKUP(G247,gen_cost!$A$1:$AY$31,22)</f>
        <v>0</v>
      </c>
      <c r="M247">
        <f t="shared" si="26"/>
        <v>0.27</v>
      </c>
      <c r="N247" s="1">
        <f t="shared" si="27"/>
        <v>1</v>
      </c>
      <c r="O247" s="1">
        <f t="shared" si="32"/>
        <v>1</v>
      </c>
      <c r="P247" s="1">
        <f t="shared" si="32"/>
        <v>1</v>
      </c>
      <c r="Q247" s="1">
        <f t="shared" si="32"/>
        <v>1</v>
      </c>
      <c r="R247" s="1">
        <f t="shared" si="32"/>
        <v>1</v>
      </c>
      <c r="S247" s="1">
        <f t="shared" si="32"/>
        <v>1</v>
      </c>
    </row>
    <row r="248" spans="1:19" x14ac:dyDescent="0.55000000000000004">
      <c r="A248">
        <v>247</v>
      </c>
      <c r="B248">
        <f>VLOOKUP(F248,nodes!$A$1:$L$167,2)</f>
        <v>44</v>
      </c>
      <c r="C248" t="s">
        <v>377</v>
      </c>
      <c r="D248">
        <v>56.728917000000003</v>
      </c>
      <c r="E248">
        <v>-130.59779499999999</v>
      </c>
      <c r="F248" t="s">
        <v>421</v>
      </c>
      <c r="G248" t="s">
        <v>563</v>
      </c>
      <c r="H248">
        <v>17.8</v>
      </c>
      <c r="I248">
        <f>VLOOKUP(G248,gen_cost!$A$1:$AY$31,15)</f>
        <v>66563</v>
      </c>
      <c r="J248">
        <f>VLOOKUP(G248,gen_cost!$A$1:$AY$31,16)</f>
        <v>1</v>
      </c>
      <c r="K248">
        <f>VLOOKUP(G248,gen_cost!$A$1:$AY$31,21)</f>
        <v>0</v>
      </c>
      <c r="L248">
        <f>VLOOKUP(G248,gen_cost!$A$1:$AY$31,22)</f>
        <v>0</v>
      </c>
      <c r="M248">
        <f t="shared" si="26"/>
        <v>0.17800000000000002</v>
      </c>
      <c r="N248" s="1">
        <f t="shared" si="27"/>
        <v>1</v>
      </c>
      <c r="O248" s="1">
        <f t="shared" si="32"/>
        <v>1</v>
      </c>
      <c r="P248" s="1">
        <f t="shared" si="32"/>
        <v>1</v>
      </c>
      <c r="Q248" s="1">
        <f t="shared" si="32"/>
        <v>1</v>
      </c>
      <c r="R248" s="1">
        <f t="shared" si="32"/>
        <v>1</v>
      </c>
      <c r="S248" s="1">
        <f t="shared" si="32"/>
        <v>1</v>
      </c>
    </row>
    <row r="249" spans="1:19" x14ac:dyDescent="0.55000000000000004">
      <c r="A249">
        <v>248</v>
      </c>
      <c r="B249">
        <f>VLOOKUP(F249,nodes!$A$1:$L$167,2)</f>
        <v>5</v>
      </c>
      <c r="C249" t="s">
        <v>377</v>
      </c>
      <c r="D249">
        <v>49.098909999999997</v>
      </c>
      <c r="E249">
        <v>-123.022424</v>
      </c>
      <c r="F249" t="s">
        <v>381</v>
      </c>
      <c r="G249" t="s">
        <v>566</v>
      </c>
      <c r="H249">
        <v>5.5</v>
      </c>
      <c r="I249">
        <f>VLOOKUP(G249,gen_cost!$A$1:$AY$31,15)</f>
        <v>31512</v>
      </c>
      <c r="J249">
        <f>VLOOKUP(G249,gen_cost!$A$1:$AY$31,16)</f>
        <v>9.7200000000000006</v>
      </c>
      <c r="K249">
        <f>VLOOKUP(G249,gen_cost!$A$1:$AY$31,21)</f>
        <v>0</v>
      </c>
      <c r="L249">
        <f>VLOOKUP(G249,gen_cost!$A$1:$AY$31,22)</f>
        <v>8.5129999999999999</v>
      </c>
      <c r="M249">
        <f t="shared" si="26"/>
        <v>5.5E-2</v>
      </c>
      <c r="N249" s="1">
        <f t="shared" si="27"/>
        <v>9.7200000000000006</v>
      </c>
      <c r="O249" s="1">
        <f t="shared" si="32"/>
        <v>9.7200000000000006</v>
      </c>
      <c r="P249" s="1">
        <f t="shared" si="32"/>
        <v>9.7200000000000006</v>
      </c>
      <c r="Q249" s="1">
        <f t="shared" si="32"/>
        <v>9.7200000000000006</v>
      </c>
      <c r="R249" s="1">
        <f t="shared" si="32"/>
        <v>9.7200000000000006</v>
      </c>
      <c r="S249" s="1">
        <f t="shared" si="32"/>
        <v>9.7200000000000006</v>
      </c>
    </row>
    <row r="250" spans="1:19" x14ac:dyDescent="0.55000000000000004">
      <c r="A250">
        <v>249</v>
      </c>
      <c r="B250">
        <f>VLOOKUP(F250,nodes!$A$1:$L$167,2)</f>
        <v>160</v>
      </c>
      <c r="C250" t="s">
        <v>377</v>
      </c>
      <c r="D250">
        <v>49.236626000000001</v>
      </c>
      <c r="E250">
        <v>-121.680665</v>
      </c>
      <c r="F250" t="s">
        <v>538</v>
      </c>
      <c r="G250" t="s">
        <v>561</v>
      </c>
      <c r="H250">
        <v>65</v>
      </c>
      <c r="I250">
        <f>VLOOKUP(G250,gen_cost!$A$1:$AY$31,15)</f>
        <v>115196</v>
      </c>
      <c r="J250">
        <f>VLOOKUP(G250,gen_cost!$A$1:$AY$31,16)</f>
        <v>5</v>
      </c>
      <c r="K250">
        <f>VLOOKUP(G250,gen_cost!$A$1:$AY$31,21)</f>
        <v>0</v>
      </c>
      <c r="L250">
        <f>VLOOKUP(G250,gen_cost!$A$1:$AY$31,22)</f>
        <v>0</v>
      </c>
      <c r="M250">
        <f t="shared" si="26"/>
        <v>0.65</v>
      </c>
      <c r="N250" s="1">
        <f t="shared" si="27"/>
        <v>5</v>
      </c>
      <c r="O250" s="1">
        <f t="shared" si="32"/>
        <v>5</v>
      </c>
      <c r="P250" s="1">
        <f t="shared" si="32"/>
        <v>5</v>
      </c>
      <c r="Q250" s="1">
        <f t="shared" si="32"/>
        <v>5</v>
      </c>
      <c r="R250" s="1">
        <f t="shared" si="32"/>
        <v>5</v>
      </c>
      <c r="S250" s="1">
        <f t="shared" si="32"/>
        <v>5</v>
      </c>
    </row>
    <row r="251" spans="1:19" x14ac:dyDescent="0.55000000000000004">
      <c r="A251">
        <v>250</v>
      </c>
      <c r="B251">
        <f>VLOOKUP(F251,nodes!$A$1:$L$167,2)</f>
        <v>161</v>
      </c>
      <c r="C251" t="s">
        <v>377</v>
      </c>
      <c r="D251">
        <v>49.004112999999997</v>
      </c>
      <c r="E251">
        <v>-117.612815</v>
      </c>
      <c r="F251" t="s">
        <v>539</v>
      </c>
      <c r="G251" t="s">
        <v>561</v>
      </c>
      <c r="H251">
        <v>120</v>
      </c>
      <c r="I251">
        <f>VLOOKUP(G251,gen_cost!$A$1:$AY$31,15)</f>
        <v>115196</v>
      </c>
      <c r="J251">
        <f>VLOOKUP(G251,gen_cost!$A$1:$AY$31,16)</f>
        <v>5</v>
      </c>
      <c r="K251">
        <f>VLOOKUP(G251,gen_cost!$A$1:$AY$31,21)</f>
        <v>0</v>
      </c>
      <c r="L251">
        <f>VLOOKUP(G251,gen_cost!$A$1:$AY$31,22)</f>
        <v>0</v>
      </c>
      <c r="M251">
        <f t="shared" si="26"/>
        <v>1.2</v>
      </c>
      <c r="N251" s="1">
        <f t="shared" si="27"/>
        <v>5</v>
      </c>
      <c r="O251" s="1">
        <f t="shared" si="32"/>
        <v>5</v>
      </c>
      <c r="P251" s="1">
        <f t="shared" si="32"/>
        <v>5</v>
      </c>
      <c r="Q251" s="1">
        <f t="shared" si="32"/>
        <v>5</v>
      </c>
      <c r="R251" s="1">
        <f t="shared" si="32"/>
        <v>5</v>
      </c>
      <c r="S251" s="1">
        <f t="shared" si="32"/>
        <v>5</v>
      </c>
    </row>
    <row r="252" spans="1:19" x14ac:dyDescent="0.55000000000000004">
      <c r="A252">
        <v>251</v>
      </c>
      <c r="B252">
        <f>VLOOKUP(F252,nodes!$A$1:$L$167,2)</f>
        <v>161</v>
      </c>
      <c r="C252" t="s">
        <v>377</v>
      </c>
      <c r="D252">
        <v>49.004112999999997</v>
      </c>
      <c r="E252">
        <v>-117.612815</v>
      </c>
      <c r="F252" t="s">
        <v>539</v>
      </c>
      <c r="G252" t="s">
        <v>561</v>
      </c>
      <c r="H252">
        <v>120</v>
      </c>
      <c r="I252">
        <f>VLOOKUP(G252,gen_cost!$A$1:$AY$31,15)</f>
        <v>115196</v>
      </c>
      <c r="J252">
        <f>VLOOKUP(G252,gen_cost!$A$1:$AY$31,16)</f>
        <v>5</v>
      </c>
      <c r="K252">
        <f>VLOOKUP(G252,gen_cost!$A$1:$AY$31,21)</f>
        <v>0</v>
      </c>
      <c r="L252">
        <f>VLOOKUP(G252,gen_cost!$A$1:$AY$31,22)</f>
        <v>0</v>
      </c>
      <c r="M252">
        <f t="shared" si="26"/>
        <v>1.2</v>
      </c>
      <c r="N252" s="1">
        <f t="shared" si="27"/>
        <v>5</v>
      </c>
      <c r="O252" s="1">
        <f t="shared" ref="O252:S261" si="33">+N252</f>
        <v>5</v>
      </c>
      <c r="P252" s="1">
        <f t="shared" si="33"/>
        <v>5</v>
      </c>
      <c r="Q252" s="1">
        <f t="shared" si="33"/>
        <v>5</v>
      </c>
      <c r="R252" s="1">
        <f t="shared" si="33"/>
        <v>5</v>
      </c>
      <c r="S252" s="1">
        <f t="shared" si="33"/>
        <v>5</v>
      </c>
    </row>
    <row r="253" spans="1:19" x14ac:dyDescent="0.55000000000000004">
      <c r="A253">
        <v>252</v>
      </c>
      <c r="B253">
        <f>VLOOKUP(F253,nodes!$A$1:$L$167,2)</f>
        <v>161</v>
      </c>
      <c r="C253" t="s">
        <v>377</v>
      </c>
      <c r="D253">
        <v>49.004112999999997</v>
      </c>
      <c r="E253">
        <v>-117.612815</v>
      </c>
      <c r="F253" t="s">
        <v>539</v>
      </c>
      <c r="G253" t="s">
        <v>561</v>
      </c>
      <c r="H253">
        <v>120</v>
      </c>
      <c r="I253">
        <f>VLOOKUP(G253,gen_cost!$A$1:$AY$31,15)</f>
        <v>115196</v>
      </c>
      <c r="J253">
        <f>VLOOKUP(G253,gen_cost!$A$1:$AY$31,16)</f>
        <v>5</v>
      </c>
      <c r="K253">
        <f>VLOOKUP(G253,gen_cost!$A$1:$AY$31,21)</f>
        <v>0</v>
      </c>
      <c r="L253">
        <f>VLOOKUP(G253,gen_cost!$A$1:$AY$31,22)</f>
        <v>0</v>
      </c>
      <c r="M253">
        <f t="shared" si="26"/>
        <v>1.2</v>
      </c>
      <c r="N253" s="1">
        <f t="shared" si="27"/>
        <v>5</v>
      </c>
      <c r="O253" s="1">
        <f t="shared" si="33"/>
        <v>5</v>
      </c>
      <c r="P253" s="1">
        <f t="shared" si="33"/>
        <v>5</v>
      </c>
      <c r="Q253" s="1">
        <f t="shared" si="33"/>
        <v>5</v>
      </c>
      <c r="R253" s="1">
        <f t="shared" si="33"/>
        <v>5</v>
      </c>
      <c r="S253" s="1">
        <f t="shared" si="33"/>
        <v>5</v>
      </c>
    </row>
    <row r="254" spans="1:19" x14ac:dyDescent="0.55000000000000004">
      <c r="A254">
        <v>253</v>
      </c>
      <c r="B254">
        <f>VLOOKUP(F254,nodes!$A$1:$L$167,2)</f>
        <v>161</v>
      </c>
      <c r="C254" t="s">
        <v>377</v>
      </c>
      <c r="D254">
        <v>49.004112999999997</v>
      </c>
      <c r="E254">
        <v>-117.612815</v>
      </c>
      <c r="F254" t="s">
        <v>539</v>
      </c>
      <c r="G254" t="s">
        <v>561</v>
      </c>
      <c r="H254">
        <v>120</v>
      </c>
      <c r="I254">
        <f>VLOOKUP(G254,gen_cost!$A$1:$AY$31,15)</f>
        <v>115196</v>
      </c>
      <c r="J254">
        <f>VLOOKUP(G254,gen_cost!$A$1:$AY$31,16)</f>
        <v>5</v>
      </c>
      <c r="K254">
        <f>VLOOKUP(G254,gen_cost!$A$1:$AY$31,21)</f>
        <v>0</v>
      </c>
      <c r="L254">
        <f>VLOOKUP(G254,gen_cost!$A$1:$AY$31,22)</f>
        <v>0</v>
      </c>
      <c r="M254">
        <f t="shared" si="26"/>
        <v>1.2</v>
      </c>
      <c r="N254" s="1">
        <f t="shared" si="27"/>
        <v>5</v>
      </c>
      <c r="O254" s="1">
        <f t="shared" si="33"/>
        <v>5</v>
      </c>
      <c r="P254" s="1">
        <f t="shared" si="33"/>
        <v>5</v>
      </c>
      <c r="Q254" s="1">
        <f t="shared" si="33"/>
        <v>5</v>
      </c>
      <c r="R254" s="1">
        <f t="shared" si="33"/>
        <v>5</v>
      </c>
      <c r="S254" s="1">
        <f t="shared" si="33"/>
        <v>5</v>
      </c>
    </row>
    <row r="255" spans="1:19" x14ac:dyDescent="0.55000000000000004">
      <c r="A255">
        <v>254</v>
      </c>
      <c r="B255">
        <f>VLOOKUP(F255,nodes!$A$1:$L$167,2)</f>
        <v>161</v>
      </c>
      <c r="C255" t="s">
        <v>377</v>
      </c>
      <c r="D255">
        <v>49.004479000000003</v>
      </c>
      <c r="E255">
        <v>-117.616207</v>
      </c>
      <c r="F255" t="s">
        <v>539</v>
      </c>
      <c r="G255" t="s">
        <v>561</v>
      </c>
      <c r="H255">
        <v>167.5</v>
      </c>
      <c r="I255">
        <f>VLOOKUP(G255,gen_cost!$A$1:$AY$31,15)</f>
        <v>115196</v>
      </c>
      <c r="J255">
        <f>VLOOKUP(G255,gen_cost!$A$1:$AY$31,16)</f>
        <v>5</v>
      </c>
      <c r="K255">
        <f>VLOOKUP(G255,gen_cost!$A$1:$AY$31,21)</f>
        <v>0</v>
      </c>
      <c r="L255">
        <f>VLOOKUP(G255,gen_cost!$A$1:$AY$31,22)</f>
        <v>0</v>
      </c>
      <c r="M255">
        <f t="shared" si="26"/>
        <v>1.675</v>
      </c>
      <c r="N255" s="1">
        <f t="shared" si="27"/>
        <v>5</v>
      </c>
      <c r="O255" s="1">
        <f t="shared" si="33"/>
        <v>5</v>
      </c>
      <c r="P255" s="1">
        <f t="shared" si="33"/>
        <v>5</v>
      </c>
      <c r="Q255" s="1">
        <f t="shared" si="33"/>
        <v>5</v>
      </c>
      <c r="R255" s="1">
        <f t="shared" si="33"/>
        <v>5</v>
      </c>
      <c r="S255" s="1">
        <f t="shared" si="33"/>
        <v>5</v>
      </c>
    </row>
    <row r="256" spans="1:19" x14ac:dyDescent="0.55000000000000004">
      <c r="A256">
        <v>255</v>
      </c>
      <c r="B256">
        <f>VLOOKUP(F256,nodes!$A$1:$L$167,2)</f>
        <v>161</v>
      </c>
      <c r="C256" t="s">
        <v>377</v>
      </c>
      <c r="D256">
        <v>49.004479000000003</v>
      </c>
      <c r="E256">
        <v>-117.616207</v>
      </c>
      <c r="F256" t="s">
        <v>539</v>
      </c>
      <c r="G256" t="s">
        <v>561</v>
      </c>
      <c r="H256">
        <v>167.5</v>
      </c>
      <c r="I256">
        <f>VLOOKUP(G256,gen_cost!$A$1:$AY$31,15)</f>
        <v>115196</v>
      </c>
      <c r="J256">
        <f>VLOOKUP(G256,gen_cost!$A$1:$AY$31,16)</f>
        <v>5</v>
      </c>
      <c r="K256">
        <f>VLOOKUP(G256,gen_cost!$A$1:$AY$31,21)</f>
        <v>0</v>
      </c>
      <c r="L256">
        <f>VLOOKUP(G256,gen_cost!$A$1:$AY$31,22)</f>
        <v>0</v>
      </c>
      <c r="M256">
        <f t="shared" si="26"/>
        <v>1.675</v>
      </c>
      <c r="N256" s="1">
        <f t="shared" si="27"/>
        <v>5</v>
      </c>
      <c r="O256" s="1">
        <f t="shared" si="33"/>
        <v>5</v>
      </c>
      <c r="P256" s="1">
        <f t="shared" si="33"/>
        <v>5</v>
      </c>
      <c r="Q256" s="1">
        <f t="shared" si="33"/>
        <v>5</v>
      </c>
      <c r="R256" s="1">
        <f t="shared" si="33"/>
        <v>5</v>
      </c>
      <c r="S256" s="1">
        <f t="shared" si="33"/>
        <v>5</v>
      </c>
    </row>
    <row r="257" spans="1:19" x14ac:dyDescent="0.55000000000000004">
      <c r="A257">
        <v>256</v>
      </c>
      <c r="B257">
        <f>VLOOKUP(F257,nodes!$A$1:$L$167,2)</f>
        <v>38</v>
      </c>
      <c r="C257" t="s">
        <v>377</v>
      </c>
      <c r="D257">
        <v>49.131247000000002</v>
      </c>
      <c r="E257">
        <v>-125.446387</v>
      </c>
      <c r="F257" t="s">
        <v>415</v>
      </c>
      <c r="G257" t="s">
        <v>563</v>
      </c>
      <c r="H257">
        <v>4</v>
      </c>
      <c r="I257">
        <f>VLOOKUP(G257,gen_cost!$A$1:$AY$31,15)</f>
        <v>66563</v>
      </c>
      <c r="J257">
        <f>VLOOKUP(G257,gen_cost!$A$1:$AY$31,16)</f>
        <v>1</v>
      </c>
      <c r="K257">
        <f>VLOOKUP(G257,gen_cost!$A$1:$AY$31,21)</f>
        <v>0</v>
      </c>
      <c r="L257">
        <f>VLOOKUP(G257,gen_cost!$A$1:$AY$31,22)</f>
        <v>0</v>
      </c>
      <c r="M257">
        <f t="shared" si="26"/>
        <v>0.04</v>
      </c>
      <c r="N257" s="1">
        <f t="shared" si="27"/>
        <v>1</v>
      </c>
      <c r="O257" s="1">
        <f t="shared" si="33"/>
        <v>1</v>
      </c>
      <c r="P257" s="1">
        <f t="shared" si="33"/>
        <v>1</v>
      </c>
      <c r="Q257" s="1">
        <f t="shared" si="33"/>
        <v>1</v>
      </c>
      <c r="R257" s="1">
        <f t="shared" si="33"/>
        <v>1</v>
      </c>
      <c r="S257" s="1">
        <f t="shared" si="33"/>
        <v>1</v>
      </c>
    </row>
    <row r="258" spans="1:19" x14ac:dyDescent="0.55000000000000004">
      <c r="A258">
        <v>257</v>
      </c>
      <c r="B258">
        <f>VLOOKUP(F258,nodes!$A$1:$L$167,2)</f>
        <v>18</v>
      </c>
      <c r="C258" t="s">
        <v>377</v>
      </c>
      <c r="D258">
        <v>50.660511999999997</v>
      </c>
      <c r="E258">
        <v>-121.98331</v>
      </c>
      <c r="F258" t="s">
        <v>395</v>
      </c>
      <c r="G258" t="s">
        <v>563</v>
      </c>
      <c r="H258">
        <v>16</v>
      </c>
      <c r="I258">
        <f>VLOOKUP(G258,gen_cost!$A$1:$AY$31,15)</f>
        <v>66563</v>
      </c>
      <c r="J258">
        <f>VLOOKUP(G258,gen_cost!$A$1:$AY$31,16)</f>
        <v>1</v>
      </c>
      <c r="K258">
        <f>VLOOKUP(G258,gen_cost!$A$1:$AY$31,21)</f>
        <v>0</v>
      </c>
      <c r="L258">
        <f>VLOOKUP(G258,gen_cost!$A$1:$AY$31,22)</f>
        <v>0</v>
      </c>
      <c r="M258">
        <f t="shared" ref="M258:M267" si="34">H258/100</f>
        <v>0.16</v>
      </c>
      <c r="N258" s="1">
        <f t="shared" ref="N258:N267" si="35">J258</f>
        <v>1</v>
      </c>
      <c r="O258" s="1">
        <f t="shared" si="33"/>
        <v>1</v>
      </c>
      <c r="P258" s="1">
        <f t="shared" si="33"/>
        <v>1</v>
      </c>
      <c r="Q258" s="1">
        <f t="shared" si="33"/>
        <v>1</v>
      </c>
      <c r="R258" s="1">
        <f t="shared" si="33"/>
        <v>1</v>
      </c>
      <c r="S258" s="1">
        <f t="shared" si="33"/>
        <v>1</v>
      </c>
    </row>
    <row r="259" spans="1:19" x14ac:dyDescent="0.55000000000000004">
      <c r="A259">
        <v>258</v>
      </c>
      <c r="B259">
        <f>VLOOKUP(F259,nodes!$A$1:$L$167,2)</f>
        <v>29</v>
      </c>
      <c r="C259" t="s">
        <v>377</v>
      </c>
      <c r="D259">
        <v>49.676098000000003</v>
      </c>
      <c r="E259">
        <v>-123.261383</v>
      </c>
      <c r="F259" t="s">
        <v>406</v>
      </c>
      <c r="G259" t="s">
        <v>557</v>
      </c>
      <c r="H259">
        <v>1.6</v>
      </c>
      <c r="I259">
        <f>VLOOKUP(G259,gen_cost!$A$1:$AY$31,15)</f>
        <v>183950</v>
      </c>
      <c r="J259">
        <f>VLOOKUP(G259,gen_cost!$A$1:$AY$31,16)</f>
        <v>7.07</v>
      </c>
      <c r="K259">
        <f>VLOOKUP(G259,gen_cost!$A$1:$AY$31,21)</f>
        <v>0</v>
      </c>
      <c r="L259">
        <f>VLOOKUP(G259,gen_cost!$A$1:$AY$31,22)</f>
        <v>13.5</v>
      </c>
      <c r="M259">
        <f t="shared" si="34"/>
        <v>1.6E-2</v>
      </c>
      <c r="N259" s="1">
        <f t="shared" si="35"/>
        <v>7.07</v>
      </c>
      <c r="O259" s="1">
        <f t="shared" si="33"/>
        <v>7.07</v>
      </c>
      <c r="P259" s="1">
        <f t="shared" si="33"/>
        <v>7.07</v>
      </c>
      <c r="Q259" s="1">
        <f t="shared" si="33"/>
        <v>7.07</v>
      </c>
      <c r="R259" s="1">
        <f t="shared" si="33"/>
        <v>7.07</v>
      </c>
      <c r="S259" s="1">
        <f t="shared" si="33"/>
        <v>7.07</v>
      </c>
    </row>
    <row r="260" spans="1:19" x14ac:dyDescent="0.55000000000000004">
      <c r="A260">
        <v>259</v>
      </c>
      <c r="B260">
        <f>VLOOKUP(F260,nodes!$A$1:$L$167,2)</f>
        <v>113</v>
      </c>
      <c r="C260" t="s">
        <v>377</v>
      </c>
      <c r="D260">
        <v>50.178384999999999</v>
      </c>
      <c r="E260">
        <v>-122.872849</v>
      </c>
      <c r="F260" t="s">
        <v>491</v>
      </c>
      <c r="G260" t="s">
        <v>563</v>
      </c>
      <c r="H260">
        <v>5.4</v>
      </c>
      <c r="I260">
        <f>VLOOKUP(G260,gen_cost!$A$1:$AY$31,15)</f>
        <v>66563</v>
      </c>
      <c r="J260">
        <f>VLOOKUP(G260,gen_cost!$A$1:$AY$31,16)</f>
        <v>1</v>
      </c>
      <c r="K260">
        <f>VLOOKUP(G260,gen_cost!$A$1:$AY$31,21)</f>
        <v>0</v>
      </c>
      <c r="L260">
        <f>VLOOKUP(G260,gen_cost!$A$1:$AY$31,22)</f>
        <v>0</v>
      </c>
      <c r="M260">
        <f t="shared" si="34"/>
        <v>5.4000000000000006E-2</v>
      </c>
      <c r="N260" s="1">
        <f t="shared" si="35"/>
        <v>1</v>
      </c>
      <c r="O260" s="1">
        <f t="shared" si="33"/>
        <v>1</v>
      </c>
      <c r="P260" s="1">
        <f t="shared" si="33"/>
        <v>1</v>
      </c>
      <c r="Q260" s="1">
        <f t="shared" si="33"/>
        <v>1</v>
      </c>
      <c r="R260" s="1">
        <f t="shared" si="33"/>
        <v>1</v>
      </c>
      <c r="S260" s="1">
        <f t="shared" si="33"/>
        <v>1</v>
      </c>
    </row>
    <row r="261" spans="1:19" x14ac:dyDescent="0.55000000000000004">
      <c r="A261">
        <v>260</v>
      </c>
      <c r="B261">
        <f>VLOOKUP(F261,nodes!$A$1:$L$167,2)</f>
        <v>63</v>
      </c>
      <c r="C261" t="s">
        <v>377</v>
      </c>
      <c r="D261">
        <v>49.910469999999997</v>
      </c>
      <c r="E261">
        <v>-118.071881</v>
      </c>
      <c r="F261" t="s">
        <v>440</v>
      </c>
      <c r="G261" t="s">
        <v>561</v>
      </c>
      <c r="H261">
        <v>54</v>
      </c>
      <c r="I261">
        <f>VLOOKUP(G261,gen_cost!$A$1:$AY$31,15)</f>
        <v>115196</v>
      </c>
      <c r="J261">
        <f>VLOOKUP(G261,gen_cost!$A$1:$AY$31,16)</f>
        <v>5</v>
      </c>
      <c r="K261">
        <f>VLOOKUP(G261,gen_cost!$A$1:$AY$31,21)</f>
        <v>0</v>
      </c>
      <c r="L261">
        <f>VLOOKUP(G261,gen_cost!$A$1:$AY$31,22)</f>
        <v>0</v>
      </c>
      <c r="M261">
        <f t="shared" si="34"/>
        <v>0.54</v>
      </c>
      <c r="N261" s="1">
        <f t="shared" si="35"/>
        <v>5</v>
      </c>
      <c r="O261" s="1">
        <f t="shared" si="33"/>
        <v>5</v>
      </c>
      <c r="P261" s="1">
        <f t="shared" si="33"/>
        <v>5</v>
      </c>
      <c r="Q261" s="1">
        <f t="shared" si="33"/>
        <v>5</v>
      </c>
      <c r="R261" s="1">
        <f t="shared" si="33"/>
        <v>5</v>
      </c>
      <c r="S261" s="1">
        <f t="shared" si="33"/>
        <v>5</v>
      </c>
    </row>
    <row r="262" spans="1:19" x14ac:dyDescent="0.55000000000000004">
      <c r="A262">
        <v>261</v>
      </c>
      <c r="B262">
        <f>VLOOKUP(F262,nodes!$A$1:$L$167,2)</f>
        <v>58</v>
      </c>
      <c r="C262" t="s">
        <v>377</v>
      </c>
      <c r="D262">
        <v>50.813864000000002</v>
      </c>
      <c r="E262">
        <v>-118.05999300000001</v>
      </c>
      <c r="F262" t="s">
        <v>435</v>
      </c>
      <c r="G262" t="s">
        <v>561</v>
      </c>
      <c r="H262">
        <v>4</v>
      </c>
      <c r="I262">
        <f>VLOOKUP(G262,gen_cost!$A$1:$AY$31,15)</f>
        <v>115196</v>
      </c>
      <c r="J262">
        <f>VLOOKUP(G262,gen_cost!$A$1:$AY$31,16)</f>
        <v>5</v>
      </c>
      <c r="K262">
        <f>VLOOKUP(G262,gen_cost!$A$1:$AY$31,21)</f>
        <v>0</v>
      </c>
      <c r="L262">
        <f>VLOOKUP(G262,gen_cost!$A$1:$AY$31,22)</f>
        <v>0</v>
      </c>
      <c r="M262">
        <f t="shared" si="34"/>
        <v>0.04</v>
      </c>
      <c r="N262" s="1">
        <f t="shared" si="35"/>
        <v>5</v>
      </c>
      <c r="O262" s="1">
        <f t="shared" ref="O262:S271" si="36">+N262</f>
        <v>5</v>
      </c>
      <c r="P262" s="1">
        <f t="shared" si="36"/>
        <v>5</v>
      </c>
      <c r="Q262" s="1">
        <f t="shared" si="36"/>
        <v>5</v>
      </c>
      <c r="R262" s="1">
        <f t="shared" si="36"/>
        <v>5</v>
      </c>
      <c r="S262" s="1">
        <f t="shared" si="36"/>
        <v>5</v>
      </c>
    </row>
    <row r="263" spans="1:19" x14ac:dyDescent="0.55000000000000004">
      <c r="A263">
        <v>262</v>
      </c>
      <c r="B263">
        <f>VLOOKUP(F263,nodes!$A$1:$L$167,2)</f>
        <v>58</v>
      </c>
      <c r="C263" t="s">
        <v>377</v>
      </c>
      <c r="D263">
        <v>50.813864000000002</v>
      </c>
      <c r="E263">
        <v>-118.05999300000001</v>
      </c>
      <c r="F263" t="s">
        <v>435</v>
      </c>
      <c r="G263" t="s">
        <v>561</v>
      </c>
      <c r="H263">
        <v>4</v>
      </c>
      <c r="I263">
        <f>VLOOKUP(G263,gen_cost!$A$1:$AY$31,15)</f>
        <v>115196</v>
      </c>
      <c r="J263">
        <f>VLOOKUP(G263,gen_cost!$A$1:$AY$31,16)</f>
        <v>5</v>
      </c>
      <c r="K263">
        <f>VLOOKUP(G263,gen_cost!$A$1:$AY$31,21)</f>
        <v>0</v>
      </c>
      <c r="L263">
        <f>VLOOKUP(G263,gen_cost!$A$1:$AY$31,22)</f>
        <v>0</v>
      </c>
      <c r="M263">
        <f t="shared" si="34"/>
        <v>0.04</v>
      </c>
      <c r="N263" s="1">
        <f t="shared" si="35"/>
        <v>5</v>
      </c>
      <c r="O263" s="1">
        <f t="shared" si="36"/>
        <v>5</v>
      </c>
      <c r="P263" s="1">
        <f t="shared" si="36"/>
        <v>5</v>
      </c>
      <c r="Q263" s="1">
        <f t="shared" si="36"/>
        <v>5</v>
      </c>
      <c r="R263" s="1">
        <f t="shared" si="36"/>
        <v>5</v>
      </c>
      <c r="S263" s="1">
        <f t="shared" si="36"/>
        <v>5</v>
      </c>
    </row>
    <row r="264" spans="1:19" x14ac:dyDescent="0.55000000000000004">
      <c r="A264">
        <v>263</v>
      </c>
      <c r="B264">
        <f>VLOOKUP(F264,nodes!$A$1:$L$167,2)</f>
        <v>133</v>
      </c>
      <c r="C264" t="s">
        <v>377</v>
      </c>
      <c r="D264">
        <v>55.554988000000002</v>
      </c>
      <c r="E264">
        <v>-121.54665799999999</v>
      </c>
      <c r="F264" t="s">
        <v>511</v>
      </c>
      <c r="G264" t="s">
        <v>690</v>
      </c>
      <c r="H264">
        <v>15</v>
      </c>
      <c r="I264">
        <f>VLOOKUP(G264,gen_cost!$A$1:$AY$31,15)</f>
        <v>38532</v>
      </c>
      <c r="J264">
        <f>VLOOKUP(G264,gen_cost!$A$1:$AY$31,16)</f>
        <v>0</v>
      </c>
      <c r="K264">
        <f>VLOOKUP(G264,gen_cost!$A$1:$AY$31,21)</f>
        <v>0</v>
      </c>
      <c r="L264">
        <f>VLOOKUP(G264,gen_cost!$A$1:$AY$31,22)</f>
        <v>0</v>
      </c>
      <c r="M264">
        <f t="shared" si="34"/>
        <v>0.15</v>
      </c>
      <c r="N264" s="1">
        <f t="shared" si="35"/>
        <v>0</v>
      </c>
      <c r="O264" s="1">
        <f t="shared" si="36"/>
        <v>0</v>
      </c>
      <c r="P264" s="1">
        <f t="shared" si="36"/>
        <v>0</v>
      </c>
      <c r="Q264" s="1">
        <f t="shared" si="36"/>
        <v>0</v>
      </c>
      <c r="R264" s="1">
        <f t="shared" si="36"/>
        <v>0</v>
      </c>
      <c r="S264" s="1">
        <f t="shared" si="36"/>
        <v>0</v>
      </c>
    </row>
    <row r="265" spans="1:19" x14ac:dyDescent="0.55000000000000004">
      <c r="A265">
        <v>264</v>
      </c>
      <c r="B265">
        <f>VLOOKUP(F265,nodes!$A$1:$L$167,2)</f>
        <v>46</v>
      </c>
      <c r="C265" t="s">
        <v>377</v>
      </c>
      <c r="D265">
        <v>50.053503999999997</v>
      </c>
      <c r="E265">
        <v>-126.779802</v>
      </c>
      <c r="F265" t="s">
        <v>423</v>
      </c>
      <c r="G265" t="s">
        <v>561</v>
      </c>
      <c r="H265">
        <v>7.3</v>
      </c>
      <c r="I265">
        <f>VLOOKUP(G265,gen_cost!$A$1:$AY$31,15)</f>
        <v>115196</v>
      </c>
      <c r="J265">
        <f>VLOOKUP(G265,gen_cost!$A$1:$AY$31,16)</f>
        <v>5</v>
      </c>
      <c r="K265">
        <f>VLOOKUP(G265,gen_cost!$A$1:$AY$31,21)</f>
        <v>0</v>
      </c>
      <c r="L265">
        <f>VLOOKUP(G265,gen_cost!$A$1:$AY$31,22)</f>
        <v>0</v>
      </c>
      <c r="M265">
        <f t="shared" si="34"/>
        <v>7.2999999999999995E-2</v>
      </c>
      <c r="N265" s="1">
        <f t="shared" si="35"/>
        <v>5</v>
      </c>
      <c r="O265" s="1">
        <f t="shared" si="36"/>
        <v>5</v>
      </c>
      <c r="P265" s="1">
        <f t="shared" si="36"/>
        <v>5</v>
      </c>
      <c r="Q265" s="1">
        <f t="shared" si="36"/>
        <v>5</v>
      </c>
      <c r="R265" s="1">
        <f t="shared" si="36"/>
        <v>5</v>
      </c>
      <c r="S265" s="1">
        <f t="shared" si="36"/>
        <v>5</v>
      </c>
    </row>
    <row r="266" spans="1:19" x14ac:dyDescent="0.55000000000000004">
      <c r="A266">
        <v>265</v>
      </c>
      <c r="B266">
        <f>VLOOKUP(F266,nodes!$A$1:$L$167,2)</f>
        <v>46</v>
      </c>
      <c r="C266" t="s">
        <v>377</v>
      </c>
      <c r="D266">
        <v>50.053503999999997</v>
      </c>
      <c r="E266">
        <v>-126.779802</v>
      </c>
      <c r="F266" t="s">
        <v>423</v>
      </c>
      <c r="G266" t="s">
        <v>561</v>
      </c>
      <c r="H266">
        <v>7.3</v>
      </c>
      <c r="I266">
        <f>VLOOKUP(G266,gen_cost!$A$1:$AY$31,15)</f>
        <v>115196</v>
      </c>
      <c r="J266">
        <f>VLOOKUP(G266,gen_cost!$A$1:$AY$31,16)</f>
        <v>5</v>
      </c>
      <c r="K266">
        <f>VLOOKUP(G266,gen_cost!$A$1:$AY$31,21)</f>
        <v>0</v>
      </c>
      <c r="L266">
        <f>VLOOKUP(G266,gen_cost!$A$1:$AY$31,22)</f>
        <v>0</v>
      </c>
      <c r="M266">
        <f t="shared" si="34"/>
        <v>7.2999999999999995E-2</v>
      </c>
      <c r="N266" s="1">
        <f t="shared" si="35"/>
        <v>5</v>
      </c>
      <c r="O266" s="1">
        <f t="shared" si="36"/>
        <v>5</v>
      </c>
      <c r="P266" s="1">
        <f t="shared" si="36"/>
        <v>5</v>
      </c>
      <c r="Q266" s="1">
        <f t="shared" si="36"/>
        <v>5</v>
      </c>
      <c r="R266" s="1">
        <f t="shared" si="36"/>
        <v>5</v>
      </c>
      <c r="S266" s="1">
        <f t="shared" si="36"/>
        <v>5</v>
      </c>
    </row>
    <row r="267" spans="1:19" x14ac:dyDescent="0.55000000000000004">
      <c r="A267">
        <v>266</v>
      </c>
      <c r="B267">
        <f>VLOOKUP(F267,nodes!$A$1:$L$167,2)</f>
        <v>46</v>
      </c>
      <c r="C267" t="s">
        <v>377</v>
      </c>
      <c r="D267">
        <v>50.053503999999997</v>
      </c>
      <c r="E267">
        <v>-126.779802</v>
      </c>
      <c r="F267" t="s">
        <v>423</v>
      </c>
      <c r="G267" t="s">
        <v>561</v>
      </c>
      <c r="H267">
        <v>7.3</v>
      </c>
      <c r="I267">
        <f>VLOOKUP(G267,gen_cost!$A$1:$AY$31,15)</f>
        <v>115196</v>
      </c>
      <c r="J267">
        <f>VLOOKUP(G267,gen_cost!$A$1:$AY$31,16)</f>
        <v>5</v>
      </c>
      <c r="K267">
        <f>VLOOKUP(G267,gen_cost!$A$1:$AY$31,21)</f>
        <v>0</v>
      </c>
      <c r="L267">
        <f>VLOOKUP(G267,gen_cost!$A$1:$AY$31,22)</f>
        <v>0</v>
      </c>
      <c r="M267">
        <f t="shared" si="34"/>
        <v>7.2999999999999995E-2</v>
      </c>
      <c r="N267" s="1">
        <f t="shared" si="35"/>
        <v>5</v>
      </c>
      <c r="O267" s="1">
        <f t="shared" si="36"/>
        <v>5</v>
      </c>
      <c r="P267" s="1">
        <f t="shared" si="36"/>
        <v>5</v>
      </c>
      <c r="Q267" s="1">
        <f t="shared" si="36"/>
        <v>5</v>
      </c>
      <c r="R267" s="1">
        <f t="shared" si="36"/>
        <v>5</v>
      </c>
      <c r="S267" s="1">
        <f t="shared" si="36"/>
        <v>5</v>
      </c>
    </row>
  </sheetData>
  <autoFilter ref="A1:S267" xr:uid="{48DFBB61-B2BE-41CD-BA70-E595AD358926}">
    <sortState xmlns:xlrd2="http://schemas.microsoft.com/office/spreadsheetml/2017/richdata2" ref="A2:S267">
      <sortCondition ref="A1:A26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976D-F179-4F10-87F2-DC7468625A48}">
  <dimension ref="A1:Y167"/>
  <sheetViews>
    <sheetView tabSelected="1" topLeftCell="B1" zoomScale="115" zoomScaleNormal="115" workbookViewId="0">
      <selection activeCell="J2" sqref="J2"/>
    </sheetView>
  </sheetViews>
  <sheetFormatPr defaultRowHeight="14.4" x14ac:dyDescent="0.55000000000000004"/>
  <cols>
    <col min="1" max="1" width="13.1015625" bestFit="1" customWidth="1"/>
    <col min="2" max="2" width="4.7890625" bestFit="1" customWidth="1"/>
    <col min="3" max="3" width="8.89453125" bestFit="1" customWidth="1"/>
    <col min="4" max="4" width="10.05078125" bestFit="1" customWidth="1"/>
    <col min="5" max="5" width="8.68359375" bestFit="1" customWidth="1"/>
    <col min="6" max="6" width="9.26171875" bestFit="1" customWidth="1"/>
    <col min="7" max="7" width="4.7890625" bestFit="1" customWidth="1"/>
    <col min="8" max="8" width="7.41796875" bestFit="1" customWidth="1"/>
    <col min="9" max="11" width="12.41796875" customWidth="1"/>
    <col min="12" max="17" width="13.3671875" bestFit="1" customWidth="1"/>
    <col min="18" max="23" width="11.89453125" bestFit="1" customWidth="1"/>
    <col min="24" max="24" width="10.734375" bestFit="1" customWidth="1"/>
    <col min="25" max="25" width="4.41796875" bestFit="1" customWidth="1"/>
  </cols>
  <sheetData>
    <row r="1" spans="1:25" x14ac:dyDescent="0.55000000000000004">
      <c r="A1" t="s">
        <v>361</v>
      </c>
      <c r="B1" t="s">
        <v>710</v>
      </c>
      <c r="C1" t="s">
        <v>362</v>
      </c>
      <c r="D1" t="s">
        <v>363</v>
      </c>
      <c r="E1" t="s">
        <v>369</v>
      </c>
      <c r="F1" t="s">
        <v>370</v>
      </c>
      <c r="G1" t="s">
        <v>0</v>
      </c>
      <c r="H1" t="s">
        <v>1</v>
      </c>
      <c r="I1" t="s">
        <v>556</v>
      </c>
      <c r="J1" t="s">
        <v>712</v>
      </c>
      <c r="K1" t="s">
        <v>596</v>
      </c>
      <c r="L1" t="s">
        <v>3</v>
      </c>
      <c r="M1" t="s">
        <v>4</v>
      </c>
      <c r="N1" t="s">
        <v>353</v>
      </c>
      <c r="O1" t="s">
        <v>354</v>
      </c>
      <c r="P1" t="s">
        <v>355</v>
      </c>
      <c r="Q1" t="s">
        <v>356</v>
      </c>
      <c r="R1" t="s">
        <v>7</v>
      </c>
      <c r="S1" t="s">
        <v>8</v>
      </c>
      <c r="T1" t="s">
        <v>357</v>
      </c>
      <c r="U1" t="s">
        <v>358</v>
      </c>
      <c r="V1" t="s">
        <v>359</v>
      </c>
      <c r="W1" t="s">
        <v>360</v>
      </c>
      <c r="X1" t="s">
        <v>5</v>
      </c>
      <c r="Y1" t="s">
        <v>2</v>
      </c>
    </row>
    <row r="2" spans="1:25" x14ac:dyDescent="0.55000000000000004">
      <c r="A2" t="s">
        <v>489</v>
      </c>
      <c r="B2">
        <v>111</v>
      </c>
      <c r="C2">
        <v>230</v>
      </c>
      <c r="D2" t="s">
        <v>377</v>
      </c>
      <c r="E2">
        <v>0.12834999999999999</v>
      </c>
      <c r="F2">
        <v>0.27624500000000002</v>
      </c>
      <c r="G2">
        <v>32</v>
      </c>
      <c r="H2">
        <f t="shared" ref="H2:H9" si="0">B2</f>
        <v>111</v>
      </c>
      <c r="I2" t="s">
        <v>690</v>
      </c>
      <c r="J2">
        <f>VLOOKUP(I2,gen_cost!$A$1:$AY$31,21)</f>
        <v>0</v>
      </c>
      <c r="K2">
        <f>VLOOKUP(I2,gen_cost!$A$1:$AY$31,22)</f>
        <v>0</v>
      </c>
      <c r="L2">
        <f>VLOOKUP(I2,gen_cost!$A$1:$AY$31,16)</f>
        <v>0</v>
      </c>
      <c r="M2">
        <f t="shared" ref="M2:Q11" si="1">+L2</f>
        <v>0</v>
      </c>
      <c r="N2">
        <f t="shared" si="1"/>
        <v>0</v>
      </c>
      <c r="O2">
        <f t="shared" si="1"/>
        <v>0</v>
      </c>
      <c r="P2">
        <f t="shared" si="1"/>
        <v>0</v>
      </c>
      <c r="Q2">
        <f t="shared" si="1"/>
        <v>0</v>
      </c>
      <c r="R2">
        <f>VLOOKUP(I2,gen_cost!$A$1:$AY$31,14)</f>
        <v>298.39</v>
      </c>
      <c r="S2">
        <f t="shared" ref="S2:W11" si="2">+R2</f>
        <v>298.39</v>
      </c>
      <c r="T2">
        <f t="shared" si="2"/>
        <v>298.39</v>
      </c>
      <c r="U2">
        <f t="shared" si="2"/>
        <v>298.39</v>
      </c>
      <c r="V2">
        <f t="shared" si="2"/>
        <v>298.39</v>
      </c>
      <c r="W2">
        <f t="shared" si="2"/>
        <v>298.39</v>
      </c>
      <c r="X2">
        <v>20</v>
      </c>
      <c r="Y2">
        <v>10</v>
      </c>
    </row>
    <row r="3" spans="1:25" x14ac:dyDescent="0.55000000000000004">
      <c r="A3" t="s">
        <v>471</v>
      </c>
      <c r="B3">
        <v>93</v>
      </c>
      <c r="C3">
        <v>230</v>
      </c>
      <c r="D3" t="s">
        <v>377</v>
      </c>
      <c r="E3">
        <v>0.128306</v>
      </c>
      <c r="F3">
        <v>0.27097100000000002</v>
      </c>
      <c r="G3">
        <v>33</v>
      </c>
      <c r="H3">
        <f t="shared" si="0"/>
        <v>93</v>
      </c>
      <c r="I3" t="s">
        <v>690</v>
      </c>
      <c r="J3">
        <f>VLOOKUP(I3,gen_cost!$A$1:$AY$31,21)</f>
        <v>0</v>
      </c>
      <c r="K3">
        <f>VLOOKUP(I3,gen_cost!$A$1:$AY$31,22)</f>
        <v>0</v>
      </c>
      <c r="L3">
        <f>VLOOKUP(I3,gen_cost!$A$1:$AY$31,16)</f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>VLOOKUP(I3,gen_cost!$A$1:$AY$31,14)</f>
        <v>298.39</v>
      </c>
      <c r="S3">
        <f t="shared" si="2"/>
        <v>298.39</v>
      </c>
      <c r="T3">
        <f t="shared" si="2"/>
        <v>298.39</v>
      </c>
      <c r="U3">
        <f t="shared" si="2"/>
        <v>298.39</v>
      </c>
      <c r="V3">
        <f t="shared" si="2"/>
        <v>298.39</v>
      </c>
      <c r="W3">
        <f t="shared" si="2"/>
        <v>298.39</v>
      </c>
      <c r="X3">
        <v>20</v>
      </c>
      <c r="Y3">
        <v>10</v>
      </c>
    </row>
    <row r="4" spans="1:25" x14ac:dyDescent="0.55000000000000004">
      <c r="A4" t="s">
        <v>487</v>
      </c>
      <c r="B4">
        <v>109</v>
      </c>
      <c r="C4">
        <v>230</v>
      </c>
      <c r="D4" t="s">
        <v>377</v>
      </c>
      <c r="E4">
        <v>0.128306</v>
      </c>
      <c r="F4">
        <v>0.27097100000000002</v>
      </c>
      <c r="G4">
        <v>55</v>
      </c>
      <c r="H4">
        <f t="shared" si="0"/>
        <v>109</v>
      </c>
      <c r="I4" t="s">
        <v>690</v>
      </c>
      <c r="J4">
        <f>VLOOKUP(I4,gen_cost!$A$1:$AY$31,21)</f>
        <v>0</v>
      </c>
      <c r="K4">
        <f>VLOOKUP(I4,gen_cost!$A$1:$AY$31,22)</f>
        <v>0</v>
      </c>
      <c r="L4">
        <f>VLOOKUP(I4,gen_cost!$A$1:$AY$31,16)</f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>VLOOKUP(I4,gen_cost!$A$1:$AY$31,14)</f>
        <v>298.39</v>
      </c>
      <c r="S4">
        <f t="shared" si="2"/>
        <v>298.39</v>
      </c>
      <c r="T4">
        <f t="shared" si="2"/>
        <v>298.39</v>
      </c>
      <c r="U4">
        <f t="shared" si="2"/>
        <v>298.39</v>
      </c>
      <c r="V4">
        <f t="shared" si="2"/>
        <v>298.39</v>
      </c>
      <c r="W4">
        <f t="shared" si="2"/>
        <v>298.39</v>
      </c>
      <c r="X4">
        <v>20</v>
      </c>
      <c r="Y4">
        <v>10</v>
      </c>
    </row>
    <row r="5" spans="1:25" x14ac:dyDescent="0.55000000000000004">
      <c r="A5" t="s">
        <v>472</v>
      </c>
      <c r="B5">
        <v>94</v>
      </c>
      <c r="C5">
        <v>230</v>
      </c>
      <c r="D5" t="s">
        <v>377</v>
      </c>
      <c r="E5">
        <v>0.12792000000000001</v>
      </c>
      <c r="F5">
        <v>0.269426</v>
      </c>
      <c r="G5">
        <v>63</v>
      </c>
      <c r="H5">
        <f t="shared" si="0"/>
        <v>94</v>
      </c>
      <c r="I5" t="s">
        <v>690</v>
      </c>
      <c r="J5">
        <f>VLOOKUP(I5,gen_cost!$A$1:$AY$31,21)</f>
        <v>0</v>
      </c>
      <c r="K5">
        <f>VLOOKUP(I5,gen_cost!$A$1:$AY$31,22)</f>
        <v>0</v>
      </c>
      <c r="L5">
        <f>VLOOKUP(I5,gen_cost!$A$1:$AY$31,16)</f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>VLOOKUP(I5,gen_cost!$A$1:$AY$31,14)</f>
        <v>298.39</v>
      </c>
      <c r="S5">
        <f t="shared" si="2"/>
        <v>298.39</v>
      </c>
      <c r="T5">
        <f t="shared" si="2"/>
        <v>298.39</v>
      </c>
      <c r="U5">
        <f t="shared" si="2"/>
        <v>298.39</v>
      </c>
      <c r="V5">
        <f t="shared" si="2"/>
        <v>298.39</v>
      </c>
      <c r="W5">
        <f t="shared" si="2"/>
        <v>298.39</v>
      </c>
      <c r="X5">
        <v>20</v>
      </c>
      <c r="Y5">
        <v>10</v>
      </c>
    </row>
    <row r="6" spans="1:25" x14ac:dyDescent="0.55000000000000004">
      <c r="A6" t="s">
        <v>384</v>
      </c>
      <c r="B6">
        <v>8</v>
      </c>
      <c r="C6">
        <v>230</v>
      </c>
      <c r="D6" t="s">
        <v>377</v>
      </c>
      <c r="E6">
        <v>0.12692400000000001</v>
      </c>
      <c r="F6">
        <v>0.26522099999999998</v>
      </c>
      <c r="G6">
        <v>65</v>
      </c>
      <c r="H6">
        <f t="shared" si="0"/>
        <v>8</v>
      </c>
      <c r="I6" t="s">
        <v>690</v>
      </c>
      <c r="J6">
        <f>VLOOKUP(I6,gen_cost!$A$1:$AY$31,21)</f>
        <v>0</v>
      </c>
      <c r="K6">
        <f>VLOOKUP(I6,gen_cost!$A$1:$AY$31,22)</f>
        <v>0</v>
      </c>
      <c r="L6">
        <f>VLOOKUP(I6,gen_cost!$A$1:$AY$31,16)</f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>VLOOKUP(I6,gen_cost!$A$1:$AY$31,14)</f>
        <v>298.39</v>
      </c>
      <c r="S6">
        <f t="shared" si="2"/>
        <v>298.39</v>
      </c>
      <c r="T6">
        <f t="shared" si="2"/>
        <v>298.39</v>
      </c>
      <c r="U6">
        <f t="shared" si="2"/>
        <v>298.39</v>
      </c>
      <c r="V6">
        <f t="shared" si="2"/>
        <v>298.39</v>
      </c>
      <c r="W6">
        <f t="shared" si="2"/>
        <v>298.39</v>
      </c>
      <c r="X6">
        <v>20</v>
      </c>
      <c r="Y6">
        <v>10</v>
      </c>
    </row>
    <row r="7" spans="1:25" x14ac:dyDescent="0.55000000000000004">
      <c r="A7" t="s">
        <v>527</v>
      </c>
      <c r="B7">
        <v>149</v>
      </c>
      <c r="C7">
        <v>230</v>
      </c>
      <c r="D7" t="s">
        <v>377</v>
      </c>
      <c r="E7">
        <v>0.126916</v>
      </c>
      <c r="F7">
        <v>0.26518000000000003</v>
      </c>
      <c r="G7">
        <v>66</v>
      </c>
      <c r="H7">
        <f t="shared" si="0"/>
        <v>149</v>
      </c>
      <c r="I7" t="s">
        <v>690</v>
      </c>
      <c r="J7">
        <f>VLOOKUP(I7,gen_cost!$A$1:$AY$31,21)</f>
        <v>0</v>
      </c>
      <c r="K7">
        <f>VLOOKUP(I7,gen_cost!$A$1:$AY$31,22)</f>
        <v>0</v>
      </c>
      <c r="L7">
        <f>VLOOKUP(I7,gen_cost!$A$1:$AY$31,16)</f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>VLOOKUP(I7,gen_cost!$A$1:$AY$31,14)</f>
        <v>298.39</v>
      </c>
      <c r="S7">
        <f t="shared" si="2"/>
        <v>298.39</v>
      </c>
      <c r="T7">
        <f t="shared" si="2"/>
        <v>298.39</v>
      </c>
      <c r="U7">
        <f t="shared" si="2"/>
        <v>298.39</v>
      </c>
      <c r="V7">
        <f t="shared" si="2"/>
        <v>298.39</v>
      </c>
      <c r="W7">
        <f t="shared" si="2"/>
        <v>298.39</v>
      </c>
      <c r="X7">
        <v>20</v>
      </c>
      <c r="Y7">
        <v>10</v>
      </c>
    </row>
    <row r="8" spans="1:25" x14ac:dyDescent="0.55000000000000004">
      <c r="A8" t="s">
        <v>465</v>
      </c>
      <c r="B8">
        <v>87</v>
      </c>
      <c r="C8">
        <v>230</v>
      </c>
      <c r="D8" t="s">
        <v>377</v>
      </c>
      <c r="E8">
        <v>0.12626299999999999</v>
      </c>
      <c r="F8">
        <v>0.26282800000000001</v>
      </c>
      <c r="G8">
        <v>67</v>
      </c>
      <c r="H8">
        <f t="shared" si="0"/>
        <v>87</v>
      </c>
      <c r="I8" t="s">
        <v>690</v>
      </c>
      <c r="J8">
        <f>VLOOKUP(I8,gen_cost!$A$1:$AY$31,21)</f>
        <v>0</v>
      </c>
      <c r="K8">
        <f>VLOOKUP(I8,gen_cost!$A$1:$AY$31,22)</f>
        <v>0</v>
      </c>
      <c r="L8">
        <f>VLOOKUP(I8,gen_cost!$A$1:$AY$31,16)</f>
        <v>0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>VLOOKUP(I8,gen_cost!$A$1:$AY$31,14)</f>
        <v>298.39</v>
      </c>
      <c r="S8">
        <f t="shared" si="2"/>
        <v>298.39</v>
      </c>
      <c r="T8">
        <f t="shared" si="2"/>
        <v>298.39</v>
      </c>
      <c r="U8">
        <f t="shared" si="2"/>
        <v>298.39</v>
      </c>
      <c r="V8">
        <f t="shared" si="2"/>
        <v>298.39</v>
      </c>
      <c r="W8">
        <f t="shared" si="2"/>
        <v>298.39</v>
      </c>
      <c r="X8">
        <v>20</v>
      </c>
      <c r="Y8">
        <v>10</v>
      </c>
    </row>
    <row r="9" spans="1:25" x14ac:dyDescent="0.55000000000000004">
      <c r="A9" t="s">
        <v>466</v>
      </c>
      <c r="B9">
        <v>88</v>
      </c>
      <c r="C9">
        <v>230</v>
      </c>
      <c r="D9" t="s">
        <v>377</v>
      </c>
      <c r="E9">
        <v>0.12526799999999999</v>
      </c>
      <c r="F9">
        <v>0.25603199999999998</v>
      </c>
      <c r="G9">
        <v>68</v>
      </c>
      <c r="H9">
        <f t="shared" si="0"/>
        <v>88</v>
      </c>
      <c r="I9" t="s">
        <v>690</v>
      </c>
      <c r="J9">
        <f>VLOOKUP(I9,gen_cost!$A$1:$AY$31,21)</f>
        <v>0</v>
      </c>
      <c r="K9">
        <f>VLOOKUP(I9,gen_cost!$A$1:$AY$31,22)</f>
        <v>0</v>
      </c>
      <c r="L9">
        <f>VLOOKUP(I9,gen_cost!$A$1:$AY$31,16)</f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>VLOOKUP(I9,gen_cost!$A$1:$AY$31,14)</f>
        <v>298.39</v>
      </c>
      <c r="S9">
        <f t="shared" si="2"/>
        <v>298.39</v>
      </c>
      <c r="T9">
        <f t="shared" si="2"/>
        <v>298.39</v>
      </c>
      <c r="U9">
        <f t="shared" si="2"/>
        <v>298.39</v>
      </c>
      <c r="V9">
        <f t="shared" si="2"/>
        <v>298.39</v>
      </c>
      <c r="W9">
        <f t="shared" si="2"/>
        <v>298.39</v>
      </c>
      <c r="X9">
        <v>20</v>
      </c>
      <c r="Y9">
        <v>10</v>
      </c>
    </row>
    <row r="10" spans="1:25" x14ac:dyDescent="0.55000000000000004">
      <c r="A10" t="s">
        <v>469</v>
      </c>
      <c r="B10">
        <v>91</v>
      </c>
      <c r="C10">
        <v>230</v>
      </c>
      <c r="D10" t="s">
        <v>377</v>
      </c>
      <c r="E10">
        <v>0.123835</v>
      </c>
      <c r="F10">
        <v>0.25579499999999999</v>
      </c>
      <c r="G10">
        <v>32</v>
      </c>
      <c r="H10">
        <v>2</v>
      </c>
      <c r="I10" t="s">
        <v>562</v>
      </c>
      <c r="J10">
        <f>VLOOKUP(I10,gen_cost!$A$1:$AY$31,21)</f>
        <v>0</v>
      </c>
      <c r="K10">
        <f>VLOOKUP(I10,gen_cost!$A$1:$AY$31,22)</f>
        <v>0</v>
      </c>
      <c r="L10">
        <f>VLOOKUP(I10,gen_cost!$A$1:$AY$31,16)</f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>VLOOKUP(I10,gen_cost!$A$1:$AY$31,14)</f>
        <v>201.62</v>
      </c>
      <c r="S10">
        <f t="shared" si="2"/>
        <v>201.62</v>
      </c>
      <c r="T10">
        <f t="shared" si="2"/>
        <v>201.62</v>
      </c>
      <c r="U10">
        <f t="shared" si="2"/>
        <v>201.62</v>
      </c>
      <c r="V10">
        <f t="shared" si="2"/>
        <v>201.62</v>
      </c>
      <c r="W10">
        <f t="shared" si="2"/>
        <v>201.62</v>
      </c>
      <c r="X10">
        <v>20</v>
      </c>
      <c r="Y10">
        <v>10</v>
      </c>
    </row>
    <row r="11" spans="1:25" x14ac:dyDescent="0.55000000000000004">
      <c r="A11" t="s">
        <v>511</v>
      </c>
      <c r="B11">
        <v>133</v>
      </c>
      <c r="C11">
        <v>230</v>
      </c>
      <c r="D11" t="s">
        <v>377</v>
      </c>
      <c r="E11">
        <v>0.123834</v>
      </c>
      <c r="F11">
        <v>0.255664</v>
      </c>
      <c r="G11">
        <v>33</v>
      </c>
      <c r="H11">
        <v>3</v>
      </c>
      <c r="I11" t="s">
        <v>562</v>
      </c>
      <c r="J11">
        <f>VLOOKUP(I11,gen_cost!$A$1:$AY$31,21)</f>
        <v>0</v>
      </c>
      <c r="K11">
        <f>VLOOKUP(I11,gen_cost!$A$1:$AY$31,22)</f>
        <v>0</v>
      </c>
      <c r="L11">
        <f>VLOOKUP(I11,gen_cost!$A$1:$AY$31,16)</f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>VLOOKUP(I11,gen_cost!$A$1:$AY$31,14)</f>
        <v>201.62</v>
      </c>
      <c r="S11">
        <f t="shared" si="2"/>
        <v>201.62</v>
      </c>
      <c r="T11">
        <f t="shared" si="2"/>
        <v>201.62</v>
      </c>
      <c r="U11">
        <f t="shared" si="2"/>
        <v>201.62</v>
      </c>
      <c r="V11">
        <f t="shared" si="2"/>
        <v>201.62</v>
      </c>
      <c r="W11">
        <f t="shared" si="2"/>
        <v>201.62</v>
      </c>
      <c r="X11">
        <v>20</v>
      </c>
      <c r="Y11">
        <v>10</v>
      </c>
    </row>
    <row r="12" spans="1:25" x14ac:dyDescent="0.55000000000000004">
      <c r="A12" t="s">
        <v>442</v>
      </c>
      <c r="B12">
        <v>65</v>
      </c>
      <c r="C12">
        <v>230</v>
      </c>
      <c r="D12" t="s">
        <v>377</v>
      </c>
      <c r="E12">
        <v>0.123819</v>
      </c>
      <c r="F12">
        <v>0.25562600000000002</v>
      </c>
      <c r="G12">
        <v>55</v>
      </c>
      <c r="H12">
        <v>32</v>
      </c>
      <c r="I12" t="s">
        <v>562</v>
      </c>
      <c r="J12">
        <f>VLOOKUP(I12,gen_cost!$A$1:$AY$31,21)</f>
        <v>0</v>
      </c>
      <c r="K12">
        <f>VLOOKUP(I12,gen_cost!$A$1:$AY$31,22)</f>
        <v>0</v>
      </c>
      <c r="L12">
        <f>VLOOKUP(I12,gen_cost!$A$1:$AY$31,16)</f>
        <v>0</v>
      </c>
      <c r="M12">
        <f t="shared" ref="M12:Q21" si="3">+L12</f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>VLOOKUP(I12,gen_cost!$A$1:$AY$31,14)</f>
        <v>201.62</v>
      </c>
      <c r="S12">
        <f t="shared" ref="S12:W21" si="4">+R12</f>
        <v>201.62</v>
      </c>
      <c r="T12">
        <f t="shared" si="4"/>
        <v>201.62</v>
      </c>
      <c r="U12">
        <f t="shared" si="4"/>
        <v>201.62</v>
      </c>
      <c r="V12">
        <f t="shared" si="4"/>
        <v>201.62</v>
      </c>
      <c r="W12">
        <f t="shared" si="4"/>
        <v>201.62</v>
      </c>
      <c r="X12">
        <v>20</v>
      </c>
      <c r="Y12">
        <v>10</v>
      </c>
    </row>
    <row r="13" spans="1:25" x14ac:dyDescent="0.55000000000000004">
      <c r="A13" t="s">
        <v>461</v>
      </c>
      <c r="B13">
        <v>84</v>
      </c>
      <c r="C13">
        <v>230</v>
      </c>
      <c r="D13" t="s">
        <v>377</v>
      </c>
      <c r="E13">
        <v>0.125032</v>
      </c>
      <c r="F13">
        <v>0.25444899999999998</v>
      </c>
      <c r="G13">
        <v>63</v>
      </c>
      <c r="H13">
        <v>31</v>
      </c>
      <c r="I13" t="s">
        <v>562</v>
      </c>
      <c r="J13">
        <f>VLOOKUP(I13,gen_cost!$A$1:$AY$31,21)</f>
        <v>0</v>
      </c>
      <c r="K13">
        <f>VLOOKUP(I13,gen_cost!$A$1:$AY$31,22)</f>
        <v>0</v>
      </c>
      <c r="L13">
        <f>VLOOKUP(I13,gen_cost!$A$1:$AY$31,16)</f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>VLOOKUP(I13,gen_cost!$A$1:$AY$31,14)</f>
        <v>201.62</v>
      </c>
      <c r="S13">
        <f t="shared" si="4"/>
        <v>201.62</v>
      </c>
      <c r="T13">
        <f t="shared" si="4"/>
        <v>201.62</v>
      </c>
      <c r="U13">
        <f t="shared" si="4"/>
        <v>201.62</v>
      </c>
      <c r="V13">
        <f t="shared" si="4"/>
        <v>201.62</v>
      </c>
      <c r="W13">
        <f t="shared" si="4"/>
        <v>201.62</v>
      </c>
      <c r="X13">
        <v>20</v>
      </c>
      <c r="Y13">
        <v>10</v>
      </c>
    </row>
    <row r="14" spans="1:25" x14ac:dyDescent="0.55000000000000004">
      <c r="A14" t="s">
        <v>460</v>
      </c>
      <c r="B14">
        <v>83</v>
      </c>
      <c r="C14">
        <v>230</v>
      </c>
      <c r="D14" t="s">
        <v>377</v>
      </c>
      <c r="E14">
        <v>0.12454900000000001</v>
      </c>
      <c r="F14">
        <v>0.25108399999999997</v>
      </c>
      <c r="G14">
        <v>65</v>
      </c>
      <c r="H14">
        <v>1</v>
      </c>
      <c r="I14" t="s">
        <v>562</v>
      </c>
      <c r="J14">
        <f>VLOOKUP(I14,gen_cost!$A$1:$AY$31,21)</f>
        <v>0</v>
      </c>
      <c r="K14">
        <f>VLOOKUP(I14,gen_cost!$A$1:$AY$31,22)</f>
        <v>0</v>
      </c>
      <c r="L14">
        <f>VLOOKUP(I14,gen_cost!$A$1:$AY$31,16)</f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>VLOOKUP(I14,gen_cost!$A$1:$AY$31,14)</f>
        <v>201.62</v>
      </c>
      <c r="S14">
        <f t="shared" si="4"/>
        <v>201.62</v>
      </c>
      <c r="T14">
        <f t="shared" si="4"/>
        <v>201.62</v>
      </c>
      <c r="U14">
        <f t="shared" si="4"/>
        <v>201.62</v>
      </c>
      <c r="V14">
        <f t="shared" si="4"/>
        <v>201.62</v>
      </c>
      <c r="W14">
        <f t="shared" si="4"/>
        <v>201.62</v>
      </c>
      <c r="X14">
        <v>20</v>
      </c>
      <c r="Y14">
        <v>10</v>
      </c>
    </row>
    <row r="15" spans="1:25" x14ac:dyDescent="0.55000000000000004">
      <c r="A15" t="s">
        <v>510</v>
      </c>
      <c r="B15">
        <v>132</v>
      </c>
      <c r="C15">
        <v>230</v>
      </c>
      <c r="D15" t="s">
        <v>377</v>
      </c>
      <c r="E15">
        <v>0.125557</v>
      </c>
      <c r="F15">
        <v>0.246919</v>
      </c>
      <c r="G15">
        <v>66</v>
      </c>
      <c r="H15">
        <v>81</v>
      </c>
      <c r="I15" t="s">
        <v>562</v>
      </c>
      <c r="J15">
        <f>VLOOKUP(I15,gen_cost!$A$1:$AY$31,21)</f>
        <v>0</v>
      </c>
      <c r="K15">
        <f>VLOOKUP(I15,gen_cost!$A$1:$AY$31,22)</f>
        <v>0</v>
      </c>
      <c r="L15">
        <f>VLOOKUP(I15,gen_cost!$A$1:$AY$31,16)</f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>VLOOKUP(I15,gen_cost!$A$1:$AY$31,14)</f>
        <v>201.62</v>
      </c>
      <c r="S15">
        <f t="shared" si="4"/>
        <v>201.62</v>
      </c>
      <c r="T15">
        <f t="shared" si="4"/>
        <v>201.62</v>
      </c>
      <c r="U15">
        <f t="shared" si="4"/>
        <v>201.62</v>
      </c>
      <c r="V15">
        <f t="shared" si="4"/>
        <v>201.62</v>
      </c>
      <c r="W15">
        <f t="shared" si="4"/>
        <v>201.62</v>
      </c>
      <c r="X15">
        <v>20</v>
      </c>
      <c r="Y15">
        <v>10</v>
      </c>
    </row>
    <row r="16" spans="1:25" x14ac:dyDescent="0.55000000000000004">
      <c r="A16" t="s">
        <v>508</v>
      </c>
      <c r="B16">
        <v>130</v>
      </c>
      <c r="C16">
        <v>230</v>
      </c>
      <c r="D16" t="s">
        <v>377</v>
      </c>
      <c r="E16">
        <v>0.125944</v>
      </c>
      <c r="F16">
        <v>0.245564</v>
      </c>
      <c r="G16">
        <v>67</v>
      </c>
      <c r="H16">
        <v>46</v>
      </c>
      <c r="I16" t="s">
        <v>562</v>
      </c>
      <c r="J16">
        <f>VLOOKUP(I16,gen_cost!$A$1:$AY$31,21)</f>
        <v>0</v>
      </c>
      <c r="K16">
        <f>VLOOKUP(I16,gen_cost!$A$1:$AY$31,22)</f>
        <v>0</v>
      </c>
      <c r="L16">
        <f>VLOOKUP(I16,gen_cost!$A$1:$AY$31,16)</f>
        <v>0</v>
      </c>
      <c r="M16">
        <f t="shared" si="3"/>
        <v>0</v>
      </c>
      <c r="N16">
        <f t="shared" si="3"/>
        <v>0</v>
      </c>
      <c r="O16">
        <f t="shared" si="3"/>
        <v>0</v>
      </c>
      <c r="P16">
        <f t="shared" si="3"/>
        <v>0</v>
      </c>
      <c r="Q16">
        <f t="shared" si="3"/>
        <v>0</v>
      </c>
      <c r="R16">
        <f>VLOOKUP(I16,gen_cost!$A$1:$AY$31,14)</f>
        <v>201.62</v>
      </c>
      <c r="S16">
        <f t="shared" si="4"/>
        <v>201.62</v>
      </c>
      <c r="T16">
        <f t="shared" si="4"/>
        <v>201.62</v>
      </c>
      <c r="U16">
        <f t="shared" si="4"/>
        <v>201.62</v>
      </c>
      <c r="V16">
        <f t="shared" si="4"/>
        <v>201.62</v>
      </c>
      <c r="W16">
        <f t="shared" si="4"/>
        <v>201.62</v>
      </c>
      <c r="X16">
        <v>20</v>
      </c>
      <c r="Y16">
        <v>10</v>
      </c>
    </row>
    <row r="17" spans="1:25" x14ac:dyDescent="0.55000000000000004">
      <c r="A17" t="s">
        <v>391</v>
      </c>
      <c r="B17">
        <v>14</v>
      </c>
      <c r="C17">
        <v>230</v>
      </c>
      <c r="D17" t="s">
        <v>377</v>
      </c>
      <c r="E17">
        <v>0.12562999999999999</v>
      </c>
      <c r="F17">
        <v>0.24294299999999999</v>
      </c>
      <c r="G17">
        <v>68</v>
      </c>
      <c r="H17">
        <v>45</v>
      </c>
      <c r="I17" t="s">
        <v>562</v>
      </c>
      <c r="J17">
        <f>VLOOKUP(I17,gen_cost!$A$1:$AY$31,21)</f>
        <v>0</v>
      </c>
      <c r="K17">
        <f>VLOOKUP(I17,gen_cost!$A$1:$AY$31,22)</f>
        <v>0</v>
      </c>
      <c r="L17">
        <f>VLOOKUP(I17,gen_cost!$A$1:$AY$31,16)</f>
        <v>0</v>
      </c>
      <c r="M17">
        <f t="shared" si="3"/>
        <v>0</v>
      </c>
      <c r="N17">
        <f t="shared" si="3"/>
        <v>0</v>
      </c>
      <c r="O17">
        <f t="shared" si="3"/>
        <v>0</v>
      </c>
      <c r="P17">
        <f t="shared" si="3"/>
        <v>0</v>
      </c>
      <c r="Q17">
        <f t="shared" si="3"/>
        <v>0</v>
      </c>
      <c r="R17">
        <f>VLOOKUP(I17,gen_cost!$A$1:$AY$31,14)</f>
        <v>201.62</v>
      </c>
      <c r="S17">
        <f t="shared" si="4"/>
        <v>201.62</v>
      </c>
      <c r="T17">
        <f t="shared" si="4"/>
        <v>201.62</v>
      </c>
      <c r="U17">
        <f t="shared" si="4"/>
        <v>201.62</v>
      </c>
      <c r="V17">
        <f t="shared" si="4"/>
        <v>201.62</v>
      </c>
      <c r="W17">
        <f t="shared" si="4"/>
        <v>201.62</v>
      </c>
      <c r="X17">
        <v>20</v>
      </c>
      <c r="Y17">
        <v>10</v>
      </c>
    </row>
    <row r="18" spans="1:25" x14ac:dyDescent="0.55000000000000004">
      <c r="A18" t="s">
        <v>389</v>
      </c>
      <c r="B18">
        <v>12</v>
      </c>
      <c r="C18">
        <v>230</v>
      </c>
      <c r="D18" t="s">
        <v>377</v>
      </c>
      <c r="E18">
        <v>0.12418999999999999</v>
      </c>
      <c r="F18">
        <v>0.24282100000000001</v>
      </c>
      <c r="G18">
        <v>32</v>
      </c>
      <c r="H18">
        <v>2</v>
      </c>
      <c r="I18" t="s">
        <v>659</v>
      </c>
      <c r="J18">
        <f>VLOOKUP(I18,gen_cost!$A$1:$AY$31,21)</f>
        <v>3.7997999999999997E-2</v>
      </c>
      <c r="K18">
        <f>VLOOKUP(I18,gen_cost!$A$1:$AY$31,22)</f>
        <v>7.16</v>
      </c>
      <c r="L18">
        <f>VLOOKUP(I18,gen_cost!$A$1:$AY$31,16)</f>
        <v>8.5399999999999991</v>
      </c>
      <c r="M18">
        <f t="shared" si="3"/>
        <v>8.5399999999999991</v>
      </c>
      <c r="N18">
        <f t="shared" si="3"/>
        <v>8.5399999999999991</v>
      </c>
      <c r="O18">
        <f t="shared" si="3"/>
        <v>8.5399999999999991</v>
      </c>
      <c r="P18">
        <f t="shared" si="3"/>
        <v>8.5399999999999991</v>
      </c>
      <c r="Q18">
        <f t="shared" si="3"/>
        <v>8.5399999999999991</v>
      </c>
      <c r="R18">
        <f>VLOOKUP(I18,gen_cost!$A$1:$AY$31,14)</f>
        <v>442.87</v>
      </c>
      <c r="S18">
        <f t="shared" si="4"/>
        <v>442.87</v>
      </c>
      <c r="T18">
        <f t="shared" si="4"/>
        <v>442.87</v>
      </c>
      <c r="U18">
        <f t="shared" si="4"/>
        <v>442.87</v>
      </c>
      <c r="V18">
        <f t="shared" si="4"/>
        <v>442.87</v>
      </c>
      <c r="W18">
        <f t="shared" si="4"/>
        <v>442.87</v>
      </c>
      <c r="X18">
        <v>20</v>
      </c>
      <c r="Y18">
        <v>10</v>
      </c>
    </row>
    <row r="19" spans="1:25" x14ac:dyDescent="0.55000000000000004">
      <c r="A19" t="s">
        <v>452</v>
      </c>
      <c r="B19">
        <v>75</v>
      </c>
      <c r="C19">
        <v>230</v>
      </c>
      <c r="D19" t="s">
        <v>377</v>
      </c>
      <c r="E19">
        <v>0.124004</v>
      </c>
      <c r="F19">
        <v>0.23844499999999999</v>
      </c>
      <c r="G19">
        <v>33</v>
      </c>
      <c r="H19">
        <v>3</v>
      </c>
      <c r="I19" t="s">
        <v>659</v>
      </c>
      <c r="J19">
        <f>VLOOKUP(I19,gen_cost!$A$1:$AY$31,21)</f>
        <v>3.7997999999999997E-2</v>
      </c>
      <c r="K19">
        <f>VLOOKUP(I19,gen_cost!$A$1:$AY$31,22)</f>
        <v>7.16</v>
      </c>
      <c r="L19">
        <f>VLOOKUP(I19,gen_cost!$A$1:$AY$31,16)</f>
        <v>8.5399999999999991</v>
      </c>
      <c r="M19">
        <f t="shared" si="3"/>
        <v>8.5399999999999991</v>
      </c>
      <c r="N19">
        <f t="shared" si="3"/>
        <v>8.5399999999999991</v>
      </c>
      <c r="O19">
        <f t="shared" si="3"/>
        <v>8.5399999999999991</v>
      </c>
      <c r="P19">
        <f t="shared" si="3"/>
        <v>8.5399999999999991</v>
      </c>
      <c r="Q19">
        <f t="shared" si="3"/>
        <v>8.5399999999999991</v>
      </c>
      <c r="R19">
        <f>VLOOKUP(I19,gen_cost!$A$1:$AY$31,14)</f>
        <v>442.87</v>
      </c>
      <c r="S19">
        <f t="shared" si="4"/>
        <v>442.87</v>
      </c>
      <c r="T19">
        <f t="shared" si="4"/>
        <v>442.87</v>
      </c>
      <c r="U19">
        <f t="shared" si="4"/>
        <v>442.87</v>
      </c>
      <c r="V19">
        <f t="shared" si="4"/>
        <v>442.87</v>
      </c>
      <c r="W19">
        <f t="shared" si="4"/>
        <v>442.87</v>
      </c>
      <c r="X19">
        <v>20</v>
      </c>
      <c r="Y19">
        <v>10</v>
      </c>
    </row>
    <row r="20" spans="1:25" x14ac:dyDescent="0.55000000000000004">
      <c r="A20" t="s">
        <v>468</v>
      </c>
      <c r="B20">
        <v>90</v>
      </c>
      <c r="C20">
        <v>230</v>
      </c>
      <c r="D20" t="s">
        <v>377</v>
      </c>
      <c r="E20">
        <v>0.121778</v>
      </c>
      <c r="F20">
        <v>0.23546900000000001</v>
      </c>
      <c r="G20">
        <v>55</v>
      </c>
      <c r="H20">
        <v>32</v>
      </c>
      <c r="I20" t="s">
        <v>659</v>
      </c>
      <c r="J20">
        <f>VLOOKUP(I20,gen_cost!$A$1:$AY$31,21)</f>
        <v>3.7997999999999997E-2</v>
      </c>
      <c r="K20">
        <f>VLOOKUP(I20,gen_cost!$A$1:$AY$31,22)</f>
        <v>7.16</v>
      </c>
      <c r="L20">
        <f>VLOOKUP(I20,gen_cost!$A$1:$AY$31,16)</f>
        <v>8.5399999999999991</v>
      </c>
      <c r="M20">
        <f t="shared" si="3"/>
        <v>8.5399999999999991</v>
      </c>
      <c r="N20">
        <f t="shared" si="3"/>
        <v>8.5399999999999991</v>
      </c>
      <c r="O20">
        <f t="shared" si="3"/>
        <v>8.5399999999999991</v>
      </c>
      <c r="P20">
        <f t="shared" si="3"/>
        <v>8.5399999999999991</v>
      </c>
      <c r="Q20">
        <f t="shared" si="3"/>
        <v>8.5399999999999991</v>
      </c>
      <c r="R20">
        <f>VLOOKUP(I20,gen_cost!$A$1:$AY$31,14)</f>
        <v>442.87</v>
      </c>
      <c r="S20">
        <f t="shared" si="4"/>
        <v>442.87</v>
      </c>
      <c r="T20">
        <f t="shared" si="4"/>
        <v>442.87</v>
      </c>
      <c r="U20">
        <f t="shared" si="4"/>
        <v>442.87</v>
      </c>
      <c r="V20">
        <f t="shared" si="4"/>
        <v>442.87</v>
      </c>
      <c r="W20">
        <f t="shared" si="4"/>
        <v>442.87</v>
      </c>
      <c r="X20">
        <v>20</v>
      </c>
      <c r="Y20">
        <v>10</v>
      </c>
    </row>
    <row r="21" spans="1:25" x14ac:dyDescent="0.55000000000000004">
      <c r="A21" t="s">
        <v>497</v>
      </c>
      <c r="B21">
        <v>119</v>
      </c>
      <c r="C21">
        <v>287</v>
      </c>
      <c r="D21" t="s">
        <v>377</v>
      </c>
      <c r="E21">
        <v>0.102163</v>
      </c>
      <c r="F21">
        <v>0.23413300000000001</v>
      </c>
      <c r="G21">
        <v>63</v>
      </c>
      <c r="H21">
        <v>31</v>
      </c>
      <c r="I21" t="s">
        <v>659</v>
      </c>
      <c r="J21">
        <f>VLOOKUP(I21,gen_cost!$A$1:$AY$31,21)</f>
        <v>3.7997999999999997E-2</v>
      </c>
      <c r="K21">
        <f>VLOOKUP(I21,gen_cost!$A$1:$AY$31,22)</f>
        <v>7.16</v>
      </c>
      <c r="L21">
        <f>VLOOKUP(I21,gen_cost!$A$1:$AY$31,16)</f>
        <v>8.5399999999999991</v>
      </c>
      <c r="M21">
        <f t="shared" si="3"/>
        <v>8.5399999999999991</v>
      </c>
      <c r="N21">
        <f t="shared" si="3"/>
        <v>8.5399999999999991</v>
      </c>
      <c r="O21">
        <f t="shared" si="3"/>
        <v>8.5399999999999991</v>
      </c>
      <c r="P21">
        <f t="shared" si="3"/>
        <v>8.5399999999999991</v>
      </c>
      <c r="Q21">
        <f t="shared" si="3"/>
        <v>8.5399999999999991</v>
      </c>
      <c r="R21">
        <f>VLOOKUP(I21,gen_cost!$A$1:$AY$31,14)</f>
        <v>442.87</v>
      </c>
      <c r="S21">
        <f t="shared" si="4"/>
        <v>442.87</v>
      </c>
      <c r="T21">
        <f t="shared" si="4"/>
        <v>442.87</v>
      </c>
      <c r="U21">
        <f t="shared" si="4"/>
        <v>442.87</v>
      </c>
      <c r="V21">
        <f t="shared" si="4"/>
        <v>442.87</v>
      </c>
      <c r="W21">
        <f t="shared" si="4"/>
        <v>442.87</v>
      </c>
      <c r="X21">
        <v>20</v>
      </c>
      <c r="Y21">
        <v>10</v>
      </c>
    </row>
    <row r="22" spans="1:25" x14ac:dyDescent="0.55000000000000004">
      <c r="A22" t="s">
        <v>515</v>
      </c>
      <c r="B22">
        <v>137</v>
      </c>
      <c r="C22">
        <v>230</v>
      </c>
      <c r="D22" t="s">
        <v>377</v>
      </c>
      <c r="E22">
        <v>0.12482600000000001</v>
      </c>
      <c r="F22">
        <v>0.225495</v>
      </c>
      <c r="G22">
        <v>65</v>
      </c>
      <c r="H22">
        <v>1</v>
      </c>
      <c r="I22" t="s">
        <v>659</v>
      </c>
      <c r="J22">
        <f>VLOOKUP(I22,gen_cost!$A$1:$AY$31,21)</f>
        <v>3.7997999999999997E-2</v>
      </c>
      <c r="K22">
        <f>VLOOKUP(I22,gen_cost!$A$1:$AY$31,22)</f>
        <v>7.16</v>
      </c>
      <c r="L22">
        <f>VLOOKUP(I22,gen_cost!$A$1:$AY$31,16)</f>
        <v>8.5399999999999991</v>
      </c>
      <c r="M22">
        <f t="shared" ref="M22:Q31" si="5">+L22</f>
        <v>8.5399999999999991</v>
      </c>
      <c r="N22">
        <f t="shared" si="5"/>
        <v>8.5399999999999991</v>
      </c>
      <c r="O22">
        <f t="shared" si="5"/>
        <v>8.5399999999999991</v>
      </c>
      <c r="P22">
        <f t="shared" si="5"/>
        <v>8.5399999999999991</v>
      </c>
      <c r="Q22">
        <f t="shared" si="5"/>
        <v>8.5399999999999991</v>
      </c>
      <c r="R22">
        <f>VLOOKUP(I22,gen_cost!$A$1:$AY$31,14)</f>
        <v>442.87</v>
      </c>
      <c r="S22">
        <f t="shared" ref="S22:W31" si="6">+R22</f>
        <v>442.87</v>
      </c>
      <c r="T22">
        <f t="shared" si="6"/>
        <v>442.87</v>
      </c>
      <c r="U22">
        <f t="shared" si="6"/>
        <v>442.87</v>
      </c>
      <c r="V22">
        <f t="shared" si="6"/>
        <v>442.87</v>
      </c>
      <c r="W22">
        <f t="shared" si="6"/>
        <v>442.87</v>
      </c>
      <c r="X22">
        <v>20</v>
      </c>
      <c r="Y22">
        <v>10</v>
      </c>
    </row>
    <row r="23" spans="1:25" x14ac:dyDescent="0.55000000000000004">
      <c r="A23" t="s">
        <v>514</v>
      </c>
      <c r="B23">
        <v>136</v>
      </c>
      <c r="C23">
        <v>230</v>
      </c>
      <c r="D23" t="s">
        <v>377</v>
      </c>
      <c r="E23">
        <v>0.124776</v>
      </c>
      <c r="F23">
        <v>0.22491700000000001</v>
      </c>
      <c r="G23">
        <v>66</v>
      </c>
      <c r="H23">
        <v>81</v>
      </c>
      <c r="I23" t="s">
        <v>659</v>
      </c>
      <c r="J23">
        <f>VLOOKUP(I23,gen_cost!$A$1:$AY$31,21)</f>
        <v>3.7997999999999997E-2</v>
      </c>
      <c r="K23">
        <f>VLOOKUP(I23,gen_cost!$A$1:$AY$31,22)</f>
        <v>7.16</v>
      </c>
      <c r="L23">
        <f>VLOOKUP(I23,gen_cost!$A$1:$AY$31,16)</f>
        <v>8.5399999999999991</v>
      </c>
      <c r="M23">
        <f t="shared" si="5"/>
        <v>8.5399999999999991</v>
      </c>
      <c r="N23">
        <f t="shared" si="5"/>
        <v>8.5399999999999991</v>
      </c>
      <c r="O23">
        <f t="shared" si="5"/>
        <v>8.5399999999999991</v>
      </c>
      <c r="P23">
        <f t="shared" si="5"/>
        <v>8.5399999999999991</v>
      </c>
      <c r="Q23">
        <f t="shared" si="5"/>
        <v>8.5399999999999991</v>
      </c>
      <c r="R23">
        <f>VLOOKUP(I23,gen_cost!$A$1:$AY$31,14)</f>
        <v>442.87</v>
      </c>
      <c r="S23">
        <f t="shared" si="6"/>
        <v>442.87</v>
      </c>
      <c r="T23">
        <f t="shared" si="6"/>
        <v>442.87</v>
      </c>
      <c r="U23">
        <f t="shared" si="6"/>
        <v>442.87</v>
      </c>
      <c r="V23">
        <f t="shared" si="6"/>
        <v>442.87</v>
      </c>
      <c r="W23">
        <f t="shared" si="6"/>
        <v>442.87</v>
      </c>
      <c r="X23">
        <v>20</v>
      </c>
      <c r="Y23">
        <v>10</v>
      </c>
    </row>
    <row r="24" spans="1:25" x14ac:dyDescent="0.55000000000000004">
      <c r="A24" t="s">
        <v>513</v>
      </c>
      <c r="B24">
        <v>135</v>
      </c>
      <c r="C24">
        <v>230</v>
      </c>
      <c r="D24" t="s">
        <v>377</v>
      </c>
      <c r="E24">
        <v>0.12468799999999999</v>
      </c>
      <c r="F24">
        <v>0.22270499999999999</v>
      </c>
      <c r="G24">
        <v>67</v>
      </c>
      <c r="H24">
        <v>46</v>
      </c>
      <c r="I24" t="s">
        <v>659</v>
      </c>
      <c r="J24">
        <f>VLOOKUP(I24,gen_cost!$A$1:$AY$31,21)</f>
        <v>3.7997999999999997E-2</v>
      </c>
      <c r="K24">
        <f>VLOOKUP(I24,gen_cost!$A$1:$AY$31,22)</f>
        <v>7.16</v>
      </c>
      <c r="L24">
        <f>VLOOKUP(I24,gen_cost!$A$1:$AY$31,16)</f>
        <v>8.5399999999999991</v>
      </c>
      <c r="M24">
        <f t="shared" si="5"/>
        <v>8.5399999999999991</v>
      </c>
      <c r="N24">
        <f t="shared" si="5"/>
        <v>8.5399999999999991</v>
      </c>
      <c r="O24">
        <f t="shared" si="5"/>
        <v>8.5399999999999991</v>
      </c>
      <c r="P24">
        <f t="shared" si="5"/>
        <v>8.5399999999999991</v>
      </c>
      <c r="Q24">
        <f t="shared" si="5"/>
        <v>8.5399999999999991</v>
      </c>
      <c r="R24">
        <f>VLOOKUP(I24,gen_cost!$A$1:$AY$31,14)</f>
        <v>442.87</v>
      </c>
      <c r="S24">
        <f t="shared" si="6"/>
        <v>442.87</v>
      </c>
      <c r="T24">
        <f t="shared" si="6"/>
        <v>442.87</v>
      </c>
      <c r="U24">
        <f t="shared" si="6"/>
        <v>442.87</v>
      </c>
      <c r="V24">
        <f t="shared" si="6"/>
        <v>442.87</v>
      </c>
      <c r="W24">
        <f t="shared" si="6"/>
        <v>442.87</v>
      </c>
      <c r="X24">
        <v>20</v>
      </c>
      <c r="Y24">
        <v>10</v>
      </c>
    </row>
    <row r="25" spans="1:25" x14ac:dyDescent="0.55000000000000004">
      <c r="A25" t="s">
        <v>482</v>
      </c>
      <c r="B25">
        <v>104</v>
      </c>
      <c r="C25">
        <v>500</v>
      </c>
      <c r="D25" t="s">
        <v>377</v>
      </c>
      <c r="E25">
        <v>0.123622</v>
      </c>
      <c r="F25">
        <v>0.213473</v>
      </c>
      <c r="G25">
        <v>68</v>
      </c>
      <c r="H25">
        <v>45</v>
      </c>
      <c r="I25" t="s">
        <v>659</v>
      </c>
      <c r="J25">
        <f>VLOOKUP(I25,gen_cost!$A$1:$AY$31,21)</f>
        <v>3.7997999999999997E-2</v>
      </c>
      <c r="K25">
        <f>VLOOKUP(I25,gen_cost!$A$1:$AY$31,22)</f>
        <v>7.16</v>
      </c>
      <c r="L25">
        <f>VLOOKUP(I25,gen_cost!$A$1:$AY$31,16)</f>
        <v>8.5399999999999991</v>
      </c>
      <c r="M25">
        <f t="shared" si="5"/>
        <v>8.5399999999999991</v>
      </c>
      <c r="N25">
        <f t="shared" si="5"/>
        <v>8.5399999999999991</v>
      </c>
      <c r="O25">
        <f t="shared" si="5"/>
        <v>8.5399999999999991</v>
      </c>
      <c r="P25">
        <f t="shared" si="5"/>
        <v>8.5399999999999991</v>
      </c>
      <c r="Q25">
        <f t="shared" si="5"/>
        <v>8.5399999999999991</v>
      </c>
      <c r="R25">
        <f>VLOOKUP(I25,gen_cost!$A$1:$AY$31,14)</f>
        <v>442.87</v>
      </c>
      <c r="S25">
        <f t="shared" si="6"/>
        <v>442.87</v>
      </c>
      <c r="T25">
        <f t="shared" si="6"/>
        <v>442.87</v>
      </c>
      <c r="U25">
        <f t="shared" si="6"/>
        <v>442.87</v>
      </c>
      <c r="V25">
        <f t="shared" si="6"/>
        <v>442.87</v>
      </c>
      <c r="W25">
        <f t="shared" si="6"/>
        <v>442.87</v>
      </c>
      <c r="X25">
        <v>20</v>
      </c>
      <c r="Y25">
        <v>10</v>
      </c>
    </row>
    <row r="26" spans="1:25" x14ac:dyDescent="0.55000000000000004">
      <c r="A26" t="s">
        <v>413</v>
      </c>
      <c r="B26">
        <v>36</v>
      </c>
      <c r="C26">
        <v>230</v>
      </c>
      <c r="D26" t="s">
        <v>377</v>
      </c>
      <c r="E26">
        <v>0.12227499999999999</v>
      </c>
      <c r="F26">
        <v>0.20877899999999999</v>
      </c>
      <c r="G26">
        <v>32</v>
      </c>
      <c r="H26">
        <v>2</v>
      </c>
      <c r="I26" t="s">
        <v>659</v>
      </c>
      <c r="J26">
        <f>VLOOKUP(I26,gen_cost!$A$1:$AY$31,21)</f>
        <v>3.7997999999999997E-2</v>
      </c>
      <c r="K26">
        <f>VLOOKUP(I26,gen_cost!$A$1:$AY$31,22)</f>
        <v>7.16</v>
      </c>
      <c r="L26">
        <f>VLOOKUP(I26,gen_cost!$A$1:$AY$31,16)</f>
        <v>8.5399999999999991</v>
      </c>
      <c r="M26">
        <f t="shared" si="5"/>
        <v>8.5399999999999991</v>
      </c>
      <c r="N26">
        <f t="shared" si="5"/>
        <v>8.5399999999999991</v>
      </c>
      <c r="O26">
        <f t="shared" si="5"/>
        <v>8.5399999999999991</v>
      </c>
      <c r="P26">
        <f t="shared" si="5"/>
        <v>8.5399999999999991</v>
      </c>
      <c r="Q26">
        <f t="shared" si="5"/>
        <v>8.5399999999999991</v>
      </c>
      <c r="R26">
        <f>VLOOKUP(I26,gen_cost!$A$1:$AY$31,14)</f>
        <v>442.87</v>
      </c>
      <c r="S26">
        <f t="shared" si="6"/>
        <v>442.87</v>
      </c>
      <c r="T26">
        <f t="shared" si="6"/>
        <v>442.87</v>
      </c>
      <c r="U26">
        <f t="shared" si="6"/>
        <v>442.87</v>
      </c>
      <c r="V26">
        <f t="shared" si="6"/>
        <v>442.87</v>
      </c>
      <c r="W26">
        <f t="shared" si="6"/>
        <v>442.87</v>
      </c>
      <c r="X26">
        <v>20</v>
      </c>
      <c r="Y26">
        <v>10</v>
      </c>
    </row>
    <row r="27" spans="1:25" x14ac:dyDescent="0.55000000000000004">
      <c r="A27" t="s">
        <v>504</v>
      </c>
      <c r="B27">
        <v>126</v>
      </c>
      <c r="C27">
        <v>500</v>
      </c>
      <c r="D27" t="s">
        <v>377</v>
      </c>
      <c r="E27">
        <v>0.123543</v>
      </c>
      <c r="F27">
        <v>0.20588999999999999</v>
      </c>
      <c r="G27">
        <v>33</v>
      </c>
      <c r="H27">
        <v>3</v>
      </c>
      <c r="I27" t="s">
        <v>659</v>
      </c>
      <c r="J27">
        <f>VLOOKUP(I27,gen_cost!$A$1:$AY$31,21)</f>
        <v>3.7997999999999997E-2</v>
      </c>
      <c r="K27">
        <f>VLOOKUP(I27,gen_cost!$A$1:$AY$31,22)</f>
        <v>7.16</v>
      </c>
      <c r="L27">
        <f>VLOOKUP(I27,gen_cost!$A$1:$AY$31,16)</f>
        <v>8.5399999999999991</v>
      </c>
      <c r="M27">
        <f t="shared" si="5"/>
        <v>8.5399999999999991</v>
      </c>
      <c r="N27">
        <f t="shared" si="5"/>
        <v>8.5399999999999991</v>
      </c>
      <c r="O27">
        <f t="shared" si="5"/>
        <v>8.5399999999999991</v>
      </c>
      <c r="P27">
        <f t="shared" si="5"/>
        <v>8.5399999999999991</v>
      </c>
      <c r="Q27">
        <f t="shared" si="5"/>
        <v>8.5399999999999991</v>
      </c>
      <c r="R27">
        <f>VLOOKUP(I27,gen_cost!$A$1:$AY$31,14)</f>
        <v>442.87</v>
      </c>
      <c r="S27">
        <f t="shared" si="6"/>
        <v>442.87</v>
      </c>
      <c r="T27">
        <f t="shared" si="6"/>
        <v>442.87</v>
      </c>
      <c r="U27">
        <f t="shared" si="6"/>
        <v>442.87</v>
      </c>
      <c r="V27">
        <f t="shared" si="6"/>
        <v>442.87</v>
      </c>
      <c r="W27">
        <f t="shared" si="6"/>
        <v>442.87</v>
      </c>
      <c r="X27">
        <v>20</v>
      </c>
      <c r="Y27">
        <v>10</v>
      </c>
    </row>
    <row r="28" spans="1:25" x14ac:dyDescent="0.55000000000000004">
      <c r="A28" t="s">
        <v>414</v>
      </c>
      <c r="B28">
        <v>37</v>
      </c>
      <c r="C28">
        <v>230</v>
      </c>
      <c r="D28" t="s">
        <v>377</v>
      </c>
      <c r="E28">
        <v>0.12196799999999999</v>
      </c>
      <c r="F28">
        <v>0.205397</v>
      </c>
      <c r="G28">
        <v>55</v>
      </c>
      <c r="H28">
        <v>32</v>
      </c>
      <c r="I28" t="s">
        <v>659</v>
      </c>
      <c r="J28">
        <f>VLOOKUP(I28,gen_cost!$A$1:$AY$31,21)</f>
        <v>3.7997999999999997E-2</v>
      </c>
      <c r="K28">
        <f>VLOOKUP(I28,gen_cost!$A$1:$AY$31,22)</f>
        <v>7.16</v>
      </c>
      <c r="L28">
        <f>VLOOKUP(I28,gen_cost!$A$1:$AY$31,16)</f>
        <v>8.5399999999999991</v>
      </c>
      <c r="M28">
        <f t="shared" si="5"/>
        <v>8.5399999999999991</v>
      </c>
      <c r="N28">
        <f t="shared" si="5"/>
        <v>8.5399999999999991</v>
      </c>
      <c r="O28">
        <f t="shared" si="5"/>
        <v>8.5399999999999991</v>
      </c>
      <c r="P28">
        <f t="shared" si="5"/>
        <v>8.5399999999999991</v>
      </c>
      <c r="Q28">
        <f t="shared" si="5"/>
        <v>8.5399999999999991</v>
      </c>
      <c r="R28">
        <f>VLOOKUP(I28,gen_cost!$A$1:$AY$31,14)</f>
        <v>442.87</v>
      </c>
      <c r="S28">
        <f t="shared" si="6"/>
        <v>442.87</v>
      </c>
      <c r="T28">
        <f t="shared" si="6"/>
        <v>442.87</v>
      </c>
      <c r="U28">
        <f t="shared" si="6"/>
        <v>442.87</v>
      </c>
      <c r="V28">
        <f t="shared" si="6"/>
        <v>442.87</v>
      </c>
      <c r="W28">
        <f t="shared" si="6"/>
        <v>442.87</v>
      </c>
      <c r="X28">
        <v>20</v>
      </c>
      <c r="Y28">
        <v>10</v>
      </c>
    </row>
    <row r="29" spans="1:25" x14ac:dyDescent="0.55000000000000004">
      <c r="A29" t="s">
        <v>425</v>
      </c>
      <c r="B29">
        <v>48</v>
      </c>
      <c r="C29">
        <v>230</v>
      </c>
      <c r="D29" t="s">
        <v>377</v>
      </c>
      <c r="E29">
        <v>0.123694</v>
      </c>
      <c r="F29">
        <v>0.20358699999999999</v>
      </c>
      <c r="G29">
        <v>63</v>
      </c>
      <c r="H29">
        <v>31</v>
      </c>
      <c r="I29" t="s">
        <v>659</v>
      </c>
      <c r="J29">
        <f>VLOOKUP(I29,gen_cost!$A$1:$AY$31,21)</f>
        <v>3.7997999999999997E-2</v>
      </c>
      <c r="K29">
        <f>VLOOKUP(I29,gen_cost!$A$1:$AY$31,22)</f>
        <v>7.16</v>
      </c>
      <c r="L29">
        <f>VLOOKUP(I29,gen_cost!$A$1:$AY$31,16)</f>
        <v>8.5399999999999991</v>
      </c>
      <c r="M29">
        <f t="shared" si="5"/>
        <v>8.5399999999999991</v>
      </c>
      <c r="N29">
        <f t="shared" si="5"/>
        <v>8.5399999999999991</v>
      </c>
      <c r="O29">
        <f t="shared" si="5"/>
        <v>8.5399999999999991</v>
      </c>
      <c r="P29">
        <f t="shared" si="5"/>
        <v>8.5399999999999991</v>
      </c>
      <c r="Q29">
        <f t="shared" si="5"/>
        <v>8.5399999999999991</v>
      </c>
      <c r="R29">
        <f>VLOOKUP(I29,gen_cost!$A$1:$AY$31,14)</f>
        <v>442.87</v>
      </c>
      <c r="S29">
        <f t="shared" si="6"/>
        <v>442.87</v>
      </c>
      <c r="T29">
        <f t="shared" si="6"/>
        <v>442.87</v>
      </c>
      <c r="U29">
        <f t="shared" si="6"/>
        <v>442.87</v>
      </c>
      <c r="V29">
        <f t="shared" si="6"/>
        <v>442.87</v>
      </c>
      <c r="W29">
        <f t="shared" si="6"/>
        <v>442.87</v>
      </c>
      <c r="X29">
        <v>20</v>
      </c>
      <c r="Y29">
        <v>10</v>
      </c>
    </row>
    <row r="30" spans="1:25" x14ac:dyDescent="0.55000000000000004">
      <c r="A30" t="s">
        <v>429</v>
      </c>
      <c r="B30">
        <v>52</v>
      </c>
      <c r="C30">
        <v>230</v>
      </c>
      <c r="D30" t="s">
        <v>377</v>
      </c>
      <c r="E30">
        <v>0.13863800000000001</v>
      </c>
      <c r="F30">
        <v>0.18446000000000001</v>
      </c>
      <c r="G30">
        <v>65</v>
      </c>
      <c r="H30">
        <v>1</v>
      </c>
      <c r="I30" t="s">
        <v>659</v>
      </c>
      <c r="J30">
        <f>VLOOKUP(I30,gen_cost!$A$1:$AY$31,21)</f>
        <v>3.7997999999999997E-2</v>
      </c>
      <c r="K30">
        <f>VLOOKUP(I30,gen_cost!$A$1:$AY$31,22)</f>
        <v>7.16</v>
      </c>
      <c r="L30">
        <f>VLOOKUP(I30,gen_cost!$A$1:$AY$31,16)</f>
        <v>8.5399999999999991</v>
      </c>
      <c r="M30">
        <f t="shared" si="5"/>
        <v>8.5399999999999991</v>
      </c>
      <c r="N30">
        <f t="shared" si="5"/>
        <v>8.5399999999999991</v>
      </c>
      <c r="O30">
        <f t="shared" si="5"/>
        <v>8.5399999999999991</v>
      </c>
      <c r="P30">
        <f t="shared" si="5"/>
        <v>8.5399999999999991</v>
      </c>
      <c r="Q30">
        <f t="shared" si="5"/>
        <v>8.5399999999999991</v>
      </c>
      <c r="R30">
        <f>VLOOKUP(I30,gen_cost!$A$1:$AY$31,14)</f>
        <v>442.87</v>
      </c>
      <c r="S30">
        <f t="shared" si="6"/>
        <v>442.87</v>
      </c>
      <c r="T30">
        <f t="shared" si="6"/>
        <v>442.87</v>
      </c>
      <c r="U30">
        <f t="shared" si="6"/>
        <v>442.87</v>
      </c>
      <c r="V30">
        <f t="shared" si="6"/>
        <v>442.87</v>
      </c>
      <c r="W30">
        <f t="shared" si="6"/>
        <v>442.87</v>
      </c>
      <c r="X30">
        <v>20</v>
      </c>
      <c r="Y30">
        <v>10</v>
      </c>
    </row>
    <row r="31" spans="1:25" x14ac:dyDescent="0.55000000000000004">
      <c r="A31" t="s">
        <v>521</v>
      </c>
      <c r="B31">
        <v>143</v>
      </c>
      <c r="C31">
        <v>230</v>
      </c>
      <c r="D31" t="s">
        <v>377</v>
      </c>
      <c r="E31">
        <v>0.12587400000000001</v>
      </c>
      <c r="F31">
        <v>0.17202400000000001</v>
      </c>
      <c r="G31">
        <v>66</v>
      </c>
      <c r="H31">
        <v>81</v>
      </c>
      <c r="I31" t="s">
        <v>659</v>
      </c>
      <c r="J31">
        <f>VLOOKUP(I31,gen_cost!$A$1:$AY$31,21)</f>
        <v>3.7997999999999997E-2</v>
      </c>
      <c r="K31">
        <f>VLOOKUP(I31,gen_cost!$A$1:$AY$31,22)</f>
        <v>7.16</v>
      </c>
      <c r="L31">
        <f>VLOOKUP(I31,gen_cost!$A$1:$AY$31,16)</f>
        <v>8.5399999999999991</v>
      </c>
      <c r="M31">
        <f t="shared" si="5"/>
        <v>8.5399999999999991</v>
      </c>
      <c r="N31">
        <f t="shared" si="5"/>
        <v>8.5399999999999991</v>
      </c>
      <c r="O31">
        <f t="shared" si="5"/>
        <v>8.5399999999999991</v>
      </c>
      <c r="P31">
        <f t="shared" si="5"/>
        <v>8.5399999999999991</v>
      </c>
      <c r="Q31">
        <f t="shared" si="5"/>
        <v>8.5399999999999991</v>
      </c>
      <c r="R31">
        <f>VLOOKUP(I31,gen_cost!$A$1:$AY$31,14)</f>
        <v>442.87</v>
      </c>
      <c r="S31">
        <f t="shared" si="6"/>
        <v>442.87</v>
      </c>
      <c r="T31">
        <f t="shared" si="6"/>
        <v>442.87</v>
      </c>
      <c r="U31">
        <f t="shared" si="6"/>
        <v>442.87</v>
      </c>
      <c r="V31">
        <f t="shared" si="6"/>
        <v>442.87</v>
      </c>
      <c r="W31">
        <f t="shared" si="6"/>
        <v>442.87</v>
      </c>
      <c r="X31">
        <v>20</v>
      </c>
      <c r="Y31">
        <v>10</v>
      </c>
    </row>
    <row r="32" spans="1:25" x14ac:dyDescent="0.55000000000000004">
      <c r="A32" t="s">
        <v>441</v>
      </c>
      <c r="B32">
        <v>64</v>
      </c>
      <c r="C32">
        <v>230</v>
      </c>
      <c r="D32" t="s">
        <v>377</v>
      </c>
      <c r="E32">
        <v>0.12492200000000001</v>
      </c>
      <c r="F32">
        <v>0.171679</v>
      </c>
      <c r="G32">
        <v>67</v>
      </c>
      <c r="H32">
        <v>46</v>
      </c>
      <c r="I32" t="s">
        <v>659</v>
      </c>
      <c r="J32">
        <f>VLOOKUP(I32,gen_cost!$A$1:$AY$31,21)</f>
        <v>3.7997999999999997E-2</v>
      </c>
      <c r="K32">
        <f>VLOOKUP(I32,gen_cost!$A$1:$AY$31,22)</f>
        <v>7.16</v>
      </c>
      <c r="L32">
        <f>VLOOKUP(I32,gen_cost!$A$1:$AY$31,16)</f>
        <v>8.5399999999999991</v>
      </c>
      <c r="M32">
        <f t="shared" ref="M32:Q41" si="7">+L32</f>
        <v>8.5399999999999991</v>
      </c>
      <c r="N32">
        <f t="shared" si="7"/>
        <v>8.5399999999999991</v>
      </c>
      <c r="O32">
        <f t="shared" si="7"/>
        <v>8.5399999999999991</v>
      </c>
      <c r="P32">
        <f t="shared" si="7"/>
        <v>8.5399999999999991</v>
      </c>
      <c r="Q32">
        <f t="shared" si="7"/>
        <v>8.5399999999999991</v>
      </c>
      <c r="R32">
        <f>VLOOKUP(I32,gen_cost!$A$1:$AY$31,14)</f>
        <v>442.87</v>
      </c>
      <c r="S32">
        <f t="shared" ref="S32:W41" si="8">+R32</f>
        <v>442.87</v>
      </c>
      <c r="T32">
        <f t="shared" si="8"/>
        <v>442.87</v>
      </c>
      <c r="U32">
        <f t="shared" si="8"/>
        <v>442.87</v>
      </c>
      <c r="V32">
        <f t="shared" si="8"/>
        <v>442.87</v>
      </c>
      <c r="W32">
        <f t="shared" si="8"/>
        <v>442.87</v>
      </c>
      <c r="X32">
        <v>20</v>
      </c>
      <c r="Y32">
        <v>10</v>
      </c>
    </row>
    <row r="33" spans="1:25" x14ac:dyDescent="0.55000000000000004">
      <c r="A33" t="s">
        <v>543</v>
      </c>
      <c r="B33">
        <v>165</v>
      </c>
      <c r="C33">
        <v>230</v>
      </c>
      <c r="D33" t="s">
        <v>377</v>
      </c>
      <c r="E33">
        <v>0.127911</v>
      </c>
      <c r="F33">
        <v>0.16153500000000001</v>
      </c>
      <c r="G33">
        <v>68</v>
      </c>
      <c r="H33">
        <v>45</v>
      </c>
      <c r="I33" t="s">
        <v>659</v>
      </c>
      <c r="J33">
        <f>VLOOKUP(I33,gen_cost!$A$1:$AY$31,21)</f>
        <v>3.7997999999999997E-2</v>
      </c>
      <c r="K33">
        <f>VLOOKUP(I33,gen_cost!$A$1:$AY$31,22)</f>
        <v>7.16</v>
      </c>
      <c r="L33">
        <f>VLOOKUP(I33,gen_cost!$A$1:$AY$31,16)</f>
        <v>8.5399999999999991</v>
      </c>
      <c r="M33">
        <f t="shared" si="7"/>
        <v>8.5399999999999991</v>
      </c>
      <c r="N33">
        <f t="shared" si="7"/>
        <v>8.5399999999999991</v>
      </c>
      <c r="O33">
        <f t="shared" si="7"/>
        <v>8.5399999999999991</v>
      </c>
      <c r="P33">
        <f t="shared" si="7"/>
        <v>8.5399999999999991</v>
      </c>
      <c r="Q33">
        <f t="shared" si="7"/>
        <v>8.5399999999999991</v>
      </c>
      <c r="R33">
        <f>VLOOKUP(I33,gen_cost!$A$1:$AY$31,14)</f>
        <v>442.87</v>
      </c>
      <c r="S33">
        <f t="shared" si="8"/>
        <v>442.87</v>
      </c>
      <c r="T33">
        <f t="shared" si="8"/>
        <v>442.87</v>
      </c>
      <c r="U33">
        <f t="shared" si="8"/>
        <v>442.87</v>
      </c>
      <c r="V33">
        <f t="shared" si="8"/>
        <v>442.87</v>
      </c>
      <c r="W33">
        <f t="shared" si="8"/>
        <v>442.87</v>
      </c>
      <c r="X33">
        <v>20</v>
      </c>
      <c r="Y33">
        <v>10</v>
      </c>
    </row>
    <row r="34" spans="1:25" x14ac:dyDescent="0.55000000000000004">
      <c r="A34" t="s">
        <v>424</v>
      </c>
      <c r="B34">
        <v>47</v>
      </c>
      <c r="C34">
        <v>230</v>
      </c>
      <c r="D34" t="s">
        <v>377</v>
      </c>
      <c r="E34">
        <v>0.12606700000000001</v>
      </c>
      <c r="F34">
        <v>0.158862</v>
      </c>
      <c r="G34">
        <v>53</v>
      </c>
      <c r="H34">
        <f>B34</f>
        <v>47</v>
      </c>
      <c r="I34" t="s">
        <v>690</v>
      </c>
      <c r="J34">
        <f>VLOOKUP(I34,gen_cost!$A$1:$AY$31,21)</f>
        <v>0</v>
      </c>
      <c r="K34">
        <f>VLOOKUP(I34,gen_cost!$A$1:$AY$31,22)</f>
        <v>0</v>
      </c>
      <c r="L34">
        <f>VLOOKUP(I34,gen_cost!$A$1:$AY$31,16)</f>
        <v>0</v>
      </c>
      <c r="M34">
        <f t="shared" si="7"/>
        <v>0</v>
      </c>
      <c r="N34">
        <f t="shared" si="7"/>
        <v>0</v>
      </c>
      <c r="O34">
        <f t="shared" si="7"/>
        <v>0</v>
      </c>
      <c r="P34">
        <f t="shared" si="7"/>
        <v>0</v>
      </c>
      <c r="Q34">
        <f t="shared" si="7"/>
        <v>0</v>
      </c>
      <c r="R34">
        <f>VLOOKUP(I34,gen_cost!$A$1:$AY$31,14)</f>
        <v>298.39</v>
      </c>
      <c r="S34">
        <f t="shared" si="8"/>
        <v>298.39</v>
      </c>
      <c r="T34">
        <f t="shared" si="8"/>
        <v>298.39</v>
      </c>
      <c r="U34">
        <f t="shared" si="8"/>
        <v>298.39</v>
      </c>
      <c r="V34">
        <f t="shared" si="8"/>
        <v>298.39</v>
      </c>
      <c r="W34">
        <f t="shared" si="8"/>
        <v>298.39</v>
      </c>
      <c r="X34">
        <v>20</v>
      </c>
      <c r="Y34">
        <v>10</v>
      </c>
    </row>
    <row r="35" spans="1:25" x14ac:dyDescent="0.55000000000000004">
      <c r="A35" t="s">
        <v>467</v>
      </c>
      <c r="B35">
        <v>89</v>
      </c>
      <c r="C35">
        <v>230</v>
      </c>
      <c r="D35" t="s">
        <v>377</v>
      </c>
      <c r="E35">
        <v>0.123671</v>
      </c>
      <c r="F35">
        <v>0.15584999999999999</v>
      </c>
      <c r="G35">
        <v>62</v>
      </c>
      <c r="H35">
        <f>B35</f>
        <v>89</v>
      </c>
      <c r="I35" t="s">
        <v>690</v>
      </c>
      <c r="J35">
        <f>VLOOKUP(I35,gen_cost!$A$1:$AY$31,21)</f>
        <v>0</v>
      </c>
      <c r="K35">
        <f>VLOOKUP(I35,gen_cost!$A$1:$AY$31,22)</f>
        <v>0</v>
      </c>
      <c r="L35">
        <f>VLOOKUP(I35,gen_cost!$A$1:$AY$31,16)</f>
        <v>0</v>
      </c>
      <c r="M35">
        <f t="shared" si="7"/>
        <v>0</v>
      </c>
      <c r="N35">
        <f t="shared" si="7"/>
        <v>0</v>
      </c>
      <c r="O35">
        <f t="shared" si="7"/>
        <v>0</v>
      </c>
      <c r="P35">
        <f t="shared" si="7"/>
        <v>0</v>
      </c>
      <c r="Q35">
        <f t="shared" si="7"/>
        <v>0</v>
      </c>
      <c r="R35">
        <f>VLOOKUP(I35,gen_cost!$A$1:$AY$31,14)</f>
        <v>298.39</v>
      </c>
      <c r="S35">
        <f t="shared" si="8"/>
        <v>298.39</v>
      </c>
      <c r="T35">
        <f t="shared" si="8"/>
        <v>298.39</v>
      </c>
      <c r="U35">
        <f t="shared" si="8"/>
        <v>298.39</v>
      </c>
      <c r="V35">
        <f t="shared" si="8"/>
        <v>298.39</v>
      </c>
      <c r="W35">
        <f t="shared" si="8"/>
        <v>298.39</v>
      </c>
      <c r="X35">
        <v>20</v>
      </c>
      <c r="Y35">
        <v>10</v>
      </c>
    </row>
    <row r="36" spans="1:25" x14ac:dyDescent="0.55000000000000004">
      <c r="A36" t="s">
        <v>518</v>
      </c>
      <c r="B36">
        <v>140</v>
      </c>
      <c r="C36">
        <v>230</v>
      </c>
      <c r="D36" t="s">
        <v>377</v>
      </c>
      <c r="E36">
        <v>0.12698599999999999</v>
      </c>
      <c r="F36">
        <v>0.15581999999999999</v>
      </c>
      <c r="G36">
        <v>53</v>
      </c>
      <c r="H36">
        <v>398</v>
      </c>
      <c r="I36" t="s">
        <v>562</v>
      </c>
      <c r="J36">
        <f>VLOOKUP(I36,gen_cost!$A$1:$AY$31,21)</f>
        <v>0</v>
      </c>
      <c r="K36">
        <f>VLOOKUP(I36,gen_cost!$A$1:$AY$31,22)</f>
        <v>0</v>
      </c>
      <c r="L36">
        <f>VLOOKUP(I36,gen_cost!$A$1:$AY$31,16)</f>
        <v>0</v>
      </c>
      <c r="M36">
        <f t="shared" si="7"/>
        <v>0</v>
      </c>
      <c r="N36">
        <f t="shared" si="7"/>
        <v>0</v>
      </c>
      <c r="O36">
        <f t="shared" si="7"/>
        <v>0</v>
      </c>
      <c r="P36">
        <f t="shared" si="7"/>
        <v>0</v>
      </c>
      <c r="Q36">
        <f t="shared" si="7"/>
        <v>0</v>
      </c>
      <c r="R36">
        <f>VLOOKUP(I36,gen_cost!$A$1:$AY$31,14)</f>
        <v>201.62</v>
      </c>
      <c r="S36">
        <f t="shared" si="8"/>
        <v>201.62</v>
      </c>
      <c r="T36">
        <f t="shared" si="8"/>
        <v>201.62</v>
      </c>
      <c r="U36">
        <f t="shared" si="8"/>
        <v>201.62</v>
      </c>
      <c r="V36">
        <f t="shared" si="8"/>
        <v>201.62</v>
      </c>
      <c r="W36">
        <f t="shared" si="8"/>
        <v>201.62</v>
      </c>
      <c r="X36">
        <v>20</v>
      </c>
      <c r="Y36">
        <v>10</v>
      </c>
    </row>
    <row r="37" spans="1:25" x14ac:dyDescent="0.55000000000000004">
      <c r="A37" t="s">
        <v>427</v>
      </c>
      <c r="B37">
        <v>50</v>
      </c>
      <c r="C37">
        <v>230</v>
      </c>
      <c r="D37" t="s">
        <v>377</v>
      </c>
      <c r="E37">
        <v>0.13741800000000001</v>
      </c>
      <c r="F37">
        <v>0.14937600000000001</v>
      </c>
      <c r="G37">
        <v>62</v>
      </c>
      <c r="H37">
        <v>400</v>
      </c>
      <c r="I37" t="s">
        <v>562</v>
      </c>
      <c r="J37">
        <f>VLOOKUP(I37,gen_cost!$A$1:$AY$31,21)</f>
        <v>0</v>
      </c>
      <c r="K37">
        <f>VLOOKUP(I37,gen_cost!$A$1:$AY$31,22)</f>
        <v>0</v>
      </c>
      <c r="L37">
        <f>VLOOKUP(I37,gen_cost!$A$1:$AY$31,16)</f>
        <v>0</v>
      </c>
      <c r="M37">
        <f t="shared" si="7"/>
        <v>0</v>
      </c>
      <c r="N37">
        <f t="shared" si="7"/>
        <v>0</v>
      </c>
      <c r="O37">
        <f t="shared" si="7"/>
        <v>0</v>
      </c>
      <c r="P37">
        <f t="shared" si="7"/>
        <v>0</v>
      </c>
      <c r="Q37">
        <f t="shared" si="7"/>
        <v>0</v>
      </c>
      <c r="R37">
        <f>VLOOKUP(I37,gen_cost!$A$1:$AY$31,14)</f>
        <v>201.62</v>
      </c>
      <c r="S37">
        <f t="shared" si="8"/>
        <v>201.62</v>
      </c>
      <c r="T37">
        <f t="shared" si="8"/>
        <v>201.62</v>
      </c>
      <c r="U37">
        <f t="shared" si="8"/>
        <v>201.62</v>
      </c>
      <c r="V37">
        <f t="shared" si="8"/>
        <v>201.62</v>
      </c>
      <c r="W37">
        <f t="shared" si="8"/>
        <v>201.62</v>
      </c>
      <c r="X37">
        <v>20</v>
      </c>
      <c r="Y37">
        <v>10</v>
      </c>
    </row>
    <row r="38" spans="1:25" x14ac:dyDescent="0.55000000000000004">
      <c r="A38" t="s">
        <v>390</v>
      </c>
      <c r="B38">
        <v>13</v>
      </c>
      <c r="C38">
        <v>230</v>
      </c>
      <c r="D38" t="s">
        <v>377</v>
      </c>
      <c r="E38">
        <v>0.13328899999999999</v>
      </c>
      <c r="F38">
        <v>0.14936099999999999</v>
      </c>
      <c r="G38">
        <v>53</v>
      </c>
      <c r="H38">
        <v>398</v>
      </c>
      <c r="I38" t="s">
        <v>659</v>
      </c>
      <c r="J38">
        <f>VLOOKUP(I38,gen_cost!$A$1:$AY$31,21)</f>
        <v>3.7997999999999997E-2</v>
      </c>
      <c r="K38">
        <f>VLOOKUP(I38,gen_cost!$A$1:$AY$31,22)</f>
        <v>7.16</v>
      </c>
      <c r="L38">
        <f>VLOOKUP(I38,gen_cost!$A$1:$AY$31,16)</f>
        <v>8.5399999999999991</v>
      </c>
      <c r="M38">
        <f t="shared" si="7"/>
        <v>8.5399999999999991</v>
      </c>
      <c r="N38">
        <f t="shared" si="7"/>
        <v>8.5399999999999991</v>
      </c>
      <c r="O38">
        <f t="shared" si="7"/>
        <v>8.5399999999999991</v>
      </c>
      <c r="P38">
        <f t="shared" si="7"/>
        <v>8.5399999999999991</v>
      </c>
      <c r="Q38">
        <f t="shared" si="7"/>
        <v>8.5399999999999991</v>
      </c>
      <c r="R38">
        <f>VLOOKUP(I38,gen_cost!$A$1:$AY$31,14)</f>
        <v>442.87</v>
      </c>
      <c r="S38">
        <f t="shared" si="8"/>
        <v>442.87</v>
      </c>
      <c r="T38">
        <f t="shared" si="8"/>
        <v>442.87</v>
      </c>
      <c r="U38">
        <f t="shared" si="8"/>
        <v>442.87</v>
      </c>
      <c r="V38">
        <f t="shared" si="8"/>
        <v>442.87</v>
      </c>
      <c r="W38">
        <f t="shared" si="8"/>
        <v>442.87</v>
      </c>
      <c r="X38">
        <v>20</v>
      </c>
      <c r="Y38">
        <v>10</v>
      </c>
    </row>
    <row r="39" spans="1:25" x14ac:dyDescent="0.55000000000000004">
      <c r="A39" t="s">
        <v>488</v>
      </c>
      <c r="B39">
        <v>110</v>
      </c>
      <c r="C39">
        <v>230</v>
      </c>
      <c r="D39" t="s">
        <v>377</v>
      </c>
      <c r="E39">
        <v>0.13366800000000001</v>
      </c>
      <c r="F39">
        <v>0.14862300000000001</v>
      </c>
      <c r="G39">
        <v>62</v>
      </c>
      <c r="H39">
        <v>400</v>
      </c>
      <c r="I39" t="s">
        <v>659</v>
      </c>
      <c r="J39">
        <f>VLOOKUP(I39,gen_cost!$A$1:$AY$31,21)</f>
        <v>3.7997999999999997E-2</v>
      </c>
      <c r="K39">
        <f>VLOOKUP(I39,gen_cost!$A$1:$AY$31,22)</f>
        <v>7.16</v>
      </c>
      <c r="L39">
        <f>VLOOKUP(I39,gen_cost!$A$1:$AY$31,16)</f>
        <v>8.5399999999999991</v>
      </c>
      <c r="M39">
        <f t="shared" si="7"/>
        <v>8.5399999999999991</v>
      </c>
      <c r="N39">
        <f t="shared" si="7"/>
        <v>8.5399999999999991</v>
      </c>
      <c r="O39">
        <f t="shared" si="7"/>
        <v>8.5399999999999991</v>
      </c>
      <c r="P39">
        <f t="shared" si="7"/>
        <v>8.5399999999999991</v>
      </c>
      <c r="Q39">
        <f t="shared" si="7"/>
        <v>8.5399999999999991</v>
      </c>
      <c r="R39">
        <f>VLOOKUP(I39,gen_cost!$A$1:$AY$31,14)</f>
        <v>442.87</v>
      </c>
      <c r="S39">
        <f t="shared" si="8"/>
        <v>442.87</v>
      </c>
      <c r="T39">
        <f t="shared" si="8"/>
        <v>442.87</v>
      </c>
      <c r="U39">
        <f t="shared" si="8"/>
        <v>442.87</v>
      </c>
      <c r="V39">
        <f t="shared" si="8"/>
        <v>442.87</v>
      </c>
      <c r="W39">
        <f t="shared" si="8"/>
        <v>442.87</v>
      </c>
      <c r="X39">
        <v>20</v>
      </c>
      <c r="Y39">
        <v>10</v>
      </c>
    </row>
    <row r="40" spans="1:25" x14ac:dyDescent="0.55000000000000004">
      <c r="A40" t="s">
        <v>490</v>
      </c>
      <c r="B40">
        <v>112</v>
      </c>
      <c r="C40">
        <v>230</v>
      </c>
      <c r="D40" t="s">
        <v>377</v>
      </c>
      <c r="E40">
        <v>0.13366800000000001</v>
      </c>
      <c r="F40">
        <v>0.14862300000000001</v>
      </c>
      <c r="G40">
        <v>53</v>
      </c>
      <c r="H40">
        <v>398</v>
      </c>
      <c r="I40" t="s">
        <v>659</v>
      </c>
      <c r="J40">
        <f>VLOOKUP(I40,gen_cost!$A$1:$AY$31,21)</f>
        <v>3.7997999999999997E-2</v>
      </c>
      <c r="K40">
        <f>VLOOKUP(I40,gen_cost!$A$1:$AY$31,22)</f>
        <v>7.16</v>
      </c>
      <c r="L40">
        <f>VLOOKUP(I40,gen_cost!$A$1:$AY$31,16)</f>
        <v>8.5399999999999991</v>
      </c>
      <c r="M40">
        <f t="shared" si="7"/>
        <v>8.5399999999999991</v>
      </c>
      <c r="N40">
        <f t="shared" si="7"/>
        <v>8.5399999999999991</v>
      </c>
      <c r="O40">
        <f t="shared" si="7"/>
        <v>8.5399999999999991</v>
      </c>
      <c r="P40">
        <f t="shared" si="7"/>
        <v>8.5399999999999991</v>
      </c>
      <c r="Q40">
        <f t="shared" si="7"/>
        <v>8.5399999999999991</v>
      </c>
      <c r="R40">
        <f>VLOOKUP(I40,gen_cost!$A$1:$AY$31,14)</f>
        <v>442.87</v>
      </c>
      <c r="S40">
        <f t="shared" si="8"/>
        <v>442.87</v>
      </c>
      <c r="T40">
        <f t="shared" si="8"/>
        <v>442.87</v>
      </c>
      <c r="U40">
        <f t="shared" si="8"/>
        <v>442.87</v>
      </c>
      <c r="V40">
        <f t="shared" si="8"/>
        <v>442.87</v>
      </c>
      <c r="W40">
        <f t="shared" si="8"/>
        <v>442.87</v>
      </c>
      <c r="X40">
        <v>20</v>
      </c>
      <c r="Y40">
        <v>10</v>
      </c>
    </row>
    <row r="41" spans="1:25" x14ac:dyDescent="0.55000000000000004">
      <c r="A41" t="s">
        <v>426</v>
      </c>
      <c r="B41">
        <v>49</v>
      </c>
      <c r="C41">
        <v>230</v>
      </c>
      <c r="D41" t="s">
        <v>377</v>
      </c>
      <c r="E41">
        <v>0.13708200000000001</v>
      </c>
      <c r="F41">
        <v>0.148065</v>
      </c>
      <c r="G41">
        <v>62</v>
      </c>
      <c r="H41">
        <v>400</v>
      </c>
      <c r="I41" t="s">
        <v>659</v>
      </c>
      <c r="J41">
        <f>VLOOKUP(I41,gen_cost!$A$1:$AY$31,21)</f>
        <v>3.7997999999999997E-2</v>
      </c>
      <c r="K41">
        <f>VLOOKUP(I41,gen_cost!$A$1:$AY$31,22)</f>
        <v>7.16</v>
      </c>
      <c r="L41">
        <f>VLOOKUP(I41,gen_cost!$A$1:$AY$31,16)</f>
        <v>8.5399999999999991</v>
      </c>
      <c r="M41">
        <f t="shared" si="7"/>
        <v>8.5399999999999991</v>
      </c>
      <c r="N41">
        <f t="shared" si="7"/>
        <v>8.5399999999999991</v>
      </c>
      <c r="O41">
        <f t="shared" si="7"/>
        <v>8.5399999999999991</v>
      </c>
      <c r="P41">
        <f t="shared" si="7"/>
        <v>8.5399999999999991</v>
      </c>
      <c r="Q41">
        <f t="shared" si="7"/>
        <v>8.5399999999999991</v>
      </c>
      <c r="R41">
        <f>VLOOKUP(I41,gen_cost!$A$1:$AY$31,14)</f>
        <v>442.87</v>
      </c>
      <c r="S41">
        <f t="shared" si="8"/>
        <v>442.87</v>
      </c>
      <c r="T41">
        <f t="shared" si="8"/>
        <v>442.87</v>
      </c>
      <c r="U41">
        <f t="shared" si="8"/>
        <v>442.87</v>
      </c>
      <c r="V41">
        <f t="shared" si="8"/>
        <v>442.87</v>
      </c>
      <c r="W41">
        <f t="shared" si="8"/>
        <v>442.87</v>
      </c>
      <c r="X41">
        <v>20</v>
      </c>
      <c r="Y41">
        <v>10</v>
      </c>
    </row>
    <row r="42" spans="1:25" x14ac:dyDescent="0.55000000000000004">
      <c r="A42" t="s">
        <v>485</v>
      </c>
      <c r="B42">
        <v>107</v>
      </c>
      <c r="C42">
        <v>230</v>
      </c>
      <c r="D42" t="s">
        <v>377</v>
      </c>
      <c r="E42">
        <v>0.136991</v>
      </c>
      <c r="F42">
        <v>0.14643500000000001</v>
      </c>
      <c r="G42">
        <v>10</v>
      </c>
      <c r="H42">
        <f>B42</f>
        <v>107</v>
      </c>
      <c r="I42" t="s">
        <v>690</v>
      </c>
      <c r="J42">
        <f>VLOOKUP(I42,gen_cost!$A$1:$AY$31,21)</f>
        <v>0</v>
      </c>
      <c r="K42">
        <f>VLOOKUP(I42,gen_cost!$A$1:$AY$31,22)</f>
        <v>0</v>
      </c>
      <c r="L42">
        <f>VLOOKUP(I42,gen_cost!$A$1:$AY$31,16)</f>
        <v>0</v>
      </c>
      <c r="M42">
        <f t="shared" ref="M42:Q51" si="9">+L42</f>
        <v>0</v>
      </c>
      <c r="N42">
        <f t="shared" si="9"/>
        <v>0</v>
      </c>
      <c r="O42">
        <f t="shared" si="9"/>
        <v>0</v>
      </c>
      <c r="P42">
        <f t="shared" si="9"/>
        <v>0</v>
      </c>
      <c r="Q42">
        <f t="shared" si="9"/>
        <v>0</v>
      </c>
      <c r="R42">
        <f>VLOOKUP(I42,gen_cost!$A$1:$AY$31,14)</f>
        <v>298.39</v>
      </c>
      <c r="S42">
        <f t="shared" ref="S42:W51" si="10">+R42</f>
        <v>298.39</v>
      </c>
      <c r="T42">
        <f t="shared" si="10"/>
        <v>298.39</v>
      </c>
      <c r="U42">
        <f t="shared" si="10"/>
        <v>298.39</v>
      </c>
      <c r="V42">
        <f t="shared" si="10"/>
        <v>298.39</v>
      </c>
      <c r="W42">
        <f t="shared" si="10"/>
        <v>298.39</v>
      </c>
      <c r="X42">
        <v>20</v>
      </c>
      <c r="Y42">
        <v>10</v>
      </c>
    </row>
    <row r="43" spans="1:25" x14ac:dyDescent="0.55000000000000004">
      <c r="A43" t="s">
        <v>505</v>
      </c>
      <c r="B43">
        <v>127</v>
      </c>
      <c r="C43">
        <v>230</v>
      </c>
      <c r="D43" t="s">
        <v>377</v>
      </c>
      <c r="E43">
        <v>0.137213</v>
      </c>
      <c r="F43">
        <v>0.146255</v>
      </c>
      <c r="G43">
        <v>11</v>
      </c>
      <c r="H43">
        <f>B43</f>
        <v>127</v>
      </c>
      <c r="I43" t="s">
        <v>690</v>
      </c>
      <c r="J43">
        <f>VLOOKUP(I43,gen_cost!$A$1:$AY$31,21)</f>
        <v>0</v>
      </c>
      <c r="K43">
        <f>VLOOKUP(I43,gen_cost!$A$1:$AY$31,22)</f>
        <v>0</v>
      </c>
      <c r="L43">
        <f>VLOOKUP(I43,gen_cost!$A$1:$AY$31,16)</f>
        <v>0</v>
      </c>
      <c r="M43">
        <f t="shared" si="9"/>
        <v>0</v>
      </c>
      <c r="N43">
        <f t="shared" si="9"/>
        <v>0</v>
      </c>
      <c r="O43">
        <f t="shared" si="9"/>
        <v>0</v>
      </c>
      <c r="P43">
        <f t="shared" si="9"/>
        <v>0</v>
      </c>
      <c r="Q43">
        <f t="shared" si="9"/>
        <v>0</v>
      </c>
      <c r="R43">
        <f>VLOOKUP(I43,gen_cost!$A$1:$AY$31,14)</f>
        <v>298.39</v>
      </c>
      <c r="S43">
        <f t="shared" si="10"/>
        <v>298.39</v>
      </c>
      <c r="T43">
        <f t="shared" si="10"/>
        <v>298.39</v>
      </c>
      <c r="U43">
        <f t="shared" si="10"/>
        <v>298.39</v>
      </c>
      <c r="V43">
        <f t="shared" si="10"/>
        <v>298.39</v>
      </c>
      <c r="W43">
        <f t="shared" si="10"/>
        <v>298.39</v>
      </c>
      <c r="X43">
        <v>20</v>
      </c>
      <c r="Y43">
        <v>10</v>
      </c>
    </row>
    <row r="44" spans="1:25" x14ac:dyDescent="0.55000000000000004">
      <c r="A44" t="s">
        <v>432</v>
      </c>
      <c r="B44">
        <v>55</v>
      </c>
      <c r="C44">
        <v>230</v>
      </c>
      <c r="D44" t="s">
        <v>377</v>
      </c>
      <c r="E44">
        <v>0.13772899999999999</v>
      </c>
      <c r="F44">
        <v>0.14613399999999999</v>
      </c>
      <c r="G44">
        <v>17</v>
      </c>
      <c r="H44">
        <f>B44</f>
        <v>55</v>
      </c>
      <c r="I44" t="s">
        <v>690</v>
      </c>
      <c r="J44">
        <f>VLOOKUP(I44,gen_cost!$A$1:$AY$31,21)</f>
        <v>0</v>
      </c>
      <c r="K44">
        <f>VLOOKUP(I44,gen_cost!$A$1:$AY$31,22)</f>
        <v>0</v>
      </c>
      <c r="L44">
        <f>VLOOKUP(I44,gen_cost!$A$1:$AY$31,16)</f>
        <v>0</v>
      </c>
      <c r="M44">
        <f t="shared" si="9"/>
        <v>0</v>
      </c>
      <c r="N44">
        <f t="shared" si="9"/>
        <v>0</v>
      </c>
      <c r="O44">
        <f t="shared" si="9"/>
        <v>0</v>
      </c>
      <c r="P44">
        <f t="shared" si="9"/>
        <v>0</v>
      </c>
      <c r="Q44">
        <f t="shared" si="9"/>
        <v>0</v>
      </c>
      <c r="R44">
        <f>VLOOKUP(I44,gen_cost!$A$1:$AY$31,14)</f>
        <v>298.39</v>
      </c>
      <c r="S44">
        <f t="shared" si="10"/>
        <v>298.39</v>
      </c>
      <c r="T44">
        <f t="shared" si="10"/>
        <v>298.39</v>
      </c>
      <c r="U44">
        <f t="shared" si="10"/>
        <v>298.39</v>
      </c>
      <c r="V44">
        <f t="shared" si="10"/>
        <v>298.39</v>
      </c>
      <c r="W44">
        <f t="shared" si="10"/>
        <v>298.39</v>
      </c>
      <c r="X44">
        <v>20</v>
      </c>
      <c r="Y44">
        <v>10</v>
      </c>
    </row>
    <row r="45" spans="1:25" x14ac:dyDescent="0.55000000000000004">
      <c r="A45" t="s">
        <v>417</v>
      </c>
      <c r="B45">
        <v>40</v>
      </c>
      <c r="C45">
        <v>230</v>
      </c>
      <c r="D45" t="s">
        <v>377</v>
      </c>
      <c r="E45">
        <v>0.137296</v>
      </c>
      <c r="F45">
        <v>0.14465700000000001</v>
      </c>
      <c r="G45">
        <v>54</v>
      </c>
      <c r="H45">
        <f>B45</f>
        <v>40</v>
      </c>
      <c r="I45" t="s">
        <v>690</v>
      </c>
      <c r="J45">
        <f>VLOOKUP(I45,gen_cost!$A$1:$AY$31,21)</f>
        <v>0</v>
      </c>
      <c r="K45">
        <f>VLOOKUP(I45,gen_cost!$A$1:$AY$31,22)</f>
        <v>0</v>
      </c>
      <c r="L45">
        <f>VLOOKUP(I45,gen_cost!$A$1:$AY$31,16)</f>
        <v>0</v>
      </c>
      <c r="M45">
        <f t="shared" si="9"/>
        <v>0</v>
      </c>
      <c r="N45">
        <f t="shared" si="9"/>
        <v>0</v>
      </c>
      <c r="O45">
        <f t="shared" si="9"/>
        <v>0</v>
      </c>
      <c r="P45">
        <f t="shared" si="9"/>
        <v>0</v>
      </c>
      <c r="Q45">
        <f t="shared" si="9"/>
        <v>0</v>
      </c>
      <c r="R45">
        <f>VLOOKUP(I45,gen_cost!$A$1:$AY$31,14)</f>
        <v>298.39</v>
      </c>
      <c r="S45">
        <f t="shared" si="10"/>
        <v>298.39</v>
      </c>
      <c r="T45">
        <f t="shared" si="10"/>
        <v>298.39</v>
      </c>
      <c r="U45">
        <f t="shared" si="10"/>
        <v>298.39</v>
      </c>
      <c r="V45">
        <f t="shared" si="10"/>
        <v>298.39</v>
      </c>
      <c r="W45">
        <f t="shared" si="10"/>
        <v>298.39</v>
      </c>
      <c r="X45">
        <v>20</v>
      </c>
      <c r="Y45">
        <v>10</v>
      </c>
    </row>
    <row r="46" spans="1:25" x14ac:dyDescent="0.55000000000000004">
      <c r="A46" t="s">
        <v>393</v>
      </c>
      <c r="B46">
        <v>16</v>
      </c>
      <c r="C46">
        <v>230</v>
      </c>
      <c r="D46" t="s">
        <v>377</v>
      </c>
      <c r="E46">
        <v>0.137296</v>
      </c>
      <c r="F46">
        <v>0.14465600000000001</v>
      </c>
      <c r="G46">
        <v>56</v>
      </c>
      <c r="H46">
        <f>B46</f>
        <v>16</v>
      </c>
      <c r="I46" t="s">
        <v>690</v>
      </c>
      <c r="J46">
        <f>VLOOKUP(I46,gen_cost!$A$1:$AY$31,21)</f>
        <v>0</v>
      </c>
      <c r="K46">
        <f>VLOOKUP(I46,gen_cost!$A$1:$AY$31,22)</f>
        <v>0</v>
      </c>
      <c r="L46">
        <f>VLOOKUP(I46,gen_cost!$A$1:$AY$31,16)</f>
        <v>0</v>
      </c>
      <c r="M46">
        <f t="shared" si="9"/>
        <v>0</v>
      </c>
      <c r="N46">
        <f t="shared" si="9"/>
        <v>0</v>
      </c>
      <c r="O46">
        <f t="shared" si="9"/>
        <v>0</v>
      </c>
      <c r="P46">
        <f t="shared" si="9"/>
        <v>0</v>
      </c>
      <c r="Q46">
        <f t="shared" si="9"/>
        <v>0</v>
      </c>
      <c r="R46">
        <f>VLOOKUP(I46,gen_cost!$A$1:$AY$31,14)</f>
        <v>298.39</v>
      </c>
      <c r="S46">
        <f t="shared" si="10"/>
        <v>298.39</v>
      </c>
      <c r="T46">
        <f t="shared" si="10"/>
        <v>298.39</v>
      </c>
      <c r="U46">
        <f t="shared" si="10"/>
        <v>298.39</v>
      </c>
      <c r="V46">
        <f t="shared" si="10"/>
        <v>298.39</v>
      </c>
      <c r="W46">
        <f t="shared" si="10"/>
        <v>298.39</v>
      </c>
      <c r="X46">
        <v>20</v>
      </c>
      <c r="Y46">
        <v>10</v>
      </c>
    </row>
    <row r="47" spans="1:25" x14ac:dyDescent="0.55000000000000004">
      <c r="A47" t="s">
        <v>451</v>
      </c>
      <c r="B47">
        <v>74</v>
      </c>
      <c r="C47">
        <v>230</v>
      </c>
      <c r="D47" t="s">
        <v>377</v>
      </c>
      <c r="E47">
        <v>0.13650499999999999</v>
      </c>
      <c r="F47">
        <v>0.14099200000000001</v>
      </c>
      <c r="G47">
        <v>10</v>
      </c>
      <c r="H47">
        <v>443</v>
      </c>
      <c r="I47" t="s">
        <v>562</v>
      </c>
      <c r="J47">
        <f>VLOOKUP(I47,gen_cost!$A$1:$AY$31,21)</f>
        <v>0</v>
      </c>
      <c r="K47">
        <f>VLOOKUP(I47,gen_cost!$A$1:$AY$31,22)</f>
        <v>0</v>
      </c>
      <c r="L47">
        <f>VLOOKUP(I47,gen_cost!$A$1:$AY$31,16)</f>
        <v>0</v>
      </c>
      <c r="M47">
        <f t="shared" si="9"/>
        <v>0</v>
      </c>
      <c r="N47">
        <f t="shared" si="9"/>
        <v>0</v>
      </c>
      <c r="O47">
        <f t="shared" si="9"/>
        <v>0</v>
      </c>
      <c r="P47">
        <f t="shared" si="9"/>
        <v>0</v>
      </c>
      <c r="Q47">
        <f t="shared" si="9"/>
        <v>0</v>
      </c>
      <c r="R47">
        <f>VLOOKUP(I47,gen_cost!$A$1:$AY$31,14)</f>
        <v>201.62</v>
      </c>
      <c r="S47">
        <f t="shared" si="10"/>
        <v>201.62</v>
      </c>
      <c r="T47">
        <f t="shared" si="10"/>
        <v>201.62</v>
      </c>
      <c r="U47">
        <f t="shared" si="10"/>
        <v>201.62</v>
      </c>
      <c r="V47">
        <f t="shared" si="10"/>
        <v>201.62</v>
      </c>
      <c r="W47">
        <f t="shared" si="10"/>
        <v>201.62</v>
      </c>
      <c r="X47">
        <v>20</v>
      </c>
      <c r="Y47">
        <v>10</v>
      </c>
    </row>
    <row r="48" spans="1:25" x14ac:dyDescent="0.55000000000000004">
      <c r="A48" t="s">
        <v>423</v>
      </c>
      <c r="B48">
        <v>46</v>
      </c>
      <c r="C48">
        <v>230</v>
      </c>
      <c r="D48" t="s">
        <v>377</v>
      </c>
      <c r="E48">
        <v>0.12706700000000001</v>
      </c>
      <c r="F48">
        <v>0.13925100000000001</v>
      </c>
      <c r="G48">
        <v>11</v>
      </c>
      <c r="H48">
        <v>439</v>
      </c>
      <c r="I48" t="s">
        <v>562</v>
      </c>
      <c r="J48">
        <f>VLOOKUP(I48,gen_cost!$A$1:$AY$31,21)</f>
        <v>0</v>
      </c>
      <c r="K48">
        <f>VLOOKUP(I48,gen_cost!$A$1:$AY$31,22)</f>
        <v>0</v>
      </c>
      <c r="L48">
        <f>VLOOKUP(I48,gen_cost!$A$1:$AY$31,16)</f>
        <v>0</v>
      </c>
      <c r="M48">
        <f t="shared" si="9"/>
        <v>0</v>
      </c>
      <c r="N48">
        <f t="shared" si="9"/>
        <v>0</v>
      </c>
      <c r="O48">
        <f t="shared" si="9"/>
        <v>0</v>
      </c>
      <c r="P48">
        <f t="shared" si="9"/>
        <v>0</v>
      </c>
      <c r="Q48">
        <f t="shared" si="9"/>
        <v>0</v>
      </c>
      <c r="R48">
        <f>VLOOKUP(I48,gen_cost!$A$1:$AY$31,14)</f>
        <v>201.62</v>
      </c>
      <c r="S48">
        <f t="shared" si="10"/>
        <v>201.62</v>
      </c>
      <c r="T48">
        <f t="shared" si="10"/>
        <v>201.62</v>
      </c>
      <c r="U48">
        <f t="shared" si="10"/>
        <v>201.62</v>
      </c>
      <c r="V48">
        <f t="shared" si="10"/>
        <v>201.62</v>
      </c>
      <c r="W48">
        <f t="shared" si="10"/>
        <v>201.62</v>
      </c>
      <c r="X48">
        <v>20</v>
      </c>
      <c r="Y48">
        <v>10</v>
      </c>
    </row>
    <row r="49" spans="1:25" x14ac:dyDescent="0.55000000000000004">
      <c r="A49" t="s">
        <v>481</v>
      </c>
      <c r="B49">
        <v>103</v>
      </c>
      <c r="C49">
        <v>138</v>
      </c>
      <c r="D49" t="s">
        <v>377</v>
      </c>
      <c r="E49">
        <v>0.16179399999999999</v>
      </c>
      <c r="F49">
        <v>0.134662</v>
      </c>
      <c r="G49">
        <v>17</v>
      </c>
      <c r="H49">
        <v>445</v>
      </c>
      <c r="I49" t="s">
        <v>562</v>
      </c>
      <c r="J49">
        <f>VLOOKUP(I49,gen_cost!$A$1:$AY$31,21)</f>
        <v>0</v>
      </c>
      <c r="K49">
        <f>VLOOKUP(I49,gen_cost!$A$1:$AY$31,22)</f>
        <v>0</v>
      </c>
      <c r="L49">
        <f>VLOOKUP(I49,gen_cost!$A$1:$AY$31,16)</f>
        <v>0</v>
      </c>
      <c r="M49">
        <f t="shared" si="9"/>
        <v>0</v>
      </c>
      <c r="N49">
        <f t="shared" si="9"/>
        <v>0</v>
      </c>
      <c r="O49">
        <f t="shared" si="9"/>
        <v>0</v>
      </c>
      <c r="P49">
        <f t="shared" si="9"/>
        <v>0</v>
      </c>
      <c r="Q49">
        <f t="shared" si="9"/>
        <v>0</v>
      </c>
      <c r="R49">
        <f>VLOOKUP(I49,gen_cost!$A$1:$AY$31,14)</f>
        <v>201.62</v>
      </c>
      <c r="S49">
        <f t="shared" si="10"/>
        <v>201.62</v>
      </c>
      <c r="T49">
        <f t="shared" si="10"/>
        <v>201.62</v>
      </c>
      <c r="U49">
        <f t="shared" si="10"/>
        <v>201.62</v>
      </c>
      <c r="V49">
        <f t="shared" si="10"/>
        <v>201.62</v>
      </c>
      <c r="W49">
        <f t="shared" si="10"/>
        <v>201.62</v>
      </c>
      <c r="X49">
        <v>20</v>
      </c>
      <c r="Y49">
        <v>10</v>
      </c>
    </row>
    <row r="50" spans="1:25" x14ac:dyDescent="0.55000000000000004">
      <c r="A50" t="s">
        <v>479</v>
      </c>
      <c r="B50">
        <v>101</v>
      </c>
      <c r="C50">
        <v>230</v>
      </c>
      <c r="D50" t="s">
        <v>377</v>
      </c>
      <c r="E50">
        <v>0.14358899999999999</v>
      </c>
      <c r="F50">
        <v>0.13228500000000001</v>
      </c>
      <c r="G50">
        <v>54</v>
      </c>
      <c r="H50">
        <v>453</v>
      </c>
      <c r="I50" t="s">
        <v>562</v>
      </c>
      <c r="J50">
        <f>VLOOKUP(I50,gen_cost!$A$1:$AY$31,21)</f>
        <v>0</v>
      </c>
      <c r="K50">
        <f>VLOOKUP(I50,gen_cost!$A$1:$AY$31,22)</f>
        <v>0</v>
      </c>
      <c r="L50">
        <f>VLOOKUP(I50,gen_cost!$A$1:$AY$31,16)</f>
        <v>0</v>
      </c>
      <c r="M50">
        <f t="shared" si="9"/>
        <v>0</v>
      </c>
      <c r="N50">
        <f t="shared" si="9"/>
        <v>0</v>
      </c>
      <c r="O50">
        <f t="shared" si="9"/>
        <v>0</v>
      </c>
      <c r="P50">
        <f t="shared" si="9"/>
        <v>0</v>
      </c>
      <c r="Q50">
        <f t="shared" si="9"/>
        <v>0</v>
      </c>
      <c r="R50">
        <f>VLOOKUP(I50,gen_cost!$A$1:$AY$31,14)</f>
        <v>201.62</v>
      </c>
      <c r="S50">
        <f t="shared" si="10"/>
        <v>201.62</v>
      </c>
      <c r="T50">
        <f t="shared" si="10"/>
        <v>201.62</v>
      </c>
      <c r="U50">
        <f t="shared" si="10"/>
        <v>201.62</v>
      </c>
      <c r="V50">
        <f t="shared" si="10"/>
        <v>201.62</v>
      </c>
      <c r="W50">
        <f t="shared" si="10"/>
        <v>201.62</v>
      </c>
      <c r="X50">
        <v>20</v>
      </c>
      <c r="Y50">
        <v>10</v>
      </c>
    </row>
    <row r="51" spans="1:25" x14ac:dyDescent="0.55000000000000004">
      <c r="A51" t="s">
        <v>526</v>
      </c>
      <c r="B51">
        <v>148</v>
      </c>
      <c r="C51">
        <v>500</v>
      </c>
      <c r="D51" t="s">
        <v>377</v>
      </c>
      <c r="E51">
        <v>0.128744</v>
      </c>
      <c r="F51">
        <v>0.122983</v>
      </c>
      <c r="G51">
        <v>56</v>
      </c>
      <c r="H51">
        <v>438</v>
      </c>
      <c r="I51" t="s">
        <v>562</v>
      </c>
      <c r="J51">
        <f>VLOOKUP(I51,gen_cost!$A$1:$AY$31,21)</f>
        <v>0</v>
      </c>
      <c r="K51">
        <f>VLOOKUP(I51,gen_cost!$A$1:$AY$31,22)</f>
        <v>0</v>
      </c>
      <c r="L51">
        <f>VLOOKUP(I51,gen_cost!$A$1:$AY$31,16)</f>
        <v>0</v>
      </c>
      <c r="M51">
        <f t="shared" si="9"/>
        <v>0</v>
      </c>
      <c r="N51">
        <f t="shared" si="9"/>
        <v>0</v>
      </c>
      <c r="O51">
        <f t="shared" si="9"/>
        <v>0</v>
      </c>
      <c r="P51">
        <f t="shared" si="9"/>
        <v>0</v>
      </c>
      <c r="Q51">
        <f t="shared" si="9"/>
        <v>0</v>
      </c>
      <c r="R51">
        <f>VLOOKUP(I51,gen_cost!$A$1:$AY$31,14)</f>
        <v>201.62</v>
      </c>
      <c r="S51">
        <f t="shared" si="10"/>
        <v>201.62</v>
      </c>
      <c r="T51">
        <f t="shared" si="10"/>
        <v>201.62</v>
      </c>
      <c r="U51">
        <f t="shared" si="10"/>
        <v>201.62</v>
      </c>
      <c r="V51">
        <f t="shared" si="10"/>
        <v>201.62</v>
      </c>
      <c r="W51">
        <f t="shared" si="10"/>
        <v>201.62</v>
      </c>
      <c r="X51">
        <v>20</v>
      </c>
      <c r="Y51">
        <v>10</v>
      </c>
    </row>
    <row r="52" spans="1:25" x14ac:dyDescent="0.55000000000000004">
      <c r="A52" t="s">
        <v>493</v>
      </c>
      <c r="B52">
        <v>115</v>
      </c>
      <c r="C52">
        <v>287</v>
      </c>
      <c r="D52" t="s">
        <v>377</v>
      </c>
      <c r="E52">
        <v>0.124704</v>
      </c>
      <c r="F52">
        <v>0.121346</v>
      </c>
      <c r="G52">
        <v>10</v>
      </c>
      <c r="H52">
        <v>443</v>
      </c>
      <c r="I52" t="s">
        <v>659</v>
      </c>
      <c r="J52">
        <f>VLOOKUP(I52,gen_cost!$A$1:$AY$31,21)</f>
        <v>3.7997999999999997E-2</v>
      </c>
      <c r="K52">
        <f>VLOOKUP(I52,gen_cost!$A$1:$AY$31,22)</f>
        <v>7.16</v>
      </c>
      <c r="L52">
        <f>VLOOKUP(I52,gen_cost!$A$1:$AY$31,16)</f>
        <v>8.5399999999999991</v>
      </c>
      <c r="M52">
        <f t="shared" ref="M52:Q61" si="11">+L52</f>
        <v>8.5399999999999991</v>
      </c>
      <c r="N52">
        <f t="shared" si="11"/>
        <v>8.5399999999999991</v>
      </c>
      <c r="O52">
        <f t="shared" si="11"/>
        <v>8.5399999999999991</v>
      </c>
      <c r="P52">
        <f t="shared" si="11"/>
        <v>8.5399999999999991</v>
      </c>
      <c r="Q52">
        <f t="shared" si="11"/>
        <v>8.5399999999999991</v>
      </c>
      <c r="R52">
        <f>VLOOKUP(I52,gen_cost!$A$1:$AY$31,14)</f>
        <v>442.87</v>
      </c>
      <c r="S52">
        <f t="shared" ref="S52:W61" si="12">+R52</f>
        <v>442.87</v>
      </c>
      <c r="T52">
        <f t="shared" si="12"/>
        <v>442.87</v>
      </c>
      <c r="U52">
        <f t="shared" si="12"/>
        <v>442.87</v>
      </c>
      <c r="V52">
        <f t="shared" si="12"/>
        <v>442.87</v>
      </c>
      <c r="W52">
        <f t="shared" si="12"/>
        <v>442.87</v>
      </c>
      <c r="X52">
        <v>20</v>
      </c>
      <c r="Y52">
        <v>10</v>
      </c>
    </row>
    <row r="53" spans="1:25" x14ac:dyDescent="0.55000000000000004">
      <c r="A53" t="s">
        <v>502</v>
      </c>
      <c r="B53">
        <v>124</v>
      </c>
      <c r="C53">
        <v>230</v>
      </c>
      <c r="D53" t="s">
        <v>377</v>
      </c>
      <c r="E53">
        <v>0.134632</v>
      </c>
      <c r="F53">
        <v>0.121004</v>
      </c>
      <c r="G53">
        <v>11</v>
      </c>
      <c r="H53">
        <v>439</v>
      </c>
      <c r="I53" t="s">
        <v>659</v>
      </c>
      <c r="J53">
        <f>VLOOKUP(I53,gen_cost!$A$1:$AY$31,21)</f>
        <v>3.7997999999999997E-2</v>
      </c>
      <c r="K53">
        <f>VLOOKUP(I53,gen_cost!$A$1:$AY$31,22)</f>
        <v>7.16</v>
      </c>
      <c r="L53">
        <f>VLOOKUP(I53,gen_cost!$A$1:$AY$31,16)</f>
        <v>8.5399999999999991</v>
      </c>
      <c r="M53">
        <f t="shared" si="11"/>
        <v>8.5399999999999991</v>
      </c>
      <c r="N53">
        <f t="shared" si="11"/>
        <v>8.5399999999999991</v>
      </c>
      <c r="O53">
        <f t="shared" si="11"/>
        <v>8.5399999999999991</v>
      </c>
      <c r="P53">
        <f t="shared" si="11"/>
        <v>8.5399999999999991</v>
      </c>
      <c r="Q53">
        <f t="shared" si="11"/>
        <v>8.5399999999999991</v>
      </c>
      <c r="R53">
        <f>VLOOKUP(I53,gen_cost!$A$1:$AY$31,14)</f>
        <v>442.87</v>
      </c>
      <c r="S53">
        <f t="shared" si="12"/>
        <v>442.87</v>
      </c>
      <c r="T53">
        <f t="shared" si="12"/>
        <v>442.87</v>
      </c>
      <c r="U53">
        <f t="shared" si="12"/>
        <v>442.87</v>
      </c>
      <c r="V53">
        <f t="shared" si="12"/>
        <v>442.87</v>
      </c>
      <c r="W53">
        <f t="shared" si="12"/>
        <v>442.87</v>
      </c>
      <c r="X53">
        <v>20</v>
      </c>
      <c r="Y53">
        <v>10</v>
      </c>
    </row>
    <row r="54" spans="1:25" x14ac:dyDescent="0.55000000000000004">
      <c r="A54" t="s">
        <v>522</v>
      </c>
      <c r="B54">
        <v>144</v>
      </c>
      <c r="C54">
        <v>287</v>
      </c>
      <c r="D54" t="s">
        <v>377</v>
      </c>
      <c r="E54">
        <v>0.125693</v>
      </c>
      <c r="F54">
        <v>0.120646</v>
      </c>
      <c r="G54">
        <v>17</v>
      </c>
      <c r="H54">
        <v>445</v>
      </c>
      <c r="I54" t="s">
        <v>659</v>
      </c>
      <c r="J54">
        <f>VLOOKUP(I54,gen_cost!$A$1:$AY$31,21)</f>
        <v>3.7997999999999997E-2</v>
      </c>
      <c r="K54">
        <f>VLOOKUP(I54,gen_cost!$A$1:$AY$31,22)</f>
        <v>7.16</v>
      </c>
      <c r="L54">
        <f>VLOOKUP(I54,gen_cost!$A$1:$AY$31,16)</f>
        <v>8.5399999999999991</v>
      </c>
      <c r="M54">
        <f t="shared" si="11"/>
        <v>8.5399999999999991</v>
      </c>
      <c r="N54">
        <f t="shared" si="11"/>
        <v>8.5399999999999991</v>
      </c>
      <c r="O54">
        <f t="shared" si="11"/>
        <v>8.5399999999999991</v>
      </c>
      <c r="P54">
        <f t="shared" si="11"/>
        <v>8.5399999999999991</v>
      </c>
      <c r="Q54">
        <f t="shared" si="11"/>
        <v>8.5399999999999991</v>
      </c>
      <c r="R54">
        <f>VLOOKUP(I54,gen_cost!$A$1:$AY$31,14)</f>
        <v>442.87</v>
      </c>
      <c r="S54">
        <f t="shared" si="12"/>
        <v>442.87</v>
      </c>
      <c r="T54">
        <f t="shared" si="12"/>
        <v>442.87</v>
      </c>
      <c r="U54">
        <f t="shared" si="12"/>
        <v>442.87</v>
      </c>
      <c r="V54">
        <f t="shared" si="12"/>
        <v>442.87</v>
      </c>
      <c r="W54">
        <f t="shared" si="12"/>
        <v>442.87</v>
      </c>
      <c r="X54">
        <v>20</v>
      </c>
      <c r="Y54">
        <v>10</v>
      </c>
    </row>
    <row r="55" spans="1:25" x14ac:dyDescent="0.55000000000000004">
      <c r="A55" t="s">
        <v>533</v>
      </c>
      <c r="B55">
        <v>155</v>
      </c>
      <c r="C55">
        <v>230</v>
      </c>
      <c r="D55" t="s">
        <v>377</v>
      </c>
      <c r="E55">
        <v>0.13519100000000001</v>
      </c>
      <c r="F55">
        <v>0.120445</v>
      </c>
      <c r="G55">
        <v>54</v>
      </c>
      <c r="H55">
        <v>453</v>
      </c>
      <c r="I55" t="s">
        <v>659</v>
      </c>
      <c r="J55">
        <f>VLOOKUP(I55,gen_cost!$A$1:$AY$31,21)</f>
        <v>3.7997999999999997E-2</v>
      </c>
      <c r="K55">
        <f>VLOOKUP(I55,gen_cost!$A$1:$AY$31,22)</f>
        <v>7.16</v>
      </c>
      <c r="L55">
        <f>VLOOKUP(I55,gen_cost!$A$1:$AY$31,16)</f>
        <v>8.5399999999999991</v>
      </c>
      <c r="M55">
        <f t="shared" si="11"/>
        <v>8.5399999999999991</v>
      </c>
      <c r="N55">
        <f t="shared" si="11"/>
        <v>8.5399999999999991</v>
      </c>
      <c r="O55">
        <f t="shared" si="11"/>
        <v>8.5399999999999991</v>
      </c>
      <c r="P55">
        <f t="shared" si="11"/>
        <v>8.5399999999999991</v>
      </c>
      <c r="Q55">
        <f t="shared" si="11"/>
        <v>8.5399999999999991</v>
      </c>
      <c r="R55">
        <f>VLOOKUP(I55,gen_cost!$A$1:$AY$31,14)</f>
        <v>442.87</v>
      </c>
      <c r="S55">
        <f t="shared" si="12"/>
        <v>442.87</v>
      </c>
      <c r="T55">
        <f t="shared" si="12"/>
        <v>442.87</v>
      </c>
      <c r="U55">
        <f t="shared" si="12"/>
        <v>442.87</v>
      </c>
      <c r="V55">
        <f t="shared" si="12"/>
        <v>442.87</v>
      </c>
      <c r="W55">
        <f t="shared" si="12"/>
        <v>442.87</v>
      </c>
      <c r="X55">
        <v>20</v>
      </c>
      <c r="Y55">
        <v>10</v>
      </c>
    </row>
    <row r="56" spans="1:25" x14ac:dyDescent="0.55000000000000004">
      <c r="A56" t="s">
        <v>456</v>
      </c>
      <c r="B56">
        <v>79</v>
      </c>
      <c r="C56">
        <v>230</v>
      </c>
      <c r="D56" t="s">
        <v>377</v>
      </c>
      <c r="E56">
        <v>0.13464400000000001</v>
      </c>
      <c r="F56">
        <v>0.11293</v>
      </c>
      <c r="G56">
        <v>56</v>
      </c>
      <c r="H56">
        <v>438</v>
      </c>
      <c r="I56" t="s">
        <v>659</v>
      </c>
      <c r="J56">
        <f>VLOOKUP(I56,gen_cost!$A$1:$AY$31,21)</f>
        <v>3.7997999999999997E-2</v>
      </c>
      <c r="K56">
        <f>VLOOKUP(I56,gen_cost!$A$1:$AY$31,22)</f>
        <v>7.16</v>
      </c>
      <c r="L56">
        <f>VLOOKUP(I56,gen_cost!$A$1:$AY$31,16)</f>
        <v>8.5399999999999991</v>
      </c>
      <c r="M56">
        <f t="shared" si="11"/>
        <v>8.5399999999999991</v>
      </c>
      <c r="N56">
        <f t="shared" si="11"/>
        <v>8.5399999999999991</v>
      </c>
      <c r="O56">
        <f t="shared" si="11"/>
        <v>8.5399999999999991</v>
      </c>
      <c r="P56">
        <f t="shared" si="11"/>
        <v>8.5399999999999991</v>
      </c>
      <c r="Q56">
        <f t="shared" si="11"/>
        <v>8.5399999999999991</v>
      </c>
      <c r="R56">
        <f>VLOOKUP(I56,gen_cost!$A$1:$AY$31,14)</f>
        <v>442.87</v>
      </c>
      <c r="S56">
        <f t="shared" si="12"/>
        <v>442.87</v>
      </c>
      <c r="T56">
        <f t="shared" si="12"/>
        <v>442.87</v>
      </c>
      <c r="U56">
        <f t="shared" si="12"/>
        <v>442.87</v>
      </c>
      <c r="V56">
        <f t="shared" si="12"/>
        <v>442.87</v>
      </c>
      <c r="W56">
        <f t="shared" si="12"/>
        <v>442.87</v>
      </c>
      <c r="X56">
        <v>20</v>
      </c>
      <c r="Y56">
        <v>10</v>
      </c>
    </row>
    <row r="57" spans="1:25" x14ac:dyDescent="0.55000000000000004">
      <c r="A57" t="s">
        <v>475</v>
      </c>
      <c r="B57">
        <v>97</v>
      </c>
      <c r="C57">
        <v>230</v>
      </c>
      <c r="D57" t="s">
        <v>377</v>
      </c>
      <c r="E57">
        <v>0.134496</v>
      </c>
      <c r="F57">
        <v>0.110456</v>
      </c>
      <c r="G57">
        <v>10</v>
      </c>
      <c r="H57">
        <v>443</v>
      </c>
      <c r="I57" t="s">
        <v>659</v>
      </c>
      <c r="J57">
        <f>VLOOKUP(I57,gen_cost!$A$1:$AY$31,21)</f>
        <v>3.7997999999999997E-2</v>
      </c>
      <c r="K57">
        <f>VLOOKUP(I57,gen_cost!$A$1:$AY$31,22)</f>
        <v>7.16</v>
      </c>
      <c r="L57">
        <f>VLOOKUP(I57,gen_cost!$A$1:$AY$31,16)</f>
        <v>8.5399999999999991</v>
      </c>
      <c r="M57">
        <f t="shared" si="11"/>
        <v>8.5399999999999991</v>
      </c>
      <c r="N57">
        <f t="shared" si="11"/>
        <v>8.5399999999999991</v>
      </c>
      <c r="O57">
        <f t="shared" si="11"/>
        <v>8.5399999999999991</v>
      </c>
      <c r="P57">
        <f t="shared" si="11"/>
        <v>8.5399999999999991</v>
      </c>
      <c r="Q57">
        <f t="shared" si="11"/>
        <v>8.5399999999999991</v>
      </c>
      <c r="R57">
        <f>VLOOKUP(I57,gen_cost!$A$1:$AY$31,14)</f>
        <v>442.87</v>
      </c>
      <c r="S57">
        <f t="shared" si="12"/>
        <v>442.87</v>
      </c>
      <c r="T57">
        <f t="shared" si="12"/>
        <v>442.87</v>
      </c>
      <c r="U57">
        <f t="shared" si="12"/>
        <v>442.87</v>
      </c>
      <c r="V57">
        <f t="shared" si="12"/>
        <v>442.87</v>
      </c>
      <c r="W57">
        <f t="shared" si="12"/>
        <v>442.87</v>
      </c>
      <c r="X57">
        <v>20</v>
      </c>
      <c r="Y57">
        <v>10</v>
      </c>
    </row>
    <row r="58" spans="1:25" x14ac:dyDescent="0.55000000000000004">
      <c r="A58" t="s">
        <v>517</v>
      </c>
      <c r="B58">
        <v>139</v>
      </c>
      <c r="C58">
        <v>230</v>
      </c>
      <c r="D58" t="s">
        <v>377</v>
      </c>
      <c r="E58">
        <v>0.14352500000000001</v>
      </c>
      <c r="F58">
        <v>0.110348</v>
      </c>
      <c r="G58">
        <v>11</v>
      </c>
      <c r="H58">
        <v>439</v>
      </c>
      <c r="I58" t="s">
        <v>659</v>
      </c>
      <c r="J58">
        <f>VLOOKUP(I58,gen_cost!$A$1:$AY$31,21)</f>
        <v>3.7997999999999997E-2</v>
      </c>
      <c r="K58">
        <f>VLOOKUP(I58,gen_cost!$A$1:$AY$31,22)</f>
        <v>7.16</v>
      </c>
      <c r="L58">
        <f>VLOOKUP(I58,gen_cost!$A$1:$AY$31,16)</f>
        <v>8.5399999999999991</v>
      </c>
      <c r="M58">
        <f t="shared" si="11"/>
        <v>8.5399999999999991</v>
      </c>
      <c r="N58">
        <f t="shared" si="11"/>
        <v>8.5399999999999991</v>
      </c>
      <c r="O58">
        <f t="shared" si="11"/>
        <v>8.5399999999999991</v>
      </c>
      <c r="P58">
        <f t="shared" si="11"/>
        <v>8.5399999999999991</v>
      </c>
      <c r="Q58">
        <f t="shared" si="11"/>
        <v>8.5399999999999991</v>
      </c>
      <c r="R58">
        <f>VLOOKUP(I58,gen_cost!$A$1:$AY$31,14)</f>
        <v>442.87</v>
      </c>
      <c r="S58">
        <f t="shared" si="12"/>
        <v>442.87</v>
      </c>
      <c r="T58">
        <f t="shared" si="12"/>
        <v>442.87</v>
      </c>
      <c r="U58">
        <f t="shared" si="12"/>
        <v>442.87</v>
      </c>
      <c r="V58">
        <f t="shared" si="12"/>
        <v>442.87</v>
      </c>
      <c r="W58">
        <f t="shared" si="12"/>
        <v>442.87</v>
      </c>
      <c r="X58">
        <v>20</v>
      </c>
      <c r="Y58">
        <v>10</v>
      </c>
    </row>
    <row r="59" spans="1:25" x14ac:dyDescent="0.55000000000000004">
      <c r="A59" t="s">
        <v>523</v>
      </c>
      <c r="B59">
        <v>145</v>
      </c>
      <c r="C59">
        <v>230</v>
      </c>
      <c r="D59" t="s">
        <v>377</v>
      </c>
      <c r="E59">
        <v>0.134353</v>
      </c>
      <c r="F59">
        <v>0.108515</v>
      </c>
      <c r="G59">
        <v>17</v>
      </c>
      <c r="H59">
        <v>445</v>
      </c>
      <c r="I59" t="s">
        <v>659</v>
      </c>
      <c r="J59">
        <f>VLOOKUP(I59,gen_cost!$A$1:$AY$31,21)</f>
        <v>3.7997999999999997E-2</v>
      </c>
      <c r="K59">
        <f>VLOOKUP(I59,gen_cost!$A$1:$AY$31,22)</f>
        <v>7.16</v>
      </c>
      <c r="L59">
        <f>VLOOKUP(I59,gen_cost!$A$1:$AY$31,16)</f>
        <v>8.5399999999999991</v>
      </c>
      <c r="M59">
        <f t="shared" si="11"/>
        <v>8.5399999999999991</v>
      </c>
      <c r="N59">
        <f t="shared" si="11"/>
        <v>8.5399999999999991</v>
      </c>
      <c r="O59">
        <f t="shared" si="11"/>
        <v>8.5399999999999991</v>
      </c>
      <c r="P59">
        <f t="shared" si="11"/>
        <v>8.5399999999999991</v>
      </c>
      <c r="Q59">
        <f t="shared" si="11"/>
        <v>8.5399999999999991</v>
      </c>
      <c r="R59">
        <f>VLOOKUP(I59,gen_cost!$A$1:$AY$31,14)</f>
        <v>442.87</v>
      </c>
      <c r="S59">
        <f t="shared" si="12"/>
        <v>442.87</v>
      </c>
      <c r="T59">
        <f t="shared" si="12"/>
        <v>442.87</v>
      </c>
      <c r="U59">
        <f t="shared" si="12"/>
        <v>442.87</v>
      </c>
      <c r="V59">
        <f t="shared" si="12"/>
        <v>442.87</v>
      </c>
      <c r="W59">
        <f t="shared" si="12"/>
        <v>442.87</v>
      </c>
      <c r="X59">
        <v>20</v>
      </c>
      <c r="Y59">
        <v>10</v>
      </c>
    </row>
    <row r="60" spans="1:25" x14ac:dyDescent="0.55000000000000004">
      <c r="A60" t="s">
        <v>453</v>
      </c>
      <c r="B60">
        <v>76</v>
      </c>
      <c r="C60">
        <v>230</v>
      </c>
      <c r="D60" t="s">
        <v>377</v>
      </c>
      <c r="E60">
        <v>0.15173700000000001</v>
      </c>
      <c r="F60">
        <v>0.10789899999999999</v>
      </c>
      <c r="G60">
        <v>54</v>
      </c>
      <c r="H60">
        <v>453</v>
      </c>
      <c r="I60" t="s">
        <v>659</v>
      </c>
      <c r="J60">
        <f>VLOOKUP(I60,gen_cost!$A$1:$AY$31,21)</f>
        <v>3.7997999999999997E-2</v>
      </c>
      <c r="K60">
        <f>VLOOKUP(I60,gen_cost!$A$1:$AY$31,22)</f>
        <v>7.16</v>
      </c>
      <c r="L60">
        <f>VLOOKUP(I60,gen_cost!$A$1:$AY$31,16)</f>
        <v>8.5399999999999991</v>
      </c>
      <c r="M60">
        <f t="shared" si="11"/>
        <v>8.5399999999999991</v>
      </c>
      <c r="N60">
        <f t="shared" si="11"/>
        <v>8.5399999999999991</v>
      </c>
      <c r="O60">
        <f t="shared" si="11"/>
        <v>8.5399999999999991</v>
      </c>
      <c r="P60">
        <f t="shared" si="11"/>
        <v>8.5399999999999991</v>
      </c>
      <c r="Q60">
        <f t="shared" si="11"/>
        <v>8.5399999999999991</v>
      </c>
      <c r="R60">
        <f>VLOOKUP(I60,gen_cost!$A$1:$AY$31,14)</f>
        <v>442.87</v>
      </c>
      <c r="S60">
        <f t="shared" si="12"/>
        <v>442.87</v>
      </c>
      <c r="T60">
        <f t="shared" si="12"/>
        <v>442.87</v>
      </c>
      <c r="U60">
        <f t="shared" si="12"/>
        <v>442.87</v>
      </c>
      <c r="V60">
        <f t="shared" si="12"/>
        <v>442.87</v>
      </c>
      <c r="W60">
        <f t="shared" si="12"/>
        <v>442.87</v>
      </c>
      <c r="X60">
        <v>20</v>
      </c>
      <c r="Y60">
        <v>10</v>
      </c>
    </row>
    <row r="61" spans="1:25" x14ac:dyDescent="0.55000000000000004">
      <c r="A61" t="s">
        <v>434</v>
      </c>
      <c r="B61">
        <v>57</v>
      </c>
      <c r="C61">
        <v>230</v>
      </c>
      <c r="D61" t="s">
        <v>377</v>
      </c>
      <c r="E61">
        <v>0.13048299999999999</v>
      </c>
      <c r="F61">
        <v>0.106335</v>
      </c>
      <c r="G61">
        <v>56</v>
      </c>
      <c r="H61">
        <v>438</v>
      </c>
      <c r="I61" t="s">
        <v>659</v>
      </c>
      <c r="J61">
        <f>VLOOKUP(I61,gen_cost!$A$1:$AY$31,21)</f>
        <v>3.7997999999999997E-2</v>
      </c>
      <c r="K61">
        <f>VLOOKUP(I61,gen_cost!$A$1:$AY$31,22)</f>
        <v>7.16</v>
      </c>
      <c r="L61">
        <f>VLOOKUP(I61,gen_cost!$A$1:$AY$31,16)</f>
        <v>8.5399999999999991</v>
      </c>
      <c r="M61">
        <f t="shared" si="11"/>
        <v>8.5399999999999991</v>
      </c>
      <c r="N61">
        <f t="shared" si="11"/>
        <v>8.5399999999999991</v>
      </c>
      <c r="O61">
        <f t="shared" si="11"/>
        <v>8.5399999999999991</v>
      </c>
      <c r="P61">
        <f t="shared" si="11"/>
        <v>8.5399999999999991</v>
      </c>
      <c r="Q61">
        <f t="shared" si="11"/>
        <v>8.5399999999999991</v>
      </c>
      <c r="R61">
        <f>VLOOKUP(I61,gen_cost!$A$1:$AY$31,14)</f>
        <v>442.87</v>
      </c>
      <c r="S61">
        <f t="shared" si="12"/>
        <v>442.87</v>
      </c>
      <c r="T61">
        <f t="shared" si="12"/>
        <v>442.87</v>
      </c>
      <c r="U61">
        <f t="shared" si="12"/>
        <v>442.87</v>
      </c>
      <c r="V61">
        <f t="shared" si="12"/>
        <v>442.87</v>
      </c>
      <c r="W61">
        <f t="shared" si="12"/>
        <v>442.87</v>
      </c>
      <c r="X61">
        <v>20</v>
      </c>
      <c r="Y61">
        <v>10</v>
      </c>
    </row>
    <row r="62" spans="1:25" x14ac:dyDescent="0.55000000000000004">
      <c r="A62" t="s">
        <v>448</v>
      </c>
      <c r="B62">
        <v>71</v>
      </c>
      <c r="C62">
        <v>230</v>
      </c>
      <c r="D62" t="s">
        <v>377</v>
      </c>
      <c r="E62">
        <v>0.12818599999999999</v>
      </c>
      <c r="F62">
        <v>0.10569000000000001</v>
      </c>
      <c r="G62">
        <v>1</v>
      </c>
      <c r="H62">
        <f>B62</f>
        <v>71</v>
      </c>
      <c r="I62" t="s">
        <v>690</v>
      </c>
      <c r="J62">
        <f>VLOOKUP(I62,gen_cost!$A$1:$AY$31,21)</f>
        <v>0</v>
      </c>
      <c r="K62">
        <f>VLOOKUP(I62,gen_cost!$A$1:$AY$31,22)</f>
        <v>0</v>
      </c>
      <c r="L62">
        <f>VLOOKUP(I62,gen_cost!$A$1:$AY$31,16)</f>
        <v>0</v>
      </c>
      <c r="M62">
        <f t="shared" ref="M62:Q71" si="13">+L62</f>
        <v>0</v>
      </c>
      <c r="N62">
        <f t="shared" si="13"/>
        <v>0</v>
      </c>
      <c r="O62">
        <f t="shared" si="13"/>
        <v>0</v>
      </c>
      <c r="P62">
        <f t="shared" si="13"/>
        <v>0</v>
      </c>
      <c r="Q62">
        <f t="shared" si="13"/>
        <v>0</v>
      </c>
      <c r="R62">
        <f>VLOOKUP(I62,gen_cost!$A$1:$AY$31,14)</f>
        <v>298.39</v>
      </c>
      <c r="S62">
        <f t="shared" ref="S62:W71" si="14">+R62</f>
        <v>298.39</v>
      </c>
      <c r="T62">
        <f t="shared" si="14"/>
        <v>298.39</v>
      </c>
      <c r="U62">
        <f t="shared" si="14"/>
        <v>298.39</v>
      </c>
      <c r="V62">
        <f t="shared" si="14"/>
        <v>298.39</v>
      </c>
      <c r="W62">
        <f t="shared" si="14"/>
        <v>298.39</v>
      </c>
      <c r="X62">
        <v>20</v>
      </c>
      <c r="Y62">
        <v>10</v>
      </c>
    </row>
    <row r="63" spans="1:25" x14ac:dyDescent="0.55000000000000004">
      <c r="A63" t="s">
        <v>412</v>
      </c>
      <c r="B63">
        <v>35</v>
      </c>
      <c r="C63">
        <v>230</v>
      </c>
      <c r="D63" t="s">
        <v>377</v>
      </c>
      <c r="E63">
        <v>0.149561</v>
      </c>
      <c r="F63">
        <v>0.104854</v>
      </c>
      <c r="G63">
        <v>2</v>
      </c>
      <c r="H63">
        <f>B63</f>
        <v>35</v>
      </c>
      <c r="I63" t="s">
        <v>690</v>
      </c>
      <c r="J63">
        <f>VLOOKUP(I63,gen_cost!$A$1:$AY$31,21)</f>
        <v>0</v>
      </c>
      <c r="K63">
        <f>VLOOKUP(I63,gen_cost!$A$1:$AY$31,22)</f>
        <v>0</v>
      </c>
      <c r="L63">
        <f>VLOOKUP(I63,gen_cost!$A$1:$AY$31,16)</f>
        <v>0</v>
      </c>
      <c r="M63">
        <f t="shared" si="13"/>
        <v>0</v>
      </c>
      <c r="N63">
        <f t="shared" si="13"/>
        <v>0</v>
      </c>
      <c r="O63">
        <f t="shared" si="13"/>
        <v>0</v>
      </c>
      <c r="P63">
        <f t="shared" si="13"/>
        <v>0</v>
      </c>
      <c r="Q63">
        <f t="shared" si="13"/>
        <v>0</v>
      </c>
      <c r="R63">
        <f>VLOOKUP(I63,gen_cost!$A$1:$AY$31,14)</f>
        <v>298.39</v>
      </c>
      <c r="S63">
        <f t="shared" si="14"/>
        <v>298.39</v>
      </c>
      <c r="T63">
        <f t="shared" si="14"/>
        <v>298.39</v>
      </c>
      <c r="U63">
        <f t="shared" si="14"/>
        <v>298.39</v>
      </c>
      <c r="V63">
        <f t="shared" si="14"/>
        <v>298.39</v>
      </c>
      <c r="W63">
        <f t="shared" si="14"/>
        <v>298.39</v>
      </c>
      <c r="X63">
        <v>20</v>
      </c>
      <c r="Y63">
        <v>10</v>
      </c>
    </row>
    <row r="64" spans="1:25" x14ac:dyDescent="0.55000000000000004">
      <c r="A64" t="s">
        <v>415</v>
      </c>
      <c r="B64">
        <v>38</v>
      </c>
      <c r="C64">
        <v>230</v>
      </c>
      <c r="D64" t="s">
        <v>377</v>
      </c>
      <c r="E64">
        <v>0.13058600000000001</v>
      </c>
      <c r="F64">
        <v>0.10414</v>
      </c>
      <c r="G64">
        <v>3</v>
      </c>
      <c r="H64">
        <f>B64</f>
        <v>38</v>
      </c>
      <c r="I64" t="s">
        <v>690</v>
      </c>
      <c r="J64">
        <f>VLOOKUP(I64,gen_cost!$A$1:$AY$31,21)</f>
        <v>0</v>
      </c>
      <c r="K64">
        <f>VLOOKUP(I64,gen_cost!$A$1:$AY$31,22)</f>
        <v>0</v>
      </c>
      <c r="L64">
        <f>VLOOKUP(I64,gen_cost!$A$1:$AY$31,16)</f>
        <v>0</v>
      </c>
      <c r="M64">
        <f t="shared" si="13"/>
        <v>0</v>
      </c>
      <c r="N64">
        <f t="shared" si="13"/>
        <v>0</v>
      </c>
      <c r="O64">
        <f t="shared" si="13"/>
        <v>0</v>
      </c>
      <c r="P64">
        <f t="shared" si="13"/>
        <v>0</v>
      </c>
      <c r="Q64">
        <f t="shared" si="13"/>
        <v>0</v>
      </c>
      <c r="R64">
        <f>VLOOKUP(I64,gen_cost!$A$1:$AY$31,14)</f>
        <v>298.39</v>
      </c>
      <c r="S64">
        <f t="shared" si="14"/>
        <v>298.39</v>
      </c>
      <c r="T64">
        <f t="shared" si="14"/>
        <v>298.39</v>
      </c>
      <c r="U64">
        <f t="shared" si="14"/>
        <v>298.39</v>
      </c>
      <c r="V64">
        <f t="shared" si="14"/>
        <v>298.39</v>
      </c>
      <c r="W64">
        <f t="shared" si="14"/>
        <v>298.39</v>
      </c>
      <c r="X64">
        <v>20</v>
      </c>
      <c r="Y64">
        <v>10</v>
      </c>
    </row>
    <row r="65" spans="1:25" x14ac:dyDescent="0.55000000000000004">
      <c r="A65" t="s">
        <v>477</v>
      </c>
      <c r="B65">
        <v>99</v>
      </c>
      <c r="C65">
        <v>500</v>
      </c>
      <c r="D65" t="s">
        <v>377</v>
      </c>
      <c r="E65">
        <v>0.130802</v>
      </c>
      <c r="F65">
        <v>0.10326299999999999</v>
      </c>
      <c r="G65">
        <v>4</v>
      </c>
      <c r="H65">
        <f>B65</f>
        <v>99</v>
      </c>
      <c r="I65" t="s">
        <v>690</v>
      </c>
      <c r="J65">
        <f>VLOOKUP(I65,gen_cost!$A$1:$AY$31,21)</f>
        <v>0</v>
      </c>
      <c r="K65">
        <f>VLOOKUP(I65,gen_cost!$A$1:$AY$31,22)</f>
        <v>0</v>
      </c>
      <c r="L65">
        <f>VLOOKUP(I65,gen_cost!$A$1:$AY$31,16)</f>
        <v>0</v>
      </c>
      <c r="M65">
        <f t="shared" si="13"/>
        <v>0</v>
      </c>
      <c r="N65">
        <f t="shared" si="13"/>
        <v>0</v>
      </c>
      <c r="O65">
        <f t="shared" si="13"/>
        <v>0</v>
      </c>
      <c r="P65">
        <f t="shared" si="13"/>
        <v>0</v>
      </c>
      <c r="Q65">
        <f t="shared" si="13"/>
        <v>0</v>
      </c>
      <c r="R65">
        <f>VLOOKUP(I65,gen_cost!$A$1:$AY$31,14)</f>
        <v>298.39</v>
      </c>
      <c r="S65">
        <f t="shared" si="14"/>
        <v>298.39</v>
      </c>
      <c r="T65">
        <f t="shared" si="14"/>
        <v>298.39</v>
      </c>
      <c r="U65">
        <f t="shared" si="14"/>
        <v>298.39</v>
      </c>
      <c r="V65">
        <f t="shared" si="14"/>
        <v>298.39</v>
      </c>
      <c r="W65">
        <f t="shared" si="14"/>
        <v>298.39</v>
      </c>
      <c r="X65">
        <v>20</v>
      </c>
      <c r="Y65">
        <v>10</v>
      </c>
    </row>
    <row r="66" spans="1:25" x14ac:dyDescent="0.55000000000000004">
      <c r="A66" t="s">
        <v>449</v>
      </c>
      <c r="B66">
        <v>72</v>
      </c>
      <c r="C66">
        <v>287</v>
      </c>
      <c r="D66" t="s">
        <v>377</v>
      </c>
      <c r="E66">
        <v>0.119154</v>
      </c>
      <c r="F66">
        <v>0.10297099999999999</v>
      </c>
      <c r="G66">
        <v>1</v>
      </c>
      <c r="H66">
        <v>461</v>
      </c>
      <c r="I66" t="s">
        <v>562</v>
      </c>
      <c r="J66">
        <f>VLOOKUP(I66,gen_cost!$A$1:$AY$31,21)</f>
        <v>0</v>
      </c>
      <c r="K66">
        <f>VLOOKUP(I66,gen_cost!$A$1:$AY$31,22)</f>
        <v>0</v>
      </c>
      <c r="L66">
        <f>VLOOKUP(I66,gen_cost!$A$1:$AY$31,16)</f>
        <v>0</v>
      </c>
      <c r="M66">
        <f t="shared" si="13"/>
        <v>0</v>
      </c>
      <c r="N66">
        <f t="shared" si="13"/>
        <v>0</v>
      </c>
      <c r="O66">
        <f t="shared" si="13"/>
        <v>0</v>
      </c>
      <c r="P66">
        <f t="shared" si="13"/>
        <v>0</v>
      </c>
      <c r="Q66">
        <f t="shared" si="13"/>
        <v>0</v>
      </c>
      <c r="R66">
        <f>VLOOKUP(I66,gen_cost!$A$1:$AY$31,14)</f>
        <v>201.62</v>
      </c>
      <c r="S66">
        <f t="shared" si="14"/>
        <v>201.62</v>
      </c>
      <c r="T66">
        <f t="shared" si="14"/>
        <v>201.62</v>
      </c>
      <c r="U66">
        <f t="shared" si="14"/>
        <v>201.62</v>
      </c>
      <c r="V66">
        <f t="shared" si="14"/>
        <v>201.62</v>
      </c>
      <c r="W66">
        <f t="shared" si="14"/>
        <v>201.62</v>
      </c>
      <c r="X66">
        <v>20</v>
      </c>
      <c r="Y66">
        <v>10</v>
      </c>
    </row>
    <row r="67" spans="1:25" x14ac:dyDescent="0.55000000000000004">
      <c r="A67" t="s">
        <v>433</v>
      </c>
      <c r="B67">
        <v>56</v>
      </c>
      <c r="C67">
        <v>230</v>
      </c>
      <c r="D67" t="s">
        <v>377</v>
      </c>
      <c r="E67">
        <v>0.13145200000000001</v>
      </c>
      <c r="F67">
        <v>0.102728</v>
      </c>
      <c r="G67">
        <v>2</v>
      </c>
      <c r="H67">
        <v>455</v>
      </c>
      <c r="I67" t="s">
        <v>562</v>
      </c>
      <c r="J67">
        <f>VLOOKUP(I67,gen_cost!$A$1:$AY$31,21)</f>
        <v>0</v>
      </c>
      <c r="K67">
        <f>VLOOKUP(I67,gen_cost!$A$1:$AY$31,22)</f>
        <v>0</v>
      </c>
      <c r="L67">
        <f>VLOOKUP(I67,gen_cost!$A$1:$AY$31,16)</f>
        <v>0</v>
      </c>
      <c r="M67">
        <f t="shared" si="13"/>
        <v>0</v>
      </c>
      <c r="N67">
        <f t="shared" si="13"/>
        <v>0</v>
      </c>
      <c r="O67">
        <f t="shared" si="13"/>
        <v>0</v>
      </c>
      <c r="P67">
        <f t="shared" si="13"/>
        <v>0</v>
      </c>
      <c r="Q67">
        <f t="shared" si="13"/>
        <v>0</v>
      </c>
      <c r="R67">
        <f>VLOOKUP(I67,gen_cost!$A$1:$AY$31,14)</f>
        <v>201.62</v>
      </c>
      <c r="S67">
        <f t="shared" si="14"/>
        <v>201.62</v>
      </c>
      <c r="T67">
        <f t="shared" si="14"/>
        <v>201.62</v>
      </c>
      <c r="U67">
        <f t="shared" si="14"/>
        <v>201.62</v>
      </c>
      <c r="V67">
        <f t="shared" si="14"/>
        <v>201.62</v>
      </c>
      <c r="W67">
        <f t="shared" si="14"/>
        <v>201.62</v>
      </c>
      <c r="X67">
        <v>20</v>
      </c>
      <c r="Y67">
        <v>10</v>
      </c>
    </row>
    <row r="68" spans="1:25" x14ac:dyDescent="0.55000000000000004">
      <c r="A68" t="s">
        <v>419</v>
      </c>
      <c r="B68">
        <v>42</v>
      </c>
      <c r="C68">
        <v>287</v>
      </c>
      <c r="D68" t="s">
        <v>377</v>
      </c>
      <c r="E68">
        <v>0.111926</v>
      </c>
      <c r="F68">
        <v>0.10147100000000001</v>
      </c>
      <c r="G68">
        <v>3</v>
      </c>
      <c r="H68">
        <v>462</v>
      </c>
      <c r="I68" t="s">
        <v>562</v>
      </c>
      <c r="J68">
        <f>VLOOKUP(I68,gen_cost!$A$1:$AY$31,21)</f>
        <v>0</v>
      </c>
      <c r="K68">
        <f>VLOOKUP(I68,gen_cost!$A$1:$AY$31,22)</f>
        <v>0</v>
      </c>
      <c r="L68">
        <f>VLOOKUP(I68,gen_cost!$A$1:$AY$31,16)</f>
        <v>0</v>
      </c>
      <c r="M68">
        <f t="shared" si="13"/>
        <v>0</v>
      </c>
      <c r="N68">
        <f t="shared" si="13"/>
        <v>0</v>
      </c>
      <c r="O68">
        <f t="shared" si="13"/>
        <v>0</v>
      </c>
      <c r="P68">
        <f t="shared" si="13"/>
        <v>0</v>
      </c>
      <c r="Q68">
        <f t="shared" si="13"/>
        <v>0</v>
      </c>
      <c r="R68">
        <f>VLOOKUP(I68,gen_cost!$A$1:$AY$31,14)</f>
        <v>201.62</v>
      </c>
      <c r="S68">
        <f t="shared" si="14"/>
        <v>201.62</v>
      </c>
      <c r="T68">
        <f t="shared" si="14"/>
        <v>201.62</v>
      </c>
      <c r="U68">
        <f t="shared" si="14"/>
        <v>201.62</v>
      </c>
      <c r="V68">
        <f t="shared" si="14"/>
        <v>201.62</v>
      </c>
      <c r="W68">
        <f t="shared" si="14"/>
        <v>201.62</v>
      </c>
      <c r="X68">
        <v>20</v>
      </c>
      <c r="Y68">
        <v>10</v>
      </c>
    </row>
    <row r="69" spans="1:25" x14ac:dyDescent="0.55000000000000004">
      <c r="A69" t="s">
        <v>446</v>
      </c>
      <c r="B69">
        <v>69</v>
      </c>
      <c r="C69">
        <v>287</v>
      </c>
      <c r="D69" t="s">
        <v>377</v>
      </c>
      <c r="E69">
        <v>0.111926</v>
      </c>
      <c r="F69">
        <v>0.10147100000000001</v>
      </c>
      <c r="G69">
        <v>4</v>
      </c>
      <c r="H69">
        <v>454</v>
      </c>
      <c r="I69" t="s">
        <v>562</v>
      </c>
      <c r="J69">
        <f>VLOOKUP(I69,gen_cost!$A$1:$AY$31,21)</f>
        <v>0</v>
      </c>
      <c r="K69">
        <f>VLOOKUP(I69,gen_cost!$A$1:$AY$31,22)</f>
        <v>0</v>
      </c>
      <c r="L69">
        <f>VLOOKUP(I69,gen_cost!$A$1:$AY$31,16)</f>
        <v>0</v>
      </c>
      <c r="M69">
        <f t="shared" si="13"/>
        <v>0</v>
      </c>
      <c r="N69">
        <f t="shared" si="13"/>
        <v>0</v>
      </c>
      <c r="O69">
        <f t="shared" si="13"/>
        <v>0</v>
      </c>
      <c r="P69">
        <f t="shared" si="13"/>
        <v>0</v>
      </c>
      <c r="Q69">
        <f t="shared" si="13"/>
        <v>0</v>
      </c>
      <c r="R69">
        <f>VLOOKUP(I69,gen_cost!$A$1:$AY$31,14)</f>
        <v>201.62</v>
      </c>
      <c r="S69">
        <f t="shared" si="14"/>
        <v>201.62</v>
      </c>
      <c r="T69">
        <f t="shared" si="14"/>
        <v>201.62</v>
      </c>
      <c r="U69">
        <f t="shared" si="14"/>
        <v>201.62</v>
      </c>
      <c r="V69">
        <f t="shared" si="14"/>
        <v>201.62</v>
      </c>
      <c r="W69">
        <f t="shared" si="14"/>
        <v>201.62</v>
      </c>
      <c r="X69">
        <v>20</v>
      </c>
      <c r="Y69">
        <v>10</v>
      </c>
    </row>
    <row r="70" spans="1:25" x14ac:dyDescent="0.55000000000000004">
      <c r="A70" t="s">
        <v>450</v>
      </c>
      <c r="B70">
        <v>73</v>
      </c>
      <c r="C70">
        <v>287</v>
      </c>
      <c r="D70" t="s">
        <v>377</v>
      </c>
      <c r="E70">
        <v>0.111926</v>
      </c>
      <c r="F70">
        <v>0.10147100000000001</v>
      </c>
      <c r="G70">
        <v>1</v>
      </c>
      <c r="H70">
        <v>461</v>
      </c>
      <c r="I70" t="s">
        <v>562</v>
      </c>
      <c r="J70">
        <f>VLOOKUP(I70,gen_cost!$A$1:$AY$31,21)</f>
        <v>0</v>
      </c>
      <c r="K70">
        <f>VLOOKUP(I70,gen_cost!$A$1:$AY$31,22)</f>
        <v>0</v>
      </c>
      <c r="L70">
        <f>VLOOKUP(I70,gen_cost!$A$1:$AY$31,16)</f>
        <v>0</v>
      </c>
      <c r="M70">
        <f t="shared" si="13"/>
        <v>0</v>
      </c>
      <c r="N70">
        <f t="shared" si="13"/>
        <v>0</v>
      </c>
      <c r="O70">
        <f t="shared" si="13"/>
        <v>0</v>
      </c>
      <c r="P70">
        <f t="shared" si="13"/>
        <v>0</v>
      </c>
      <c r="Q70">
        <f t="shared" si="13"/>
        <v>0</v>
      </c>
      <c r="R70">
        <f>VLOOKUP(I70,gen_cost!$A$1:$AY$31,14)</f>
        <v>201.62</v>
      </c>
      <c r="S70">
        <f t="shared" si="14"/>
        <v>201.62</v>
      </c>
      <c r="T70">
        <f t="shared" si="14"/>
        <v>201.62</v>
      </c>
      <c r="U70">
        <f t="shared" si="14"/>
        <v>201.62</v>
      </c>
      <c r="V70">
        <f t="shared" si="14"/>
        <v>201.62</v>
      </c>
      <c r="W70">
        <f t="shared" si="14"/>
        <v>201.62</v>
      </c>
      <c r="X70">
        <v>20</v>
      </c>
      <c r="Y70">
        <v>10</v>
      </c>
    </row>
    <row r="71" spans="1:25" x14ac:dyDescent="0.55000000000000004">
      <c r="A71" t="s">
        <v>459</v>
      </c>
      <c r="B71">
        <v>82</v>
      </c>
      <c r="C71">
        <v>230</v>
      </c>
      <c r="D71" t="s">
        <v>377</v>
      </c>
      <c r="E71">
        <v>0.11196299999999999</v>
      </c>
      <c r="F71">
        <v>9.9864999999999995E-2</v>
      </c>
      <c r="G71">
        <v>2</v>
      </c>
      <c r="H71">
        <v>455</v>
      </c>
      <c r="I71" t="s">
        <v>659</v>
      </c>
      <c r="J71">
        <f>VLOOKUP(I71,gen_cost!$A$1:$AY$31,21)</f>
        <v>3.7997999999999997E-2</v>
      </c>
      <c r="K71">
        <f>VLOOKUP(I71,gen_cost!$A$1:$AY$31,22)</f>
        <v>7.16</v>
      </c>
      <c r="L71">
        <f>VLOOKUP(I71,gen_cost!$A$1:$AY$31,16)</f>
        <v>8.5399999999999991</v>
      </c>
      <c r="M71">
        <f t="shared" si="13"/>
        <v>8.5399999999999991</v>
      </c>
      <c r="N71">
        <f t="shared" si="13"/>
        <v>8.5399999999999991</v>
      </c>
      <c r="O71">
        <f t="shared" si="13"/>
        <v>8.5399999999999991</v>
      </c>
      <c r="P71">
        <f t="shared" si="13"/>
        <v>8.5399999999999991</v>
      </c>
      <c r="Q71">
        <f t="shared" si="13"/>
        <v>8.5399999999999991</v>
      </c>
      <c r="R71">
        <f>VLOOKUP(I71,gen_cost!$A$1:$AY$31,14)</f>
        <v>442.87</v>
      </c>
      <c r="S71">
        <f t="shared" si="14"/>
        <v>442.87</v>
      </c>
      <c r="T71">
        <f t="shared" si="14"/>
        <v>442.87</v>
      </c>
      <c r="U71">
        <f t="shared" si="14"/>
        <v>442.87</v>
      </c>
      <c r="V71">
        <f t="shared" si="14"/>
        <v>442.87</v>
      </c>
      <c r="W71">
        <f t="shared" si="14"/>
        <v>442.87</v>
      </c>
      <c r="X71">
        <v>20</v>
      </c>
      <c r="Y71">
        <v>10</v>
      </c>
    </row>
    <row r="72" spans="1:25" x14ac:dyDescent="0.55000000000000004">
      <c r="A72" t="s">
        <v>537</v>
      </c>
      <c r="B72">
        <v>159</v>
      </c>
      <c r="C72">
        <v>230</v>
      </c>
      <c r="D72" t="s">
        <v>377</v>
      </c>
      <c r="E72">
        <v>0.14100199999999999</v>
      </c>
      <c r="F72">
        <v>9.8311999999999997E-2</v>
      </c>
      <c r="G72">
        <v>3</v>
      </c>
      <c r="H72">
        <v>462</v>
      </c>
      <c r="I72" t="s">
        <v>659</v>
      </c>
      <c r="J72">
        <f>VLOOKUP(I72,gen_cost!$A$1:$AY$31,21)</f>
        <v>3.7997999999999997E-2</v>
      </c>
      <c r="K72">
        <f>VLOOKUP(I72,gen_cost!$A$1:$AY$31,22)</f>
        <v>7.16</v>
      </c>
      <c r="L72">
        <f>VLOOKUP(I72,gen_cost!$A$1:$AY$31,16)</f>
        <v>8.5399999999999991</v>
      </c>
      <c r="M72">
        <f t="shared" ref="M72:Q81" si="15">+L72</f>
        <v>8.5399999999999991</v>
      </c>
      <c r="N72">
        <f t="shared" si="15"/>
        <v>8.5399999999999991</v>
      </c>
      <c r="O72">
        <f t="shared" si="15"/>
        <v>8.5399999999999991</v>
      </c>
      <c r="P72">
        <f t="shared" si="15"/>
        <v>8.5399999999999991</v>
      </c>
      <c r="Q72">
        <f t="shared" si="15"/>
        <v>8.5399999999999991</v>
      </c>
      <c r="R72">
        <f>VLOOKUP(I72,gen_cost!$A$1:$AY$31,14)</f>
        <v>442.87</v>
      </c>
      <c r="S72">
        <f t="shared" ref="S72:W81" si="16">+R72</f>
        <v>442.87</v>
      </c>
      <c r="T72">
        <f t="shared" si="16"/>
        <v>442.87</v>
      </c>
      <c r="U72">
        <f t="shared" si="16"/>
        <v>442.87</v>
      </c>
      <c r="V72">
        <f t="shared" si="16"/>
        <v>442.87</v>
      </c>
      <c r="W72">
        <f t="shared" si="16"/>
        <v>442.87</v>
      </c>
      <c r="X72">
        <v>20</v>
      </c>
      <c r="Y72">
        <v>10</v>
      </c>
    </row>
    <row r="73" spans="1:25" x14ac:dyDescent="0.55000000000000004">
      <c r="A73" t="s">
        <v>416</v>
      </c>
      <c r="B73">
        <v>39</v>
      </c>
      <c r="C73">
        <v>230</v>
      </c>
      <c r="D73" t="s">
        <v>377</v>
      </c>
      <c r="E73">
        <v>0.13336700000000001</v>
      </c>
      <c r="F73">
        <v>9.8279000000000005E-2</v>
      </c>
      <c r="G73">
        <v>4</v>
      </c>
      <c r="H73">
        <v>454</v>
      </c>
      <c r="I73" t="s">
        <v>659</v>
      </c>
      <c r="J73">
        <f>VLOOKUP(I73,gen_cost!$A$1:$AY$31,21)</f>
        <v>3.7997999999999997E-2</v>
      </c>
      <c r="K73">
        <f>VLOOKUP(I73,gen_cost!$A$1:$AY$31,22)</f>
        <v>7.16</v>
      </c>
      <c r="L73">
        <f>VLOOKUP(I73,gen_cost!$A$1:$AY$31,16)</f>
        <v>8.5399999999999991</v>
      </c>
      <c r="M73">
        <f t="shared" si="15"/>
        <v>8.5399999999999991</v>
      </c>
      <c r="N73">
        <f t="shared" si="15"/>
        <v>8.5399999999999991</v>
      </c>
      <c r="O73">
        <f t="shared" si="15"/>
        <v>8.5399999999999991</v>
      </c>
      <c r="P73">
        <f t="shared" si="15"/>
        <v>8.5399999999999991</v>
      </c>
      <c r="Q73">
        <f t="shared" si="15"/>
        <v>8.5399999999999991</v>
      </c>
      <c r="R73">
        <f>VLOOKUP(I73,gen_cost!$A$1:$AY$31,14)</f>
        <v>442.87</v>
      </c>
      <c r="S73">
        <f t="shared" si="16"/>
        <v>442.87</v>
      </c>
      <c r="T73">
        <f t="shared" si="16"/>
        <v>442.87</v>
      </c>
      <c r="U73">
        <f t="shared" si="16"/>
        <v>442.87</v>
      </c>
      <c r="V73">
        <f t="shared" si="16"/>
        <v>442.87</v>
      </c>
      <c r="W73">
        <f t="shared" si="16"/>
        <v>442.87</v>
      </c>
      <c r="X73">
        <v>20</v>
      </c>
      <c r="Y73">
        <v>10</v>
      </c>
    </row>
    <row r="74" spans="1:25" x14ac:dyDescent="0.55000000000000004">
      <c r="A74" t="s">
        <v>529</v>
      </c>
      <c r="B74">
        <v>151</v>
      </c>
      <c r="C74">
        <v>500</v>
      </c>
      <c r="D74" t="s">
        <v>377</v>
      </c>
      <c r="E74">
        <v>0.13117999999999999</v>
      </c>
      <c r="F74">
        <v>9.6200999999999995E-2</v>
      </c>
      <c r="G74">
        <v>1</v>
      </c>
      <c r="H74">
        <v>461</v>
      </c>
      <c r="I74" t="s">
        <v>659</v>
      </c>
      <c r="J74">
        <f>VLOOKUP(I74,gen_cost!$A$1:$AY$31,21)</f>
        <v>3.7997999999999997E-2</v>
      </c>
      <c r="K74">
        <f>VLOOKUP(I74,gen_cost!$A$1:$AY$31,22)</f>
        <v>7.16</v>
      </c>
      <c r="L74">
        <f>VLOOKUP(I74,gen_cost!$A$1:$AY$31,16)</f>
        <v>8.5399999999999991</v>
      </c>
      <c r="M74">
        <f t="shared" si="15"/>
        <v>8.5399999999999991</v>
      </c>
      <c r="N74">
        <f t="shared" si="15"/>
        <v>8.5399999999999991</v>
      </c>
      <c r="O74">
        <f t="shared" si="15"/>
        <v>8.5399999999999991</v>
      </c>
      <c r="P74">
        <f t="shared" si="15"/>
        <v>8.5399999999999991</v>
      </c>
      <c r="Q74">
        <f t="shared" si="15"/>
        <v>8.5399999999999991</v>
      </c>
      <c r="R74">
        <f>VLOOKUP(I74,gen_cost!$A$1:$AY$31,14)</f>
        <v>442.87</v>
      </c>
      <c r="S74">
        <f t="shared" si="16"/>
        <v>442.87</v>
      </c>
      <c r="T74">
        <f t="shared" si="16"/>
        <v>442.87</v>
      </c>
      <c r="U74">
        <f t="shared" si="16"/>
        <v>442.87</v>
      </c>
      <c r="V74">
        <f t="shared" si="16"/>
        <v>442.87</v>
      </c>
      <c r="W74">
        <f t="shared" si="16"/>
        <v>442.87</v>
      </c>
      <c r="X74">
        <v>20</v>
      </c>
      <c r="Y74">
        <v>10</v>
      </c>
    </row>
    <row r="75" spans="1:25" x14ac:dyDescent="0.55000000000000004">
      <c r="A75" t="s">
        <v>463</v>
      </c>
      <c r="B75">
        <v>85</v>
      </c>
      <c r="C75">
        <v>230</v>
      </c>
      <c r="D75" t="s">
        <v>377</v>
      </c>
      <c r="E75">
        <v>0.13099</v>
      </c>
      <c r="F75">
        <v>9.4922999999999993E-2</v>
      </c>
      <c r="G75">
        <v>2</v>
      </c>
      <c r="H75">
        <v>455</v>
      </c>
      <c r="I75" t="s">
        <v>659</v>
      </c>
      <c r="J75">
        <f>VLOOKUP(I75,gen_cost!$A$1:$AY$31,21)</f>
        <v>3.7997999999999997E-2</v>
      </c>
      <c r="K75">
        <f>VLOOKUP(I75,gen_cost!$A$1:$AY$31,22)</f>
        <v>7.16</v>
      </c>
      <c r="L75">
        <f>VLOOKUP(I75,gen_cost!$A$1:$AY$31,16)</f>
        <v>8.5399999999999991</v>
      </c>
      <c r="M75">
        <f t="shared" si="15"/>
        <v>8.5399999999999991</v>
      </c>
      <c r="N75">
        <f t="shared" si="15"/>
        <v>8.5399999999999991</v>
      </c>
      <c r="O75">
        <f t="shared" si="15"/>
        <v>8.5399999999999991</v>
      </c>
      <c r="P75">
        <f t="shared" si="15"/>
        <v>8.5399999999999991</v>
      </c>
      <c r="Q75">
        <f t="shared" si="15"/>
        <v>8.5399999999999991</v>
      </c>
      <c r="R75">
        <f>VLOOKUP(I75,gen_cost!$A$1:$AY$31,14)</f>
        <v>442.87</v>
      </c>
      <c r="S75">
        <f t="shared" si="16"/>
        <v>442.87</v>
      </c>
      <c r="T75">
        <f t="shared" si="16"/>
        <v>442.87</v>
      </c>
      <c r="U75">
        <f t="shared" si="16"/>
        <v>442.87</v>
      </c>
      <c r="V75">
        <f t="shared" si="16"/>
        <v>442.87</v>
      </c>
      <c r="W75">
        <f t="shared" si="16"/>
        <v>442.87</v>
      </c>
      <c r="X75">
        <v>20</v>
      </c>
      <c r="Y75">
        <v>10</v>
      </c>
    </row>
    <row r="76" spans="1:25" x14ac:dyDescent="0.55000000000000004">
      <c r="A76" t="s">
        <v>464</v>
      </c>
      <c r="B76">
        <v>86</v>
      </c>
      <c r="C76">
        <v>230</v>
      </c>
      <c r="D76" t="s">
        <v>377</v>
      </c>
      <c r="E76">
        <v>0.13036400000000001</v>
      </c>
      <c r="F76">
        <v>9.2492000000000005E-2</v>
      </c>
      <c r="G76">
        <v>3</v>
      </c>
      <c r="H76">
        <v>462</v>
      </c>
      <c r="I76" t="s">
        <v>659</v>
      </c>
      <c r="J76">
        <f>VLOOKUP(I76,gen_cost!$A$1:$AY$31,21)</f>
        <v>3.7997999999999997E-2</v>
      </c>
      <c r="K76">
        <f>VLOOKUP(I76,gen_cost!$A$1:$AY$31,22)</f>
        <v>7.16</v>
      </c>
      <c r="L76">
        <f>VLOOKUP(I76,gen_cost!$A$1:$AY$31,16)</f>
        <v>8.5399999999999991</v>
      </c>
      <c r="M76">
        <f t="shared" si="15"/>
        <v>8.5399999999999991</v>
      </c>
      <c r="N76">
        <f t="shared" si="15"/>
        <v>8.5399999999999991</v>
      </c>
      <c r="O76">
        <f t="shared" si="15"/>
        <v>8.5399999999999991</v>
      </c>
      <c r="P76">
        <f t="shared" si="15"/>
        <v>8.5399999999999991</v>
      </c>
      <c r="Q76">
        <f t="shared" si="15"/>
        <v>8.5399999999999991</v>
      </c>
      <c r="R76">
        <f>VLOOKUP(I76,gen_cost!$A$1:$AY$31,14)</f>
        <v>442.87</v>
      </c>
      <c r="S76">
        <f t="shared" si="16"/>
        <v>442.87</v>
      </c>
      <c r="T76">
        <f t="shared" si="16"/>
        <v>442.87</v>
      </c>
      <c r="U76">
        <f t="shared" si="16"/>
        <v>442.87</v>
      </c>
      <c r="V76">
        <f t="shared" si="16"/>
        <v>442.87</v>
      </c>
      <c r="W76">
        <f t="shared" si="16"/>
        <v>442.87</v>
      </c>
      <c r="X76">
        <v>20</v>
      </c>
      <c r="Y76">
        <v>10</v>
      </c>
    </row>
    <row r="77" spans="1:25" x14ac:dyDescent="0.55000000000000004">
      <c r="A77" t="s">
        <v>404</v>
      </c>
      <c r="B77">
        <v>27</v>
      </c>
      <c r="C77">
        <v>230</v>
      </c>
      <c r="D77" t="s">
        <v>377</v>
      </c>
      <c r="E77">
        <v>0.13123299999999999</v>
      </c>
      <c r="F77">
        <v>8.9179999999999995E-2</v>
      </c>
      <c r="G77">
        <v>4</v>
      </c>
      <c r="H77">
        <v>454</v>
      </c>
      <c r="I77" t="s">
        <v>659</v>
      </c>
      <c r="J77">
        <f>VLOOKUP(I77,gen_cost!$A$1:$AY$31,21)</f>
        <v>3.7997999999999997E-2</v>
      </c>
      <c r="K77">
        <f>VLOOKUP(I77,gen_cost!$A$1:$AY$31,22)</f>
        <v>7.16</v>
      </c>
      <c r="L77">
        <f>VLOOKUP(I77,gen_cost!$A$1:$AY$31,16)</f>
        <v>8.5399999999999991</v>
      </c>
      <c r="M77">
        <f t="shared" si="15"/>
        <v>8.5399999999999991</v>
      </c>
      <c r="N77">
        <f t="shared" si="15"/>
        <v>8.5399999999999991</v>
      </c>
      <c r="O77">
        <f t="shared" si="15"/>
        <v>8.5399999999999991</v>
      </c>
      <c r="P77">
        <f t="shared" si="15"/>
        <v>8.5399999999999991</v>
      </c>
      <c r="Q77">
        <f t="shared" si="15"/>
        <v>8.5399999999999991</v>
      </c>
      <c r="R77">
        <f>VLOOKUP(I77,gen_cost!$A$1:$AY$31,14)</f>
        <v>442.87</v>
      </c>
      <c r="S77">
        <f t="shared" si="16"/>
        <v>442.87</v>
      </c>
      <c r="T77">
        <f t="shared" si="16"/>
        <v>442.87</v>
      </c>
      <c r="U77">
        <f t="shared" si="16"/>
        <v>442.87</v>
      </c>
      <c r="V77">
        <f t="shared" si="16"/>
        <v>442.87</v>
      </c>
      <c r="W77">
        <f t="shared" si="16"/>
        <v>442.87</v>
      </c>
      <c r="X77">
        <v>20</v>
      </c>
      <c r="Y77">
        <v>10</v>
      </c>
    </row>
    <row r="78" spans="1:25" x14ac:dyDescent="0.55000000000000004">
      <c r="A78" t="s">
        <v>381</v>
      </c>
      <c r="B78">
        <v>5</v>
      </c>
      <c r="C78">
        <v>230</v>
      </c>
      <c r="D78" t="s">
        <v>377</v>
      </c>
      <c r="E78">
        <v>0.13167899999999999</v>
      </c>
      <c r="F78">
        <v>8.8418999999999998E-2</v>
      </c>
      <c r="G78">
        <v>22</v>
      </c>
      <c r="H78">
        <f t="shared" ref="H78:H109" si="17">B78</f>
        <v>5</v>
      </c>
      <c r="I78" t="s">
        <v>690</v>
      </c>
      <c r="J78">
        <f>VLOOKUP(I78,gen_cost!$A$1:$AY$31,21)</f>
        <v>0</v>
      </c>
      <c r="K78">
        <f>VLOOKUP(I78,gen_cost!$A$1:$AY$31,22)</f>
        <v>0</v>
      </c>
      <c r="L78">
        <f>VLOOKUP(I78,gen_cost!$A$1:$AY$31,16)</f>
        <v>0</v>
      </c>
      <c r="M78">
        <f t="shared" si="15"/>
        <v>0</v>
      </c>
      <c r="N78">
        <f t="shared" si="15"/>
        <v>0</v>
      </c>
      <c r="O78">
        <f t="shared" si="15"/>
        <v>0</v>
      </c>
      <c r="P78">
        <f t="shared" si="15"/>
        <v>0</v>
      </c>
      <c r="Q78">
        <f t="shared" si="15"/>
        <v>0</v>
      </c>
      <c r="R78">
        <f>VLOOKUP(I78,gen_cost!$A$1:$AY$31,14)</f>
        <v>298.39</v>
      </c>
      <c r="S78">
        <f t="shared" si="16"/>
        <v>298.39</v>
      </c>
      <c r="T78">
        <f t="shared" si="16"/>
        <v>298.39</v>
      </c>
      <c r="U78">
        <f t="shared" si="16"/>
        <v>298.39</v>
      </c>
      <c r="V78">
        <f t="shared" si="16"/>
        <v>298.39</v>
      </c>
      <c r="W78">
        <f t="shared" si="16"/>
        <v>298.39</v>
      </c>
      <c r="X78">
        <v>20</v>
      </c>
      <c r="Y78">
        <v>10</v>
      </c>
    </row>
    <row r="79" spans="1:25" x14ac:dyDescent="0.55000000000000004">
      <c r="A79" t="s">
        <v>524</v>
      </c>
      <c r="B79">
        <v>146</v>
      </c>
      <c r="C79">
        <v>500</v>
      </c>
      <c r="D79" t="s">
        <v>377</v>
      </c>
      <c r="E79">
        <v>0.13064100000000001</v>
      </c>
      <c r="F79">
        <v>8.7859999999999994E-2</v>
      </c>
      <c r="G79">
        <v>23</v>
      </c>
      <c r="H79">
        <f t="shared" si="17"/>
        <v>146</v>
      </c>
      <c r="I79" t="s">
        <v>690</v>
      </c>
      <c r="J79">
        <f>VLOOKUP(I79,gen_cost!$A$1:$AY$31,21)</f>
        <v>0</v>
      </c>
      <c r="K79">
        <f>VLOOKUP(I79,gen_cost!$A$1:$AY$31,22)</f>
        <v>0</v>
      </c>
      <c r="L79">
        <f>VLOOKUP(I79,gen_cost!$A$1:$AY$31,16)</f>
        <v>0</v>
      </c>
      <c r="M79">
        <f t="shared" si="15"/>
        <v>0</v>
      </c>
      <c r="N79">
        <f t="shared" si="15"/>
        <v>0</v>
      </c>
      <c r="O79">
        <f t="shared" si="15"/>
        <v>0</v>
      </c>
      <c r="P79">
        <f t="shared" si="15"/>
        <v>0</v>
      </c>
      <c r="Q79">
        <f t="shared" si="15"/>
        <v>0</v>
      </c>
      <c r="R79">
        <f>VLOOKUP(I79,gen_cost!$A$1:$AY$31,14)</f>
        <v>298.39</v>
      </c>
      <c r="S79">
        <f t="shared" si="16"/>
        <v>298.39</v>
      </c>
      <c r="T79">
        <f t="shared" si="16"/>
        <v>298.39</v>
      </c>
      <c r="U79">
        <f t="shared" si="16"/>
        <v>298.39</v>
      </c>
      <c r="V79">
        <f t="shared" si="16"/>
        <v>298.39</v>
      </c>
      <c r="W79">
        <f t="shared" si="16"/>
        <v>298.39</v>
      </c>
      <c r="X79">
        <v>20</v>
      </c>
      <c r="Y79">
        <v>10</v>
      </c>
    </row>
    <row r="80" spans="1:25" x14ac:dyDescent="0.55000000000000004">
      <c r="A80" t="s">
        <v>528</v>
      </c>
      <c r="B80">
        <v>150</v>
      </c>
      <c r="C80">
        <v>500</v>
      </c>
      <c r="D80" t="s">
        <v>377</v>
      </c>
      <c r="E80">
        <v>0.13064100000000001</v>
      </c>
      <c r="F80">
        <v>8.7859999999999994E-2</v>
      </c>
      <c r="G80">
        <v>24</v>
      </c>
      <c r="H80">
        <f t="shared" si="17"/>
        <v>150</v>
      </c>
      <c r="I80" t="s">
        <v>690</v>
      </c>
      <c r="J80">
        <f>VLOOKUP(I80,gen_cost!$A$1:$AY$31,21)</f>
        <v>0</v>
      </c>
      <c r="K80">
        <f>VLOOKUP(I80,gen_cost!$A$1:$AY$31,22)</f>
        <v>0</v>
      </c>
      <c r="L80">
        <f>VLOOKUP(I80,gen_cost!$A$1:$AY$31,16)</f>
        <v>0</v>
      </c>
      <c r="M80">
        <f t="shared" si="15"/>
        <v>0</v>
      </c>
      <c r="N80">
        <f t="shared" si="15"/>
        <v>0</v>
      </c>
      <c r="O80">
        <f t="shared" si="15"/>
        <v>0</v>
      </c>
      <c r="P80">
        <f t="shared" si="15"/>
        <v>0</v>
      </c>
      <c r="Q80">
        <f t="shared" si="15"/>
        <v>0</v>
      </c>
      <c r="R80">
        <f>VLOOKUP(I80,gen_cost!$A$1:$AY$31,14)</f>
        <v>298.39</v>
      </c>
      <c r="S80">
        <f t="shared" si="16"/>
        <v>298.39</v>
      </c>
      <c r="T80">
        <f t="shared" si="16"/>
        <v>298.39</v>
      </c>
      <c r="U80">
        <f t="shared" si="16"/>
        <v>298.39</v>
      </c>
      <c r="V80">
        <f t="shared" si="16"/>
        <v>298.39</v>
      </c>
      <c r="W80">
        <f t="shared" si="16"/>
        <v>298.39</v>
      </c>
      <c r="X80">
        <v>20</v>
      </c>
      <c r="Y80">
        <v>10</v>
      </c>
    </row>
    <row r="81" spans="1:25" x14ac:dyDescent="0.55000000000000004">
      <c r="A81" t="s">
        <v>447</v>
      </c>
      <c r="B81">
        <v>70</v>
      </c>
      <c r="C81">
        <v>230</v>
      </c>
      <c r="D81" t="s">
        <v>377</v>
      </c>
      <c r="E81">
        <v>0.146647</v>
      </c>
      <c r="F81">
        <v>8.7026000000000006E-2</v>
      </c>
      <c r="G81">
        <v>25</v>
      </c>
      <c r="H81">
        <f t="shared" si="17"/>
        <v>70</v>
      </c>
      <c r="I81" t="s">
        <v>690</v>
      </c>
      <c r="J81">
        <f>VLOOKUP(I81,gen_cost!$A$1:$AY$31,21)</f>
        <v>0</v>
      </c>
      <c r="K81">
        <f>VLOOKUP(I81,gen_cost!$A$1:$AY$31,22)</f>
        <v>0</v>
      </c>
      <c r="L81">
        <f>VLOOKUP(I81,gen_cost!$A$1:$AY$31,16)</f>
        <v>0</v>
      </c>
      <c r="M81">
        <f t="shared" si="15"/>
        <v>0</v>
      </c>
      <c r="N81">
        <f t="shared" si="15"/>
        <v>0</v>
      </c>
      <c r="O81">
        <f t="shared" si="15"/>
        <v>0</v>
      </c>
      <c r="P81">
        <f t="shared" si="15"/>
        <v>0</v>
      </c>
      <c r="Q81">
        <f t="shared" si="15"/>
        <v>0</v>
      </c>
      <c r="R81">
        <f>VLOOKUP(I81,gen_cost!$A$1:$AY$31,14)</f>
        <v>298.39</v>
      </c>
      <c r="S81">
        <f t="shared" si="16"/>
        <v>298.39</v>
      </c>
      <c r="T81">
        <f t="shared" si="16"/>
        <v>298.39</v>
      </c>
      <c r="U81">
        <f t="shared" si="16"/>
        <v>298.39</v>
      </c>
      <c r="V81">
        <f t="shared" si="16"/>
        <v>298.39</v>
      </c>
      <c r="W81">
        <f t="shared" si="16"/>
        <v>298.39</v>
      </c>
      <c r="X81">
        <v>20</v>
      </c>
      <c r="Y81">
        <v>10</v>
      </c>
    </row>
    <row r="82" spans="1:25" x14ac:dyDescent="0.55000000000000004">
      <c r="A82" t="s">
        <v>495</v>
      </c>
      <c r="B82">
        <v>117</v>
      </c>
      <c r="C82">
        <v>230</v>
      </c>
      <c r="D82" t="s">
        <v>377</v>
      </c>
      <c r="E82">
        <v>0.146841</v>
      </c>
      <c r="F82">
        <v>8.6304000000000006E-2</v>
      </c>
      <c r="G82">
        <v>26</v>
      </c>
      <c r="H82">
        <f t="shared" si="17"/>
        <v>117</v>
      </c>
      <c r="I82" t="s">
        <v>690</v>
      </c>
      <c r="J82">
        <f>VLOOKUP(I82,gen_cost!$A$1:$AY$31,21)</f>
        <v>0</v>
      </c>
      <c r="K82">
        <f>VLOOKUP(I82,gen_cost!$A$1:$AY$31,22)</f>
        <v>0</v>
      </c>
      <c r="L82">
        <f>VLOOKUP(I82,gen_cost!$A$1:$AY$31,16)</f>
        <v>0</v>
      </c>
      <c r="M82">
        <f t="shared" ref="M82:Q91" si="18">+L82</f>
        <v>0</v>
      </c>
      <c r="N82">
        <f t="shared" si="18"/>
        <v>0</v>
      </c>
      <c r="O82">
        <f t="shared" si="18"/>
        <v>0</v>
      </c>
      <c r="P82">
        <f t="shared" si="18"/>
        <v>0</v>
      </c>
      <c r="Q82">
        <f t="shared" si="18"/>
        <v>0</v>
      </c>
      <c r="R82">
        <f>VLOOKUP(I82,gen_cost!$A$1:$AY$31,14)</f>
        <v>298.39</v>
      </c>
      <c r="S82">
        <f t="shared" ref="S82:W91" si="19">+R82</f>
        <v>298.39</v>
      </c>
      <c r="T82">
        <f t="shared" si="19"/>
        <v>298.39</v>
      </c>
      <c r="U82">
        <f t="shared" si="19"/>
        <v>298.39</v>
      </c>
      <c r="V82">
        <f t="shared" si="19"/>
        <v>298.39</v>
      </c>
      <c r="W82">
        <f t="shared" si="19"/>
        <v>298.39</v>
      </c>
      <c r="X82">
        <v>20</v>
      </c>
      <c r="Y82">
        <v>10</v>
      </c>
    </row>
    <row r="83" spans="1:25" x14ac:dyDescent="0.55000000000000004">
      <c r="A83" t="s">
        <v>422</v>
      </c>
      <c r="B83">
        <v>45</v>
      </c>
      <c r="C83">
        <v>230</v>
      </c>
      <c r="D83" t="s">
        <v>377</v>
      </c>
      <c r="E83">
        <v>0.12990599999999999</v>
      </c>
      <c r="F83">
        <v>8.5629999999999998E-2</v>
      </c>
      <c r="G83">
        <v>27</v>
      </c>
      <c r="H83">
        <f t="shared" si="17"/>
        <v>45</v>
      </c>
      <c r="I83" t="s">
        <v>690</v>
      </c>
      <c r="J83">
        <f>VLOOKUP(I83,gen_cost!$A$1:$AY$31,21)</f>
        <v>0</v>
      </c>
      <c r="K83">
        <f>VLOOKUP(I83,gen_cost!$A$1:$AY$31,22)</f>
        <v>0</v>
      </c>
      <c r="L83">
        <f>VLOOKUP(I83,gen_cost!$A$1:$AY$31,16)</f>
        <v>0</v>
      </c>
      <c r="M83">
        <f t="shared" si="18"/>
        <v>0</v>
      </c>
      <c r="N83">
        <f t="shared" si="18"/>
        <v>0</v>
      </c>
      <c r="O83">
        <f t="shared" si="18"/>
        <v>0</v>
      </c>
      <c r="P83">
        <f t="shared" si="18"/>
        <v>0</v>
      </c>
      <c r="Q83">
        <f t="shared" si="18"/>
        <v>0</v>
      </c>
      <c r="R83">
        <f>VLOOKUP(I83,gen_cost!$A$1:$AY$31,14)</f>
        <v>298.39</v>
      </c>
      <c r="S83">
        <f t="shared" si="19"/>
        <v>298.39</v>
      </c>
      <c r="T83">
        <f t="shared" si="19"/>
        <v>298.39</v>
      </c>
      <c r="U83">
        <f t="shared" si="19"/>
        <v>298.39</v>
      </c>
      <c r="V83">
        <f t="shared" si="19"/>
        <v>298.39</v>
      </c>
      <c r="W83">
        <f t="shared" si="19"/>
        <v>298.39</v>
      </c>
      <c r="X83">
        <v>20</v>
      </c>
      <c r="Y83">
        <v>10</v>
      </c>
    </row>
    <row r="84" spans="1:25" x14ac:dyDescent="0.55000000000000004">
      <c r="A84" t="s">
        <v>519</v>
      </c>
      <c r="B84">
        <v>141</v>
      </c>
      <c r="C84">
        <v>230</v>
      </c>
      <c r="D84" t="s">
        <v>377</v>
      </c>
      <c r="E84">
        <v>0.13022400000000001</v>
      </c>
      <c r="F84">
        <v>8.4631999999999999E-2</v>
      </c>
      <c r="G84">
        <v>28</v>
      </c>
      <c r="H84">
        <f t="shared" si="17"/>
        <v>141</v>
      </c>
      <c r="I84" t="s">
        <v>690</v>
      </c>
      <c r="J84">
        <f>VLOOKUP(I84,gen_cost!$A$1:$AY$31,21)</f>
        <v>0</v>
      </c>
      <c r="K84">
        <f>VLOOKUP(I84,gen_cost!$A$1:$AY$31,22)</f>
        <v>0</v>
      </c>
      <c r="L84">
        <f>VLOOKUP(I84,gen_cost!$A$1:$AY$31,16)</f>
        <v>0</v>
      </c>
      <c r="M84">
        <f t="shared" si="18"/>
        <v>0</v>
      </c>
      <c r="N84">
        <f t="shared" si="18"/>
        <v>0</v>
      </c>
      <c r="O84">
        <f t="shared" si="18"/>
        <v>0</v>
      </c>
      <c r="P84">
        <f t="shared" si="18"/>
        <v>0</v>
      </c>
      <c r="Q84">
        <f t="shared" si="18"/>
        <v>0</v>
      </c>
      <c r="R84">
        <f>VLOOKUP(I84,gen_cost!$A$1:$AY$31,14)</f>
        <v>298.39</v>
      </c>
      <c r="S84">
        <f t="shared" si="19"/>
        <v>298.39</v>
      </c>
      <c r="T84">
        <f t="shared" si="19"/>
        <v>298.39</v>
      </c>
      <c r="U84">
        <f t="shared" si="19"/>
        <v>298.39</v>
      </c>
      <c r="V84">
        <f t="shared" si="19"/>
        <v>298.39</v>
      </c>
      <c r="W84">
        <f t="shared" si="19"/>
        <v>298.39</v>
      </c>
      <c r="X84">
        <v>20</v>
      </c>
      <c r="Y84">
        <v>10</v>
      </c>
    </row>
    <row r="85" spans="1:25" x14ac:dyDescent="0.55000000000000004">
      <c r="A85" t="s">
        <v>520</v>
      </c>
      <c r="B85">
        <v>142</v>
      </c>
      <c r="C85">
        <v>230</v>
      </c>
      <c r="D85" t="s">
        <v>377</v>
      </c>
      <c r="E85">
        <v>0.13021199999999999</v>
      </c>
      <c r="F85">
        <v>8.4562999999999999E-2</v>
      </c>
      <c r="G85">
        <v>29</v>
      </c>
      <c r="H85">
        <f t="shared" si="17"/>
        <v>142</v>
      </c>
      <c r="I85" t="s">
        <v>690</v>
      </c>
      <c r="J85">
        <f>VLOOKUP(I85,gen_cost!$A$1:$AY$31,21)</f>
        <v>0</v>
      </c>
      <c r="K85">
        <f>VLOOKUP(I85,gen_cost!$A$1:$AY$31,22)</f>
        <v>0</v>
      </c>
      <c r="L85">
        <f>VLOOKUP(I85,gen_cost!$A$1:$AY$31,16)</f>
        <v>0</v>
      </c>
      <c r="M85">
        <f t="shared" si="18"/>
        <v>0</v>
      </c>
      <c r="N85">
        <f t="shared" si="18"/>
        <v>0</v>
      </c>
      <c r="O85">
        <f t="shared" si="18"/>
        <v>0</v>
      </c>
      <c r="P85">
        <f t="shared" si="18"/>
        <v>0</v>
      </c>
      <c r="Q85">
        <f t="shared" si="18"/>
        <v>0</v>
      </c>
      <c r="R85">
        <f>VLOOKUP(I85,gen_cost!$A$1:$AY$31,14)</f>
        <v>298.39</v>
      </c>
      <c r="S85">
        <f t="shared" si="19"/>
        <v>298.39</v>
      </c>
      <c r="T85">
        <f t="shared" si="19"/>
        <v>298.39</v>
      </c>
      <c r="U85">
        <f t="shared" si="19"/>
        <v>298.39</v>
      </c>
      <c r="V85">
        <f t="shared" si="19"/>
        <v>298.39</v>
      </c>
      <c r="W85">
        <f t="shared" si="19"/>
        <v>298.39</v>
      </c>
      <c r="X85">
        <v>20</v>
      </c>
      <c r="Y85">
        <v>10</v>
      </c>
    </row>
    <row r="86" spans="1:25" x14ac:dyDescent="0.55000000000000004">
      <c r="A86" t="s">
        <v>516</v>
      </c>
      <c r="B86">
        <v>138</v>
      </c>
      <c r="C86">
        <v>230</v>
      </c>
      <c r="D86" t="s">
        <v>377</v>
      </c>
      <c r="E86">
        <v>0.13145699999999999</v>
      </c>
      <c r="F86">
        <v>8.3807999999999994E-2</v>
      </c>
      <c r="G86">
        <v>30</v>
      </c>
      <c r="H86">
        <f t="shared" si="17"/>
        <v>138</v>
      </c>
      <c r="I86" t="s">
        <v>690</v>
      </c>
      <c r="J86">
        <f>VLOOKUP(I86,gen_cost!$A$1:$AY$31,21)</f>
        <v>0</v>
      </c>
      <c r="K86">
        <f>VLOOKUP(I86,gen_cost!$A$1:$AY$31,22)</f>
        <v>0</v>
      </c>
      <c r="L86">
        <f>VLOOKUP(I86,gen_cost!$A$1:$AY$31,16)</f>
        <v>0</v>
      </c>
      <c r="M86">
        <f t="shared" si="18"/>
        <v>0</v>
      </c>
      <c r="N86">
        <f t="shared" si="18"/>
        <v>0</v>
      </c>
      <c r="O86">
        <f t="shared" si="18"/>
        <v>0</v>
      </c>
      <c r="P86">
        <f t="shared" si="18"/>
        <v>0</v>
      </c>
      <c r="Q86">
        <f t="shared" si="18"/>
        <v>0</v>
      </c>
      <c r="R86">
        <f>VLOOKUP(I86,gen_cost!$A$1:$AY$31,14)</f>
        <v>298.39</v>
      </c>
      <c r="S86">
        <f t="shared" si="19"/>
        <v>298.39</v>
      </c>
      <c r="T86">
        <f t="shared" si="19"/>
        <v>298.39</v>
      </c>
      <c r="U86">
        <f t="shared" si="19"/>
        <v>298.39</v>
      </c>
      <c r="V86">
        <f t="shared" si="19"/>
        <v>298.39</v>
      </c>
      <c r="W86">
        <f t="shared" si="19"/>
        <v>298.39</v>
      </c>
      <c r="X86">
        <v>20</v>
      </c>
      <c r="Y86">
        <v>10</v>
      </c>
    </row>
    <row r="87" spans="1:25" x14ac:dyDescent="0.55000000000000004">
      <c r="A87" t="s">
        <v>436</v>
      </c>
      <c r="B87">
        <v>59</v>
      </c>
      <c r="C87">
        <v>230</v>
      </c>
      <c r="D87" t="s">
        <v>377</v>
      </c>
      <c r="E87">
        <v>0.129828</v>
      </c>
      <c r="F87">
        <v>8.2031999999999994E-2</v>
      </c>
      <c r="G87">
        <v>31</v>
      </c>
      <c r="H87">
        <f t="shared" si="17"/>
        <v>59</v>
      </c>
      <c r="I87" t="s">
        <v>690</v>
      </c>
      <c r="J87">
        <f>VLOOKUP(I87,gen_cost!$A$1:$AY$31,21)</f>
        <v>0</v>
      </c>
      <c r="K87">
        <f>VLOOKUP(I87,gen_cost!$A$1:$AY$31,22)</f>
        <v>0</v>
      </c>
      <c r="L87">
        <f>VLOOKUP(I87,gen_cost!$A$1:$AY$31,16)</f>
        <v>0</v>
      </c>
      <c r="M87">
        <f t="shared" si="18"/>
        <v>0</v>
      </c>
      <c r="N87">
        <f t="shared" si="18"/>
        <v>0</v>
      </c>
      <c r="O87">
        <f t="shared" si="18"/>
        <v>0</v>
      </c>
      <c r="P87">
        <f t="shared" si="18"/>
        <v>0</v>
      </c>
      <c r="Q87">
        <f t="shared" si="18"/>
        <v>0</v>
      </c>
      <c r="R87">
        <f>VLOOKUP(I87,gen_cost!$A$1:$AY$31,14)</f>
        <v>298.39</v>
      </c>
      <c r="S87">
        <f t="shared" si="19"/>
        <v>298.39</v>
      </c>
      <c r="T87">
        <f t="shared" si="19"/>
        <v>298.39</v>
      </c>
      <c r="U87">
        <f t="shared" si="19"/>
        <v>298.39</v>
      </c>
      <c r="V87">
        <f t="shared" si="19"/>
        <v>298.39</v>
      </c>
      <c r="W87">
        <f t="shared" si="19"/>
        <v>298.39</v>
      </c>
      <c r="X87">
        <v>20</v>
      </c>
      <c r="Y87">
        <v>10</v>
      </c>
    </row>
    <row r="88" spans="1:25" x14ac:dyDescent="0.55000000000000004">
      <c r="A88" t="s">
        <v>403</v>
      </c>
      <c r="B88">
        <v>26</v>
      </c>
      <c r="C88">
        <v>230</v>
      </c>
      <c r="D88" t="s">
        <v>377</v>
      </c>
      <c r="E88">
        <v>0.16608300000000001</v>
      </c>
      <c r="F88">
        <v>8.1028000000000003E-2</v>
      </c>
      <c r="G88">
        <v>34</v>
      </c>
      <c r="H88">
        <f t="shared" si="17"/>
        <v>26</v>
      </c>
      <c r="I88" t="s">
        <v>690</v>
      </c>
      <c r="J88">
        <f>VLOOKUP(I88,gen_cost!$A$1:$AY$31,21)</f>
        <v>0</v>
      </c>
      <c r="K88">
        <f>VLOOKUP(I88,gen_cost!$A$1:$AY$31,22)</f>
        <v>0</v>
      </c>
      <c r="L88">
        <f>VLOOKUP(I88,gen_cost!$A$1:$AY$31,16)</f>
        <v>0</v>
      </c>
      <c r="M88">
        <f t="shared" si="18"/>
        <v>0</v>
      </c>
      <c r="N88">
        <f t="shared" si="18"/>
        <v>0</v>
      </c>
      <c r="O88">
        <f t="shared" si="18"/>
        <v>0</v>
      </c>
      <c r="P88">
        <f t="shared" si="18"/>
        <v>0</v>
      </c>
      <c r="Q88">
        <f t="shared" si="18"/>
        <v>0</v>
      </c>
      <c r="R88">
        <f>VLOOKUP(I88,gen_cost!$A$1:$AY$31,14)</f>
        <v>298.39</v>
      </c>
      <c r="S88">
        <f t="shared" si="19"/>
        <v>298.39</v>
      </c>
      <c r="T88">
        <f t="shared" si="19"/>
        <v>298.39</v>
      </c>
      <c r="U88">
        <f t="shared" si="19"/>
        <v>298.39</v>
      </c>
      <c r="V88">
        <f t="shared" si="19"/>
        <v>298.39</v>
      </c>
      <c r="W88">
        <f t="shared" si="19"/>
        <v>298.39</v>
      </c>
      <c r="X88">
        <v>20</v>
      </c>
      <c r="Y88">
        <v>10</v>
      </c>
    </row>
    <row r="89" spans="1:25" x14ac:dyDescent="0.55000000000000004">
      <c r="A89" t="s">
        <v>405</v>
      </c>
      <c r="B89">
        <v>28</v>
      </c>
      <c r="C89">
        <v>500</v>
      </c>
      <c r="D89" t="s">
        <v>377</v>
      </c>
      <c r="E89">
        <v>0.130276</v>
      </c>
      <c r="F89">
        <v>7.9094999999999999E-2</v>
      </c>
      <c r="G89">
        <v>35</v>
      </c>
      <c r="H89">
        <f t="shared" si="17"/>
        <v>28</v>
      </c>
      <c r="I89" t="s">
        <v>690</v>
      </c>
      <c r="J89">
        <f>VLOOKUP(I89,gen_cost!$A$1:$AY$31,21)</f>
        <v>0</v>
      </c>
      <c r="K89">
        <f>VLOOKUP(I89,gen_cost!$A$1:$AY$31,22)</f>
        <v>0</v>
      </c>
      <c r="L89">
        <f>VLOOKUP(I89,gen_cost!$A$1:$AY$31,16)</f>
        <v>0</v>
      </c>
      <c r="M89">
        <f t="shared" si="18"/>
        <v>0</v>
      </c>
      <c r="N89">
        <f t="shared" si="18"/>
        <v>0</v>
      </c>
      <c r="O89">
        <f t="shared" si="18"/>
        <v>0</v>
      </c>
      <c r="P89">
        <f t="shared" si="18"/>
        <v>0</v>
      </c>
      <c r="Q89">
        <f t="shared" si="18"/>
        <v>0</v>
      </c>
      <c r="R89">
        <f>VLOOKUP(I89,gen_cost!$A$1:$AY$31,14)</f>
        <v>298.39</v>
      </c>
      <c r="S89">
        <f t="shared" si="19"/>
        <v>298.39</v>
      </c>
      <c r="T89">
        <f t="shared" si="19"/>
        <v>298.39</v>
      </c>
      <c r="U89">
        <f t="shared" si="19"/>
        <v>298.39</v>
      </c>
      <c r="V89">
        <f t="shared" si="19"/>
        <v>298.39</v>
      </c>
      <c r="W89">
        <f t="shared" si="19"/>
        <v>298.39</v>
      </c>
      <c r="X89">
        <v>20</v>
      </c>
      <c r="Y89">
        <v>10</v>
      </c>
    </row>
    <row r="90" spans="1:25" x14ac:dyDescent="0.55000000000000004">
      <c r="A90" t="s">
        <v>541</v>
      </c>
      <c r="B90">
        <v>163</v>
      </c>
      <c r="C90">
        <v>230</v>
      </c>
      <c r="D90" t="s">
        <v>377</v>
      </c>
      <c r="E90">
        <v>0.12915199999999999</v>
      </c>
      <c r="F90">
        <v>7.8870999999999997E-2</v>
      </c>
      <c r="G90">
        <v>36</v>
      </c>
      <c r="H90">
        <f t="shared" si="17"/>
        <v>163</v>
      </c>
      <c r="I90" t="s">
        <v>690</v>
      </c>
      <c r="J90">
        <f>VLOOKUP(I90,gen_cost!$A$1:$AY$31,21)</f>
        <v>0</v>
      </c>
      <c r="K90">
        <f>VLOOKUP(I90,gen_cost!$A$1:$AY$31,22)</f>
        <v>0</v>
      </c>
      <c r="L90">
        <f>VLOOKUP(I90,gen_cost!$A$1:$AY$31,16)</f>
        <v>0</v>
      </c>
      <c r="M90">
        <f t="shared" si="18"/>
        <v>0</v>
      </c>
      <c r="N90">
        <f t="shared" si="18"/>
        <v>0</v>
      </c>
      <c r="O90">
        <f t="shared" si="18"/>
        <v>0</v>
      </c>
      <c r="P90">
        <f t="shared" si="18"/>
        <v>0</v>
      </c>
      <c r="Q90">
        <f t="shared" si="18"/>
        <v>0</v>
      </c>
      <c r="R90">
        <f>VLOOKUP(I90,gen_cost!$A$1:$AY$31,14)</f>
        <v>298.39</v>
      </c>
      <c r="S90">
        <f t="shared" si="19"/>
        <v>298.39</v>
      </c>
      <c r="T90">
        <f t="shared" si="19"/>
        <v>298.39</v>
      </c>
      <c r="U90">
        <f t="shared" si="19"/>
        <v>298.39</v>
      </c>
      <c r="V90">
        <f t="shared" si="19"/>
        <v>298.39</v>
      </c>
      <c r="W90">
        <f t="shared" si="19"/>
        <v>298.39</v>
      </c>
      <c r="X90">
        <v>20</v>
      </c>
      <c r="Y90">
        <v>10</v>
      </c>
    </row>
    <row r="91" spans="1:25" x14ac:dyDescent="0.55000000000000004">
      <c r="A91" t="s">
        <v>402</v>
      </c>
      <c r="B91">
        <v>25</v>
      </c>
      <c r="C91">
        <v>230</v>
      </c>
      <c r="D91" t="s">
        <v>377</v>
      </c>
      <c r="E91">
        <v>0.13017599999999999</v>
      </c>
      <c r="F91">
        <v>7.7646999999999994E-2</v>
      </c>
      <c r="G91">
        <v>41</v>
      </c>
      <c r="H91">
        <f t="shared" si="17"/>
        <v>25</v>
      </c>
      <c r="I91" t="s">
        <v>690</v>
      </c>
      <c r="J91">
        <f>VLOOKUP(I91,gen_cost!$A$1:$AY$31,21)</f>
        <v>0</v>
      </c>
      <c r="K91">
        <f>VLOOKUP(I91,gen_cost!$A$1:$AY$31,22)</f>
        <v>0</v>
      </c>
      <c r="L91">
        <f>VLOOKUP(I91,gen_cost!$A$1:$AY$31,16)</f>
        <v>0</v>
      </c>
      <c r="M91">
        <f t="shared" si="18"/>
        <v>0</v>
      </c>
      <c r="N91">
        <f t="shared" si="18"/>
        <v>0</v>
      </c>
      <c r="O91">
        <f t="shared" si="18"/>
        <v>0</v>
      </c>
      <c r="P91">
        <f t="shared" si="18"/>
        <v>0</v>
      </c>
      <c r="Q91">
        <f t="shared" si="18"/>
        <v>0</v>
      </c>
      <c r="R91">
        <f>VLOOKUP(I91,gen_cost!$A$1:$AY$31,14)</f>
        <v>298.39</v>
      </c>
      <c r="S91">
        <f t="shared" si="19"/>
        <v>298.39</v>
      </c>
      <c r="T91">
        <f t="shared" si="19"/>
        <v>298.39</v>
      </c>
      <c r="U91">
        <f t="shared" si="19"/>
        <v>298.39</v>
      </c>
      <c r="V91">
        <f t="shared" si="19"/>
        <v>298.39</v>
      </c>
      <c r="W91">
        <f t="shared" si="19"/>
        <v>298.39</v>
      </c>
      <c r="X91">
        <v>20</v>
      </c>
      <c r="Y91">
        <v>10</v>
      </c>
    </row>
    <row r="92" spans="1:25" x14ac:dyDescent="0.55000000000000004">
      <c r="A92" t="s">
        <v>401</v>
      </c>
      <c r="B92">
        <v>24</v>
      </c>
      <c r="C92">
        <v>230</v>
      </c>
      <c r="D92" t="s">
        <v>377</v>
      </c>
      <c r="E92">
        <v>0.130162</v>
      </c>
      <c r="F92">
        <v>7.7567999999999998E-2</v>
      </c>
      <c r="G92">
        <v>42</v>
      </c>
      <c r="H92">
        <f t="shared" si="17"/>
        <v>24</v>
      </c>
      <c r="I92" t="s">
        <v>690</v>
      </c>
      <c r="J92">
        <f>VLOOKUP(I92,gen_cost!$A$1:$AY$31,21)</f>
        <v>0</v>
      </c>
      <c r="K92">
        <f>VLOOKUP(I92,gen_cost!$A$1:$AY$31,22)</f>
        <v>0</v>
      </c>
      <c r="L92">
        <f>VLOOKUP(I92,gen_cost!$A$1:$AY$31,16)</f>
        <v>0</v>
      </c>
      <c r="M92">
        <f t="shared" ref="M92:Q101" si="20">+L92</f>
        <v>0</v>
      </c>
      <c r="N92">
        <f t="shared" si="20"/>
        <v>0</v>
      </c>
      <c r="O92">
        <f t="shared" si="20"/>
        <v>0</v>
      </c>
      <c r="P92">
        <f t="shared" si="20"/>
        <v>0</v>
      </c>
      <c r="Q92">
        <f t="shared" si="20"/>
        <v>0</v>
      </c>
      <c r="R92">
        <f>VLOOKUP(I92,gen_cost!$A$1:$AY$31,14)</f>
        <v>298.39</v>
      </c>
      <c r="S92">
        <f t="shared" ref="S92:W101" si="21">+R92</f>
        <v>298.39</v>
      </c>
      <c r="T92">
        <f t="shared" si="21"/>
        <v>298.39</v>
      </c>
      <c r="U92">
        <f t="shared" si="21"/>
        <v>298.39</v>
      </c>
      <c r="V92">
        <f t="shared" si="21"/>
        <v>298.39</v>
      </c>
      <c r="W92">
        <f t="shared" si="21"/>
        <v>298.39</v>
      </c>
      <c r="X92">
        <v>20</v>
      </c>
      <c r="Y92">
        <v>10</v>
      </c>
    </row>
    <row r="93" spans="1:25" x14ac:dyDescent="0.55000000000000004">
      <c r="A93" t="s">
        <v>509</v>
      </c>
      <c r="B93">
        <v>131</v>
      </c>
      <c r="C93">
        <v>287</v>
      </c>
      <c r="D93" t="s">
        <v>377</v>
      </c>
      <c r="E93">
        <v>0.114666</v>
      </c>
      <c r="F93">
        <v>7.7087000000000003E-2</v>
      </c>
      <c r="G93">
        <v>43</v>
      </c>
      <c r="H93">
        <f t="shared" si="17"/>
        <v>131</v>
      </c>
      <c r="I93" t="s">
        <v>690</v>
      </c>
      <c r="J93">
        <f>VLOOKUP(I93,gen_cost!$A$1:$AY$31,21)</f>
        <v>0</v>
      </c>
      <c r="K93">
        <f>VLOOKUP(I93,gen_cost!$A$1:$AY$31,22)</f>
        <v>0</v>
      </c>
      <c r="L93">
        <f>VLOOKUP(I93,gen_cost!$A$1:$AY$31,16)</f>
        <v>0</v>
      </c>
      <c r="M93">
        <f t="shared" si="20"/>
        <v>0</v>
      </c>
      <c r="N93">
        <f t="shared" si="20"/>
        <v>0</v>
      </c>
      <c r="O93">
        <f t="shared" si="20"/>
        <v>0</v>
      </c>
      <c r="P93">
        <f t="shared" si="20"/>
        <v>0</v>
      </c>
      <c r="Q93">
        <f t="shared" si="20"/>
        <v>0</v>
      </c>
      <c r="R93">
        <f>VLOOKUP(I93,gen_cost!$A$1:$AY$31,14)</f>
        <v>298.39</v>
      </c>
      <c r="S93">
        <f t="shared" si="21"/>
        <v>298.39</v>
      </c>
      <c r="T93">
        <f t="shared" si="21"/>
        <v>298.39</v>
      </c>
      <c r="U93">
        <f t="shared" si="21"/>
        <v>298.39</v>
      </c>
      <c r="V93">
        <f t="shared" si="21"/>
        <v>298.39</v>
      </c>
      <c r="W93">
        <f t="shared" si="21"/>
        <v>298.39</v>
      </c>
      <c r="X93">
        <v>20</v>
      </c>
      <c r="Y93">
        <v>10</v>
      </c>
    </row>
    <row r="94" spans="1:25" x14ac:dyDescent="0.55000000000000004">
      <c r="A94" t="s">
        <v>445</v>
      </c>
      <c r="B94">
        <v>68</v>
      </c>
      <c r="C94">
        <v>230</v>
      </c>
      <c r="D94" t="s">
        <v>377</v>
      </c>
      <c r="E94">
        <v>0.130329</v>
      </c>
      <c r="F94">
        <v>7.6831999999999998E-2</v>
      </c>
      <c r="G94">
        <v>46</v>
      </c>
      <c r="H94">
        <f t="shared" si="17"/>
        <v>68</v>
      </c>
      <c r="I94" t="s">
        <v>690</v>
      </c>
      <c r="J94">
        <f>VLOOKUP(I94,gen_cost!$A$1:$AY$31,21)</f>
        <v>0</v>
      </c>
      <c r="K94">
        <f>VLOOKUP(I94,gen_cost!$A$1:$AY$31,22)</f>
        <v>0</v>
      </c>
      <c r="L94">
        <f>VLOOKUP(I94,gen_cost!$A$1:$AY$31,16)</f>
        <v>0</v>
      </c>
      <c r="M94">
        <f t="shared" si="20"/>
        <v>0</v>
      </c>
      <c r="N94">
        <f t="shared" si="20"/>
        <v>0</v>
      </c>
      <c r="O94">
        <f t="shared" si="20"/>
        <v>0</v>
      </c>
      <c r="P94">
        <f t="shared" si="20"/>
        <v>0</v>
      </c>
      <c r="Q94">
        <f t="shared" si="20"/>
        <v>0</v>
      </c>
      <c r="R94">
        <f>VLOOKUP(I94,gen_cost!$A$1:$AY$31,14)</f>
        <v>298.39</v>
      </c>
      <c r="S94">
        <f t="shared" si="21"/>
        <v>298.39</v>
      </c>
      <c r="T94">
        <f t="shared" si="21"/>
        <v>298.39</v>
      </c>
      <c r="U94">
        <f t="shared" si="21"/>
        <v>298.39</v>
      </c>
      <c r="V94">
        <f t="shared" si="21"/>
        <v>298.39</v>
      </c>
      <c r="W94">
        <f t="shared" si="21"/>
        <v>298.39</v>
      </c>
      <c r="X94">
        <v>20</v>
      </c>
      <c r="Y94">
        <v>10</v>
      </c>
    </row>
    <row r="95" spans="1:25" x14ac:dyDescent="0.55000000000000004">
      <c r="A95" t="s">
        <v>444</v>
      </c>
      <c r="B95">
        <v>67</v>
      </c>
      <c r="C95">
        <v>230</v>
      </c>
      <c r="D95" t="s">
        <v>377</v>
      </c>
      <c r="E95">
        <v>0.13022300000000001</v>
      </c>
      <c r="F95">
        <v>7.6131000000000004E-2</v>
      </c>
      <c r="G95">
        <v>47</v>
      </c>
      <c r="H95">
        <f t="shared" si="17"/>
        <v>67</v>
      </c>
      <c r="I95" t="s">
        <v>690</v>
      </c>
      <c r="J95">
        <f>VLOOKUP(I95,gen_cost!$A$1:$AY$31,21)</f>
        <v>0</v>
      </c>
      <c r="K95">
        <f>VLOOKUP(I95,gen_cost!$A$1:$AY$31,22)</f>
        <v>0</v>
      </c>
      <c r="L95">
        <f>VLOOKUP(I95,gen_cost!$A$1:$AY$31,16)</f>
        <v>0</v>
      </c>
      <c r="M95">
        <f t="shared" si="20"/>
        <v>0</v>
      </c>
      <c r="N95">
        <f t="shared" si="20"/>
        <v>0</v>
      </c>
      <c r="O95">
        <f t="shared" si="20"/>
        <v>0</v>
      </c>
      <c r="P95">
        <f t="shared" si="20"/>
        <v>0</v>
      </c>
      <c r="Q95">
        <f t="shared" si="20"/>
        <v>0</v>
      </c>
      <c r="R95">
        <f>VLOOKUP(I95,gen_cost!$A$1:$AY$31,14)</f>
        <v>298.39</v>
      </c>
      <c r="S95">
        <f t="shared" si="21"/>
        <v>298.39</v>
      </c>
      <c r="T95">
        <f t="shared" si="21"/>
        <v>298.39</v>
      </c>
      <c r="U95">
        <f t="shared" si="21"/>
        <v>298.39</v>
      </c>
      <c r="V95">
        <f t="shared" si="21"/>
        <v>298.39</v>
      </c>
      <c r="W95">
        <f t="shared" si="21"/>
        <v>298.39</v>
      </c>
      <c r="X95">
        <v>20</v>
      </c>
      <c r="Y95">
        <v>10</v>
      </c>
    </row>
    <row r="96" spans="1:25" x14ac:dyDescent="0.55000000000000004">
      <c r="A96" t="s">
        <v>478</v>
      </c>
      <c r="B96">
        <v>100</v>
      </c>
      <c r="C96">
        <v>230</v>
      </c>
      <c r="D96" t="s">
        <v>377</v>
      </c>
      <c r="E96">
        <v>0.12923899999999999</v>
      </c>
      <c r="F96">
        <v>7.5080999999999995E-2</v>
      </c>
      <c r="G96">
        <v>48</v>
      </c>
      <c r="H96">
        <f t="shared" si="17"/>
        <v>100</v>
      </c>
      <c r="I96" t="s">
        <v>690</v>
      </c>
      <c r="J96">
        <f>VLOOKUP(I96,gen_cost!$A$1:$AY$31,21)</f>
        <v>0</v>
      </c>
      <c r="K96">
        <f>VLOOKUP(I96,gen_cost!$A$1:$AY$31,22)</f>
        <v>0</v>
      </c>
      <c r="L96">
        <f>VLOOKUP(I96,gen_cost!$A$1:$AY$31,16)</f>
        <v>0</v>
      </c>
      <c r="M96">
        <f t="shared" si="20"/>
        <v>0</v>
      </c>
      <c r="N96">
        <f t="shared" si="20"/>
        <v>0</v>
      </c>
      <c r="O96">
        <f t="shared" si="20"/>
        <v>0</v>
      </c>
      <c r="P96">
        <f t="shared" si="20"/>
        <v>0</v>
      </c>
      <c r="Q96">
        <f t="shared" si="20"/>
        <v>0</v>
      </c>
      <c r="R96">
        <f>VLOOKUP(I96,gen_cost!$A$1:$AY$31,14)</f>
        <v>298.39</v>
      </c>
      <c r="S96">
        <f t="shared" si="21"/>
        <v>298.39</v>
      </c>
      <c r="T96">
        <f t="shared" si="21"/>
        <v>298.39</v>
      </c>
      <c r="U96">
        <f t="shared" si="21"/>
        <v>298.39</v>
      </c>
      <c r="V96">
        <f t="shared" si="21"/>
        <v>298.39</v>
      </c>
      <c r="W96">
        <f t="shared" si="21"/>
        <v>298.39</v>
      </c>
      <c r="X96">
        <v>20</v>
      </c>
      <c r="Y96">
        <v>10</v>
      </c>
    </row>
    <row r="97" spans="1:25" x14ac:dyDescent="0.55000000000000004">
      <c r="A97" t="s">
        <v>534</v>
      </c>
      <c r="B97">
        <v>156</v>
      </c>
      <c r="C97">
        <v>230</v>
      </c>
      <c r="D97" t="s">
        <v>377</v>
      </c>
      <c r="E97">
        <v>0.148059</v>
      </c>
      <c r="F97">
        <v>7.4235999999999996E-2</v>
      </c>
      <c r="G97">
        <v>50</v>
      </c>
      <c r="H97">
        <f t="shared" si="17"/>
        <v>156</v>
      </c>
      <c r="I97" t="s">
        <v>690</v>
      </c>
      <c r="J97">
        <f>VLOOKUP(I97,gen_cost!$A$1:$AY$31,21)</f>
        <v>0</v>
      </c>
      <c r="K97">
        <f>VLOOKUP(I97,gen_cost!$A$1:$AY$31,22)</f>
        <v>0</v>
      </c>
      <c r="L97">
        <f>VLOOKUP(I97,gen_cost!$A$1:$AY$31,16)</f>
        <v>0</v>
      </c>
      <c r="M97">
        <f t="shared" si="20"/>
        <v>0</v>
      </c>
      <c r="N97">
        <f t="shared" si="20"/>
        <v>0</v>
      </c>
      <c r="O97">
        <f t="shared" si="20"/>
        <v>0</v>
      </c>
      <c r="P97">
        <f t="shared" si="20"/>
        <v>0</v>
      </c>
      <c r="Q97">
        <f t="shared" si="20"/>
        <v>0</v>
      </c>
      <c r="R97">
        <f>VLOOKUP(I97,gen_cost!$A$1:$AY$31,14)</f>
        <v>298.39</v>
      </c>
      <c r="S97">
        <f t="shared" si="21"/>
        <v>298.39</v>
      </c>
      <c r="T97">
        <f t="shared" si="21"/>
        <v>298.39</v>
      </c>
      <c r="U97">
        <f t="shared" si="21"/>
        <v>298.39</v>
      </c>
      <c r="V97">
        <f t="shared" si="21"/>
        <v>298.39</v>
      </c>
      <c r="W97">
        <f t="shared" si="21"/>
        <v>298.39</v>
      </c>
      <c r="X97">
        <v>20</v>
      </c>
      <c r="Y97">
        <v>10</v>
      </c>
    </row>
    <row r="98" spans="1:25" x14ac:dyDescent="0.55000000000000004">
      <c r="A98" t="s">
        <v>455</v>
      </c>
      <c r="B98">
        <v>78</v>
      </c>
      <c r="C98">
        <v>230</v>
      </c>
      <c r="D98" t="s">
        <v>377</v>
      </c>
      <c r="E98">
        <v>0.129688</v>
      </c>
      <c r="F98">
        <v>7.3993000000000003E-2</v>
      </c>
      <c r="G98">
        <v>51</v>
      </c>
      <c r="H98">
        <f t="shared" si="17"/>
        <v>78</v>
      </c>
      <c r="I98" t="s">
        <v>690</v>
      </c>
      <c r="J98">
        <f>VLOOKUP(I98,gen_cost!$A$1:$AY$31,21)</f>
        <v>0</v>
      </c>
      <c r="K98">
        <f>VLOOKUP(I98,gen_cost!$A$1:$AY$31,22)</f>
        <v>0</v>
      </c>
      <c r="L98">
        <f>VLOOKUP(I98,gen_cost!$A$1:$AY$31,16)</f>
        <v>0</v>
      </c>
      <c r="M98">
        <f t="shared" si="20"/>
        <v>0</v>
      </c>
      <c r="N98">
        <f t="shared" si="20"/>
        <v>0</v>
      </c>
      <c r="O98">
        <f t="shared" si="20"/>
        <v>0</v>
      </c>
      <c r="P98">
        <f t="shared" si="20"/>
        <v>0</v>
      </c>
      <c r="Q98">
        <f t="shared" si="20"/>
        <v>0</v>
      </c>
      <c r="R98">
        <f>VLOOKUP(I98,gen_cost!$A$1:$AY$31,14)</f>
        <v>298.39</v>
      </c>
      <c r="S98">
        <f t="shared" si="21"/>
        <v>298.39</v>
      </c>
      <c r="T98">
        <f t="shared" si="21"/>
        <v>298.39</v>
      </c>
      <c r="U98">
        <f t="shared" si="21"/>
        <v>298.39</v>
      </c>
      <c r="V98">
        <f t="shared" si="21"/>
        <v>298.39</v>
      </c>
      <c r="W98">
        <f t="shared" si="21"/>
        <v>298.39</v>
      </c>
      <c r="X98">
        <v>20</v>
      </c>
      <c r="Y98">
        <v>10</v>
      </c>
    </row>
    <row r="99" spans="1:25" x14ac:dyDescent="0.55000000000000004">
      <c r="A99" t="s">
        <v>532</v>
      </c>
      <c r="B99">
        <v>154</v>
      </c>
      <c r="C99">
        <v>500</v>
      </c>
      <c r="D99" t="s">
        <v>377</v>
      </c>
      <c r="E99">
        <v>0.15116299999999999</v>
      </c>
      <c r="F99">
        <v>7.3580999999999994E-2</v>
      </c>
      <c r="G99">
        <v>52</v>
      </c>
      <c r="H99">
        <f t="shared" si="17"/>
        <v>154</v>
      </c>
      <c r="I99" t="s">
        <v>690</v>
      </c>
      <c r="J99">
        <f>VLOOKUP(I99,gen_cost!$A$1:$AY$31,21)</f>
        <v>0</v>
      </c>
      <c r="K99">
        <f>VLOOKUP(I99,gen_cost!$A$1:$AY$31,22)</f>
        <v>0</v>
      </c>
      <c r="L99">
        <f>VLOOKUP(I99,gen_cost!$A$1:$AY$31,16)</f>
        <v>0</v>
      </c>
      <c r="M99">
        <f t="shared" si="20"/>
        <v>0</v>
      </c>
      <c r="N99">
        <f t="shared" si="20"/>
        <v>0</v>
      </c>
      <c r="O99">
        <f t="shared" si="20"/>
        <v>0</v>
      </c>
      <c r="P99">
        <f t="shared" si="20"/>
        <v>0</v>
      </c>
      <c r="Q99">
        <f t="shared" si="20"/>
        <v>0</v>
      </c>
      <c r="R99">
        <f>VLOOKUP(I99,gen_cost!$A$1:$AY$31,14)</f>
        <v>298.39</v>
      </c>
      <c r="S99">
        <f t="shared" si="21"/>
        <v>298.39</v>
      </c>
      <c r="T99">
        <f t="shared" si="21"/>
        <v>298.39</v>
      </c>
      <c r="U99">
        <f t="shared" si="21"/>
        <v>298.39</v>
      </c>
      <c r="V99">
        <f t="shared" si="21"/>
        <v>298.39</v>
      </c>
      <c r="W99">
        <f t="shared" si="21"/>
        <v>298.39</v>
      </c>
      <c r="X99">
        <v>20</v>
      </c>
      <c r="Y99">
        <v>10</v>
      </c>
    </row>
    <row r="100" spans="1:25" x14ac:dyDescent="0.55000000000000004">
      <c r="A100" t="s">
        <v>428</v>
      </c>
      <c r="B100">
        <v>51</v>
      </c>
      <c r="C100">
        <v>230</v>
      </c>
      <c r="D100" t="s">
        <v>377</v>
      </c>
      <c r="E100">
        <v>0.12879699999999999</v>
      </c>
      <c r="F100">
        <v>7.3288000000000006E-2</v>
      </c>
      <c r="G100">
        <v>60</v>
      </c>
      <c r="H100">
        <f t="shared" si="17"/>
        <v>51</v>
      </c>
      <c r="I100" t="s">
        <v>690</v>
      </c>
      <c r="J100">
        <f>VLOOKUP(I100,gen_cost!$A$1:$AY$31,21)</f>
        <v>0</v>
      </c>
      <c r="K100">
        <f>VLOOKUP(I100,gen_cost!$A$1:$AY$31,22)</f>
        <v>0</v>
      </c>
      <c r="L100">
        <f>VLOOKUP(I100,gen_cost!$A$1:$AY$31,16)</f>
        <v>0</v>
      </c>
      <c r="M100">
        <f t="shared" si="20"/>
        <v>0</v>
      </c>
      <c r="N100">
        <f t="shared" si="20"/>
        <v>0</v>
      </c>
      <c r="O100">
        <f t="shared" si="20"/>
        <v>0</v>
      </c>
      <c r="P100">
        <f t="shared" si="20"/>
        <v>0</v>
      </c>
      <c r="Q100">
        <f t="shared" si="20"/>
        <v>0</v>
      </c>
      <c r="R100">
        <f>VLOOKUP(I100,gen_cost!$A$1:$AY$31,14)</f>
        <v>298.39</v>
      </c>
      <c r="S100">
        <f t="shared" si="21"/>
        <v>298.39</v>
      </c>
      <c r="T100">
        <f t="shared" si="21"/>
        <v>298.39</v>
      </c>
      <c r="U100">
        <f t="shared" si="21"/>
        <v>298.39</v>
      </c>
      <c r="V100">
        <f t="shared" si="21"/>
        <v>298.39</v>
      </c>
      <c r="W100">
        <f t="shared" si="21"/>
        <v>298.39</v>
      </c>
      <c r="X100">
        <v>20</v>
      </c>
      <c r="Y100">
        <v>10</v>
      </c>
    </row>
    <row r="101" spans="1:25" x14ac:dyDescent="0.55000000000000004">
      <c r="A101" t="s">
        <v>409</v>
      </c>
      <c r="B101">
        <v>32</v>
      </c>
      <c r="C101">
        <v>230</v>
      </c>
      <c r="D101" t="s">
        <v>377</v>
      </c>
      <c r="E101">
        <v>0.12978799999999999</v>
      </c>
      <c r="F101">
        <v>7.2908000000000001E-2</v>
      </c>
      <c r="G101">
        <v>61</v>
      </c>
      <c r="H101">
        <f t="shared" si="17"/>
        <v>32</v>
      </c>
      <c r="I101" t="s">
        <v>690</v>
      </c>
      <c r="J101">
        <f>VLOOKUP(I101,gen_cost!$A$1:$AY$31,21)</f>
        <v>0</v>
      </c>
      <c r="K101">
        <f>VLOOKUP(I101,gen_cost!$A$1:$AY$31,22)</f>
        <v>0</v>
      </c>
      <c r="L101">
        <f>VLOOKUP(I101,gen_cost!$A$1:$AY$31,16)</f>
        <v>0</v>
      </c>
      <c r="M101">
        <f t="shared" si="20"/>
        <v>0</v>
      </c>
      <c r="N101">
        <f t="shared" si="20"/>
        <v>0</v>
      </c>
      <c r="O101">
        <f t="shared" si="20"/>
        <v>0</v>
      </c>
      <c r="P101">
        <f t="shared" si="20"/>
        <v>0</v>
      </c>
      <c r="Q101">
        <f t="shared" si="20"/>
        <v>0</v>
      </c>
      <c r="R101">
        <f>VLOOKUP(I101,gen_cost!$A$1:$AY$31,14)</f>
        <v>298.39</v>
      </c>
      <c r="S101">
        <f t="shared" si="21"/>
        <v>298.39</v>
      </c>
      <c r="T101">
        <f t="shared" si="21"/>
        <v>298.39</v>
      </c>
      <c r="U101">
        <f t="shared" si="21"/>
        <v>298.39</v>
      </c>
      <c r="V101">
        <f t="shared" si="21"/>
        <v>298.39</v>
      </c>
      <c r="W101">
        <f t="shared" si="21"/>
        <v>298.39</v>
      </c>
      <c r="X101">
        <v>20</v>
      </c>
      <c r="Y101">
        <v>10</v>
      </c>
    </row>
    <row r="102" spans="1:25" x14ac:dyDescent="0.55000000000000004">
      <c r="A102" t="s">
        <v>512</v>
      </c>
      <c r="B102">
        <v>134</v>
      </c>
      <c r="C102">
        <v>230</v>
      </c>
      <c r="D102" t="s">
        <v>377</v>
      </c>
      <c r="E102">
        <v>0.12968399999999999</v>
      </c>
      <c r="F102">
        <v>7.2260000000000005E-2</v>
      </c>
      <c r="G102">
        <v>64</v>
      </c>
      <c r="H102">
        <f t="shared" si="17"/>
        <v>134</v>
      </c>
      <c r="I102" t="s">
        <v>690</v>
      </c>
      <c r="J102">
        <f>VLOOKUP(I102,gen_cost!$A$1:$AY$31,21)</f>
        <v>0</v>
      </c>
      <c r="K102">
        <f>VLOOKUP(I102,gen_cost!$A$1:$AY$31,22)</f>
        <v>0</v>
      </c>
      <c r="L102">
        <f>VLOOKUP(I102,gen_cost!$A$1:$AY$31,16)</f>
        <v>0</v>
      </c>
      <c r="M102">
        <f t="shared" ref="M102:Q111" si="22">+L102</f>
        <v>0</v>
      </c>
      <c r="N102">
        <f t="shared" si="22"/>
        <v>0</v>
      </c>
      <c r="O102">
        <f t="shared" si="22"/>
        <v>0</v>
      </c>
      <c r="P102">
        <f t="shared" si="22"/>
        <v>0</v>
      </c>
      <c r="Q102">
        <f t="shared" si="22"/>
        <v>0</v>
      </c>
      <c r="R102">
        <f>VLOOKUP(I102,gen_cost!$A$1:$AY$31,14)</f>
        <v>298.39</v>
      </c>
      <c r="S102">
        <f t="shared" ref="S102:W111" si="23">+R102</f>
        <v>298.39</v>
      </c>
      <c r="T102">
        <f t="shared" si="23"/>
        <v>298.39</v>
      </c>
      <c r="U102">
        <f t="shared" si="23"/>
        <v>298.39</v>
      </c>
      <c r="V102">
        <f t="shared" si="23"/>
        <v>298.39</v>
      </c>
      <c r="W102">
        <f t="shared" si="23"/>
        <v>298.39</v>
      </c>
      <c r="X102">
        <v>20</v>
      </c>
      <c r="Y102">
        <v>10</v>
      </c>
    </row>
    <row r="103" spans="1:25" x14ac:dyDescent="0.55000000000000004">
      <c r="A103" t="s">
        <v>408</v>
      </c>
      <c r="B103">
        <v>31</v>
      </c>
      <c r="C103">
        <v>230</v>
      </c>
      <c r="D103" t="s">
        <v>377</v>
      </c>
      <c r="E103">
        <v>0.12781500000000001</v>
      </c>
      <c r="F103">
        <v>7.1619000000000002E-2</v>
      </c>
      <c r="G103">
        <v>69</v>
      </c>
      <c r="H103">
        <f t="shared" si="17"/>
        <v>31</v>
      </c>
      <c r="I103" t="s">
        <v>690</v>
      </c>
      <c r="J103">
        <f>VLOOKUP(I103,gen_cost!$A$1:$AY$31,21)</f>
        <v>0</v>
      </c>
      <c r="K103">
        <f>VLOOKUP(I103,gen_cost!$A$1:$AY$31,22)</f>
        <v>0</v>
      </c>
      <c r="L103">
        <f>VLOOKUP(I103,gen_cost!$A$1:$AY$31,16)</f>
        <v>0</v>
      </c>
      <c r="M103">
        <f t="shared" si="22"/>
        <v>0</v>
      </c>
      <c r="N103">
        <f t="shared" si="22"/>
        <v>0</v>
      </c>
      <c r="O103">
        <f t="shared" si="22"/>
        <v>0</v>
      </c>
      <c r="P103">
        <f t="shared" si="22"/>
        <v>0</v>
      </c>
      <c r="Q103">
        <f t="shared" si="22"/>
        <v>0</v>
      </c>
      <c r="R103">
        <f>VLOOKUP(I103,gen_cost!$A$1:$AY$31,14)</f>
        <v>298.39</v>
      </c>
      <c r="S103">
        <f t="shared" si="23"/>
        <v>298.39</v>
      </c>
      <c r="T103">
        <f t="shared" si="23"/>
        <v>298.39</v>
      </c>
      <c r="U103">
        <f t="shared" si="23"/>
        <v>298.39</v>
      </c>
      <c r="V103">
        <f t="shared" si="23"/>
        <v>298.39</v>
      </c>
      <c r="W103">
        <f t="shared" si="23"/>
        <v>298.39</v>
      </c>
      <c r="X103">
        <v>20</v>
      </c>
      <c r="Y103">
        <v>10</v>
      </c>
    </row>
    <row r="104" spans="1:25" x14ac:dyDescent="0.55000000000000004">
      <c r="A104" t="s">
        <v>387</v>
      </c>
      <c r="B104">
        <v>11</v>
      </c>
      <c r="C104">
        <v>230</v>
      </c>
      <c r="D104" t="s">
        <v>377</v>
      </c>
      <c r="E104">
        <v>0.15232399999999999</v>
      </c>
      <c r="F104">
        <v>7.1497000000000005E-2</v>
      </c>
      <c r="G104">
        <v>70</v>
      </c>
      <c r="H104">
        <f t="shared" si="17"/>
        <v>11</v>
      </c>
      <c r="I104" t="s">
        <v>690</v>
      </c>
      <c r="J104">
        <f>VLOOKUP(I104,gen_cost!$A$1:$AY$31,21)</f>
        <v>0</v>
      </c>
      <c r="K104">
        <f>VLOOKUP(I104,gen_cost!$A$1:$AY$31,22)</f>
        <v>0</v>
      </c>
      <c r="L104">
        <f>VLOOKUP(I104,gen_cost!$A$1:$AY$31,16)</f>
        <v>0</v>
      </c>
      <c r="M104">
        <f t="shared" si="22"/>
        <v>0</v>
      </c>
      <c r="N104">
        <f t="shared" si="22"/>
        <v>0</v>
      </c>
      <c r="O104">
        <f t="shared" si="22"/>
        <v>0</v>
      </c>
      <c r="P104">
        <f t="shared" si="22"/>
        <v>0</v>
      </c>
      <c r="Q104">
        <f t="shared" si="22"/>
        <v>0</v>
      </c>
      <c r="R104">
        <f>VLOOKUP(I104,gen_cost!$A$1:$AY$31,14)</f>
        <v>298.39</v>
      </c>
      <c r="S104">
        <f t="shared" si="23"/>
        <v>298.39</v>
      </c>
      <c r="T104">
        <f t="shared" si="23"/>
        <v>298.39</v>
      </c>
      <c r="U104">
        <f t="shared" si="23"/>
        <v>298.39</v>
      </c>
      <c r="V104">
        <f t="shared" si="23"/>
        <v>298.39</v>
      </c>
      <c r="W104">
        <f t="shared" si="23"/>
        <v>298.39</v>
      </c>
      <c r="X104">
        <v>20</v>
      </c>
      <c r="Y104">
        <v>10</v>
      </c>
    </row>
    <row r="105" spans="1:25" x14ac:dyDescent="0.55000000000000004">
      <c r="A105" t="s">
        <v>380</v>
      </c>
      <c r="B105">
        <v>4</v>
      </c>
      <c r="C105">
        <v>230</v>
      </c>
      <c r="D105" t="s">
        <v>377</v>
      </c>
      <c r="E105">
        <v>0.131906</v>
      </c>
      <c r="F105">
        <v>7.1110999999999994E-2</v>
      </c>
      <c r="G105">
        <v>71</v>
      </c>
      <c r="H105">
        <f t="shared" si="17"/>
        <v>4</v>
      </c>
      <c r="I105" t="s">
        <v>690</v>
      </c>
      <c r="J105">
        <f>VLOOKUP(I105,gen_cost!$A$1:$AY$31,21)</f>
        <v>0</v>
      </c>
      <c r="K105">
        <f>VLOOKUP(I105,gen_cost!$A$1:$AY$31,22)</f>
        <v>0</v>
      </c>
      <c r="L105">
        <f>VLOOKUP(I105,gen_cost!$A$1:$AY$31,16)</f>
        <v>0</v>
      </c>
      <c r="M105">
        <f t="shared" si="22"/>
        <v>0</v>
      </c>
      <c r="N105">
        <f t="shared" si="22"/>
        <v>0</v>
      </c>
      <c r="O105">
        <f t="shared" si="22"/>
        <v>0</v>
      </c>
      <c r="P105">
        <f t="shared" si="22"/>
        <v>0</v>
      </c>
      <c r="Q105">
        <f t="shared" si="22"/>
        <v>0</v>
      </c>
      <c r="R105">
        <f>VLOOKUP(I105,gen_cost!$A$1:$AY$31,14)</f>
        <v>298.39</v>
      </c>
      <c r="S105">
        <f t="shared" si="23"/>
        <v>298.39</v>
      </c>
      <c r="T105">
        <f t="shared" si="23"/>
        <v>298.39</v>
      </c>
      <c r="U105">
        <f t="shared" si="23"/>
        <v>298.39</v>
      </c>
      <c r="V105">
        <f t="shared" si="23"/>
        <v>298.39</v>
      </c>
      <c r="W105">
        <f t="shared" si="23"/>
        <v>298.39</v>
      </c>
      <c r="X105">
        <v>20</v>
      </c>
      <c r="Y105">
        <v>10</v>
      </c>
    </row>
    <row r="106" spans="1:25" x14ac:dyDescent="0.55000000000000004">
      <c r="A106" t="s">
        <v>392</v>
      </c>
      <c r="B106">
        <v>15</v>
      </c>
      <c r="C106">
        <v>230</v>
      </c>
      <c r="D106" t="s">
        <v>377</v>
      </c>
      <c r="E106">
        <v>0.12825800000000001</v>
      </c>
      <c r="F106">
        <v>7.0947999999999997E-2</v>
      </c>
      <c r="G106">
        <v>72</v>
      </c>
      <c r="H106">
        <f t="shared" si="17"/>
        <v>15</v>
      </c>
      <c r="I106" t="s">
        <v>690</v>
      </c>
      <c r="J106">
        <f>VLOOKUP(I106,gen_cost!$A$1:$AY$31,21)</f>
        <v>0</v>
      </c>
      <c r="K106">
        <f>VLOOKUP(I106,gen_cost!$A$1:$AY$31,22)</f>
        <v>0</v>
      </c>
      <c r="L106">
        <f>VLOOKUP(I106,gen_cost!$A$1:$AY$31,16)</f>
        <v>0</v>
      </c>
      <c r="M106">
        <f t="shared" si="22"/>
        <v>0</v>
      </c>
      <c r="N106">
        <f t="shared" si="22"/>
        <v>0</v>
      </c>
      <c r="O106">
        <f t="shared" si="22"/>
        <v>0</v>
      </c>
      <c r="P106">
        <f t="shared" si="22"/>
        <v>0</v>
      </c>
      <c r="Q106">
        <f t="shared" si="22"/>
        <v>0</v>
      </c>
      <c r="R106">
        <f>VLOOKUP(I106,gen_cost!$A$1:$AY$31,14)</f>
        <v>298.39</v>
      </c>
      <c r="S106">
        <f t="shared" si="23"/>
        <v>298.39</v>
      </c>
      <c r="T106">
        <f t="shared" si="23"/>
        <v>298.39</v>
      </c>
      <c r="U106">
        <f t="shared" si="23"/>
        <v>298.39</v>
      </c>
      <c r="V106">
        <f t="shared" si="23"/>
        <v>298.39</v>
      </c>
      <c r="W106">
        <f t="shared" si="23"/>
        <v>298.39</v>
      </c>
      <c r="X106">
        <v>20</v>
      </c>
      <c r="Y106">
        <v>10</v>
      </c>
    </row>
    <row r="107" spans="1:25" x14ac:dyDescent="0.55000000000000004">
      <c r="A107" t="s">
        <v>470</v>
      </c>
      <c r="B107">
        <v>92</v>
      </c>
      <c r="C107">
        <v>230</v>
      </c>
      <c r="D107" t="s">
        <v>377</v>
      </c>
      <c r="E107">
        <v>0.129298</v>
      </c>
      <c r="F107">
        <v>7.0448999999999998E-2</v>
      </c>
      <c r="G107">
        <v>73</v>
      </c>
      <c r="H107">
        <f t="shared" si="17"/>
        <v>92</v>
      </c>
      <c r="I107" t="s">
        <v>690</v>
      </c>
      <c r="J107">
        <f>VLOOKUP(I107,gen_cost!$A$1:$AY$31,21)</f>
        <v>0</v>
      </c>
      <c r="K107">
        <f>VLOOKUP(I107,gen_cost!$A$1:$AY$31,22)</f>
        <v>0</v>
      </c>
      <c r="L107">
        <f>VLOOKUP(I107,gen_cost!$A$1:$AY$31,16)</f>
        <v>0</v>
      </c>
      <c r="M107">
        <f t="shared" si="22"/>
        <v>0</v>
      </c>
      <c r="N107">
        <f t="shared" si="22"/>
        <v>0</v>
      </c>
      <c r="O107">
        <f t="shared" si="22"/>
        <v>0</v>
      </c>
      <c r="P107">
        <f t="shared" si="22"/>
        <v>0</v>
      </c>
      <c r="Q107">
        <f t="shared" si="22"/>
        <v>0</v>
      </c>
      <c r="R107">
        <f>VLOOKUP(I107,gen_cost!$A$1:$AY$31,14)</f>
        <v>298.39</v>
      </c>
      <c r="S107">
        <f t="shared" si="23"/>
        <v>298.39</v>
      </c>
      <c r="T107">
        <f t="shared" si="23"/>
        <v>298.39</v>
      </c>
      <c r="U107">
        <f t="shared" si="23"/>
        <v>298.39</v>
      </c>
      <c r="V107">
        <f t="shared" si="23"/>
        <v>298.39</v>
      </c>
      <c r="W107">
        <f t="shared" si="23"/>
        <v>298.39</v>
      </c>
      <c r="X107">
        <v>20</v>
      </c>
      <c r="Y107">
        <v>10</v>
      </c>
    </row>
    <row r="108" spans="1:25" x14ac:dyDescent="0.55000000000000004">
      <c r="A108" t="s">
        <v>430</v>
      </c>
      <c r="B108">
        <v>53</v>
      </c>
      <c r="C108">
        <v>230</v>
      </c>
      <c r="D108" t="s">
        <v>377</v>
      </c>
      <c r="E108">
        <v>0.12876599999999999</v>
      </c>
      <c r="F108">
        <v>7.0219000000000004E-2</v>
      </c>
      <c r="G108">
        <v>74</v>
      </c>
      <c r="H108">
        <f t="shared" si="17"/>
        <v>53</v>
      </c>
      <c r="I108" t="s">
        <v>690</v>
      </c>
      <c r="J108">
        <f>VLOOKUP(I108,gen_cost!$A$1:$AY$31,21)</f>
        <v>0</v>
      </c>
      <c r="K108">
        <f>VLOOKUP(I108,gen_cost!$A$1:$AY$31,22)</f>
        <v>0</v>
      </c>
      <c r="L108">
        <f>VLOOKUP(I108,gen_cost!$A$1:$AY$31,16)</f>
        <v>0</v>
      </c>
      <c r="M108">
        <f t="shared" si="22"/>
        <v>0</v>
      </c>
      <c r="N108">
        <f t="shared" si="22"/>
        <v>0</v>
      </c>
      <c r="O108">
        <f t="shared" si="22"/>
        <v>0</v>
      </c>
      <c r="P108">
        <f t="shared" si="22"/>
        <v>0</v>
      </c>
      <c r="Q108">
        <f t="shared" si="22"/>
        <v>0</v>
      </c>
      <c r="R108">
        <f>VLOOKUP(I108,gen_cost!$A$1:$AY$31,14)</f>
        <v>298.39</v>
      </c>
      <c r="S108">
        <f t="shared" si="23"/>
        <v>298.39</v>
      </c>
      <c r="T108">
        <f t="shared" si="23"/>
        <v>298.39</v>
      </c>
      <c r="U108">
        <f t="shared" si="23"/>
        <v>298.39</v>
      </c>
      <c r="V108">
        <f t="shared" si="23"/>
        <v>298.39</v>
      </c>
      <c r="W108">
        <f t="shared" si="23"/>
        <v>298.39</v>
      </c>
      <c r="X108">
        <v>20</v>
      </c>
      <c r="Y108">
        <v>10</v>
      </c>
    </row>
    <row r="109" spans="1:25" x14ac:dyDescent="0.55000000000000004">
      <c r="A109" t="s">
        <v>476</v>
      </c>
      <c r="B109">
        <v>98</v>
      </c>
      <c r="C109">
        <v>230</v>
      </c>
      <c r="D109" t="s">
        <v>377</v>
      </c>
      <c r="E109">
        <v>0.12905900000000001</v>
      </c>
      <c r="F109">
        <v>6.9321999999999995E-2</v>
      </c>
      <c r="G109">
        <v>75</v>
      </c>
      <c r="H109">
        <f t="shared" si="17"/>
        <v>98</v>
      </c>
      <c r="I109" t="s">
        <v>690</v>
      </c>
      <c r="J109">
        <f>VLOOKUP(I109,gen_cost!$A$1:$AY$31,21)</f>
        <v>0</v>
      </c>
      <c r="K109">
        <f>VLOOKUP(I109,gen_cost!$A$1:$AY$31,22)</f>
        <v>0</v>
      </c>
      <c r="L109">
        <f>VLOOKUP(I109,gen_cost!$A$1:$AY$31,16)</f>
        <v>0</v>
      </c>
      <c r="M109">
        <f t="shared" si="22"/>
        <v>0</v>
      </c>
      <c r="N109">
        <f t="shared" si="22"/>
        <v>0</v>
      </c>
      <c r="O109">
        <f t="shared" si="22"/>
        <v>0</v>
      </c>
      <c r="P109">
        <f t="shared" si="22"/>
        <v>0</v>
      </c>
      <c r="Q109">
        <f t="shared" si="22"/>
        <v>0</v>
      </c>
      <c r="R109">
        <f>VLOOKUP(I109,gen_cost!$A$1:$AY$31,14)</f>
        <v>298.39</v>
      </c>
      <c r="S109">
        <f t="shared" si="23"/>
        <v>298.39</v>
      </c>
      <c r="T109">
        <f t="shared" si="23"/>
        <v>298.39</v>
      </c>
      <c r="U109">
        <f t="shared" si="23"/>
        <v>298.39</v>
      </c>
      <c r="V109">
        <f t="shared" si="23"/>
        <v>298.39</v>
      </c>
      <c r="W109">
        <f t="shared" si="23"/>
        <v>298.39</v>
      </c>
      <c r="X109">
        <v>20</v>
      </c>
      <c r="Y109">
        <v>10</v>
      </c>
    </row>
    <row r="110" spans="1:25" x14ac:dyDescent="0.55000000000000004">
      <c r="A110" t="s">
        <v>410</v>
      </c>
      <c r="B110">
        <v>33</v>
      </c>
      <c r="C110">
        <v>230</v>
      </c>
      <c r="D110" t="s">
        <v>377</v>
      </c>
      <c r="E110">
        <v>0.12907399999999999</v>
      </c>
      <c r="F110">
        <v>6.8961999999999996E-2</v>
      </c>
      <c r="G110">
        <v>77</v>
      </c>
      <c r="H110">
        <f t="shared" ref="H110:H126" si="24">B110</f>
        <v>33</v>
      </c>
      <c r="I110" t="s">
        <v>690</v>
      </c>
      <c r="J110">
        <f>VLOOKUP(I110,gen_cost!$A$1:$AY$31,21)</f>
        <v>0</v>
      </c>
      <c r="K110">
        <f>VLOOKUP(I110,gen_cost!$A$1:$AY$31,22)</f>
        <v>0</v>
      </c>
      <c r="L110">
        <f>VLOOKUP(I110,gen_cost!$A$1:$AY$31,16)</f>
        <v>0</v>
      </c>
      <c r="M110">
        <f t="shared" si="22"/>
        <v>0</v>
      </c>
      <c r="N110">
        <f t="shared" si="22"/>
        <v>0</v>
      </c>
      <c r="O110">
        <f t="shared" si="22"/>
        <v>0</v>
      </c>
      <c r="P110">
        <f t="shared" si="22"/>
        <v>0</v>
      </c>
      <c r="Q110">
        <f t="shared" si="22"/>
        <v>0</v>
      </c>
      <c r="R110">
        <f>VLOOKUP(I110,gen_cost!$A$1:$AY$31,14)</f>
        <v>298.39</v>
      </c>
      <c r="S110">
        <f t="shared" si="23"/>
        <v>298.39</v>
      </c>
      <c r="T110">
        <f t="shared" si="23"/>
        <v>298.39</v>
      </c>
      <c r="U110">
        <f t="shared" si="23"/>
        <v>298.39</v>
      </c>
      <c r="V110">
        <f t="shared" si="23"/>
        <v>298.39</v>
      </c>
      <c r="W110">
        <f t="shared" si="23"/>
        <v>298.39</v>
      </c>
      <c r="X110">
        <v>20</v>
      </c>
      <c r="Y110">
        <v>10</v>
      </c>
    </row>
    <row r="111" spans="1:25" x14ac:dyDescent="0.55000000000000004">
      <c r="A111" t="s">
        <v>503</v>
      </c>
      <c r="B111">
        <v>125</v>
      </c>
      <c r="C111">
        <v>230</v>
      </c>
      <c r="D111" t="s">
        <v>377</v>
      </c>
      <c r="E111">
        <v>0.12984399999999999</v>
      </c>
      <c r="F111">
        <v>6.8582000000000004E-2</v>
      </c>
      <c r="G111">
        <v>78</v>
      </c>
      <c r="H111">
        <f t="shared" si="24"/>
        <v>125</v>
      </c>
      <c r="I111" t="s">
        <v>690</v>
      </c>
      <c r="J111">
        <f>VLOOKUP(I111,gen_cost!$A$1:$AY$31,21)</f>
        <v>0</v>
      </c>
      <c r="K111">
        <f>VLOOKUP(I111,gen_cost!$A$1:$AY$31,22)</f>
        <v>0</v>
      </c>
      <c r="L111">
        <f>VLOOKUP(I111,gen_cost!$A$1:$AY$31,16)</f>
        <v>0</v>
      </c>
      <c r="M111">
        <f t="shared" si="22"/>
        <v>0</v>
      </c>
      <c r="N111">
        <f t="shared" si="22"/>
        <v>0</v>
      </c>
      <c r="O111">
        <f t="shared" si="22"/>
        <v>0</v>
      </c>
      <c r="P111">
        <f t="shared" si="22"/>
        <v>0</v>
      </c>
      <c r="Q111">
        <f t="shared" si="22"/>
        <v>0</v>
      </c>
      <c r="R111">
        <f>VLOOKUP(I111,gen_cost!$A$1:$AY$31,14)</f>
        <v>298.39</v>
      </c>
      <c r="S111">
        <f t="shared" si="23"/>
        <v>298.39</v>
      </c>
      <c r="T111">
        <f t="shared" si="23"/>
        <v>298.39</v>
      </c>
      <c r="U111">
        <f t="shared" si="23"/>
        <v>298.39</v>
      </c>
      <c r="V111">
        <f t="shared" si="23"/>
        <v>298.39</v>
      </c>
      <c r="W111">
        <f t="shared" si="23"/>
        <v>298.39</v>
      </c>
      <c r="X111">
        <v>20</v>
      </c>
      <c r="Y111">
        <v>10</v>
      </c>
    </row>
    <row r="112" spans="1:25" x14ac:dyDescent="0.55000000000000004">
      <c r="A112" t="s">
        <v>486</v>
      </c>
      <c r="B112">
        <v>108</v>
      </c>
      <c r="C112">
        <v>230</v>
      </c>
      <c r="D112" t="s">
        <v>377</v>
      </c>
      <c r="E112">
        <v>0.12984799999999999</v>
      </c>
      <c r="F112">
        <v>6.8487000000000006E-2</v>
      </c>
      <c r="G112">
        <v>79</v>
      </c>
      <c r="H112">
        <f t="shared" si="24"/>
        <v>108</v>
      </c>
      <c r="I112" t="s">
        <v>690</v>
      </c>
      <c r="J112">
        <f>VLOOKUP(I112,gen_cost!$A$1:$AY$31,21)</f>
        <v>0</v>
      </c>
      <c r="K112">
        <f>VLOOKUP(I112,gen_cost!$A$1:$AY$31,22)</f>
        <v>0</v>
      </c>
      <c r="L112">
        <f>VLOOKUP(I112,gen_cost!$A$1:$AY$31,16)</f>
        <v>0</v>
      </c>
      <c r="M112">
        <f t="shared" ref="M112:Q121" si="25">+L112</f>
        <v>0</v>
      </c>
      <c r="N112">
        <f t="shared" si="25"/>
        <v>0</v>
      </c>
      <c r="O112">
        <f t="shared" si="25"/>
        <v>0</v>
      </c>
      <c r="P112">
        <f t="shared" si="25"/>
        <v>0</v>
      </c>
      <c r="Q112">
        <f t="shared" si="25"/>
        <v>0</v>
      </c>
      <c r="R112">
        <f>VLOOKUP(I112,gen_cost!$A$1:$AY$31,14)</f>
        <v>298.39</v>
      </c>
      <c r="S112">
        <f t="shared" ref="S112:W121" si="26">+R112</f>
        <v>298.39</v>
      </c>
      <c r="T112">
        <f t="shared" si="26"/>
        <v>298.39</v>
      </c>
      <c r="U112">
        <f t="shared" si="26"/>
        <v>298.39</v>
      </c>
      <c r="V112">
        <f t="shared" si="26"/>
        <v>298.39</v>
      </c>
      <c r="W112">
        <f t="shared" si="26"/>
        <v>298.39</v>
      </c>
      <c r="X112">
        <v>20</v>
      </c>
      <c r="Y112">
        <v>10</v>
      </c>
    </row>
    <row r="113" spans="1:25" x14ac:dyDescent="0.55000000000000004">
      <c r="A113" t="s">
        <v>399</v>
      </c>
      <c r="B113">
        <v>22</v>
      </c>
      <c r="C113">
        <v>230</v>
      </c>
      <c r="D113" t="s">
        <v>377</v>
      </c>
      <c r="E113">
        <v>0.12764700000000001</v>
      </c>
      <c r="F113">
        <v>6.7534999999999998E-2</v>
      </c>
      <c r="G113">
        <v>80</v>
      </c>
      <c r="H113">
        <f t="shared" si="24"/>
        <v>22</v>
      </c>
      <c r="I113" t="s">
        <v>690</v>
      </c>
      <c r="J113">
        <f>VLOOKUP(I113,gen_cost!$A$1:$AY$31,21)</f>
        <v>0</v>
      </c>
      <c r="K113">
        <f>VLOOKUP(I113,gen_cost!$A$1:$AY$31,22)</f>
        <v>0</v>
      </c>
      <c r="L113">
        <f>VLOOKUP(I113,gen_cost!$A$1:$AY$31,16)</f>
        <v>0</v>
      </c>
      <c r="M113">
        <f t="shared" si="25"/>
        <v>0</v>
      </c>
      <c r="N113">
        <f t="shared" si="25"/>
        <v>0</v>
      </c>
      <c r="O113">
        <f t="shared" si="25"/>
        <v>0</v>
      </c>
      <c r="P113">
        <f t="shared" si="25"/>
        <v>0</v>
      </c>
      <c r="Q113">
        <f t="shared" si="25"/>
        <v>0</v>
      </c>
      <c r="R113">
        <f>VLOOKUP(I113,gen_cost!$A$1:$AY$31,14)</f>
        <v>298.39</v>
      </c>
      <c r="S113">
        <f t="shared" si="26"/>
        <v>298.39</v>
      </c>
      <c r="T113">
        <f t="shared" si="26"/>
        <v>298.39</v>
      </c>
      <c r="U113">
        <f t="shared" si="26"/>
        <v>298.39</v>
      </c>
      <c r="V113">
        <f t="shared" si="26"/>
        <v>298.39</v>
      </c>
      <c r="W113">
        <f t="shared" si="26"/>
        <v>298.39</v>
      </c>
      <c r="X113">
        <v>20</v>
      </c>
      <c r="Y113">
        <v>10</v>
      </c>
    </row>
    <row r="114" spans="1:25" x14ac:dyDescent="0.55000000000000004">
      <c r="A114" t="s">
        <v>458</v>
      </c>
      <c r="B114">
        <v>81</v>
      </c>
      <c r="C114">
        <v>230</v>
      </c>
      <c r="D114" t="s">
        <v>377</v>
      </c>
      <c r="E114">
        <v>0.127108</v>
      </c>
      <c r="F114">
        <v>6.7025000000000001E-2</v>
      </c>
      <c r="G114">
        <v>81</v>
      </c>
      <c r="H114">
        <f t="shared" si="24"/>
        <v>81</v>
      </c>
      <c r="I114" t="s">
        <v>690</v>
      </c>
      <c r="J114">
        <f>VLOOKUP(I114,gen_cost!$A$1:$AY$31,21)</f>
        <v>0</v>
      </c>
      <c r="K114">
        <f>VLOOKUP(I114,gen_cost!$A$1:$AY$31,22)</f>
        <v>0</v>
      </c>
      <c r="L114">
        <f>VLOOKUP(I114,gen_cost!$A$1:$AY$31,16)</f>
        <v>0</v>
      </c>
      <c r="M114">
        <f t="shared" si="25"/>
        <v>0</v>
      </c>
      <c r="N114">
        <f t="shared" si="25"/>
        <v>0</v>
      </c>
      <c r="O114">
        <f t="shared" si="25"/>
        <v>0</v>
      </c>
      <c r="P114">
        <f t="shared" si="25"/>
        <v>0</v>
      </c>
      <c r="Q114">
        <f t="shared" si="25"/>
        <v>0</v>
      </c>
      <c r="R114">
        <f>VLOOKUP(I114,gen_cost!$A$1:$AY$31,14)</f>
        <v>298.39</v>
      </c>
      <c r="S114">
        <f t="shared" si="26"/>
        <v>298.39</v>
      </c>
      <c r="T114">
        <f t="shared" si="26"/>
        <v>298.39</v>
      </c>
      <c r="U114">
        <f t="shared" si="26"/>
        <v>298.39</v>
      </c>
      <c r="V114">
        <f t="shared" si="26"/>
        <v>298.39</v>
      </c>
      <c r="W114">
        <f t="shared" si="26"/>
        <v>298.39</v>
      </c>
      <c r="X114">
        <v>20</v>
      </c>
      <c r="Y114">
        <v>10</v>
      </c>
    </row>
    <row r="115" spans="1:25" x14ac:dyDescent="0.55000000000000004">
      <c r="A115" t="s">
        <v>542</v>
      </c>
      <c r="B115">
        <v>164</v>
      </c>
      <c r="C115">
        <v>230</v>
      </c>
      <c r="D115" t="s">
        <v>377</v>
      </c>
      <c r="E115">
        <v>0.128168</v>
      </c>
      <c r="F115">
        <v>6.6382999999999998E-2</v>
      </c>
      <c r="G115">
        <v>82</v>
      </c>
      <c r="H115">
        <f t="shared" si="24"/>
        <v>164</v>
      </c>
      <c r="I115" t="s">
        <v>690</v>
      </c>
      <c r="J115">
        <f>VLOOKUP(I115,gen_cost!$A$1:$AY$31,21)</f>
        <v>0</v>
      </c>
      <c r="K115">
        <f>VLOOKUP(I115,gen_cost!$A$1:$AY$31,22)</f>
        <v>0</v>
      </c>
      <c r="L115">
        <f>VLOOKUP(I115,gen_cost!$A$1:$AY$31,16)</f>
        <v>0</v>
      </c>
      <c r="M115">
        <f t="shared" si="25"/>
        <v>0</v>
      </c>
      <c r="N115">
        <f t="shared" si="25"/>
        <v>0</v>
      </c>
      <c r="O115">
        <f t="shared" si="25"/>
        <v>0</v>
      </c>
      <c r="P115">
        <f t="shared" si="25"/>
        <v>0</v>
      </c>
      <c r="Q115">
        <f t="shared" si="25"/>
        <v>0</v>
      </c>
      <c r="R115">
        <f>VLOOKUP(I115,gen_cost!$A$1:$AY$31,14)</f>
        <v>298.39</v>
      </c>
      <c r="S115">
        <f t="shared" si="26"/>
        <v>298.39</v>
      </c>
      <c r="T115">
        <f t="shared" si="26"/>
        <v>298.39</v>
      </c>
      <c r="U115">
        <f t="shared" si="26"/>
        <v>298.39</v>
      </c>
      <c r="V115">
        <f t="shared" si="26"/>
        <v>298.39</v>
      </c>
      <c r="W115">
        <f t="shared" si="26"/>
        <v>298.39</v>
      </c>
      <c r="X115">
        <v>20</v>
      </c>
      <c r="Y115">
        <v>10</v>
      </c>
    </row>
    <row r="116" spans="1:25" x14ac:dyDescent="0.55000000000000004">
      <c r="A116" t="s">
        <v>473</v>
      </c>
      <c r="B116">
        <v>95</v>
      </c>
      <c r="C116">
        <v>230</v>
      </c>
      <c r="D116" t="s">
        <v>377</v>
      </c>
      <c r="E116">
        <v>0.13036300000000001</v>
      </c>
      <c r="F116">
        <v>6.6019999999999995E-2</v>
      </c>
      <c r="G116">
        <v>88</v>
      </c>
      <c r="H116">
        <f t="shared" si="24"/>
        <v>95</v>
      </c>
      <c r="I116" t="s">
        <v>690</v>
      </c>
      <c r="J116">
        <f>VLOOKUP(I116,gen_cost!$A$1:$AY$31,21)</f>
        <v>0</v>
      </c>
      <c r="K116">
        <f>VLOOKUP(I116,gen_cost!$A$1:$AY$31,22)</f>
        <v>0</v>
      </c>
      <c r="L116">
        <f>VLOOKUP(I116,gen_cost!$A$1:$AY$31,16)</f>
        <v>0</v>
      </c>
      <c r="M116">
        <f t="shared" si="25"/>
        <v>0</v>
      </c>
      <c r="N116">
        <f t="shared" si="25"/>
        <v>0</v>
      </c>
      <c r="O116">
        <f t="shared" si="25"/>
        <v>0</v>
      </c>
      <c r="P116">
        <f t="shared" si="25"/>
        <v>0</v>
      </c>
      <c r="Q116">
        <f t="shared" si="25"/>
        <v>0</v>
      </c>
      <c r="R116">
        <f>VLOOKUP(I116,gen_cost!$A$1:$AY$31,14)</f>
        <v>298.39</v>
      </c>
      <c r="S116">
        <f t="shared" si="26"/>
        <v>298.39</v>
      </c>
      <c r="T116">
        <f t="shared" si="26"/>
        <v>298.39</v>
      </c>
      <c r="U116">
        <f t="shared" si="26"/>
        <v>298.39</v>
      </c>
      <c r="V116">
        <f t="shared" si="26"/>
        <v>298.39</v>
      </c>
      <c r="W116">
        <f t="shared" si="26"/>
        <v>298.39</v>
      </c>
      <c r="X116">
        <v>20</v>
      </c>
      <c r="Y116">
        <v>10</v>
      </c>
    </row>
    <row r="117" spans="1:25" x14ac:dyDescent="0.55000000000000004">
      <c r="A117" t="s">
        <v>454</v>
      </c>
      <c r="B117">
        <v>77</v>
      </c>
      <c r="C117">
        <v>230</v>
      </c>
      <c r="D117" t="s">
        <v>377</v>
      </c>
      <c r="E117">
        <v>0.12801599999999999</v>
      </c>
      <c r="F117">
        <v>6.4903000000000002E-2</v>
      </c>
      <c r="G117">
        <v>89</v>
      </c>
      <c r="H117">
        <f t="shared" si="24"/>
        <v>77</v>
      </c>
      <c r="I117" t="s">
        <v>690</v>
      </c>
      <c r="J117">
        <f>VLOOKUP(I117,gen_cost!$A$1:$AY$31,21)</f>
        <v>0</v>
      </c>
      <c r="K117">
        <f>VLOOKUP(I117,gen_cost!$A$1:$AY$31,22)</f>
        <v>0</v>
      </c>
      <c r="L117">
        <f>VLOOKUP(I117,gen_cost!$A$1:$AY$31,16)</f>
        <v>0</v>
      </c>
      <c r="M117">
        <f t="shared" si="25"/>
        <v>0</v>
      </c>
      <c r="N117">
        <f t="shared" si="25"/>
        <v>0</v>
      </c>
      <c r="O117">
        <f t="shared" si="25"/>
        <v>0</v>
      </c>
      <c r="P117">
        <f t="shared" si="25"/>
        <v>0</v>
      </c>
      <c r="Q117">
        <f t="shared" si="25"/>
        <v>0</v>
      </c>
      <c r="R117">
        <f>VLOOKUP(I117,gen_cost!$A$1:$AY$31,14)</f>
        <v>298.39</v>
      </c>
      <c r="S117">
        <f t="shared" si="26"/>
        <v>298.39</v>
      </c>
      <c r="T117">
        <f t="shared" si="26"/>
        <v>298.39</v>
      </c>
      <c r="U117">
        <f t="shared" si="26"/>
        <v>298.39</v>
      </c>
      <c r="V117">
        <f t="shared" si="26"/>
        <v>298.39</v>
      </c>
      <c r="W117">
        <f t="shared" si="26"/>
        <v>298.39</v>
      </c>
      <c r="X117">
        <v>20</v>
      </c>
      <c r="Y117">
        <v>10</v>
      </c>
    </row>
    <row r="118" spans="1:25" x14ac:dyDescent="0.55000000000000004">
      <c r="A118" t="s">
        <v>411</v>
      </c>
      <c r="B118">
        <v>34</v>
      </c>
      <c r="C118">
        <v>230</v>
      </c>
      <c r="D118" t="s">
        <v>377</v>
      </c>
      <c r="E118">
        <v>0.12844700000000001</v>
      </c>
      <c r="F118">
        <v>6.4613000000000004E-2</v>
      </c>
      <c r="G118">
        <v>90</v>
      </c>
      <c r="H118">
        <f t="shared" si="24"/>
        <v>34</v>
      </c>
      <c r="I118" t="s">
        <v>690</v>
      </c>
      <c r="J118">
        <f>VLOOKUP(I118,gen_cost!$A$1:$AY$31,21)</f>
        <v>0</v>
      </c>
      <c r="K118">
        <f>VLOOKUP(I118,gen_cost!$A$1:$AY$31,22)</f>
        <v>0</v>
      </c>
      <c r="L118">
        <f>VLOOKUP(I118,gen_cost!$A$1:$AY$31,16)</f>
        <v>0</v>
      </c>
      <c r="M118">
        <f t="shared" si="25"/>
        <v>0</v>
      </c>
      <c r="N118">
        <f t="shared" si="25"/>
        <v>0</v>
      </c>
      <c r="O118">
        <f t="shared" si="25"/>
        <v>0</v>
      </c>
      <c r="P118">
        <f t="shared" si="25"/>
        <v>0</v>
      </c>
      <c r="Q118">
        <f t="shared" si="25"/>
        <v>0</v>
      </c>
      <c r="R118">
        <f>VLOOKUP(I118,gen_cost!$A$1:$AY$31,14)</f>
        <v>298.39</v>
      </c>
      <c r="S118">
        <f t="shared" si="26"/>
        <v>298.39</v>
      </c>
      <c r="T118">
        <f t="shared" si="26"/>
        <v>298.39</v>
      </c>
      <c r="U118">
        <f t="shared" si="26"/>
        <v>298.39</v>
      </c>
      <c r="V118">
        <f t="shared" si="26"/>
        <v>298.39</v>
      </c>
      <c r="W118">
        <f t="shared" si="26"/>
        <v>298.39</v>
      </c>
      <c r="X118">
        <v>20</v>
      </c>
      <c r="Y118">
        <v>10</v>
      </c>
    </row>
    <row r="119" spans="1:25" x14ac:dyDescent="0.55000000000000004">
      <c r="A119" t="s">
        <v>496</v>
      </c>
      <c r="B119">
        <v>118</v>
      </c>
      <c r="C119">
        <v>360</v>
      </c>
      <c r="D119" t="s">
        <v>377</v>
      </c>
      <c r="E119">
        <v>0.13380600000000001</v>
      </c>
      <c r="F119">
        <v>6.4013E-2</v>
      </c>
      <c r="G119">
        <v>92</v>
      </c>
      <c r="H119">
        <f t="shared" si="24"/>
        <v>118</v>
      </c>
      <c r="I119" t="s">
        <v>690</v>
      </c>
      <c r="J119">
        <f>VLOOKUP(I119,gen_cost!$A$1:$AY$31,21)</f>
        <v>0</v>
      </c>
      <c r="K119">
        <f>VLOOKUP(I119,gen_cost!$A$1:$AY$31,22)</f>
        <v>0</v>
      </c>
      <c r="L119">
        <f>VLOOKUP(I119,gen_cost!$A$1:$AY$31,16)</f>
        <v>0</v>
      </c>
      <c r="M119">
        <f t="shared" si="25"/>
        <v>0</v>
      </c>
      <c r="N119">
        <f t="shared" si="25"/>
        <v>0</v>
      </c>
      <c r="O119">
        <f t="shared" si="25"/>
        <v>0</v>
      </c>
      <c r="P119">
        <f t="shared" si="25"/>
        <v>0</v>
      </c>
      <c r="Q119">
        <f t="shared" si="25"/>
        <v>0</v>
      </c>
      <c r="R119">
        <f>VLOOKUP(I119,gen_cost!$A$1:$AY$31,14)</f>
        <v>298.39</v>
      </c>
      <c r="S119">
        <f t="shared" si="26"/>
        <v>298.39</v>
      </c>
      <c r="T119">
        <f t="shared" si="26"/>
        <v>298.39</v>
      </c>
      <c r="U119">
        <f t="shared" si="26"/>
        <v>298.39</v>
      </c>
      <c r="V119">
        <f t="shared" si="26"/>
        <v>298.39</v>
      </c>
      <c r="W119">
        <f t="shared" si="26"/>
        <v>298.39</v>
      </c>
      <c r="X119">
        <v>20</v>
      </c>
      <c r="Y119">
        <v>10</v>
      </c>
    </row>
    <row r="120" spans="1:25" x14ac:dyDescent="0.55000000000000004">
      <c r="A120" t="s">
        <v>538</v>
      </c>
      <c r="B120">
        <v>160</v>
      </c>
      <c r="C120">
        <v>360</v>
      </c>
      <c r="D120" t="s">
        <v>377</v>
      </c>
      <c r="E120">
        <v>0.134857</v>
      </c>
      <c r="F120">
        <v>6.3952999999999996E-2</v>
      </c>
      <c r="G120">
        <v>93</v>
      </c>
      <c r="H120">
        <f t="shared" si="24"/>
        <v>160</v>
      </c>
      <c r="I120" t="s">
        <v>690</v>
      </c>
      <c r="J120">
        <f>VLOOKUP(I120,gen_cost!$A$1:$AY$31,21)</f>
        <v>0</v>
      </c>
      <c r="K120">
        <f>VLOOKUP(I120,gen_cost!$A$1:$AY$31,22)</f>
        <v>0</v>
      </c>
      <c r="L120">
        <f>VLOOKUP(I120,gen_cost!$A$1:$AY$31,16)</f>
        <v>0</v>
      </c>
      <c r="M120">
        <f t="shared" si="25"/>
        <v>0</v>
      </c>
      <c r="N120">
        <f t="shared" si="25"/>
        <v>0</v>
      </c>
      <c r="O120">
        <f t="shared" si="25"/>
        <v>0</v>
      </c>
      <c r="P120">
        <f t="shared" si="25"/>
        <v>0</v>
      </c>
      <c r="Q120">
        <f t="shared" si="25"/>
        <v>0</v>
      </c>
      <c r="R120">
        <f>VLOOKUP(I120,gen_cost!$A$1:$AY$31,14)</f>
        <v>298.39</v>
      </c>
      <c r="S120">
        <f t="shared" si="26"/>
        <v>298.39</v>
      </c>
      <c r="T120">
        <f t="shared" si="26"/>
        <v>298.39</v>
      </c>
      <c r="U120">
        <f t="shared" si="26"/>
        <v>298.39</v>
      </c>
      <c r="V120">
        <f t="shared" si="26"/>
        <v>298.39</v>
      </c>
      <c r="W120">
        <f t="shared" si="26"/>
        <v>298.39</v>
      </c>
      <c r="X120">
        <v>20</v>
      </c>
      <c r="Y120">
        <v>10</v>
      </c>
    </row>
    <row r="121" spans="1:25" x14ac:dyDescent="0.55000000000000004">
      <c r="A121" t="s">
        <v>376</v>
      </c>
      <c r="B121">
        <v>1</v>
      </c>
      <c r="C121">
        <v>230</v>
      </c>
      <c r="D121" t="s">
        <v>377</v>
      </c>
      <c r="E121">
        <v>0.15570300000000001</v>
      </c>
      <c r="F121">
        <v>6.3039999999999999E-2</v>
      </c>
      <c r="G121">
        <v>94</v>
      </c>
      <c r="H121">
        <f t="shared" si="24"/>
        <v>1</v>
      </c>
      <c r="I121" t="s">
        <v>690</v>
      </c>
      <c r="J121">
        <f>VLOOKUP(I121,gen_cost!$A$1:$AY$31,21)</f>
        <v>0</v>
      </c>
      <c r="K121">
        <f>VLOOKUP(I121,gen_cost!$A$1:$AY$31,22)</f>
        <v>0</v>
      </c>
      <c r="L121">
        <f>VLOOKUP(I121,gen_cost!$A$1:$AY$31,16)</f>
        <v>0</v>
      </c>
      <c r="M121">
        <f t="shared" si="25"/>
        <v>0</v>
      </c>
      <c r="N121">
        <f t="shared" si="25"/>
        <v>0</v>
      </c>
      <c r="O121">
        <f t="shared" si="25"/>
        <v>0</v>
      </c>
      <c r="P121">
        <f t="shared" si="25"/>
        <v>0</v>
      </c>
      <c r="Q121">
        <f t="shared" si="25"/>
        <v>0</v>
      </c>
      <c r="R121">
        <f>VLOOKUP(I121,gen_cost!$A$1:$AY$31,14)</f>
        <v>298.39</v>
      </c>
      <c r="S121">
        <f t="shared" si="26"/>
        <v>298.39</v>
      </c>
      <c r="T121">
        <f t="shared" si="26"/>
        <v>298.39</v>
      </c>
      <c r="U121">
        <f t="shared" si="26"/>
        <v>298.39</v>
      </c>
      <c r="V121">
        <f t="shared" si="26"/>
        <v>298.39</v>
      </c>
      <c r="W121">
        <f t="shared" si="26"/>
        <v>298.39</v>
      </c>
      <c r="X121">
        <v>20</v>
      </c>
      <c r="Y121">
        <v>10</v>
      </c>
    </row>
    <row r="122" spans="1:25" x14ac:dyDescent="0.55000000000000004">
      <c r="A122" t="s">
        <v>394</v>
      </c>
      <c r="B122">
        <v>17</v>
      </c>
      <c r="C122">
        <v>287</v>
      </c>
      <c r="D122" t="s">
        <v>377</v>
      </c>
      <c r="E122">
        <v>0.118383</v>
      </c>
      <c r="F122">
        <v>6.2333E-2</v>
      </c>
      <c r="G122">
        <v>95</v>
      </c>
      <c r="H122">
        <f t="shared" si="24"/>
        <v>17</v>
      </c>
      <c r="I122" t="s">
        <v>690</v>
      </c>
      <c r="J122">
        <f>VLOOKUP(I122,gen_cost!$A$1:$AY$31,21)</f>
        <v>0</v>
      </c>
      <c r="K122">
        <f>VLOOKUP(I122,gen_cost!$A$1:$AY$31,22)</f>
        <v>0</v>
      </c>
      <c r="L122">
        <f>VLOOKUP(I122,gen_cost!$A$1:$AY$31,16)</f>
        <v>0</v>
      </c>
      <c r="M122">
        <f t="shared" ref="M122:Q131" si="27">+L122</f>
        <v>0</v>
      </c>
      <c r="N122">
        <f t="shared" si="27"/>
        <v>0</v>
      </c>
      <c r="O122">
        <f t="shared" si="27"/>
        <v>0</v>
      </c>
      <c r="P122">
        <f t="shared" si="27"/>
        <v>0</v>
      </c>
      <c r="Q122">
        <f t="shared" si="27"/>
        <v>0</v>
      </c>
      <c r="R122">
        <f>VLOOKUP(I122,gen_cost!$A$1:$AY$31,14)</f>
        <v>298.39</v>
      </c>
      <c r="S122">
        <f t="shared" ref="S122:W131" si="28">+R122</f>
        <v>298.39</v>
      </c>
      <c r="T122">
        <f t="shared" si="28"/>
        <v>298.39</v>
      </c>
      <c r="U122">
        <f t="shared" si="28"/>
        <v>298.39</v>
      </c>
      <c r="V122">
        <f t="shared" si="28"/>
        <v>298.39</v>
      </c>
      <c r="W122">
        <f t="shared" si="28"/>
        <v>298.39</v>
      </c>
      <c r="X122">
        <v>20</v>
      </c>
      <c r="Y122">
        <v>10</v>
      </c>
    </row>
    <row r="123" spans="1:25" x14ac:dyDescent="0.55000000000000004">
      <c r="A123" t="s">
        <v>439</v>
      </c>
      <c r="B123">
        <v>62</v>
      </c>
      <c r="C123">
        <v>500</v>
      </c>
      <c r="D123" t="s">
        <v>377</v>
      </c>
      <c r="E123">
        <v>0.14407500000000001</v>
      </c>
      <c r="F123">
        <v>6.0358000000000002E-2</v>
      </c>
      <c r="G123">
        <v>96</v>
      </c>
      <c r="H123">
        <f t="shared" si="24"/>
        <v>62</v>
      </c>
      <c r="I123" t="s">
        <v>690</v>
      </c>
      <c r="J123">
        <f>VLOOKUP(I123,gen_cost!$A$1:$AY$31,21)</f>
        <v>0</v>
      </c>
      <c r="K123">
        <f>VLOOKUP(I123,gen_cost!$A$1:$AY$31,22)</f>
        <v>0</v>
      </c>
      <c r="L123">
        <f>VLOOKUP(I123,gen_cost!$A$1:$AY$31,16)</f>
        <v>0</v>
      </c>
      <c r="M123">
        <f t="shared" si="27"/>
        <v>0</v>
      </c>
      <c r="N123">
        <f t="shared" si="27"/>
        <v>0</v>
      </c>
      <c r="O123">
        <f t="shared" si="27"/>
        <v>0</v>
      </c>
      <c r="P123">
        <f t="shared" si="27"/>
        <v>0</v>
      </c>
      <c r="Q123">
        <f t="shared" si="27"/>
        <v>0</v>
      </c>
      <c r="R123">
        <f>VLOOKUP(I123,gen_cost!$A$1:$AY$31,14)</f>
        <v>298.39</v>
      </c>
      <c r="S123">
        <f t="shared" si="28"/>
        <v>298.39</v>
      </c>
      <c r="T123">
        <f t="shared" si="28"/>
        <v>298.39</v>
      </c>
      <c r="U123">
        <f t="shared" si="28"/>
        <v>298.39</v>
      </c>
      <c r="V123">
        <f t="shared" si="28"/>
        <v>298.39</v>
      </c>
      <c r="W123">
        <f t="shared" si="28"/>
        <v>298.39</v>
      </c>
      <c r="X123">
        <v>20</v>
      </c>
      <c r="Y123">
        <v>10</v>
      </c>
    </row>
    <row r="124" spans="1:25" x14ac:dyDescent="0.55000000000000004">
      <c r="A124" t="s">
        <v>431</v>
      </c>
      <c r="B124">
        <v>54</v>
      </c>
      <c r="C124">
        <v>230</v>
      </c>
      <c r="D124" t="s">
        <v>377</v>
      </c>
      <c r="E124">
        <v>0.12825300000000001</v>
      </c>
      <c r="F124">
        <v>6.0079E-2</v>
      </c>
      <c r="G124">
        <v>97</v>
      </c>
      <c r="H124">
        <f t="shared" si="24"/>
        <v>54</v>
      </c>
      <c r="I124" t="s">
        <v>690</v>
      </c>
      <c r="J124">
        <f>VLOOKUP(I124,gen_cost!$A$1:$AY$31,21)</f>
        <v>0</v>
      </c>
      <c r="K124">
        <f>VLOOKUP(I124,gen_cost!$A$1:$AY$31,22)</f>
        <v>0</v>
      </c>
      <c r="L124">
        <f>VLOOKUP(I124,gen_cost!$A$1:$AY$31,16)</f>
        <v>0</v>
      </c>
      <c r="M124">
        <f t="shared" si="27"/>
        <v>0</v>
      </c>
      <c r="N124">
        <f t="shared" si="27"/>
        <v>0</v>
      </c>
      <c r="O124">
        <f t="shared" si="27"/>
        <v>0</v>
      </c>
      <c r="P124">
        <f t="shared" si="27"/>
        <v>0</v>
      </c>
      <c r="Q124">
        <f t="shared" si="27"/>
        <v>0</v>
      </c>
      <c r="R124">
        <f>VLOOKUP(I124,gen_cost!$A$1:$AY$31,14)</f>
        <v>298.39</v>
      </c>
      <c r="S124">
        <f t="shared" si="28"/>
        <v>298.39</v>
      </c>
      <c r="T124">
        <f t="shared" si="28"/>
        <v>298.39</v>
      </c>
      <c r="U124">
        <f t="shared" si="28"/>
        <v>298.39</v>
      </c>
      <c r="V124">
        <f t="shared" si="28"/>
        <v>298.39</v>
      </c>
      <c r="W124">
        <f t="shared" si="28"/>
        <v>298.39</v>
      </c>
      <c r="X124">
        <v>20</v>
      </c>
      <c r="Y124">
        <v>10</v>
      </c>
    </row>
    <row r="125" spans="1:25" x14ac:dyDescent="0.55000000000000004">
      <c r="A125" t="s">
        <v>480</v>
      </c>
      <c r="B125">
        <v>102</v>
      </c>
      <c r="C125">
        <v>230</v>
      </c>
      <c r="D125" t="s">
        <v>377</v>
      </c>
      <c r="E125">
        <v>0.15157999999999999</v>
      </c>
      <c r="F125">
        <v>5.4415999999999999E-2</v>
      </c>
      <c r="G125">
        <v>98</v>
      </c>
      <c r="H125">
        <f t="shared" si="24"/>
        <v>102</v>
      </c>
      <c r="I125" t="s">
        <v>690</v>
      </c>
      <c r="J125">
        <f>VLOOKUP(I125,gen_cost!$A$1:$AY$31,21)</f>
        <v>0</v>
      </c>
      <c r="K125">
        <f>VLOOKUP(I125,gen_cost!$A$1:$AY$31,22)</f>
        <v>0</v>
      </c>
      <c r="L125">
        <f>VLOOKUP(I125,gen_cost!$A$1:$AY$31,16)</f>
        <v>0</v>
      </c>
      <c r="M125">
        <f t="shared" si="27"/>
        <v>0</v>
      </c>
      <c r="N125">
        <f t="shared" si="27"/>
        <v>0</v>
      </c>
      <c r="O125">
        <f t="shared" si="27"/>
        <v>0</v>
      </c>
      <c r="P125">
        <f t="shared" si="27"/>
        <v>0</v>
      </c>
      <c r="Q125">
        <f t="shared" si="27"/>
        <v>0</v>
      </c>
      <c r="R125">
        <f>VLOOKUP(I125,gen_cost!$A$1:$AY$31,14)</f>
        <v>298.39</v>
      </c>
      <c r="S125">
        <f t="shared" si="28"/>
        <v>298.39</v>
      </c>
      <c r="T125">
        <f t="shared" si="28"/>
        <v>298.39</v>
      </c>
      <c r="U125">
        <f t="shared" si="28"/>
        <v>298.39</v>
      </c>
      <c r="V125">
        <f t="shared" si="28"/>
        <v>298.39</v>
      </c>
      <c r="W125">
        <f t="shared" si="28"/>
        <v>298.39</v>
      </c>
      <c r="X125">
        <v>20</v>
      </c>
      <c r="Y125">
        <v>10</v>
      </c>
    </row>
    <row r="126" spans="1:25" x14ac:dyDescent="0.55000000000000004">
      <c r="A126" t="s">
        <v>539</v>
      </c>
      <c r="B126">
        <v>161</v>
      </c>
      <c r="C126">
        <v>230</v>
      </c>
      <c r="D126" t="s">
        <v>377</v>
      </c>
      <c r="E126">
        <v>0.150723</v>
      </c>
      <c r="F126">
        <v>5.2854999999999999E-2</v>
      </c>
      <c r="G126">
        <v>99</v>
      </c>
      <c r="H126">
        <f t="shared" si="24"/>
        <v>161</v>
      </c>
      <c r="I126" t="s">
        <v>690</v>
      </c>
      <c r="J126">
        <f>VLOOKUP(I126,gen_cost!$A$1:$AY$31,21)</f>
        <v>0</v>
      </c>
      <c r="K126">
        <f>VLOOKUP(I126,gen_cost!$A$1:$AY$31,22)</f>
        <v>0</v>
      </c>
      <c r="L126">
        <f>VLOOKUP(I126,gen_cost!$A$1:$AY$31,16)</f>
        <v>0</v>
      </c>
      <c r="M126">
        <f t="shared" si="27"/>
        <v>0</v>
      </c>
      <c r="N126">
        <f t="shared" si="27"/>
        <v>0</v>
      </c>
      <c r="O126">
        <f t="shared" si="27"/>
        <v>0</v>
      </c>
      <c r="P126">
        <f t="shared" si="27"/>
        <v>0</v>
      </c>
      <c r="Q126">
        <f t="shared" si="27"/>
        <v>0</v>
      </c>
      <c r="R126">
        <f>VLOOKUP(I126,gen_cost!$A$1:$AY$31,14)</f>
        <v>298.39</v>
      </c>
      <c r="S126">
        <f t="shared" si="28"/>
        <v>298.39</v>
      </c>
      <c r="T126">
        <f t="shared" si="28"/>
        <v>298.39</v>
      </c>
      <c r="U126">
        <f t="shared" si="28"/>
        <v>298.39</v>
      </c>
      <c r="V126">
        <f t="shared" si="28"/>
        <v>298.39</v>
      </c>
      <c r="W126">
        <f t="shared" si="28"/>
        <v>298.39</v>
      </c>
      <c r="X126">
        <v>20</v>
      </c>
      <c r="Y126">
        <v>10</v>
      </c>
    </row>
    <row r="127" spans="1:25" x14ac:dyDescent="0.55000000000000004">
      <c r="A127" t="s">
        <v>540</v>
      </c>
      <c r="B127">
        <v>162</v>
      </c>
      <c r="C127">
        <v>230</v>
      </c>
      <c r="D127" t="s">
        <v>377</v>
      </c>
      <c r="E127">
        <v>0.150723</v>
      </c>
      <c r="F127">
        <v>5.2854999999999999E-2</v>
      </c>
      <c r="G127">
        <v>22</v>
      </c>
      <c r="H127">
        <v>573</v>
      </c>
      <c r="I127" t="s">
        <v>562</v>
      </c>
      <c r="J127">
        <f>VLOOKUP(I127,gen_cost!$A$1:$AY$31,21)</f>
        <v>0</v>
      </c>
      <c r="K127">
        <f>VLOOKUP(I127,gen_cost!$A$1:$AY$31,22)</f>
        <v>0</v>
      </c>
      <c r="L127">
        <f>VLOOKUP(I127,gen_cost!$A$1:$AY$31,16)</f>
        <v>0</v>
      </c>
      <c r="M127">
        <f t="shared" si="27"/>
        <v>0</v>
      </c>
      <c r="N127">
        <f t="shared" si="27"/>
        <v>0</v>
      </c>
      <c r="O127">
        <f t="shared" si="27"/>
        <v>0</v>
      </c>
      <c r="P127">
        <f t="shared" si="27"/>
        <v>0</v>
      </c>
      <c r="Q127">
        <f t="shared" si="27"/>
        <v>0</v>
      </c>
      <c r="R127">
        <f>VLOOKUP(I127,gen_cost!$A$1:$AY$31,14)</f>
        <v>201.62</v>
      </c>
      <c r="S127">
        <f t="shared" si="28"/>
        <v>201.62</v>
      </c>
      <c r="T127">
        <f t="shared" si="28"/>
        <v>201.62</v>
      </c>
      <c r="U127">
        <f t="shared" si="28"/>
        <v>201.62</v>
      </c>
      <c r="V127">
        <f t="shared" si="28"/>
        <v>201.62</v>
      </c>
      <c r="W127">
        <f t="shared" si="28"/>
        <v>201.62</v>
      </c>
      <c r="X127">
        <v>20</v>
      </c>
      <c r="Y127">
        <v>10</v>
      </c>
    </row>
    <row r="128" spans="1:25" x14ac:dyDescent="0.55000000000000004">
      <c r="A128" t="s">
        <v>395</v>
      </c>
      <c r="B128">
        <v>18</v>
      </c>
      <c r="C128">
        <v>230</v>
      </c>
      <c r="D128" t="s">
        <v>377</v>
      </c>
      <c r="E128">
        <v>0.14859</v>
      </c>
      <c r="F128">
        <v>5.1989E-2</v>
      </c>
      <c r="G128">
        <v>23</v>
      </c>
      <c r="H128">
        <v>501</v>
      </c>
      <c r="I128" t="s">
        <v>562</v>
      </c>
      <c r="J128">
        <f>VLOOKUP(I128,gen_cost!$A$1:$AY$31,21)</f>
        <v>0</v>
      </c>
      <c r="K128">
        <f>VLOOKUP(I128,gen_cost!$A$1:$AY$31,22)</f>
        <v>0</v>
      </c>
      <c r="L128">
        <f>VLOOKUP(I128,gen_cost!$A$1:$AY$31,16)</f>
        <v>0</v>
      </c>
      <c r="M128">
        <f t="shared" si="27"/>
        <v>0</v>
      </c>
      <c r="N128">
        <f t="shared" si="27"/>
        <v>0</v>
      </c>
      <c r="O128">
        <f t="shared" si="27"/>
        <v>0</v>
      </c>
      <c r="P128">
        <f t="shared" si="27"/>
        <v>0</v>
      </c>
      <c r="Q128">
        <f t="shared" si="27"/>
        <v>0</v>
      </c>
      <c r="R128">
        <f>VLOOKUP(I128,gen_cost!$A$1:$AY$31,14)</f>
        <v>201.62</v>
      </c>
      <c r="S128">
        <f t="shared" si="28"/>
        <v>201.62</v>
      </c>
      <c r="T128">
        <f t="shared" si="28"/>
        <v>201.62</v>
      </c>
      <c r="U128">
        <f t="shared" si="28"/>
        <v>201.62</v>
      </c>
      <c r="V128">
        <f t="shared" si="28"/>
        <v>201.62</v>
      </c>
      <c r="W128">
        <f t="shared" si="28"/>
        <v>201.62</v>
      </c>
      <c r="X128">
        <v>20</v>
      </c>
      <c r="Y128">
        <v>10</v>
      </c>
    </row>
    <row r="129" spans="1:25" x14ac:dyDescent="0.55000000000000004">
      <c r="A129" t="s">
        <v>396</v>
      </c>
      <c r="B129">
        <v>19</v>
      </c>
      <c r="C129">
        <v>360</v>
      </c>
      <c r="D129" t="s">
        <v>377</v>
      </c>
      <c r="E129">
        <v>0.14859</v>
      </c>
      <c r="F129">
        <v>5.1989E-2</v>
      </c>
      <c r="G129">
        <v>24</v>
      </c>
      <c r="H129">
        <v>505</v>
      </c>
      <c r="I129" t="s">
        <v>562</v>
      </c>
      <c r="J129">
        <f>VLOOKUP(I129,gen_cost!$A$1:$AY$31,21)</f>
        <v>0</v>
      </c>
      <c r="K129">
        <f>VLOOKUP(I129,gen_cost!$A$1:$AY$31,22)</f>
        <v>0</v>
      </c>
      <c r="L129">
        <f>VLOOKUP(I129,gen_cost!$A$1:$AY$31,16)</f>
        <v>0</v>
      </c>
      <c r="M129">
        <f t="shared" si="27"/>
        <v>0</v>
      </c>
      <c r="N129">
        <f t="shared" si="27"/>
        <v>0</v>
      </c>
      <c r="O129">
        <f t="shared" si="27"/>
        <v>0</v>
      </c>
      <c r="P129">
        <f t="shared" si="27"/>
        <v>0</v>
      </c>
      <c r="Q129">
        <f t="shared" si="27"/>
        <v>0</v>
      </c>
      <c r="R129">
        <f>VLOOKUP(I129,gen_cost!$A$1:$AY$31,14)</f>
        <v>201.62</v>
      </c>
      <c r="S129">
        <f t="shared" si="28"/>
        <v>201.62</v>
      </c>
      <c r="T129">
        <f t="shared" si="28"/>
        <v>201.62</v>
      </c>
      <c r="U129">
        <f t="shared" si="28"/>
        <v>201.62</v>
      </c>
      <c r="V129">
        <f t="shared" si="28"/>
        <v>201.62</v>
      </c>
      <c r="W129">
        <f t="shared" si="28"/>
        <v>201.62</v>
      </c>
      <c r="X129">
        <v>20</v>
      </c>
      <c r="Y129">
        <v>10</v>
      </c>
    </row>
    <row r="130" spans="1:25" x14ac:dyDescent="0.55000000000000004">
      <c r="A130" t="s">
        <v>507</v>
      </c>
      <c r="B130">
        <v>129</v>
      </c>
      <c r="C130">
        <v>230</v>
      </c>
      <c r="D130" t="s">
        <v>377</v>
      </c>
      <c r="E130">
        <v>0.15026800000000001</v>
      </c>
      <c r="F130">
        <v>5.1907000000000002E-2</v>
      </c>
      <c r="G130">
        <v>25</v>
      </c>
      <c r="H130">
        <v>500</v>
      </c>
      <c r="I130" t="s">
        <v>562</v>
      </c>
      <c r="J130">
        <f>VLOOKUP(I130,gen_cost!$A$1:$AY$31,21)</f>
        <v>0</v>
      </c>
      <c r="K130">
        <f>VLOOKUP(I130,gen_cost!$A$1:$AY$31,22)</f>
        <v>0</v>
      </c>
      <c r="L130">
        <f>VLOOKUP(I130,gen_cost!$A$1:$AY$31,16)</f>
        <v>0</v>
      </c>
      <c r="M130">
        <f t="shared" si="27"/>
        <v>0</v>
      </c>
      <c r="N130">
        <f t="shared" si="27"/>
        <v>0</v>
      </c>
      <c r="O130">
        <f t="shared" si="27"/>
        <v>0</v>
      </c>
      <c r="P130">
        <f t="shared" si="27"/>
        <v>0</v>
      </c>
      <c r="Q130">
        <f t="shared" si="27"/>
        <v>0</v>
      </c>
      <c r="R130">
        <f>VLOOKUP(I130,gen_cost!$A$1:$AY$31,14)</f>
        <v>201.62</v>
      </c>
      <c r="S130">
        <f t="shared" si="28"/>
        <v>201.62</v>
      </c>
      <c r="T130">
        <f t="shared" si="28"/>
        <v>201.62</v>
      </c>
      <c r="U130">
        <f t="shared" si="28"/>
        <v>201.62</v>
      </c>
      <c r="V130">
        <f t="shared" si="28"/>
        <v>201.62</v>
      </c>
      <c r="W130">
        <f t="shared" si="28"/>
        <v>201.62</v>
      </c>
      <c r="X130">
        <v>20</v>
      </c>
      <c r="Y130">
        <v>10</v>
      </c>
    </row>
    <row r="131" spans="1:25" x14ac:dyDescent="0.55000000000000004">
      <c r="A131" t="s">
        <v>397</v>
      </c>
      <c r="B131">
        <v>20</v>
      </c>
      <c r="C131">
        <v>230</v>
      </c>
      <c r="D131" t="s">
        <v>377</v>
      </c>
      <c r="E131">
        <v>0.14865300000000001</v>
      </c>
      <c r="F131">
        <v>5.1452999999999999E-2</v>
      </c>
      <c r="G131">
        <v>26</v>
      </c>
      <c r="H131">
        <v>502</v>
      </c>
      <c r="I131" t="s">
        <v>562</v>
      </c>
      <c r="J131">
        <f>VLOOKUP(I131,gen_cost!$A$1:$AY$31,21)</f>
        <v>0</v>
      </c>
      <c r="K131">
        <f>VLOOKUP(I131,gen_cost!$A$1:$AY$31,22)</f>
        <v>0</v>
      </c>
      <c r="L131">
        <f>VLOOKUP(I131,gen_cost!$A$1:$AY$31,16)</f>
        <v>0</v>
      </c>
      <c r="M131">
        <f t="shared" si="27"/>
        <v>0</v>
      </c>
      <c r="N131">
        <f t="shared" si="27"/>
        <v>0</v>
      </c>
      <c r="O131">
        <f t="shared" si="27"/>
        <v>0</v>
      </c>
      <c r="P131">
        <f t="shared" si="27"/>
        <v>0</v>
      </c>
      <c r="Q131">
        <f t="shared" si="27"/>
        <v>0</v>
      </c>
      <c r="R131">
        <f>VLOOKUP(I131,gen_cost!$A$1:$AY$31,14)</f>
        <v>201.62</v>
      </c>
      <c r="S131">
        <f t="shared" si="28"/>
        <v>201.62</v>
      </c>
      <c r="T131">
        <f t="shared" si="28"/>
        <v>201.62</v>
      </c>
      <c r="U131">
        <f t="shared" si="28"/>
        <v>201.62</v>
      </c>
      <c r="V131">
        <f t="shared" si="28"/>
        <v>201.62</v>
      </c>
      <c r="W131">
        <f t="shared" si="28"/>
        <v>201.62</v>
      </c>
      <c r="X131">
        <v>20</v>
      </c>
      <c r="Y131">
        <v>10</v>
      </c>
    </row>
    <row r="132" spans="1:25" x14ac:dyDescent="0.55000000000000004">
      <c r="A132" t="s">
        <v>506</v>
      </c>
      <c r="B132">
        <v>128</v>
      </c>
      <c r="C132">
        <v>230</v>
      </c>
      <c r="D132" t="s">
        <v>377</v>
      </c>
      <c r="E132">
        <v>0.15013799999999999</v>
      </c>
      <c r="F132">
        <v>4.9535999999999997E-2</v>
      </c>
      <c r="G132">
        <v>27</v>
      </c>
      <c r="H132">
        <v>803</v>
      </c>
      <c r="I132" t="s">
        <v>562</v>
      </c>
      <c r="J132">
        <f>VLOOKUP(I132,gen_cost!$A$1:$AY$31,21)</f>
        <v>0</v>
      </c>
      <c r="K132">
        <f>VLOOKUP(I132,gen_cost!$A$1:$AY$31,22)</f>
        <v>0</v>
      </c>
      <c r="L132">
        <f>VLOOKUP(I132,gen_cost!$A$1:$AY$31,16)</f>
        <v>0</v>
      </c>
      <c r="M132">
        <f t="shared" ref="M132:Q141" si="29">+L132</f>
        <v>0</v>
      </c>
      <c r="N132">
        <f t="shared" si="29"/>
        <v>0</v>
      </c>
      <c r="O132">
        <f t="shared" si="29"/>
        <v>0</v>
      </c>
      <c r="P132">
        <f t="shared" si="29"/>
        <v>0</v>
      </c>
      <c r="Q132">
        <f t="shared" si="29"/>
        <v>0</v>
      </c>
      <c r="R132">
        <f>VLOOKUP(I132,gen_cost!$A$1:$AY$31,14)</f>
        <v>201.62</v>
      </c>
      <c r="S132">
        <f t="shared" ref="S132:W141" si="30">+R132</f>
        <v>201.62</v>
      </c>
      <c r="T132">
        <f t="shared" si="30"/>
        <v>201.62</v>
      </c>
      <c r="U132">
        <f t="shared" si="30"/>
        <v>201.62</v>
      </c>
      <c r="V132">
        <f t="shared" si="30"/>
        <v>201.62</v>
      </c>
      <c r="W132">
        <f t="shared" si="30"/>
        <v>201.62</v>
      </c>
      <c r="X132">
        <v>20</v>
      </c>
      <c r="Y132">
        <v>10</v>
      </c>
    </row>
    <row r="133" spans="1:25" x14ac:dyDescent="0.55000000000000004">
      <c r="A133" t="s">
        <v>535</v>
      </c>
      <c r="B133">
        <v>157</v>
      </c>
      <c r="C133">
        <v>287</v>
      </c>
      <c r="D133" t="s">
        <v>377</v>
      </c>
      <c r="E133">
        <v>0.112674</v>
      </c>
      <c r="F133">
        <v>4.9340000000000002E-2</v>
      </c>
      <c r="G133">
        <v>28</v>
      </c>
      <c r="H133">
        <v>901</v>
      </c>
      <c r="I133" t="s">
        <v>562</v>
      </c>
      <c r="J133">
        <f>VLOOKUP(I133,gen_cost!$A$1:$AY$31,21)</f>
        <v>0</v>
      </c>
      <c r="K133">
        <f>VLOOKUP(I133,gen_cost!$A$1:$AY$31,22)</f>
        <v>0</v>
      </c>
      <c r="L133">
        <f>VLOOKUP(I133,gen_cost!$A$1:$AY$31,16)</f>
        <v>0</v>
      </c>
      <c r="M133">
        <f t="shared" si="29"/>
        <v>0</v>
      </c>
      <c r="N133">
        <f t="shared" si="29"/>
        <v>0</v>
      </c>
      <c r="O133">
        <f t="shared" si="29"/>
        <v>0</v>
      </c>
      <c r="P133">
        <f t="shared" si="29"/>
        <v>0</v>
      </c>
      <c r="Q133">
        <f t="shared" si="29"/>
        <v>0</v>
      </c>
      <c r="R133">
        <f>VLOOKUP(I133,gen_cost!$A$1:$AY$31,14)</f>
        <v>201.62</v>
      </c>
      <c r="S133">
        <f t="shared" si="30"/>
        <v>201.62</v>
      </c>
      <c r="T133">
        <f t="shared" si="30"/>
        <v>201.62</v>
      </c>
      <c r="U133">
        <f t="shared" si="30"/>
        <v>201.62</v>
      </c>
      <c r="V133">
        <f t="shared" si="30"/>
        <v>201.62</v>
      </c>
      <c r="W133">
        <f t="shared" si="30"/>
        <v>201.62</v>
      </c>
      <c r="X133">
        <v>20</v>
      </c>
      <c r="Y133">
        <v>10</v>
      </c>
    </row>
    <row r="134" spans="1:25" x14ac:dyDescent="0.55000000000000004">
      <c r="A134" t="s">
        <v>536</v>
      </c>
      <c r="B134">
        <v>158</v>
      </c>
      <c r="C134">
        <v>287</v>
      </c>
      <c r="D134" t="s">
        <v>377</v>
      </c>
      <c r="E134">
        <v>0.112674</v>
      </c>
      <c r="F134">
        <v>4.9340000000000002E-2</v>
      </c>
      <c r="G134">
        <v>29</v>
      </c>
      <c r="H134">
        <v>900</v>
      </c>
      <c r="I134" t="s">
        <v>562</v>
      </c>
      <c r="J134">
        <f>VLOOKUP(I134,gen_cost!$A$1:$AY$31,21)</f>
        <v>0</v>
      </c>
      <c r="K134">
        <f>VLOOKUP(I134,gen_cost!$A$1:$AY$31,22)</f>
        <v>0</v>
      </c>
      <c r="L134">
        <f>VLOOKUP(I134,gen_cost!$A$1:$AY$31,16)</f>
        <v>0</v>
      </c>
      <c r="M134">
        <f t="shared" si="29"/>
        <v>0</v>
      </c>
      <c r="N134">
        <f t="shared" si="29"/>
        <v>0</v>
      </c>
      <c r="O134">
        <f t="shared" si="29"/>
        <v>0</v>
      </c>
      <c r="P134">
        <f t="shared" si="29"/>
        <v>0</v>
      </c>
      <c r="Q134">
        <f t="shared" si="29"/>
        <v>0</v>
      </c>
      <c r="R134">
        <f>VLOOKUP(I134,gen_cost!$A$1:$AY$31,14)</f>
        <v>201.62</v>
      </c>
      <c r="S134">
        <f t="shared" si="30"/>
        <v>201.62</v>
      </c>
      <c r="T134">
        <f t="shared" si="30"/>
        <v>201.62</v>
      </c>
      <c r="U134">
        <f t="shared" si="30"/>
        <v>201.62</v>
      </c>
      <c r="V134">
        <f t="shared" si="30"/>
        <v>201.62</v>
      </c>
      <c r="W134">
        <f t="shared" si="30"/>
        <v>201.62</v>
      </c>
      <c r="X134">
        <v>20</v>
      </c>
      <c r="Y134">
        <v>10</v>
      </c>
    </row>
    <row r="135" spans="1:25" x14ac:dyDescent="0.55000000000000004">
      <c r="A135" t="s">
        <v>421</v>
      </c>
      <c r="B135">
        <v>44</v>
      </c>
      <c r="C135">
        <v>287</v>
      </c>
      <c r="D135" t="s">
        <v>377</v>
      </c>
      <c r="E135">
        <v>0.11148</v>
      </c>
      <c r="F135">
        <v>4.9044999999999998E-2</v>
      </c>
      <c r="G135">
        <v>30</v>
      </c>
      <c r="H135">
        <v>730</v>
      </c>
      <c r="I135" t="s">
        <v>562</v>
      </c>
      <c r="J135">
        <f>VLOOKUP(I135,gen_cost!$A$1:$AY$31,21)</f>
        <v>0</v>
      </c>
      <c r="K135">
        <f>VLOOKUP(I135,gen_cost!$A$1:$AY$31,22)</f>
        <v>0</v>
      </c>
      <c r="L135">
        <f>VLOOKUP(I135,gen_cost!$A$1:$AY$31,16)</f>
        <v>0</v>
      </c>
      <c r="M135">
        <f t="shared" si="29"/>
        <v>0</v>
      </c>
      <c r="N135">
        <f t="shared" si="29"/>
        <v>0</v>
      </c>
      <c r="O135">
        <f t="shared" si="29"/>
        <v>0</v>
      </c>
      <c r="P135">
        <f t="shared" si="29"/>
        <v>0</v>
      </c>
      <c r="Q135">
        <f t="shared" si="29"/>
        <v>0</v>
      </c>
      <c r="R135">
        <f>VLOOKUP(I135,gen_cost!$A$1:$AY$31,14)</f>
        <v>201.62</v>
      </c>
      <c r="S135">
        <f t="shared" si="30"/>
        <v>201.62</v>
      </c>
      <c r="T135">
        <f t="shared" si="30"/>
        <v>201.62</v>
      </c>
      <c r="U135">
        <f t="shared" si="30"/>
        <v>201.62</v>
      </c>
      <c r="V135">
        <f t="shared" si="30"/>
        <v>201.62</v>
      </c>
      <c r="W135">
        <f t="shared" si="30"/>
        <v>201.62</v>
      </c>
      <c r="X135">
        <v>20</v>
      </c>
      <c r="Y135">
        <v>10</v>
      </c>
    </row>
    <row r="136" spans="1:25" x14ac:dyDescent="0.55000000000000004">
      <c r="A136" t="s">
        <v>544</v>
      </c>
      <c r="B136">
        <v>166</v>
      </c>
      <c r="C136">
        <v>230</v>
      </c>
      <c r="D136" t="s">
        <v>377</v>
      </c>
      <c r="E136">
        <v>0.15074000000000001</v>
      </c>
      <c r="F136">
        <v>4.6364000000000002E-2</v>
      </c>
      <c r="G136">
        <v>31</v>
      </c>
      <c r="H136">
        <v>731</v>
      </c>
      <c r="I136" t="s">
        <v>562</v>
      </c>
      <c r="J136">
        <f>VLOOKUP(I136,gen_cost!$A$1:$AY$31,21)</f>
        <v>0</v>
      </c>
      <c r="K136">
        <f>VLOOKUP(I136,gen_cost!$A$1:$AY$31,22)</f>
        <v>0</v>
      </c>
      <c r="L136">
        <f>VLOOKUP(I136,gen_cost!$A$1:$AY$31,16)</f>
        <v>0</v>
      </c>
      <c r="M136">
        <f t="shared" si="29"/>
        <v>0</v>
      </c>
      <c r="N136">
        <f t="shared" si="29"/>
        <v>0</v>
      </c>
      <c r="O136">
        <f t="shared" si="29"/>
        <v>0</v>
      </c>
      <c r="P136">
        <f t="shared" si="29"/>
        <v>0</v>
      </c>
      <c r="Q136">
        <f t="shared" si="29"/>
        <v>0</v>
      </c>
      <c r="R136">
        <f>VLOOKUP(I136,gen_cost!$A$1:$AY$31,14)</f>
        <v>201.62</v>
      </c>
      <c r="S136">
        <f t="shared" si="30"/>
        <v>201.62</v>
      </c>
      <c r="T136">
        <f t="shared" si="30"/>
        <v>201.62</v>
      </c>
      <c r="U136">
        <f t="shared" si="30"/>
        <v>201.62</v>
      </c>
      <c r="V136">
        <f t="shared" si="30"/>
        <v>201.62</v>
      </c>
      <c r="W136">
        <f t="shared" si="30"/>
        <v>201.62</v>
      </c>
      <c r="X136">
        <v>20</v>
      </c>
      <c r="Y136">
        <v>10</v>
      </c>
    </row>
    <row r="137" spans="1:25" x14ac:dyDescent="0.55000000000000004">
      <c r="A137" t="s">
        <v>378</v>
      </c>
      <c r="B137">
        <v>2</v>
      </c>
      <c r="C137">
        <v>230</v>
      </c>
      <c r="D137" t="s">
        <v>377</v>
      </c>
      <c r="E137">
        <v>0.14582200000000001</v>
      </c>
      <c r="F137">
        <v>4.0197999999999998E-2</v>
      </c>
      <c r="G137">
        <v>34</v>
      </c>
      <c r="H137">
        <v>488</v>
      </c>
      <c r="I137" t="s">
        <v>562</v>
      </c>
      <c r="J137">
        <f>VLOOKUP(I137,gen_cost!$A$1:$AY$31,21)</f>
        <v>0</v>
      </c>
      <c r="K137">
        <f>VLOOKUP(I137,gen_cost!$A$1:$AY$31,22)</f>
        <v>0</v>
      </c>
      <c r="L137">
        <f>VLOOKUP(I137,gen_cost!$A$1:$AY$31,16)</f>
        <v>0</v>
      </c>
      <c r="M137">
        <f t="shared" si="29"/>
        <v>0</v>
      </c>
      <c r="N137">
        <f t="shared" si="29"/>
        <v>0</v>
      </c>
      <c r="O137">
        <f t="shared" si="29"/>
        <v>0</v>
      </c>
      <c r="P137">
        <f t="shared" si="29"/>
        <v>0</v>
      </c>
      <c r="Q137">
        <f t="shared" si="29"/>
        <v>0</v>
      </c>
      <c r="R137">
        <f>VLOOKUP(I137,gen_cost!$A$1:$AY$31,14)</f>
        <v>201.62</v>
      </c>
      <c r="S137">
        <f t="shared" si="30"/>
        <v>201.62</v>
      </c>
      <c r="T137">
        <f t="shared" si="30"/>
        <v>201.62</v>
      </c>
      <c r="U137">
        <f t="shared" si="30"/>
        <v>201.62</v>
      </c>
      <c r="V137">
        <f t="shared" si="30"/>
        <v>201.62</v>
      </c>
      <c r="W137">
        <f t="shared" si="30"/>
        <v>201.62</v>
      </c>
      <c r="X137">
        <v>20</v>
      </c>
      <c r="Y137">
        <v>10</v>
      </c>
    </row>
    <row r="138" spans="1:25" x14ac:dyDescent="0.55000000000000004">
      <c r="A138" t="s">
        <v>531</v>
      </c>
      <c r="B138">
        <v>153</v>
      </c>
      <c r="C138">
        <v>230</v>
      </c>
      <c r="D138" t="s">
        <v>377</v>
      </c>
      <c r="E138">
        <v>0.150975</v>
      </c>
      <c r="F138">
        <v>4.0024999999999998E-2</v>
      </c>
      <c r="G138">
        <v>35</v>
      </c>
      <c r="H138">
        <v>487</v>
      </c>
      <c r="I138" t="s">
        <v>562</v>
      </c>
      <c r="J138">
        <f>VLOOKUP(I138,gen_cost!$A$1:$AY$31,21)</f>
        <v>0</v>
      </c>
      <c r="K138">
        <f>VLOOKUP(I138,gen_cost!$A$1:$AY$31,22)</f>
        <v>0</v>
      </c>
      <c r="L138">
        <f>VLOOKUP(I138,gen_cost!$A$1:$AY$31,16)</f>
        <v>0</v>
      </c>
      <c r="M138">
        <f t="shared" si="29"/>
        <v>0</v>
      </c>
      <c r="N138">
        <f t="shared" si="29"/>
        <v>0</v>
      </c>
      <c r="O138">
        <f t="shared" si="29"/>
        <v>0</v>
      </c>
      <c r="P138">
        <f t="shared" si="29"/>
        <v>0</v>
      </c>
      <c r="Q138">
        <f t="shared" si="29"/>
        <v>0</v>
      </c>
      <c r="R138">
        <f>VLOOKUP(I138,gen_cost!$A$1:$AY$31,14)</f>
        <v>201.62</v>
      </c>
      <c r="S138">
        <f t="shared" si="30"/>
        <v>201.62</v>
      </c>
      <c r="T138">
        <f t="shared" si="30"/>
        <v>201.62</v>
      </c>
      <c r="U138">
        <f t="shared" si="30"/>
        <v>201.62</v>
      </c>
      <c r="V138">
        <f t="shared" si="30"/>
        <v>201.62</v>
      </c>
      <c r="W138">
        <f t="shared" si="30"/>
        <v>201.62</v>
      </c>
      <c r="X138">
        <v>20</v>
      </c>
      <c r="Y138">
        <v>10</v>
      </c>
    </row>
    <row r="139" spans="1:25" x14ac:dyDescent="0.55000000000000004">
      <c r="A139" t="s">
        <v>501</v>
      </c>
      <c r="B139">
        <v>123</v>
      </c>
      <c r="C139">
        <v>230</v>
      </c>
      <c r="D139" t="s">
        <v>377</v>
      </c>
      <c r="E139">
        <v>0.14356099999999999</v>
      </c>
      <c r="F139">
        <v>3.9639000000000001E-2</v>
      </c>
      <c r="G139">
        <v>36</v>
      </c>
      <c r="H139">
        <v>928</v>
      </c>
      <c r="I139" t="s">
        <v>562</v>
      </c>
      <c r="J139">
        <f>VLOOKUP(I139,gen_cost!$A$1:$AY$31,21)</f>
        <v>0</v>
      </c>
      <c r="K139">
        <f>VLOOKUP(I139,gen_cost!$A$1:$AY$31,22)</f>
        <v>0</v>
      </c>
      <c r="L139">
        <f>VLOOKUP(I139,gen_cost!$A$1:$AY$31,16)</f>
        <v>0</v>
      </c>
      <c r="M139">
        <f t="shared" si="29"/>
        <v>0</v>
      </c>
      <c r="N139">
        <f t="shared" si="29"/>
        <v>0</v>
      </c>
      <c r="O139">
        <f t="shared" si="29"/>
        <v>0</v>
      </c>
      <c r="P139">
        <f t="shared" si="29"/>
        <v>0</v>
      </c>
      <c r="Q139">
        <f t="shared" si="29"/>
        <v>0</v>
      </c>
      <c r="R139">
        <f>VLOOKUP(I139,gen_cost!$A$1:$AY$31,14)</f>
        <v>201.62</v>
      </c>
      <c r="S139">
        <f t="shared" si="30"/>
        <v>201.62</v>
      </c>
      <c r="T139">
        <f t="shared" si="30"/>
        <v>201.62</v>
      </c>
      <c r="U139">
        <f t="shared" si="30"/>
        <v>201.62</v>
      </c>
      <c r="V139">
        <f t="shared" si="30"/>
        <v>201.62</v>
      </c>
      <c r="W139">
        <f t="shared" si="30"/>
        <v>201.62</v>
      </c>
      <c r="X139">
        <v>20</v>
      </c>
      <c r="Y139">
        <v>10</v>
      </c>
    </row>
    <row r="140" spans="1:25" x14ac:dyDescent="0.55000000000000004">
      <c r="A140" t="s">
        <v>530</v>
      </c>
      <c r="B140">
        <v>152</v>
      </c>
      <c r="C140">
        <v>360</v>
      </c>
      <c r="D140" t="s">
        <v>377</v>
      </c>
      <c r="E140">
        <v>0.134654</v>
      </c>
      <c r="F140">
        <v>3.9393999999999998E-2</v>
      </c>
      <c r="G140">
        <v>41</v>
      </c>
      <c r="H140">
        <v>802</v>
      </c>
      <c r="I140" t="s">
        <v>562</v>
      </c>
      <c r="J140">
        <f>VLOOKUP(I140,gen_cost!$A$1:$AY$31,21)</f>
        <v>0</v>
      </c>
      <c r="K140">
        <f>VLOOKUP(I140,gen_cost!$A$1:$AY$31,22)</f>
        <v>0</v>
      </c>
      <c r="L140">
        <f>VLOOKUP(I140,gen_cost!$A$1:$AY$31,16)</f>
        <v>0</v>
      </c>
      <c r="M140">
        <f t="shared" si="29"/>
        <v>0</v>
      </c>
      <c r="N140">
        <f t="shared" si="29"/>
        <v>0</v>
      </c>
      <c r="O140">
        <f t="shared" si="29"/>
        <v>0</v>
      </c>
      <c r="P140">
        <f t="shared" si="29"/>
        <v>0</v>
      </c>
      <c r="Q140">
        <f t="shared" si="29"/>
        <v>0</v>
      </c>
      <c r="R140">
        <f>VLOOKUP(I140,gen_cost!$A$1:$AY$31,14)</f>
        <v>201.62</v>
      </c>
      <c r="S140">
        <f t="shared" si="30"/>
        <v>201.62</v>
      </c>
      <c r="T140">
        <f t="shared" si="30"/>
        <v>201.62</v>
      </c>
      <c r="U140">
        <f t="shared" si="30"/>
        <v>201.62</v>
      </c>
      <c r="V140">
        <f t="shared" si="30"/>
        <v>201.62</v>
      </c>
      <c r="W140">
        <f t="shared" si="30"/>
        <v>201.62</v>
      </c>
      <c r="X140">
        <v>20</v>
      </c>
      <c r="Y140">
        <v>10</v>
      </c>
    </row>
    <row r="141" spans="1:25" x14ac:dyDescent="0.55000000000000004">
      <c r="A141" t="s">
        <v>385</v>
      </c>
      <c r="B141">
        <v>9</v>
      </c>
      <c r="C141">
        <v>230</v>
      </c>
      <c r="D141" t="s">
        <v>377</v>
      </c>
      <c r="E141">
        <v>0.15087400000000001</v>
      </c>
      <c r="F141">
        <v>3.8106000000000001E-2</v>
      </c>
      <c r="G141">
        <v>42</v>
      </c>
      <c r="H141">
        <v>492</v>
      </c>
      <c r="I141" t="s">
        <v>562</v>
      </c>
      <c r="J141">
        <f>VLOOKUP(I141,gen_cost!$A$1:$AY$31,21)</f>
        <v>0</v>
      </c>
      <c r="K141">
        <f>VLOOKUP(I141,gen_cost!$A$1:$AY$31,22)</f>
        <v>0</v>
      </c>
      <c r="L141">
        <f>VLOOKUP(I141,gen_cost!$A$1:$AY$31,16)</f>
        <v>0</v>
      </c>
      <c r="M141">
        <f t="shared" si="29"/>
        <v>0</v>
      </c>
      <c r="N141">
        <f t="shared" si="29"/>
        <v>0</v>
      </c>
      <c r="O141">
        <f t="shared" si="29"/>
        <v>0</v>
      </c>
      <c r="P141">
        <f t="shared" si="29"/>
        <v>0</v>
      </c>
      <c r="Q141">
        <f t="shared" si="29"/>
        <v>0</v>
      </c>
      <c r="R141">
        <f>VLOOKUP(I141,gen_cost!$A$1:$AY$31,14)</f>
        <v>201.62</v>
      </c>
      <c r="S141">
        <f t="shared" si="30"/>
        <v>201.62</v>
      </c>
      <c r="T141">
        <f t="shared" si="30"/>
        <v>201.62</v>
      </c>
      <c r="U141">
        <f t="shared" si="30"/>
        <v>201.62</v>
      </c>
      <c r="V141">
        <f t="shared" si="30"/>
        <v>201.62</v>
      </c>
      <c r="W141">
        <f t="shared" si="30"/>
        <v>201.62</v>
      </c>
      <c r="X141">
        <v>20</v>
      </c>
      <c r="Y141">
        <v>10</v>
      </c>
    </row>
    <row r="142" spans="1:25" x14ac:dyDescent="0.55000000000000004">
      <c r="A142" t="s">
        <v>386</v>
      </c>
      <c r="B142">
        <v>10</v>
      </c>
      <c r="C142">
        <v>230</v>
      </c>
      <c r="D142" t="s">
        <v>377</v>
      </c>
      <c r="E142">
        <v>0.15085100000000001</v>
      </c>
      <c r="F142">
        <v>3.8056E-2</v>
      </c>
      <c r="G142">
        <v>43</v>
      </c>
      <c r="H142">
        <v>678</v>
      </c>
      <c r="I142" t="s">
        <v>562</v>
      </c>
      <c r="J142">
        <f>VLOOKUP(I142,gen_cost!$A$1:$AY$31,21)</f>
        <v>0</v>
      </c>
      <c r="K142">
        <f>VLOOKUP(I142,gen_cost!$A$1:$AY$31,22)</f>
        <v>0</v>
      </c>
      <c r="L142">
        <f>VLOOKUP(I142,gen_cost!$A$1:$AY$31,16)</f>
        <v>0</v>
      </c>
      <c r="M142">
        <f t="shared" ref="M142:Q151" si="31">+L142</f>
        <v>0</v>
      </c>
      <c r="N142">
        <f t="shared" si="31"/>
        <v>0</v>
      </c>
      <c r="O142">
        <f t="shared" si="31"/>
        <v>0</v>
      </c>
      <c r="P142">
        <f t="shared" si="31"/>
        <v>0</v>
      </c>
      <c r="Q142">
        <f t="shared" si="31"/>
        <v>0</v>
      </c>
      <c r="R142">
        <f>VLOOKUP(I142,gen_cost!$A$1:$AY$31,14)</f>
        <v>201.62</v>
      </c>
      <c r="S142">
        <f t="shared" ref="S142:W151" si="32">+R142</f>
        <v>201.62</v>
      </c>
      <c r="T142">
        <f t="shared" si="32"/>
        <v>201.62</v>
      </c>
      <c r="U142">
        <f t="shared" si="32"/>
        <v>201.62</v>
      </c>
      <c r="V142">
        <f t="shared" si="32"/>
        <v>201.62</v>
      </c>
      <c r="W142">
        <f t="shared" si="32"/>
        <v>201.62</v>
      </c>
      <c r="X142">
        <v>20</v>
      </c>
      <c r="Y142">
        <v>10</v>
      </c>
    </row>
    <row r="143" spans="1:25" x14ac:dyDescent="0.55000000000000004">
      <c r="A143" t="s">
        <v>406</v>
      </c>
      <c r="B143">
        <v>29</v>
      </c>
      <c r="C143">
        <v>230</v>
      </c>
      <c r="D143" t="s">
        <v>377</v>
      </c>
      <c r="E143">
        <v>0.13328100000000001</v>
      </c>
      <c r="F143">
        <v>3.7397E-2</v>
      </c>
      <c r="G143">
        <v>46</v>
      </c>
      <c r="H143">
        <v>934</v>
      </c>
      <c r="I143" t="s">
        <v>562</v>
      </c>
      <c r="J143">
        <f>VLOOKUP(I143,gen_cost!$A$1:$AY$31,21)</f>
        <v>0</v>
      </c>
      <c r="K143">
        <f>VLOOKUP(I143,gen_cost!$A$1:$AY$31,22)</f>
        <v>0</v>
      </c>
      <c r="L143">
        <f>VLOOKUP(I143,gen_cost!$A$1:$AY$31,16)</f>
        <v>0</v>
      </c>
      <c r="M143">
        <f t="shared" si="31"/>
        <v>0</v>
      </c>
      <c r="N143">
        <f t="shared" si="31"/>
        <v>0</v>
      </c>
      <c r="O143">
        <f t="shared" si="31"/>
        <v>0</v>
      </c>
      <c r="P143">
        <f t="shared" si="31"/>
        <v>0</v>
      </c>
      <c r="Q143">
        <f t="shared" si="31"/>
        <v>0</v>
      </c>
      <c r="R143">
        <f>VLOOKUP(I143,gen_cost!$A$1:$AY$31,14)</f>
        <v>201.62</v>
      </c>
      <c r="S143">
        <f t="shared" si="32"/>
        <v>201.62</v>
      </c>
      <c r="T143">
        <f t="shared" si="32"/>
        <v>201.62</v>
      </c>
      <c r="U143">
        <f t="shared" si="32"/>
        <v>201.62</v>
      </c>
      <c r="V143">
        <f t="shared" si="32"/>
        <v>201.62</v>
      </c>
      <c r="W143">
        <f t="shared" si="32"/>
        <v>201.62</v>
      </c>
      <c r="X143">
        <v>20</v>
      </c>
      <c r="Y143">
        <v>10</v>
      </c>
    </row>
    <row r="144" spans="1:25" x14ac:dyDescent="0.55000000000000004">
      <c r="A144" t="s">
        <v>418</v>
      </c>
      <c r="B144">
        <v>41</v>
      </c>
      <c r="C144">
        <v>230</v>
      </c>
      <c r="D144" t="s">
        <v>377</v>
      </c>
      <c r="E144">
        <v>0.14744199999999999</v>
      </c>
      <c r="F144">
        <v>3.6097999999999998E-2</v>
      </c>
      <c r="G144">
        <v>47</v>
      </c>
      <c r="H144">
        <v>935</v>
      </c>
      <c r="I144" t="s">
        <v>562</v>
      </c>
      <c r="J144">
        <f>VLOOKUP(I144,gen_cost!$A$1:$AY$31,21)</f>
        <v>0</v>
      </c>
      <c r="K144">
        <f>VLOOKUP(I144,gen_cost!$A$1:$AY$31,22)</f>
        <v>0</v>
      </c>
      <c r="L144">
        <f>VLOOKUP(I144,gen_cost!$A$1:$AY$31,16)</f>
        <v>0</v>
      </c>
      <c r="M144">
        <f t="shared" si="31"/>
        <v>0</v>
      </c>
      <c r="N144">
        <f t="shared" si="31"/>
        <v>0</v>
      </c>
      <c r="O144">
        <f t="shared" si="31"/>
        <v>0</v>
      </c>
      <c r="P144">
        <f t="shared" si="31"/>
        <v>0</v>
      </c>
      <c r="Q144">
        <f t="shared" si="31"/>
        <v>0</v>
      </c>
      <c r="R144">
        <f>VLOOKUP(I144,gen_cost!$A$1:$AY$31,14)</f>
        <v>201.62</v>
      </c>
      <c r="S144">
        <f t="shared" si="32"/>
        <v>201.62</v>
      </c>
      <c r="T144">
        <f t="shared" si="32"/>
        <v>201.62</v>
      </c>
      <c r="U144">
        <f t="shared" si="32"/>
        <v>201.62</v>
      </c>
      <c r="V144">
        <f t="shared" si="32"/>
        <v>201.62</v>
      </c>
      <c r="W144">
        <f t="shared" si="32"/>
        <v>201.62</v>
      </c>
      <c r="X144">
        <v>20</v>
      </c>
      <c r="Y144">
        <v>10</v>
      </c>
    </row>
    <row r="145" spans="1:25" x14ac:dyDescent="0.55000000000000004">
      <c r="A145" t="s">
        <v>437</v>
      </c>
      <c r="B145">
        <v>60</v>
      </c>
      <c r="C145">
        <v>230</v>
      </c>
      <c r="D145" t="s">
        <v>377</v>
      </c>
      <c r="E145">
        <v>0.164157</v>
      </c>
      <c r="F145">
        <v>3.6065E-2</v>
      </c>
      <c r="G145">
        <v>48</v>
      </c>
      <c r="H145">
        <v>657</v>
      </c>
      <c r="I145" t="s">
        <v>562</v>
      </c>
      <c r="J145">
        <f>VLOOKUP(I145,gen_cost!$A$1:$AY$31,21)</f>
        <v>0</v>
      </c>
      <c r="K145">
        <f>VLOOKUP(I145,gen_cost!$A$1:$AY$31,22)</f>
        <v>0</v>
      </c>
      <c r="L145">
        <f>VLOOKUP(I145,gen_cost!$A$1:$AY$31,16)</f>
        <v>0</v>
      </c>
      <c r="M145">
        <f t="shared" si="31"/>
        <v>0</v>
      </c>
      <c r="N145">
        <f t="shared" si="31"/>
        <v>0</v>
      </c>
      <c r="O145">
        <f t="shared" si="31"/>
        <v>0</v>
      </c>
      <c r="P145">
        <f t="shared" si="31"/>
        <v>0</v>
      </c>
      <c r="Q145">
        <f t="shared" si="31"/>
        <v>0</v>
      </c>
      <c r="R145">
        <f>VLOOKUP(I145,gen_cost!$A$1:$AY$31,14)</f>
        <v>201.62</v>
      </c>
      <c r="S145">
        <f t="shared" si="32"/>
        <v>201.62</v>
      </c>
      <c r="T145">
        <f t="shared" si="32"/>
        <v>201.62</v>
      </c>
      <c r="U145">
        <f t="shared" si="32"/>
        <v>201.62</v>
      </c>
      <c r="V145">
        <f t="shared" si="32"/>
        <v>201.62</v>
      </c>
      <c r="W145">
        <f t="shared" si="32"/>
        <v>201.62</v>
      </c>
      <c r="X145">
        <v>20</v>
      </c>
      <c r="Y145">
        <v>10</v>
      </c>
    </row>
    <row r="146" spans="1:25" x14ac:dyDescent="0.55000000000000004">
      <c r="A146" t="s">
        <v>379</v>
      </c>
      <c r="B146">
        <v>3</v>
      </c>
      <c r="C146">
        <v>230</v>
      </c>
      <c r="D146" t="s">
        <v>377</v>
      </c>
      <c r="E146">
        <v>0.149954</v>
      </c>
      <c r="F146">
        <v>3.5597999999999998E-2</v>
      </c>
      <c r="G146">
        <v>50</v>
      </c>
      <c r="H146">
        <v>844</v>
      </c>
      <c r="I146" t="s">
        <v>562</v>
      </c>
      <c r="J146">
        <f>VLOOKUP(I146,gen_cost!$A$1:$AY$31,21)</f>
        <v>0</v>
      </c>
      <c r="K146">
        <f>VLOOKUP(I146,gen_cost!$A$1:$AY$31,22)</f>
        <v>0</v>
      </c>
      <c r="L146">
        <f>VLOOKUP(I146,gen_cost!$A$1:$AY$31,16)</f>
        <v>0</v>
      </c>
      <c r="M146">
        <f t="shared" si="31"/>
        <v>0</v>
      </c>
      <c r="N146">
        <f t="shared" si="31"/>
        <v>0</v>
      </c>
      <c r="O146">
        <f t="shared" si="31"/>
        <v>0</v>
      </c>
      <c r="P146">
        <f t="shared" si="31"/>
        <v>0</v>
      </c>
      <c r="Q146">
        <f t="shared" si="31"/>
        <v>0</v>
      </c>
      <c r="R146">
        <f>VLOOKUP(I146,gen_cost!$A$1:$AY$31,14)</f>
        <v>201.62</v>
      </c>
      <c r="S146">
        <f t="shared" si="32"/>
        <v>201.62</v>
      </c>
      <c r="T146">
        <f t="shared" si="32"/>
        <v>201.62</v>
      </c>
      <c r="U146">
        <f t="shared" si="32"/>
        <v>201.62</v>
      </c>
      <c r="V146">
        <f t="shared" si="32"/>
        <v>201.62</v>
      </c>
      <c r="W146">
        <f t="shared" si="32"/>
        <v>201.62</v>
      </c>
      <c r="X146">
        <v>20</v>
      </c>
      <c r="Y146">
        <v>10</v>
      </c>
    </row>
    <row r="147" spans="1:25" x14ac:dyDescent="0.55000000000000004">
      <c r="A147" t="s">
        <v>398</v>
      </c>
      <c r="B147">
        <v>21</v>
      </c>
      <c r="C147">
        <v>230</v>
      </c>
      <c r="D147" t="s">
        <v>377</v>
      </c>
      <c r="E147">
        <v>0.14935599999999999</v>
      </c>
      <c r="F147">
        <v>3.4012000000000001E-2</v>
      </c>
      <c r="G147">
        <v>51</v>
      </c>
      <c r="H147">
        <v>944</v>
      </c>
      <c r="I147" t="s">
        <v>562</v>
      </c>
      <c r="J147">
        <f>VLOOKUP(I147,gen_cost!$A$1:$AY$31,21)</f>
        <v>0</v>
      </c>
      <c r="K147">
        <f>VLOOKUP(I147,gen_cost!$A$1:$AY$31,22)</f>
        <v>0</v>
      </c>
      <c r="L147">
        <f>VLOOKUP(I147,gen_cost!$A$1:$AY$31,16)</f>
        <v>0</v>
      </c>
      <c r="M147">
        <f t="shared" si="31"/>
        <v>0</v>
      </c>
      <c r="N147">
        <f t="shared" si="31"/>
        <v>0</v>
      </c>
      <c r="O147">
        <f t="shared" si="31"/>
        <v>0</v>
      </c>
      <c r="P147">
        <f t="shared" si="31"/>
        <v>0</v>
      </c>
      <c r="Q147">
        <f t="shared" si="31"/>
        <v>0</v>
      </c>
      <c r="R147">
        <f>VLOOKUP(I147,gen_cost!$A$1:$AY$31,14)</f>
        <v>201.62</v>
      </c>
      <c r="S147">
        <f t="shared" si="32"/>
        <v>201.62</v>
      </c>
      <c r="T147">
        <f t="shared" si="32"/>
        <v>201.62</v>
      </c>
      <c r="U147">
        <f t="shared" si="32"/>
        <v>201.62</v>
      </c>
      <c r="V147">
        <f t="shared" si="32"/>
        <v>201.62</v>
      </c>
      <c r="W147">
        <f t="shared" si="32"/>
        <v>201.62</v>
      </c>
      <c r="X147">
        <v>20</v>
      </c>
      <c r="Y147">
        <v>10</v>
      </c>
    </row>
    <row r="148" spans="1:25" x14ac:dyDescent="0.55000000000000004">
      <c r="A148" t="s">
        <v>400</v>
      </c>
      <c r="B148">
        <v>23</v>
      </c>
      <c r="C148">
        <v>230</v>
      </c>
      <c r="D148" t="s">
        <v>377</v>
      </c>
      <c r="E148">
        <v>0.14935599999999999</v>
      </c>
      <c r="F148">
        <v>3.4012000000000001E-2</v>
      </c>
      <c r="G148">
        <v>52</v>
      </c>
      <c r="H148">
        <v>945</v>
      </c>
      <c r="I148" t="s">
        <v>562</v>
      </c>
      <c r="J148">
        <f>VLOOKUP(I148,gen_cost!$A$1:$AY$31,21)</f>
        <v>0</v>
      </c>
      <c r="K148">
        <f>VLOOKUP(I148,gen_cost!$A$1:$AY$31,22)</f>
        <v>0</v>
      </c>
      <c r="L148">
        <f>VLOOKUP(I148,gen_cost!$A$1:$AY$31,16)</f>
        <v>0</v>
      </c>
      <c r="M148">
        <f t="shared" si="31"/>
        <v>0</v>
      </c>
      <c r="N148">
        <f t="shared" si="31"/>
        <v>0</v>
      </c>
      <c r="O148">
        <f t="shared" si="31"/>
        <v>0</v>
      </c>
      <c r="P148">
        <f t="shared" si="31"/>
        <v>0</v>
      </c>
      <c r="Q148">
        <f t="shared" si="31"/>
        <v>0</v>
      </c>
      <c r="R148">
        <f>VLOOKUP(I148,gen_cost!$A$1:$AY$31,14)</f>
        <v>201.62</v>
      </c>
      <c r="S148">
        <f t="shared" si="32"/>
        <v>201.62</v>
      </c>
      <c r="T148">
        <f t="shared" si="32"/>
        <v>201.62</v>
      </c>
      <c r="U148">
        <f t="shared" si="32"/>
        <v>201.62</v>
      </c>
      <c r="V148">
        <f t="shared" si="32"/>
        <v>201.62</v>
      </c>
      <c r="W148">
        <f t="shared" si="32"/>
        <v>201.62</v>
      </c>
      <c r="X148">
        <v>20</v>
      </c>
      <c r="Y148">
        <v>10</v>
      </c>
    </row>
    <row r="149" spans="1:25" x14ac:dyDescent="0.55000000000000004">
      <c r="A149" t="s">
        <v>383</v>
      </c>
      <c r="B149">
        <v>7</v>
      </c>
      <c r="C149">
        <v>230</v>
      </c>
      <c r="D149" t="s">
        <v>377</v>
      </c>
      <c r="E149">
        <v>0.135662</v>
      </c>
      <c r="F149">
        <v>3.3940999999999999E-2</v>
      </c>
      <c r="G149">
        <v>60</v>
      </c>
      <c r="H149">
        <v>860</v>
      </c>
      <c r="I149" t="s">
        <v>562</v>
      </c>
      <c r="J149">
        <f>VLOOKUP(I149,gen_cost!$A$1:$AY$31,21)</f>
        <v>0</v>
      </c>
      <c r="K149">
        <f>VLOOKUP(I149,gen_cost!$A$1:$AY$31,22)</f>
        <v>0</v>
      </c>
      <c r="L149">
        <f>VLOOKUP(I149,gen_cost!$A$1:$AY$31,16)</f>
        <v>0</v>
      </c>
      <c r="M149">
        <f t="shared" si="31"/>
        <v>0</v>
      </c>
      <c r="N149">
        <f t="shared" si="31"/>
        <v>0</v>
      </c>
      <c r="O149">
        <f t="shared" si="31"/>
        <v>0</v>
      </c>
      <c r="P149">
        <f t="shared" si="31"/>
        <v>0</v>
      </c>
      <c r="Q149">
        <f t="shared" si="31"/>
        <v>0</v>
      </c>
      <c r="R149">
        <f>VLOOKUP(I149,gen_cost!$A$1:$AY$31,14)</f>
        <v>201.62</v>
      </c>
      <c r="S149">
        <f t="shared" si="32"/>
        <v>201.62</v>
      </c>
      <c r="T149">
        <f t="shared" si="32"/>
        <v>201.62</v>
      </c>
      <c r="U149">
        <f t="shared" si="32"/>
        <v>201.62</v>
      </c>
      <c r="V149">
        <f t="shared" si="32"/>
        <v>201.62</v>
      </c>
      <c r="W149">
        <f t="shared" si="32"/>
        <v>201.62</v>
      </c>
      <c r="X149">
        <v>20</v>
      </c>
      <c r="Y149">
        <v>10</v>
      </c>
    </row>
    <row r="150" spans="1:25" x14ac:dyDescent="0.55000000000000004">
      <c r="A150" t="s">
        <v>382</v>
      </c>
      <c r="B150">
        <v>6</v>
      </c>
      <c r="C150">
        <v>230</v>
      </c>
      <c r="D150" t="s">
        <v>377</v>
      </c>
      <c r="E150">
        <v>0.136098</v>
      </c>
      <c r="F150">
        <v>3.3404999999999997E-2</v>
      </c>
      <c r="G150">
        <v>61</v>
      </c>
      <c r="H150">
        <v>861</v>
      </c>
      <c r="I150" t="s">
        <v>562</v>
      </c>
      <c r="J150">
        <f>VLOOKUP(I150,gen_cost!$A$1:$AY$31,21)</f>
        <v>0</v>
      </c>
      <c r="K150">
        <f>VLOOKUP(I150,gen_cost!$A$1:$AY$31,22)</f>
        <v>0</v>
      </c>
      <c r="L150">
        <f>VLOOKUP(I150,gen_cost!$A$1:$AY$31,16)</f>
        <v>0</v>
      </c>
      <c r="M150">
        <f t="shared" si="31"/>
        <v>0</v>
      </c>
      <c r="N150">
        <f t="shared" si="31"/>
        <v>0</v>
      </c>
      <c r="O150">
        <f t="shared" si="31"/>
        <v>0</v>
      </c>
      <c r="P150">
        <f t="shared" si="31"/>
        <v>0</v>
      </c>
      <c r="Q150">
        <f t="shared" si="31"/>
        <v>0</v>
      </c>
      <c r="R150">
        <f>VLOOKUP(I150,gen_cost!$A$1:$AY$31,14)</f>
        <v>201.62</v>
      </c>
      <c r="S150">
        <f t="shared" si="32"/>
        <v>201.62</v>
      </c>
      <c r="T150">
        <f t="shared" si="32"/>
        <v>201.62</v>
      </c>
      <c r="U150">
        <f t="shared" si="32"/>
        <v>201.62</v>
      </c>
      <c r="V150">
        <f t="shared" si="32"/>
        <v>201.62</v>
      </c>
      <c r="W150">
        <f t="shared" si="32"/>
        <v>201.62</v>
      </c>
      <c r="X150">
        <v>20</v>
      </c>
      <c r="Y150">
        <v>10</v>
      </c>
    </row>
    <row r="151" spans="1:25" x14ac:dyDescent="0.55000000000000004">
      <c r="A151" t="s">
        <v>407</v>
      </c>
      <c r="B151">
        <v>30</v>
      </c>
      <c r="C151">
        <v>230</v>
      </c>
      <c r="D151" t="s">
        <v>377</v>
      </c>
      <c r="E151">
        <v>0.136098</v>
      </c>
      <c r="F151">
        <v>3.3404999999999997E-2</v>
      </c>
      <c r="G151">
        <v>64</v>
      </c>
      <c r="H151">
        <v>843</v>
      </c>
      <c r="I151" t="s">
        <v>562</v>
      </c>
      <c r="J151">
        <f>VLOOKUP(I151,gen_cost!$A$1:$AY$31,21)</f>
        <v>0</v>
      </c>
      <c r="K151">
        <f>VLOOKUP(I151,gen_cost!$A$1:$AY$31,22)</f>
        <v>0</v>
      </c>
      <c r="L151">
        <f>VLOOKUP(I151,gen_cost!$A$1:$AY$31,16)</f>
        <v>0</v>
      </c>
      <c r="M151">
        <f t="shared" si="31"/>
        <v>0</v>
      </c>
      <c r="N151">
        <f t="shared" si="31"/>
        <v>0</v>
      </c>
      <c r="O151">
        <f t="shared" si="31"/>
        <v>0</v>
      </c>
      <c r="P151">
        <f t="shared" si="31"/>
        <v>0</v>
      </c>
      <c r="Q151">
        <f t="shared" si="31"/>
        <v>0</v>
      </c>
      <c r="R151">
        <f>VLOOKUP(I151,gen_cost!$A$1:$AY$31,14)</f>
        <v>201.62</v>
      </c>
      <c r="S151">
        <f t="shared" si="32"/>
        <v>201.62</v>
      </c>
      <c r="T151">
        <f t="shared" si="32"/>
        <v>201.62</v>
      </c>
      <c r="U151">
        <f t="shared" si="32"/>
        <v>201.62</v>
      </c>
      <c r="V151">
        <f t="shared" si="32"/>
        <v>201.62</v>
      </c>
      <c r="W151">
        <f t="shared" si="32"/>
        <v>201.62</v>
      </c>
      <c r="X151">
        <v>20</v>
      </c>
      <c r="Y151">
        <v>10</v>
      </c>
    </row>
    <row r="152" spans="1:25" x14ac:dyDescent="0.55000000000000004">
      <c r="A152" t="s">
        <v>474</v>
      </c>
      <c r="B152">
        <v>96</v>
      </c>
      <c r="C152">
        <v>230</v>
      </c>
      <c r="D152" t="s">
        <v>377</v>
      </c>
      <c r="E152">
        <v>0.143348</v>
      </c>
      <c r="F152">
        <v>3.2159E-2</v>
      </c>
      <c r="G152">
        <v>69</v>
      </c>
      <c r="H152">
        <v>696</v>
      </c>
      <c r="I152" t="s">
        <v>562</v>
      </c>
      <c r="J152">
        <f>VLOOKUP(I152,gen_cost!$A$1:$AY$31,21)</f>
        <v>0</v>
      </c>
      <c r="K152">
        <f>VLOOKUP(I152,gen_cost!$A$1:$AY$31,22)</f>
        <v>0</v>
      </c>
      <c r="L152">
        <f>VLOOKUP(I152,gen_cost!$A$1:$AY$31,16)</f>
        <v>0</v>
      </c>
      <c r="M152">
        <f t="shared" ref="M152:Q161" si="33">+L152</f>
        <v>0</v>
      </c>
      <c r="N152">
        <f t="shared" si="33"/>
        <v>0</v>
      </c>
      <c r="O152">
        <f t="shared" si="33"/>
        <v>0</v>
      </c>
      <c r="P152">
        <f t="shared" si="33"/>
        <v>0</v>
      </c>
      <c r="Q152">
        <f t="shared" si="33"/>
        <v>0</v>
      </c>
      <c r="R152">
        <f>VLOOKUP(I152,gen_cost!$A$1:$AY$31,14)</f>
        <v>201.62</v>
      </c>
      <c r="S152">
        <f t="shared" ref="S152:W161" si="34">+R152</f>
        <v>201.62</v>
      </c>
      <c r="T152">
        <f t="shared" si="34"/>
        <v>201.62</v>
      </c>
      <c r="U152">
        <f t="shared" si="34"/>
        <v>201.62</v>
      </c>
      <c r="V152">
        <f t="shared" si="34"/>
        <v>201.62</v>
      </c>
      <c r="W152">
        <f t="shared" si="34"/>
        <v>201.62</v>
      </c>
      <c r="X152">
        <v>20</v>
      </c>
      <c r="Y152">
        <v>10</v>
      </c>
    </row>
    <row r="153" spans="1:25" x14ac:dyDescent="0.55000000000000004">
      <c r="A153" t="s">
        <v>438</v>
      </c>
      <c r="B153">
        <v>61</v>
      </c>
      <c r="C153">
        <v>230</v>
      </c>
      <c r="D153" t="s">
        <v>377</v>
      </c>
      <c r="E153">
        <v>0.14514099999999999</v>
      </c>
      <c r="F153">
        <v>3.1202000000000001E-2</v>
      </c>
      <c r="G153">
        <v>70</v>
      </c>
      <c r="H153">
        <v>615</v>
      </c>
      <c r="I153" t="s">
        <v>562</v>
      </c>
      <c r="J153">
        <f>VLOOKUP(I153,gen_cost!$A$1:$AY$31,21)</f>
        <v>0</v>
      </c>
      <c r="K153">
        <f>VLOOKUP(I153,gen_cost!$A$1:$AY$31,22)</f>
        <v>0</v>
      </c>
      <c r="L153">
        <f>VLOOKUP(I153,gen_cost!$A$1:$AY$31,16)</f>
        <v>0</v>
      </c>
      <c r="M153">
        <f t="shared" si="33"/>
        <v>0</v>
      </c>
      <c r="N153">
        <f t="shared" si="33"/>
        <v>0</v>
      </c>
      <c r="O153">
        <f t="shared" si="33"/>
        <v>0</v>
      </c>
      <c r="P153">
        <f t="shared" si="33"/>
        <v>0</v>
      </c>
      <c r="Q153">
        <f t="shared" si="33"/>
        <v>0</v>
      </c>
      <c r="R153">
        <f>VLOOKUP(I153,gen_cost!$A$1:$AY$31,14)</f>
        <v>201.62</v>
      </c>
      <c r="S153">
        <f t="shared" si="34"/>
        <v>201.62</v>
      </c>
      <c r="T153">
        <f t="shared" si="34"/>
        <v>201.62</v>
      </c>
      <c r="U153">
        <f t="shared" si="34"/>
        <v>201.62</v>
      </c>
      <c r="V153">
        <f t="shared" si="34"/>
        <v>201.62</v>
      </c>
      <c r="W153">
        <f t="shared" si="34"/>
        <v>201.62</v>
      </c>
      <c r="X153">
        <v>20</v>
      </c>
      <c r="Y153">
        <v>10</v>
      </c>
    </row>
    <row r="154" spans="1:25" x14ac:dyDescent="0.55000000000000004">
      <c r="A154" t="s">
        <v>500</v>
      </c>
      <c r="B154">
        <v>122</v>
      </c>
      <c r="C154">
        <v>360</v>
      </c>
      <c r="D154" t="s">
        <v>377</v>
      </c>
      <c r="E154">
        <v>0.142818</v>
      </c>
      <c r="F154">
        <v>3.0237E-2</v>
      </c>
      <c r="G154">
        <v>71</v>
      </c>
      <c r="H154">
        <v>616</v>
      </c>
      <c r="I154" t="s">
        <v>562</v>
      </c>
      <c r="J154">
        <f>VLOOKUP(I154,gen_cost!$A$1:$AY$31,21)</f>
        <v>0</v>
      </c>
      <c r="K154">
        <f>VLOOKUP(I154,gen_cost!$A$1:$AY$31,22)</f>
        <v>0</v>
      </c>
      <c r="L154">
        <f>VLOOKUP(I154,gen_cost!$A$1:$AY$31,16)</f>
        <v>0</v>
      </c>
      <c r="M154">
        <f t="shared" si="33"/>
        <v>0</v>
      </c>
      <c r="N154">
        <f t="shared" si="33"/>
        <v>0</v>
      </c>
      <c r="O154">
        <f t="shared" si="33"/>
        <v>0</v>
      </c>
      <c r="P154">
        <f t="shared" si="33"/>
        <v>0</v>
      </c>
      <c r="Q154">
        <f t="shared" si="33"/>
        <v>0</v>
      </c>
      <c r="R154">
        <f>VLOOKUP(I154,gen_cost!$A$1:$AY$31,14)</f>
        <v>201.62</v>
      </c>
      <c r="S154">
        <f t="shared" si="34"/>
        <v>201.62</v>
      </c>
      <c r="T154">
        <f t="shared" si="34"/>
        <v>201.62</v>
      </c>
      <c r="U154">
        <f t="shared" si="34"/>
        <v>201.62</v>
      </c>
      <c r="V154">
        <f t="shared" si="34"/>
        <v>201.62</v>
      </c>
      <c r="W154">
        <f t="shared" si="34"/>
        <v>201.62</v>
      </c>
      <c r="X154">
        <v>20</v>
      </c>
      <c r="Y154">
        <v>10</v>
      </c>
    </row>
    <row r="155" spans="1:25" x14ac:dyDescent="0.55000000000000004">
      <c r="A155" t="s">
        <v>420</v>
      </c>
      <c r="B155">
        <v>43</v>
      </c>
      <c r="C155">
        <v>230</v>
      </c>
      <c r="D155" t="s">
        <v>377</v>
      </c>
      <c r="E155">
        <v>0.14158999999999999</v>
      </c>
      <c r="F155">
        <v>2.9232000000000001E-2</v>
      </c>
      <c r="G155">
        <v>72</v>
      </c>
      <c r="H155">
        <v>672</v>
      </c>
      <c r="I155" t="s">
        <v>562</v>
      </c>
      <c r="J155">
        <f>VLOOKUP(I155,gen_cost!$A$1:$AY$31,21)</f>
        <v>0</v>
      </c>
      <c r="K155">
        <f>VLOOKUP(I155,gen_cost!$A$1:$AY$31,22)</f>
        <v>0</v>
      </c>
      <c r="L155">
        <f>VLOOKUP(I155,gen_cost!$A$1:$AY$31,16)</f>
        <v>0</v>
      </c>
      <c r="M155">
        <f t="shared" si="33"/>
        <v>0</v>
      </c>
      <c r="N155">
        <f t="shared" si="33"/>
        <v>0</v>
      </c>
      <c r="O155">
        <f t="shared" si="33"/>
        <v>0</v>
      </c>
      <c r="P155">
        <f t="shared" si="33"/>
        <v>0</v>
      </c>
      <c r="Q155">
        <f t="shared" si="33"/>
        <v>0</v>
      </c>
      <c r="R155">
        <f>VLOOKUP(I155,gen_cost!$A$1:$AY$31,14)</f>
        <v>201.62</v>
      </c>
      <c r="S155">
        <f t="shared" si="34"/>
        <v>201.62</v>
      </c>
      <c r="T155">
        <f t="shared" si="34"/>
        <v>201.62</v>
      </c>
      <c r="U155">
        <f t="shared" si="34"/>
        <v>201.62</v>
      </c>
      <c r="V155">
        <f t="shared" si="34"/>
        <v>201.62</v>
      </c>
      <c r="W155">
        <f t="shared" si="34"/>
        <v>201.62</v>
      </c>
      <c r="X155">
        <v>20</v>
      </c>
      <c r="Y155">
        <v>10</v>
      </c>
    </row>
    <row r="156" spans="1:25" x14ac:dyDescent="0.55000000000000004">
      <c r="A156" t="s">
        <v>491</v>
      </c>
      <c r="B156">
        <v>113</v>
      </c>
      <c r="C156">
        <v>230</v>
      </c>
      <c r="D156" t="s">
        <v>377</v>
      </c>
      <c r="E156">
        <v>0.142732</v>
      </c>
      <c r="F156">
        <v>2.8333000000000001E-2</v>
      </c>
      <c r="G156">
        <v>73</v>
      </c>
      <c r="H156">
        <v>673</v>
      </c>
      <c r="I156" t="s">
        <v>562</v>
      </c>
      <c r="J156">
        <f>VLOOKUP(I156,gen_cost!$A$1:$AY$31,21)</f>
        <v>0</v>
      </c>
      <c r="K156">
        <f>VLOOKUP(I156,gen_cost!$A$1:$AY$31,22)</f>
        <v>0</v>
      </c>
      <c r="L156">
        <f>VLOOKUP(I156,gen_cost!$A$1:$AY$31,16)</f>
        <v>0</v>
      </c>
      <c r="M156">
        <f t="shared" si="33"/>
        <v>0</v>
      </c>
      <c r="N156">
        <f t="shared" si="33"/>
        <v>0</v>
      </c>
      <c r="O156">
        <f t="shared" si="33"/>
        <v>0</v>
      </c>
      <c r="P156">
        <f t="shared" si="33"/>
        <v>0</v>
      </c>
      <c r="Q156">
        <f t="shared" si="33"/>
        <v>0</v>
      </c>
      <c r="R156">
        <f>VLOOKUP(I156,gen_cost!$A$1:$AY$31,14)</f>
        <v>201.62</v>
      </c>
      <c r="S156">
        <f t="shared" si="34"/>
        <v>201.62</v>
      </c>
      <c r="T156">
        <f t="shared" si="34"/>
        <v>201.62</v>
      </c>
      <c r="U156">
        <f t="shared" si="34"/>
        <v>201.62</v>
      </c>
      <c r="V156">
        <f t="shared" si="34"/>
        <v>201.62</v>
      </c>
      <c r="W156">
        <f t="shared" si="34"/>
        <v>201.62</v>
      </c>
      <c r="X156">
        <v>20</v>
      </c>
      <c r="Y156">
        <v>10</v>
      </c>
    </row>
    <row r="157" spans="1:25" x14ac:dyDescent="0.55000000000000004">
      <c r="A157" t="s">
        <v>492</v>
      </c>
      <c r="B157">
        <v>114</v>
      </c>
      <c r="C157">
        <v>230</v>
      </c>
      <c r="D157" t="s">
        <v>377</v>
      </c>
      <c r="E157">
        <v>0.14274999999999999</v>
      </c>
      <c r="F157">
        <v>2.8319E-2</v>
      </c>
      <c r="G157">
        <v>74</v>
      </c>
      <c r="H157">
        <v>868</v>
      </c>
      <c r="I157" t="s">
        <v>562</v>
      </c>
      <c r="J157">
        <f>VLOOKUP(I157,gen_cost!$A$1:$AY$31,21)</f>
        <v>0</v>
      </c>
      <c r="K157">
        <f>VLOOKUP(I157,gen_cost!$A$1:$AY$31,22)</f>
        <v>0</v>
      </c>
      <c r="L157">
        <f>VLOOKUP(I157,gen_cost!$A$1:$AY$31,16)</f>
        <v>0</v>
      </c>
      <c r="M157">
        <f t="shared" si="33"/>
        <v>0</v>
      </c>
      <c r="N157">
        <f t="shared" si="33"/>
        <v>0</v>
      </c>
      <c r="O157">
        <f t="shared" si="33"/>
        <v>0</v>
      </c>
      <c r="P157">
        <f t="shared" si="33"/>
        <v>0</v>
      </c>
      <c r="Q157">
        <f t="shared" si="33"/>
        <v>0</v>
      </c>
      <c r="R157">
        <f>VLOOKUP(I157,gen_cost!$A$1:$AY$31,14)</f>
        <v>201.62</v>
      </c>
      <c r="S157">
        <f t="shared" si="34"/>
        <v>201.62</v>
      </c>
      <c r="T157">
        <f t="shared" si="34"/>
        <v>201.62</v>
      </c>
      <c r="U157">
        <f t="shared" si="34"/>
        <v>201.62</v>
      </c>
      <c r="V157">
        <f t="shared" si="34"/>
        <v>201.62</v>
      </c>
      <c r="W157">
        <f t="shared" si="34"/>
        <v>201.62</v>
      </c>
      <c r="X157">
        <v>20</v>
      </c>
      <c r="Y157">
        <v>10</v>
      </c>
    </row>
    <row r="158" spans="1:25" x14ac:dyDescent="0.55000000000000004">
      <c r="A158" t="s">
        <v>443</v>
      </c>
      <c r="B158">
        <v>66</v>
      </c>
      <c r="C158">
        <v>230</v>
      </c>
      <c r="D158" t="s">
        <v>377</v>
      </c>
      <c r="E158">
        <v>0.16361899999999999</v>
      </c>
      <c r="F158">
        <v>2.7892E-2</v>
      </c>
      <c r="G158">
        <v>75</v>
      </c>
      <c r="H158">
        <v>869</v>
      </c>
      <c r="I158" t="s">
        <v>562</v>
      </c>
      <c r="J158">
        <f>VLOOKUP(I158,gen_cost!$A$1:$AY$31,21)</f>
        <v>0</v>
      </c>
      <c r="K158">
        <f>VLOOKUP(I158,gen_cost!$A$1:$AY$31,22)</f>
        <v>0</v>
      </c>
      <c r="L158">
        <f>VLOOKUP(I158,gen_cost!$A$1:$AY$31,16)</f>
        <v>0</v>
      </c>
      <c r="M158">
        <f t="shared" si="33"/>
        <v>0</v>
      </c>
      <c r="N158">
        <f t="shared" si="33"/>
        <v>0</v>
      </c>
      <c r="O158">
        <f t="shared" si="33"/>
        <v>0</v>
      </c>
      <c r="P158">
        <f t="shared" si="33"/>
        <v>0</v>
      </c>
      <c r="Q158">
        <f t="shared" si="33"/>
        <v>0</v>
      </c>
      <c r="R158">
        <f>VLOOKUP(I158,gen_cost!$A$1:$AY$31,14)</f>
        <v>201.62</v>
      </c>
      <c r="S158">
        <f t="shared" si="34"/>
        <v>201.62</v>
      </c>
      <c r="T158">
        <f t="shared" si="34"/>
        <v>201.62</v>
      </c>
      <c r="U158">
        <f t="shared" si="34"/>
        <v>201.62</v>
      </c>
      <c r="V158">
        <f t="shared" si="34"/>
        <v>201.62</v>
      </c>
      <c r="W158">
        <f t="shared" si="34"/>
        <v>201.62</v>
      </c>
      <c r="X158">
        <v>20</v>
      </c>
      <c r="Y158">
        <v>10</v>
      </c>
    </row>
    <row r="159" spans="1:25" x14ac:dyDescent="0.55000000000000004">
      <c r="A159" t="s">
        <v>440</v>
      </c>
      <c r="B159">
        <v>63</v>
      </c>
      <c r="C159">
        <v>230</v>
      </c>
      <c r="D159" t="s">
        <v>377</v>
      </c>
      <c r="E159">
        <v>0.14865</v>
      </c>
      <c r="F159">
        <v>2.6986E-2</v>
      </c>
      <c r="G159">
        <v>77</v>
      </c>
      <c r="H159">
        <v>524</v>
      </c>
      <c r="I159" t="s">
        <v>562</v>
      </c>
      <c r="J159">
        <f>VLOOKUP(I159,gen_cost!$A$1:$AY$31,21)</f>
        <v>0</v>
      </c>
      <c r="K159">
        <f>VLOOKUP(I159,gen_cost!$A$1:$AY$31,22)</f>
        <v>0</v>
      </c>
      <c r="L159">
        <f>VLOOKUP(I159,gen_cost!$A$1:$AY$31,16)</f>
        <v>0</v>
      </c>
      <c r="M159">
        <f t="shared" si="33"/>
        <v>0</v>
      </c>
      <c r="N159">
        <f t="shared" si="33"/>
        <v>0</v>
      </c>
      <c r="O159">
        <f t="shared" si="33"/>
        <v>0</v>
      </c>
      <c r="P159">
        <f t="shared" si="33"/>
        <v>0</v>
      </c>
      <c r="Q159">
        <f t="shared" si="33"/>
        <v>0</v>
      </c>
      <c r="R159">
        <f>VLOOKUP(I159,gen_cost!$A$1:$AY$31,14)</f>
        <v>201.62</v>
      </c>
      <c r="S159">
        <f t="shared" si="34"/>
        <v>201.62</v>
      </c>
      <c r="T159">
        <f t="shared" si="34"/>
        <v>201.62</v>
      </c>
      <c r="U159">
        <f t="shared" si="34"/>
        <v>201.62</v>
      </c>
      <c r="V159">
        <f t="shared" si="34"/>
        <v>201.62</v>
      </c>
      <c r="W159">
        <f t="shared" si="34"/>
        <v>201.62</v>
      </c>
      <c r="X159">
        <v>20</v>
      </c>
      <c r="Y159">
        <v>10</v>
      </c>
    </row>
    <row r="160" spans="1:25" x14ac:dyDescent="0.55000000000000004">
      <c r="A160" t="s">
        <v>499</v>
      </c>
      <c r="B160">
        <v>121</v>
      </c>
      <c r="C160">
        <v>230</v>
      </c>
      <c r="D160" t="s">
        <v>377</v>
      </c>
      <c r="E160">
        <v>0.145648</v>
      </c>
      <c r="F160">
        <v>2.6922999999999999E-2</v>
      </c>
      <c r="G160">
        <v>78</v>
      </c>
      <c r="H160">
        <v>587</v>
      </c>
      <c r="I160" t="s">
        <v>562</v>
      </c>
      <c r="J160">
        <f>VLOOKUP(I160,gen_cost!$A$1:$AY$31,21)</f>
        <v>0</v>
      </c>
      <c r="K160">
        <f>VLOOKUP(I160,gen_cost!$A$1:$AY$31,22)</f>
        <v>0</v>
      </c>
      <c r="L160">
        <f>VLOOKUP(I160,gen_cost!$A$1:$AY$31,16)</f>
        <v>0</v>
      </c>
      <c r="M160">
        <f t="shared" si="33"/>
        <v>0</v>
      </c>
      <c r="N160">
        <f t="shared" si="33"/>
        <v>0</v>
      </c>
      <c r="O160">
        <f t="shared" si="33"/>
        <v>0</v>
      </c>
      <c r="P160">
        <f t="shared" si="33"/>
        <v>0</v>
      </c>
      <c r="Q160">
        <f t="shared" si="33"/>
        <v>0</v>
      </c>
      <c r="R160">
        <f>VLOOKUP(I160,gen_cost!$A$1:$AY$31,14)</f>
        <v>201.62</v>
      </c>
      <c r="S160">
        <f t="shared" si="34"/>
        <v>201.62</v>
      </c>
      <c r="T160">
        <f t="shared" si="34"/>
        <v>201.62</v>
      </c>
      <c r="U160">
        <f t="shared" si="34"/>
        <v>201.62</v>
      </c>
      <c r="V160">
        <f t="shared" si="34"/>
        <v>201.62</v>
      </c>
      <c r="W160">
        <f t="shared" si="34"/>
        <v>201.62</v>
      </c>
      <c r="X160">
        <v>20</v>
      </c>
      <c r="Y160">
        <v>10</v>
      </c>
    </row>
    <row r="161" spans="1:25" x14ac:dyDescent="0.55000000000000004">
      <c r="A161" t="s">
        <v>498</v>
      </c>
      <c r="B161">
        <v>120</v>
      </c>
      <c r="C161">
        <v>230</v>
      </c>
      <c r="D161" t="s">
        <v>377</v>
      </c>
      <c r="E161">
        <v>0.14565700000000001</v>
      </c>
      <c r="F161">
        <v>2.6917E-2</v>
      </c>
      <c r="G161">
        <v>79</v>
      </c>
      <c r="H161">
        <v>684</v>
      </c>
      <c r="I161" t="s">
        <v>562</v>
      </c>
      <c r="J161">
        <f>VLOOKUP(I161,gen_cost!$A$1:$AY$31,21)</f>
        <v>0</v>
      </c>
      <c r="K161">
        <f>VLOOKUP(I161,gen_cost!$A$1:$AY$31,22)</f>
        <v>0</v>
      </c>
      <c r="L161">
        <f>VLOOKUP(I161,gen_cost!$A$1:$AY$31,16)</f>
        <v>0</v>
      </c>
      <c r="M161">
        <f t="shared" si="33"/>
        <v>0</v>
      </c>
      <c r="N161">
        <f t="shared" si="33"/>
        <v>0</v>
      </c>
      <c r="O161">
        <f t="shared" si="33"/>
        <v>0</v>
      </c>
      <c r="P161">
        <f t="shared" si="33"/>
        <v>0</v>
      </c>
      <c r="Q161">
        <f t="shared" si="33"/>
        <v>0</v>
      </c>
      <c r="R161">
        <f>VLOOKUP(I161,gen_cost!$A$1:$AY$31,14)</f>
        <v>201.62</v>
      </c>
      <c r="S161">
        <f t="shared" si="34"/>
        <v>201.62</v>
      </c>
      <c r="T161">
        <f t="shared" si="34"/>
        <v>201.62</v>
      </c>
      <c r="U161">
        <f t="shared" si="34"/>
        <v>201.62</v>
      </c>
      <c r="V161">
        <f t="shared" si="34"/>
        <v>201.62</v>
      </c>
      <c r="W161">
        <f t="shared" si="34"/>
        <v>201.62</v>
      </c>
      <c r="X161">
        <v>20</v>
      </c>
      <c r="Y161">
        <v>10</v>
      </c>
    </row>
    <row r="162" spans="1:25" x14ac:dyDescent="0.55000000000000004">
      <c r="A162" t="s">
        <v>525</v>
      </c>
      <c r="B162">
        <v>147</v>
      </c>
      <c r="C162">
        <v>230</v>
      </c>
      <c r="D162" t="s">
        <v>377</v>
      </c>
      <c r="E162">
        <v>0.14579800000000001</v>
      </c>
      <c r="F162">
        <v>2.6883000000000001E-2</v>
      </c>
      <c r="G162">
        <v>80</v>
      </c>
      <c r="H162">
        <v>688</v>
      </c>
      <c r="I162" t="s">
        <v>562</v>
      </c>
      <c r="J162">
        <f>VLOOKUP(I162,gen_cost!$A$1:$AY$31,21)</f>
        <v>0</v>
      </c>
      <c r="K162">
        <f>VLOOKUP(I162,gen_cost!$A$1:$AY$31,22)</f>
        <v>0</v>
      </c>
      <c r="L162">
        <f>VLOOKUP(I162,gen_cost!$A$1:$AY$31,16)</f>
        <v>0</v>
      </c>
      <c r="M162">
        <f t="shared" ref="M162:Q167" si="35">+L162</f>
        <v>0</v>
      </c>
      <c r="N162">
        <f t="shared" si="35"/>
        <v>0</v>
      </c>
      <c r="O162">
        <f t="shared" si="35"/>
        <v>0</v>
      </c>
      <c r="P162">
        <f t="shared" si="35"/>
        <v>0</v>
      </c>
      <c r="Q162">
        <f t="shared" si="35"/>
        <v>0</v>
      </c>
      <c r="R162">
        <f>VLOOKUP(I162,gen_cost!$A$1:$AY$31,14)</f>
        <v>201.62</v>
      </c>
      <c r="S162">
        <f t="shared" ref="S162:W167" si="36">+R162</f>
        <v>201.62</v>
      </c>
      <c r="T162">
        <f t="shared" si="36"/>
        <v>201.62</v>
      </c>
      <c r="U162">
        <f t="shared" si="36"/>
        <v>201.62</v>
      </c>
      <c r="V162">
        <f t="shared" si="36"/>
        <v>201.62</v>
      </c>
      <c r="W162">
        <f t="shared" si="36"/>
        <v>201.62</v>
      </c>
      <c r="X162">
        <v>20</v>
      </c>
      <c r="Y162">
        <v>10</v>
      </c>
    </row>
    <row r="163" spans="1:25" x14ac:dyDescent="0.55000000000000004">
      <c r="A163" t="s">
        <v>484</v>
      </c>
      <c r="B163">
        <v>106</v>
      </c>
      <c r="C163">
        <v>230</v>
      </c>
      <c r="D163" t="s">
        <v>377</v>
      </c>
      <c r="E163">
        <v>0.14671200000000001</v>
      </c>
      <c r="F163">
        <v>2.6800000000000001E-2</v>
      </c>
      <c r="G163">
        <v>81</v>
      </c>
      <c r="H163">
        <v>514</v>
      </c>
      <c r="I163" t="s">
        <v>562</v>
      </c>
      <c r="J163">
        <f>VLOOKUP(I163,gen_cost!$A$1:$AY$31,21)</f>
        <v>0</v>
      </c>
      <c r="K163">
        <f>VLOOKUP(I163,gen_cost!$A$1:$AY$31,22)</f>
        <v>0</v>
      </c>
      <c r="L163">
        <f>VLOOKUP(I163,gen_cost!$A$1:$AY$31,16)</f>
        <v>0</v>
      </c>
      <c r="M163">
        <f t="shared" si="35"/>
        <v>0</v>
      </c>
      <c r="N163">
        <f t="shared" si="35"/>
        <v>0</v>
      </c>
      <c r="O163">
        <f t="shared" si="35"/>
        <v>0</v>
      </c>
      <c r="P163">
        <f t="shared" si="35"/>
        <v>0</v>
      </c>
      <c r="Q163">
        <f t="shared" si="35"/>
        <v>0</v>
      </c>
      <c r="R163">
        <f>VLOOKUP(I163,gen_cost!$A$1:$AY$31,14)</f>
        <v>201.62</v>
      </c>
      <c r="S163">
        <f t="shared" si="36"/>
        <v>201.62</v>
      </c>
      <c r="T163">
        <f t="shared" si="36"/>
        <v>201.62</v>
      </c>
      <c r="U163">
        <f t="shared" si="36"/>
        <v>201.62</v>
      </c>
      <c r="V163">
        <f t="shared" si="36"/>
        <v>201.62</v>
      </c>
      <c r="W163">
        <f t="shared" si="36"/>
        <v>201.62</v>
      </c>
      <c r="X163">
        <v>20</v>
      </c>
      <c r="Y163">
        <v>10</v>
      </c>
    </row>
    <row r="164" spans="1:25" x14ac:dyDescent="0.55000000000000004">
      <c r="A164" t="s">
        <v>483</v>
      </c>
      <c r="B164">
        <v>105</v>
      </c>
      <c r="C164">
        <v>230</v>
      </c>
      <c r="D164" t="s">
        <v>377</v>
      </c>
      <c r="E164">
        <v>0.146705</v>
      </c>
      <c r="F164">
        <v>2.6793000000000001E-2</v>
      </c>
      <c r="G164">
        <v>82</v>
      </c>
      <c r="H164">
        <v>933</v>
      </c>
      <c r="I164" t="s">
        <v>562</v>
      </c>
      <c r="J164">
        <f>VLOOKUP(I164,gen_cost!$A$1:$AY$31,21)</f>
        <v>0</v>
      </c>
      <c r="K164">
        <f>VLOOKUP(I164,gen_cost!$A$1:$AY$31,22)</f>
        <v>0</v>
      </c>
      <c r="L164">
        <f>VLOOKUP(I164,gen_cost!$A$1:$AY$31,16)</f>
        <v>0</v>
      </c>
      <c r="M164">
        <f t="shared" si="35"/>
        <v>0</v>
      </c>
      <c r="N164">
        <f t="shared" si="35"/>
        <v>0</v>
      </c>
      <c r="O164">
        <f t="shared" si="35"/>
        <v>0</v>
      </c>
      <c r="P164">
        <f t="shared" si="35"/>
        <v>0</v>
      </c>
      <c r="Q164">
        <f t="shared" si="35"/>
        <v>0</v>
      </c>
      <c r="R164">
        <f>VLOOKUP(I164,gen_cost!$A$1:$AY$31,14)</f>
        <v>201.62</v>
      </c>
      <c r="S164">
        <f t="shared" si="36"/>
        <v>201.62</v>
      </c>
      <c r="T164">
        <f t="shared" si="36"/>
        <v>201.62</v>
      </c>
      <c r="U164">
        <f t="shared" si="36"/>
        <v>201.62</v>
      </c>
      <c r="V164">
        <f t="shared" si="36"/>
        <v>201.62</v>
      </c>
      <c r="W164">
        <f t="shared" si="36"/>
        <v>201.62</v>
      </c>
      <c r="X164">
        <v>20</v>
      </c>
      <c r="Y164">
        <v>10</v>
      </c>
    </row>
    <row r="165" spans="1:25" x14ac:dyDescent="0.55000000000000004">
      <c r="A165" t="s">
        <v>457</v>
      </c>
      <c r="B165">
        <v>80</v>
      </c>
      <c r="C165">
        <v>500</v>
      </c>
      <c r="D165" t="s">
        <v>377</v>
      </c>
      <c r="E165">
        <v>0.15238499999999999</v>
      </c>
      <c r="F165">
        <v>2.4043999999999999E-2</v>
      </c>
      <c r="G165">
        <v>88</v>
      </c>
      <c r="H165">
        <v>604</v>
      </c>
      <c r="I165" t="s">
        <v>562</v>
      </c>
      <c r="J165">
        <f>VLOOKUP(I165,gen_cost!$A$1:$AY$31,21)</f>
        <v>0</v>
      </c>
      <c r="K165">
        <f>VLOOKUP(I165,gen_cost!$A$1:$AY$31,22)</f>
        <v>0</v>
      </c>
      <c r="L165">
        <f>VLOOKUP(I165,gen_cost!$A$1:$AY$31,16)</f>
        <v>0</v>
      </c>
      <c r="M165">
        <f t="shared" si="35"/>
        <v>0</v>
      </c>
      <c r="N165">
        <f t="shared" si="35"/>
        <v>0</v>
      </c>
      <c r="O165">
        <f t="shared" si="35"/>
        <v>0</v>
      </c>
      <c r="P165">
        <f t="shared" si="35"/>
        <v>0</v>
      </c>
      <c r="Q165">
        <f t="shared" si="35"/>
        <v>0</v>
      </c>
      <c r="R165">
        <f>VLOOKUP(I165,gen_cost!$A$1:$AY$31,14)</f>
        <v>201.62</v>
      </c>
      <c r="S165">
        <f t="shared" si="36"/>
        <v>201.62</v>
      </c>
      <c r="T165">
        <f t="shared" si="36"/>
        <v>201.62</v>
      </c>
      <c r="U165">
        <f t="shared" si="36"/>
        <v>201.62</v>
      </c>
      <c r="V165">
        <f t="shared" si="36"/>
        <v>201.62</v>
      </c>
      <c r="W165">
        <f t="shared" si="36"/>
        <v>201.62</v>
      </c>
      <c r="X165">
        <v>20</v>
      </c>
      <c r="Y165">
        <v>10</v>
      </c>
    </row>
    <row r="166" spans="1:25" x14ac:dyDescent="0.55000000000000004">
      <c r="A166" t="s">
        <v>494</v>
      </c>
      <c r="B166">
        <v>116</v>
      </c>
      <c r="C166">
        <v>230</v>
      </c>
      <c r="D166" t="s">
        <v>377</v>
      </c>
      <c r="E166">
        <v>0.154277</v>
      </c>
      <c r="F166">
        <v>2.0974E-2</v>
      </c>
      <c r="G166">
        <v>89</v>
      </c>
      <c r="H166">
        <v>814</v>
      </c>
      <c r="I166" t="s">
        <v>562</v>
      </c>
      <c r="J166">
        <f>VLOOKUP(I166,gen_cost!$A$1:$AY$31,21)</f>
        <v>0</v>
      </c>
      <c r="K166">
        <f>VLOOKUP(I166,gen_cost!$A$1:$AY$31,22)</f>
        <v>0</v>
      </c>
      <c r="L166">
        <f>VLOOKUP(I166,gen_cost!$A$1:$AY$31,16)</f>
        <v>0</v>
      </c>
      <c r="M166">
        <f t="shared" si="35"/>
        <v>0</v>
      </c>
      <c r="N166">
        <f t="shared" si="35"/>
        <v>0</v>
      </c>
      <c r="O166">
        <f t="shared" si="35"/>
        <v>0</v>
      </c>
      <c r="P166">
        <f t="shared" si="35"/>
        <v>0</v>
      </c>
      <c r="Q166">
        <f t="shared" si="35"/>
        <v>0</v>
      </c>
      <c r="R166">
        <f>VLOOKUP(I166,gen_cost!$A$1:$AY$31,14)</f>
        <v>201.62</v>
      </c>
      <c r="S166">
        <f t="shared" si="36"/>
        <v>201.62</v>
      </c>
      <c r="T166">
        <f t="shared" si="36"/>
        <v>201.62</v>
      </c>
      <c r="U166">
        <f t="shared" si="36"/>
        <v>201.62</v>
      </c>
      <c r="V166">
        <f t="shared" si="36"/>
        <v>201.62</v>
      </c>
      <c r="W166">
        <f t="shared" si="36"/>
        <v>201.62</v>
      </c>
      <c r="X166">
        <v>20</v>
      </c>
      <c r="Y166">
        <v>10</v>
      </c>
    </row>
    <row r="167" spans="1:25" x14ac:dyDescent="0.55000000000000004">
      <c r="A167" t="s">
        <v>435</v>
      </c>
      <c r="B167">
        <v>58</v>
      </c>
      <c r="C167">
        <v>230</v>
      </c>
      <c r="D167" t="s">
        <v>377</v>
      </c>
      <c r="E167">
        <v>0.15426699999999999</v>
      </c>
      <c r="F167">
        <v>2.0917000000000002E-2</v>
      </c>
      <c r="G167">
        <v>90</v>
      </c>
      <c r="H167">
        <v>556</v>
      </c>
      <c r="I167" t="s">
        <v>562</v>
      </c>
      <c r="J167">
        <f>VLOOKUP(I167,gen_cost!$A$1:$AY$31,21)</f>
        <v>0</v>
      </c>
      <c r="K167">
        <f>VLOOKUP(I167,gen_cost!$A$1:$AY$31,22)</f>
        <v>0</v>
      </c>
      <c r="L167">
        <f>VLOOKUP(I167,gen_cost!$A$1:$AY$31,16)</f>
        <v>0</v>
      </c>
      <c r="M167">
        <f t="shared" si="35"/>
        <v>0</v>
      </c>
      <c r="N167">
        <f t="shared" si="35"/>
        <v>0</v>
      </c>
      <c r="O167">
        <f t="shared" si="35"/>
        <v>0</v>
      </c>
      <c r="P167">
        <f t="shared" si="35"/>
        <v>0</v>
      </c>
      <c r="Q167">
        <f t="shared" si="35"/>
        <v>0</v>
      </c>
      <c r="R167">
        <f>VLOOKUP(I167,gen_cost!$A$1:$AY$31,14)</f>
        <v>201.62</v>
      </c>
      <c r="S167">
        <f t="shared" si="36"/>
        <v>201.62</v>
      </c>
      <c r="T167">
        <f t="shared" si="36"/>
        <v>201.62</v>
      </c>
      <c r="U167">
        <f t="shared" si="36"/>
        <v>201.62</v>
      </c>
      <c r="V167">
        <f t="shared" si="36"/>
        <v>201.62</v>
      </c>
      <c r="W167">
        <f t="shared" si="36"/>
        <v>201.62</v>
      </c>
      <c r="X167">
        <v>20</v>
      </c>
      <c r="Y167">
        <v>10</v>
      </c>
    </row>
  </sheetData>
  <autoFilter ref="A1:Y1" xr:uid="{9B6A976D-F179-4F10-87F2-DC7468625A48}">
    <sortState xmlns:xlrd2="http://schemas.microsoft.com/office/spreadsheetml/2017/richdata2" ref="A2:Y397">
      <sortCondition ref="D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2143-5A41-4DF7-AF25-4DED262BD3CF}">
  <dimension ref="A1:O253"/>
  <sheetViews>
    <sheetView workbookViewId="0">
      <selection activeCell="C1" sqref="C1:C1048576"/>
    </sheetView>
  </sheetViews>
  <sheetFormatPr defaultRowHeight="14.4" x14ac:dyDescent="0.55000000000000004"/>
  <cols>
    <col min="1" max="1" width="4.7890625" bestFit="1" customWidth="1"/>
    <col min="2" max="2" width="10.05078125" bestFit="1" customWidth="1"/>
    <col min="3" max="3" width="18.89453125" bestFit="1" customWidth="1"/>
    <col min="4" max="4" width="26.62890625" bestFit="1" customWidth="1"/>
    <col min="5" max="5" width="26" bestFit="1" customWidth="1"/>
    <col min="6" max="6" width="8.89453125" bestFit="1" customWidth="1"/>
    <col min="7" max="7" width="15.3125" bestFit="1" customWidth="1"/>
    <col min="8" max="8" width="11.1015625" bestFit="1" customWidth="1"/>
    <col min="9" max="9" width="12.578125" bestFit="1" customWidth="1"/>
    <col min="10" max="10" width="10.83984375" bestFit="1" customWidth="1"/>
    <col min="11" max="11" width="7.3125" bestFit="1" customWidth="1"/>
    <col min="12" max="12" width="5.05078125" bestFit="1" customWidth="1"/>
    <col min="13" max="13" width="6.7890625" bestFit="1" customWidth="1"/>
    <col min="14" max="14" width="13.3671875" bestFit="1" customWidth="1"/>
    <col min="15" max="15" width="10.05078125" bestFit="1" customWidth="1"/>
  </cols>
  <sheetData>
    <row r="1" spans="1:15" x14ac:dyDescent="0.55000000000000004">
      <c r="A1" t="s">
        <v>0</v>
      </c>
      <c r="B1" t="s">
        <v>363</v>
      </c>
      <c r="C1" t="s">
        <v>695</v>
      </c>
      <c r="D1" t="s">
        <v>696</v>
      </c>
      <c r="E1" t="s">
        <v>697</v>
      </c>
      <c r="F1" t="s">
        <v>362</v>
      </c>
      <c r="G1" t="s">
        <v>698</v>
      </c>
      <c r="H1" t="s">
        <v>699</v>
      </c>
      <c r="I1" t="s">
        <v>700</v>
      </c>
      <c r="J1" t="s">
        <v>701</v>
      </c>
      <c r="K1" t="s">
        <v>9</v>
      </c>
      <c r="L1" t="s">
        <v>10</v>
      </c>
      <c r="M1" t="s">
        <v>702</v>
      </c>
      <c r="N1" t="s">
        <v>11</v>
      </c>
      <c r="O1" t="s">
        <v>12</v>
      </c>
    </row>
    <row r="2" spans="1:15" x14ac:dyDescent="0.55000000000000004">
      <c r="A2">
        <v>1</v>
      </c>
      <c r="B2" t="s">
        <v>377</v>
      </c>
      <c r="C2">
        <v>1</v>
      </c>
      <c r="D2" t="s">
        <v>376</v>
      </c>
      <c r="E2" t="s">
        <v>403</v>
      </c>
      <c r="F2">
        <v>230</v>
      </c>
      <c r="G2">
        <v>161.71</v>
      </c>
      <c r="H2">
        <v>77.62</v>
      </c>
      <c r="I2">
        <v>397</v>
      </c>
      <c r="J2">
        <v>457</v>
      </c>
      <c r="K2">
        <f>VLOOKUP(D2,nodes!$A$1:$K$167,2)</f>
        <v>1</v>
      </c>
      <c r="L2">
        <f>VLOOKUP(E2,nodes!$A$1:$K$167,2)</f>
        <v>26</v>
      </c>
      <c r="M2">
        <f t="shared" ref="M2:M52" si="0">H2/(F2^2/100)</f>
        <v>0.1467296786389414</v>
      </c>
      <c r="N2" s="2">
        <f t="shared" ref="N2:N52" si="1">1/M2</f>
        <v>6.8152538005668637</v>
      </c>
      <c r="O2">
        <f t="shared" ref="O2:O52" si="2">J2/100</f>
        <v>4.57</v>
      </c>
    </row>
    <row r="3" spans="1:15" x14ac:dyDescent="0.55000000000000004">
      <c r="A3">
        <v>2</v>
      </c>
      <c r="B3" t="s">
        <v>377</v>
      </c>
      <c r="C3">
        <v>1</v>
      </c>
      <c r="D3" t="s">
        <v>378</v>
      </c>
      <c r="E3" t="s">
        <v>501</v>
      </c>
      <c r="F3">
        <v>230</v>
      </c>
      <c r="G3">
        <v>37.585999999999999</v>
      </c>
      <c r="H3">
        <v>18.04</v>
      </c>
      <c r="I3">
        <v>385</v>
      </c>
      <c r="J3">
        <v>461</v>
      </c>
      <c r="K3">
        <f>VLOOKUP(D3,nodes!$A$1:$K$167,2)</f>
        <v>2</v>
      </c>
      <c r="L3">
        <f>VLOOKUP(E3,nodes!$A$1:$K$167,2)</f>
        <v>123</v>
      </c>
      <c r="M3">
        <f t="shared" si="0"/>
        <v>3.4102079395085062E-2</v>
      </c>
      <c r="N3" s="2">
        <f t="shared" si="1"/>
        <v>29.323725055432377</v>
      </c>
      <c r="O3">
        <f t="shared" si="2"/>
        <v>4.6100000000000003</v>
      </c>
    </row>
    <row r="4" spans="1:15" x14ac:dyDescent="0.55000000000000004">
      <c r="A4">
        <v>3</v>
      </c>
      <c r="B4" t="s">
        <v>377</v>
      </c>
      <c r="C4">
        <v>1</v>
      </c>
      <c r="D4" t="s">
        <v>378</v>
      </c>
      <c r="E4" t="s">
        <v>534</v>
      </c>
      <c r="F4">
        <v>230</v>
      </c>
      <c r="G4">
        <v>49.908999999999999</v>
      </c>
      <c r="H4">
        <v>23.96</v>
      </c>
      <c r="I4">
        <v>383</v>
      </c>
      <c r="J4">
        <v>461</v>
      </c>
      <c r="K4">
        <f>VLOOKUP(D4,nodes!$A$1:$K$167,2)</f>
        <v>2</v>
      </c>
      <c r="L4">
        <f>VLOOKUP(E4,nodes!$A$1:$K$167,2)</f>
        <v>156</v>
      </c>
      <c r="M4">
        <f t="shared" si="0"/>
        <v>4.5293005671077503E-2</v>
      </c>
      <c r="N4" s="2">
        <f t="shared" si="1"/>
        <v>22.078464106844741</v>
      </c>
      <c r="O4">
        <f t="shared" si="2"/>
        <v>4.6100000000000003</v>
      </c>
    </row>
    <row r="5" spans="1:15" x14ac:dyDescent="0.55000000000000004">
      <c r="A5">
        <v>4</v>
      </c>
      <c r="B5" t="s">
        <v>377</v>
      </c>
      <c r="C5">
        <v>1</v>
      </c>
      <c r="D5" t="s">
        <v>378</v>
      </c>
      <c r="E5" t="s">
        <v>534</v>
      </c>
      <c r="F5">
        <v>230</v>
      </c>
      <c r="G5">
        <v>49.957000000000001</v>
      </c>
      <c r="H5">
        <v>23.98</v>
      </c>
      <c r="I5">
        <v>383</v>
      </c>
      <c r="J5">
        <v>460</v>
      </c>
      <c r="K5">
        <f>VLOOKUP(D5,nodes!$A$1:$K$167,2)</f>
        <v>2</v>
      </c>
      <c r="L5">
        <f>VLOOKUP(E5,nodes!$A$1:$K$167,2)</f>
        <v>156</v>
      </c>
      <c r="M5">
        <f t="shared" si="0"/>
        <v>4.5330812854442348E-2</v>
      </c>
      <c r="N5" s="2">
        <f t="shared" si="1"/>
        <v>22.060050041701416</v>
      </c>
      <c r="O5">
        <f t="shared" si="2"/>
        <v>4.5999999999999996</v>
      </c>
    </row>
    <row r="6" spans="1:15" x14ac:dyDescent="0.55000000000000004">
      <c r="A6">
        <v>5</v>
      </c>
      <c r="B6" t="s">
        <v>377</v>
      </c>
      <c r="C6">
        <v>1</v>
      </c>
      <c r="D6" t="s">
        <v>378</v>
      </c>
      <c r="E6" t="s">
        <v>479</v>
      </c>
      <c r="F6">
        <v>500</v>
      </c>
      <c r="G6">
        <v>117.739</v>
      </c>
      <c r="H6">
        <v>46.51</v>
      </c>
      <c r="I6">
        <v>2633</v>
      </c>
      <c r="J6">
        <v>3036</v>
      </c>
      <c r="K6">
        <f>VLOOKUP(D6,nodes!$A$1:$K$167,2)</f>
        <v>2</v>
      </c>
      <c r="L6">
        <f>VLOOKUP(E6,nodes!$A$1:$K$167,2)</f>
        <v>101</v>
      </c>
      <c r="M6">
        <f t="shared" si="0"/>
        <v>1.8603999999999999E-2</v>
      </c>
      <c r="N6" s="2">
        <f t="shared" si="1"/>
        <v>53.751881315846056</v>
      </c>
      <c r="O6">
        <f t="shared" si="2"/>
        <v>30.36</v>
      </c>
    </row>
    <row r="7" spans="1:15" x14ac:dyDescent="0.55000000000000004">
      <c r="A7">
        <v>6</v>
      </c>
      <c r="B7" t="s">
        <v>377</v>
      </c>
      <c r="C7">
        <v>1</v>
      </c>
      <c r="D7" t="s">
        <v>378</v>
      </c>
      <c r="E7" t="s">
        <v>479</v>
      </c>
      <c r="F7">
        <v>500</v>
      </c>
      <c r="G7">
        <v>117.776</v>
      </c>
      <c r="H7">
        <v>46.52</v>
      </c>
      <c r="I7">
        <v>2073</v>
      </c>
      <c r="J7">
        <v>2842</v>
      </c>
      <c r="K7">
        <f>VLOOKUP(D7,nodes!$A$1:$K$167,2)</f>
        <v>2</v>
      </c>
      <c r="L7">
        <f>VLOOKUP(E7,nodes!$A$1:$K$167,2)</f>
        <v>101</v>
      </c>
      <c r="M7">
        <f t="shared" si="0"/>
        <v>1.8608E-2</v>
      </c>
      <c r="N7" s="2">
        <f t="shared" si="1"/>
        <v>53.740326741186585</v>
      </c>
      <c r="O7">
        <f t="shared" si="2"/>
        <v>28.42</v>
      </c>
    </row>
    <row r="8" spans="1:15" x14ac:dyDescent="0.55000000000000004">
      <c r="A8">
        <v>7</v>
      </c>
      <c r="B8" t="s">
        <v>377</v>
      </c>
      <c r="C8">
        <v>1</v>
      </c>
      <c r="D8" t="s">
        <v>379</v>
      </c>
      <c r="E8" t="s">
        <v>400</v>
      </c>
      <c r="F8">
        <v>230</v>
      </c>
      <c r="G8">
        <v>15</v>
      </c>
      <c r="H8">
        <v>7.2</v>
      </c>
      <c r="I8">
        <v>384</v>
      </c>
      <c r="J8">
        <v>459</v>
      </c>
      <c r="K8">
        <f>VLOOKUP(D8,nodes!$A$1:$K$167,2)</f>
        <v>3</v>
      </c>
      <c r="L8">
        <f>VLOOKUP(E8,nodes!$A$1:$K$167,2)</f>
        <v>23</v>
      </c>
      <c r="M8">
        <f t="shared" si="0"/>
        <v>1.3610586011342156E-2</v>
      </c>
      <c r="N8" s="2">
        <f t="shared" si="1"/>
        <v>73.472222222222214</v>
      </c>
      <c r="O8">
        <f t="shared" si="2"/>
        <v>4.59</v>
      </c>
    </row>
    <row r="9" spans="1:15" x14ac:dyDescent="0.55000000000000004">
      <c r="A9">
        <v>8</v>
      </c>
      <c r="B9" t="s">
        <v>377</v>
      </c>
      <c r="C9">
        <v>1</v>
      </c>
      <c r="D9" t="s">
        <v>380</v>
      </c>
      <c r="E9" t="s">
        <v>496</v>
      </c>
      <c r="F9">
        <v>230</v>
      </c>
      <c r="G9">
        <v>19.132000000000001</v>
      </c>
      <c r="H9">
        <v>9.18</v>
      </c>
      <c r="I9">
        <v>610</v>
      </c>
      <c r="J9">
        <v>790</v>
      </c>
      <c r="K9">
        <f>VLOOKUP(D9,nodes!$A$1:$K$167,2)</f>
        <v>4</v>
      </c>
      <c r="L9">
        <f>VLOOKUP(E9,nodes!$A$1:$K$167,2)</f>
        <v>118</v>
      </c>
      <c r="M9">
        <f t="shared" si="0"/>
        <v>1.7353497164461246E-2</v>
      </c>
      <c r="N9" s="2">
        <f t="shared" si="1"/>
        <v>57.62527233115469</v>
      </c>
      <c r="O9">
        <f t="shared" si="2"/>
        <v>7.9</v>
      </c>
    </row>
    <row r="10" spans="1:15" x14ac:dyDescent="0.55000000000000004">
      <c r="A10">
        <v>9</v>
      </c>
      <c r="B10" t="s">
        <v>377</v>
      </c>
      <c r="C10">
        <v>1</v>
      </c>
      <c r="D10" t="s">
        <v>381</v>
      </c>
      <c r="E10" t="s">
        <v>516</v>
      </c>
      <c r="F10">
        <v>230</v>
      </c>
      <c r="G10">
        <v>12.432</v>
      </c>
      <c r="H10">
        <v>5.97</v>
      </c>
      <c r="I10">
        <v>296</v>
      </c>
      <c r="J10">
        <v>390</v>
      </c>
      <c r="K10">
        <f>VLOOKUP(D10,nodes!$A$1:$K$167,2)</f>
        <v>5</v>
      </c>
      <c r="L10">
        <f>VLOOKUP(E10,nodes!$A$1:$K$167,2)</f>
        <v>138</v>
      </c>
      <c r="M10">
        <f t="shared" si="0"/>
        <v>1.1285444234404536E-2</v>
      </c>
      <c r="N10" s="2">
        <f t="shared" si="1"/>
        <v>88.60971524288108</v>
      </c>
      <c r="O10">
        <f t="shared" si="2"/>
        <v>3.9</v>
      </c>
    </row>
    <row r="11" spans="1:15" x14ac:dyDescent="0.55000000000000004">
      <c r="A11">
        <v>10</v>
      </c>
      <c r="B11" t="s">
        <v>377</v>
      </c>
      <c r="C11">
        <v>1</v>
      </c>
      <c r="D11" t="s">
        <v>381</v>
      </c>
      <c r="E11" t="s">
        <v>416</v>
      </c>
      <c r="F11">
        <v>230</v>
      </c>
      <c r="G11">
        <v>67.239999999999995</v>
      </c>
      <c r="H11">
        <v>32.28</v>
      </c>
      <c r="I11">
        <v>565</v>
      </c>
      <c r="J11">
        <v>669</v>
      </c>
      <c r="K11">
        <f>VLOOKUP(D11,nodes!$A$1:$K$167,2)</f>
        <v>5</v>
      </c>
      <c r="L11">
        <f>VLOOKUP(E11,nodes!$A$1:$K$167,2)</f>
        <v>39</v>
      </c>
      <c r="M11">
        <f t="shared" si="0"/>
        <v>6.1020793950850666E-2</v>
      </c>
      <c r="N11" s="2">
        <f t="shared" si="1"/>
        <v>16.387856257744733</v>
      </c>
      <c r="O11">
        <f t="shared" si="2"/>
        <v>6.69</v>
      </c>
    </row>
    <row r="12" spans="1:15" x14ac:dyDescent="0.55000000000000004">
      <c r="A12">
        <v>11</v>
      </c>
      <c r="B12" t="s">
        <v>377</v>
      </c>
      <c r="C12">
        <v>1</v>
      </c>
      <c r="D12" t="s">
        <v>383</v>
      </c>
      <c r="E12" t="s">
        <v>382</v>
      </c>
      <c r="F12">
        <v>230</v>
      </c>
      <c r="G12">
        <v>2.819</v>
      </c>
      <c r="H12">
        <v>1.35</v>
      </c>
      <c r="I12">
        <v>288</v>
      </c>
      <c r="J12">
        <v>389</v>
      </c>
      <c r="K12">
        <f>VLOOKUP(D12,nodes!$A$1:$K$167,2)</f>
        <v>7</v>
      </c>
      <c r="L12">
        <f>VLOOKUP(E12,nodes!$A$1:$K$167,2)</f>
        <v>6</v>
      </c>
      <c r="M12">
        <f t="shared" si="0"/>
        <v>2.5519848771266541E-3</v>
      </c>
      <c r="N12" s="2">
        <f t="shared" si="1"/>
        <v>391.85185185185185</v>
      </c>
      <c r="O12">
        <f t="shared" si="2"/>
        <v>3.89</v>
      </c>
    </row>
    <row r="13" spans="1:15" x14ac:dyDescent="0.55000000000000004">
      <c r="A13">
        <v>12</v>
      </c>
      <c r="B13" t="s">
        <v>377</v>
      </c>
      <c r="C13">
        <v>1</v>
      </c>
      <c r="D13" t="s">
        <v>383</v>
      </c>
      <c r="E13" t="s">
        <v>407</v>
      </c>
      <c r="F13">
        <v>230</v>
      </c>
      <c r="G13">
        <v>19.8</v>
      </c>
      <c r="H13">
        <v>9.5</v>
      </c>
      <c r="I13">
        <v>288</v>
      </c>
      <c r="J13">
        <v>389</v>
      </c>
      <c r="K13">
        <f>VLOOKUP(D13,nodes!$A$1:$K$167,2)</f>
        <v>7</v>
      </c>
      <c r="L13">
        <f>VLOOKUP(E13,nodes!$A$1:$K$167,2)</f>
        <v>30</v>
      </c>
      <c r="M13">
        <f t="shared" si="0"/>
        <v>1.7958412098298678E-2</v>
      </c>
      <c r="N13" s="2">
        <f t="shared" si="1"/>
        <v>55.684210526315788</v>
      </c>
      <c r="O13">
        <f t="shared" si="2"/>
        <v>3.89</v>
      </c>
    </row>
    <row r="14" spans="1:15" x14ac:dyDescent="0.55000000000000004">
      <c r="A14">
        <v>13</v>
      </c>
      <c r="B14" t="s">
        <v>377</v>
      </c>
      <c r="C14">
        <v>1</v>
      </c>
      <c r="D14" t="s">
        <v>386</v>
      </c>
      <c r="E14" t="s">
        <v>385</v>
      </c>
      <c r="F14">
        <v>230</v>
      </c>
      <c r="G14">
        <v>0.5</v>
      </c>
      <c r="H14">
        <v>0.24</v>
      </c>
      <c r="I14">
        <v>375</v>
      </c>
      <c r="J14">
        <v>457</v>
      </c>
      <c r="K14">
        <f>VLOOKUP(D14,nodes!$A$1:$K$167,2)</f>
        <v>10</v>
      </c>
      <c r="L14">
        <f>VLOOKUP(E14,nodes!$A$1:$K$167,2)</f>
        <v>9</v>
      </c>
      <c r="M14">
        <f t="shared" si="0"/>
        <v>4.5368620037807179E-4</v>
      </c>
      <c r="N14" s="2">
        <f t="shared" si="1"/>
        <v>2204.166666666667</v>
      </c>
      <c r="O14">
        <f t="shared" si="2"/>
        <v>4.57</v>
      </c>
    </row>
    <row r="15" spans="1:15" x14ac:dyDescent="0.55000000000000004">
      <c r="A15">
        <v>14</v>
      </c>
      <c r="B15" t="s">
        <v>377</v>
      </c>
      <c r="C15">
        <v>1</v>
      </c>
      <c r="D15" t="s">
        <v>386</v>
      </c>
      <c r="E15" t="s">
        <v>531</v>
      </c>
      <c r="F15">
        <v>230</v>
      </c>
      <c r="G15">
        <v>49.7</v>
      </c>
      <c r="H15">
        <v>23.86</v>
      </c>
      <c r="I15">
        <v>376</v>
      </c>
      <c r="J15">
        <v>438</v>
      </c>
      <c r="K15">
        <f>VLOOKUP(D15,nodes!$A$1:$K$167,2)</f>
        <v>10</v>
      </c>
      <c r="L15">
        <f>VLOOKUP(E15,nodes!$A$1:$K$167,2)</f>
        <v>153</v>
      </c>
      <c r="M15">
        <f t="shared" si="0"/>
        <v>4.5103969754253306E-2</v>
      </c>
      <c r="N15" s="2">
        <f t="shared" si="1"/>
        <v>22.1709974853311</v>
      </c>
      <c r="O15">
        <f t="shared" si="2"/>
        <v>4.38</v>
      </c>
    </row>
    <row r="16" spans="1:15" x14ac:dyDescent="0.55000000000000004">
      <c r="A16">
        <v>15</v>
      </c>
      <c r="B16" t="s">
        <v>377</v>
      </c>
      <c r="C16">
        <v>1</v>
      </c>
      <c r="D16" t="s">
        <v>387</v>
      </c>
      <c r="E16" t="s">
        <v>532</v>
      </c>
      <c r="F16">
        <v>230</v>
      </c>
      <c r="G16">
        <v>7.5</v>
      </c>
      <c r="H16">
        <v>3.6</v>
      </c>
      <c r="I16">
        <v>402</v>
      </c>
      <c r="J16">
        <v>435</v>
      </c>
      <c r="K16">
        <f>VLOOKUP(D16,nodes!$A$1:$K$167,2)</f>
        <v>11</v>
      </c>
      <c r="L16">
        <f>VLOOKUP(E16,nodes!$A$1:$K$167,2)</f>
        <v>154</v>
      </c>
      <c r="M16">
        <f t="shared" si="0"/>
        <v>6.8052930056710778E-3</v>
      </c>
      <c r="N16" s="2">
        <f t="shared" si="1"/>
        <v>146.94444444444443</v>
      </c>
      <c r="O16">
        <f t="shared" si="2"/>
        <v>4.3499999999999996</v>
      </c>
    </row>
    <row r="17" spans="1:15" x14ac:dyDescent="0.55000000000000004">
      <c r="A17">
        <v>16</v>
      </c>
      <c r="B17" t="s">
        <v>377</v>
      </c>
      <c r="C17">
        <v>1</v>
      </c>
      <c r="D17" t="s">
        <v>390</v>
      </c>
      <c r="E17" t="s">
        <v>488</v>
      </c>
      <c r="F17">
        <v>230</v>
      </c>
      <c r="G17">
        <v>5.3479999999999999</v>
      </c>
      <c r="H17">
        <v>2.57</v>
      </c>
      <c r="I17">
        <v>376</v>
      </c>
      <c r="J17">
        <v>457</v>
      </c>
      <c r="K17">
        <f>VLOOKUP(D17,nodes!$A$1:$K$167,2)</f>
        <v>13</v>
      </c>
      <c r="L17">
        <f>VLOOKUP(E17,nodes!$A$1:$K$167,2)</f>
        <v>110</v>
      </c>
      <c r="M17">
        <f t="shared" si="0"/>
        <v>4.8582230623818523E-3</v>
      </c>
      <c r="N17" s="2">
        <f t="shared" si="1"/>
        <v>205.8365758754864</v>
      </c>
      <c r="O17">
        <f t="shared" si="2"/>
        <v>4.57</v>
      </c>
    </row>
    <row r="18" spans="1:15" x14ac:dyDescent="0.55000000000000004">
      <c r="A18">
        <v>17</v>
      </c>
      <c r="B18" t="s">
        <v>377</v>
      </c>
      <c r="C18">
        <v>1</v>
      </c>
      <c r="D18" t="s">
        <v>390</v>
      </c>
      <c r="E18" t="s">
        <v>543</v>
      </c>
      <c r="F18">
        <v>230</v>
      </c>
      <c r="G18">
        <v>95.323999999999998</v>
      </c>
      <c r="H18">
        <v>45.76</v>
      </c>
      <c r="I18">
        <v>293</v>
      </c>
      <c r="J18">
        <v>392</v>
      </c>
      <c r="K18">
        <f>VLOOKUP(D18,nodes!$A$1:$K$167,2)</f>
        <v>13</v>
      </c>
      <c r="L18">
        <f>VLOOKUP(E18,nodes!$A$1:$K$167,2)</f>
        <v>165</v>
      </c>
      <c r="M18">
        <f t="shared" si="0"/>
        <v>8.6502835538752362E-2</v>
      </c>
      <c r="N18" s="2">
        <f t="shared" si="1"/>
        <v>11.560314685314685</v>
      </c>
      <c r="O18">
        <f t="shared" si="2"/>
        <v>3.92</v>
      </c>
    </row>
    <row r="19" spans="1:15" x14ac:dyDescent="0.55000000000000004">
      <c r="A19">
        <v>18</v>
      </c>
      <c r="B19" t="s">
        <v>377</v>
      </c>
      <c r="C19">
        <v>1</v>
      </c>
      <c r="D19" t="s">
        <v>392</v>
      </c>
      <c r="E19" t="s">
        <v>399</v>
      </c>
      <c r="F19">
        <v>230</v>
      </c>
      <c r="G19">
        <v>12.39</v>
      </c>
      <c r="H19">
        <v>5.95</v>
      </c>
      <c r="I19">
        <v>379</v>
      </c>
      <c r="J19">
        <v>452</v>
      </c>
      <c r="K19">
        <f>VLOOKUP(D19,nodes!$A$1:$K$167,2)</f>
        <v>15</v>
      </c>
      <c r="L19">
        <f>VLOOKUP(E19,nodes!$A$1:$K$167,2)</f>
        <v>22</v>
      </c>
      <c r="M19">
        <f t="shared" si="0"/>
        <v>1.1247637051039698E-2</v>
      </c>
      <c r="N19" s="2">
        <f t="shared" si="1"/>
        <v>88.907563025210081</v>
      </c>
      <c r="O19">
        <f t="shared" si="2"/>
        <v>4.5199999999999996</v>
      </c>
    </row>
    <row r="20" spans="1:15" x14ac:dyDescent="0.55000000000000004">
      <c r="A20">
        <v>19</v>
      </c>
      <c r="B20" t="s">
        <v>377</v>
      </c>
      <c r="C20">
        <v>1</v>
      </c>
      <c r="D20" t="s">
        <v>392</v>
      </c>
      <c r="E20" t="s">
        <v>428</v>
      </c>
      <c r="F20">
        <v>230</v>
      </c>
      <c r="G20">
        <v>12.39</v>
      </c>
      <c r="H20">
        <v>5.95</v>
      </c>
      <c r="I20">
        <v>379</v>
      </c>
      <c r="J20">
        <v>452</v>
      </c>
      <c r="K20">
        <f>VLOOKUP(D20,nodes!$A$1:$K$167,2)</f>
        <v>15</v>
      </c>
      <c r="L20">
        <f>VLOOKUP(E20,nodes!$A$1:$K$167,2)</f>
        <v>51</v>
      </c>
      <c r="M20">
        <f t="shared" si="0"/>
        <v>1.1247637051039698E-2</v>
      </c>
      <c r="N20" s="2">
        <f t="shared" si="1"/>
        <v>88.907563025210081</v>
      </c>
      <c r="O20">
        <f t="shared" si="2"/>
        <v>4.5199999999999996</v>
      </c>
    </row>
    <row r="21" spans="1:15" x14ac:dyDescent="0.55000000000000004">
      <c r="A21">
        <v>20</v>
      </c>
      <c r="B21" t="s">
        <v>377</v>
      </c>
      <c r="C21">
        <v>1</v>
      </c>
      <c r="D21" t="s">
        <v>392</v>
      </c>
      <c r="E21" t="s">
        <v>430</v>
      </c>
      <c r="F21">
        <v>230</v>
      </c>
      <c r="G21">
        <v>16.97</v>
      </c>
      <c r="H21">
        <v>8.15</v>
      </c>
      <c r="I21">
        <v>390</v>
      </c>
      <c r="J21">
        <v>451</v>
      </c>
      <c r="K21">
        <f>VLOOKUP(D21,nodes!$A$1:$K$167,2)</f>
        <v>15</v>
      </c>
      <c r="L21">
        <f>VLOOKUP(E21,nodes!$A$1:$K$167,2)</f>
        <v>53</v>
      </c>
      <c r="M21">
        <f t="shared" si="0"/>
        <v>1.5406427221172024E-2</v>
      </c>
      <c r="N21" s="2">
        <f t="shared" si="1"/>
        <v>64.907975460122699</v>
      </c>
      <c r="O21">
        <f t="shared" si="2"/>
        <v>4.51</v>
      </c>
    </row>
    <row r="22" spans="1:15" x14ac:dyDescent="0.55000000000000004">
      <c r="A22">
        <v>21</v>
      </c>
      <c r="B22" t="s">
        <v>377</v>
      </c>
      <c r="C22">
        <v>1</v>
      </c>
      <c r="D22" t="s">
        <v>393</v>
      </c>
      <c r="E22" t="s">
        <v>417</v>
      </c>
      <c r="F22">
        <v>230</v>
      </c>
      <c r="G22">
        <v>9.2170000000000005</v>
      </c>
      <c r="H22">
        <v>4.42</v>
      </c>
      <c r="I22">
        <v>330</v>
      </c>
      <c r="J22">
        <v>409</v>
      </c>
      <c r="K22">
        <f>VLOOKUP(D22,nodes!$A$1:$K$167,2)</f>
        <v>16</v>
      </c>
      <c r="L22">
        <f>VLOOKUP(E22,nodes!$A$1:$K$167,2)</f>
        <v>40</v>
      </c>
      <c r="M22">
        <f t="shared" si="0"/>
        <v>8.3553875236294893E-3</v>
      </c>
      <c r="N22" s="2">
        <f t="shared" si="1"/>
        <v>119.68325791855204</v>
      </c>
      <c r="O22">
        <f t="shared" si="2"/>
        <v>4.09</v>
      </c>
    </row>
    <row r="23" spans="1:15" x14ac:dyDescent="0.55000000000000004">
      <c r="A23">
        <v>22</v>
      </c>
      <c r="B23" t="s">
        <v>377</v>
      </c>
      <c r="C23">
        <v>1</v>
      </c>
      <c r="D23" t="s">
        <v>394</v>
      </c>
      <c r="E23" t="s">
        <v>536</v>
      </c>
      <c r="F23">
        <v>287</v>
      </c>
      <c r="G23">
        <v>40.5</v>
      </c>
      <c r="H23">
        <v>18.71</v>
      </c>
      <c r="I23">
        <v>461</v>
      </c>
      <c r="J23">
        <v>461</v>
      </c>
      <c r="K23">
        <f>VLOOKUP(D23,nodes!$A$1:$K$167,2)</f>
        <v>17</v>
      </c>
      <c r="L23">
        <f>VLOOKUP(E23,nodes!$A$1:$K$167,2)</f>
        <v>158</v>
      </c>
      <c r="M23">
        <f t="shared" si="0"/>
        <v>2.2714856317303838E-2</v>
      </c>
      <c r="N23" s="2">
        <f t="shared" si="1"/>
        <v>44.024051309460184</v>
      </c>
      <c r="O23">
        <f t="shared" si="2"/>
        <v>4.6100000000000003</v>
      </c>
    </row>
    <row r="24" spans="1:15" x14ac:dyDescent="0.55000000000000004">
      <c r="A24">
        <v>23</v>
      </c>
      <c r="B24" t="s">
        <v>377</v>
      </c>
      <c r="C24">
        <v>1</v>
      </c>
      <c r="D24" t="s">
        <v>394</v>
      </c>
      <c r="E24" t="s">
        <v>522</v>
      </c>
      <c r="F24">
        <v>287</v>
      </c>
      <c r="G24">
        <v>95.757999999999996</v>
      </c>
      <c r="H24">
        <v>44.25</v>
      </c>
      <c r="I24">
        <v>777</v>
      </c>
      <c r="J24">
        <v>997</v>
      </c>
      <c r="K24">
        <f>VLOOKUP(D24,nodes!$A$1:$K$167,2)</f>
        <v>17</v>
      </c>
      <c r="L24">
        <f>VLOOKUP(E24,nodes!$A$1:$K$167,2)</f>
        <v>144</v>
      </c>
      <c r="M24">
        <f t="shared" si="0"/>
        <v>5.3721667132052106E-2</v>
      </c>
      <c r="N24" s="2">
        <f t="shared" si="1"/>
        <v>18.614463276836158</v>
      </c>
      <c r="O24">
        <f t="shared" si="2"/>
        <v>9.9700000000000006</v>
      </c>
    </row>
    <row r="25" spans="1:15" x14ac:dyDescent="0.55000000000000004">
      <c r="A25">
        <v>24</v>
      </c>
      <c r="B25" t="s">
        <v>377</v>
      </c>
      <c r="C25">
        <v>1</v>
      </c>
      <c r="D25" t="s">
        <v>395</v>
      </c>
      <c r="E25" t="s">
        <v>397</v>
      </c>
      <c r="F25">
        <v>360</v>
      </c>
      <c r="G25">
        <v>0.47</v>
      </c>
      <c r="H25">
        <v>0.21</v>
      </c>
      <c r="I25">
        <v>1132</v>
      </c>
      <c r="J25">
        <v>1302</v>
      </c>
      <c r="K25">
        <f>VLOOKUP(D25,nodes!$A$1:$K$167,2)</f>
        <v>18</v>
      </c>
      <c r="L25">
        <f>VLOOKUP(E25,nodes!$A$1:$K$167,2)</f>
        <v>20</v>
      </c>
      <c r="M25">
        <f t="shared" si="0"/>
        <v>1.6203703703703703E-4</v>
      </c>
      <c r="N25" s="2">
        <f t="shared" si="1"/>
        <v>6171.4285714285716</v>
      </c>
      <c r="O25">
        <f t="shared" si="2"/>
        <v>13.02</v>
      </c>
    </row>
    <row r="26" spans="1:15" x14ac:dyDescent="0.55000000000000004">
      <c r="A26">
        <v>25</v>
      </c>
      <c r="B26" t="s">
        <v>377</v>
      </c>
      <c r="C26">
        <v>1</v>
      </c>
      <c r="D26" t="s">
        <v>395</v>
      </c>
      <c r="E26" t="s">
        <v>397</v>
      </c>
      <c r="F26">
        <v>360</v>
      </c>
      <c r="G26">
        <v>1.204</v>
      </c>
      <c r="H26">
        <v>0.53</v>
      </c>
      <c r="I26">
        <v>637</v>
      </c>
      <c r="J26">
        <v>1017</v>
      </c>
      <c r="K26">
        <f>VLOOKUP(D26,nodes!$A$1:$K$167,2)</f>
        <v>18</v>
      </c>
      <c r="L26">
        <f>VLOOKUP(E26,nodes!$A$1:$K$167,2)</f>
        <v>20</v>
      </c>
      <c r="M26">
        <f t="shared" si="0"/>
        <v>4.0895061728395062E-4</v>
      </c>
      <c r="N26" s="2">
        <f t="shared" si="1"/>
        <v>2445.2830188679245</v>
      </c>
      <c r="O26">
        <f t="shared" si="2"/>
        <v>10.17</v>
      </c>
    </row>
    <row r="27" spans="1:15" x14ac:dyDescent="0.55000000000000004">
      <c r="A27">
        <v>26</v>
      </c>
      <c r="B27" t="s">
        <v>377</v>
      </c>
      <c r="C27">
        <v>1</v>
      </c>
      <c r="D27" t="s">
        <v>395</v>
      </c>
      <c r="E27" t="s">
        <v>397</v>
      </c>
      <c r="F27">
        <v>360</v>
      </c>
      <c r="G27">
        <v>1.288</v>
      </c>
      <c r="H27">
        <v>0.56999999999999995</v>
      </c>
      <c r="I27">
        <v>1097</v>
      </c>
      <c r="J27">
        <v>1302</v>
      </c>
      <c r="K27">
        <f>VLOOKUP(D27,nodes!$A$1:$K$167,2)</f>
        <v>18</v>
      </c>
      <c r="L27">
        <f>VLOOKUP(E27,nodes!$A$1:$K$167,2)</f>
        <v>20</v>
      </c>
      <c r="M27">
        <f t="shared" si="0"/>
        <v>4.3981481481481476E-4</v>
      </c>
      <c r="N27" s="2">
        <f t="shared" si="1"/>
        <v>2273.6842105263163</v>
      </c>
      <c r="O27">
        <f t="shared" si="2"/>
        <v>13.02</v>
      </c>
    </row>
    <row r="28" spans="1:15" x14ac:dyDescent="0.55000000000000004">
      <c r="A28">
        <v>27</v>
      </c>
      <c r="B28" t="s">
        <v>377</v>
      </c>
      <c r="C28">
        <v>1</v>
      </c>
      <c r="D28" t="s">
        <v>395</v>
      </c>
      <c r="E28" t="s">
        <v>397</v>
      </c>
      <c r="F28">
        <v>230</v>
      </c>
      <c r="G28">
        <v>1.671</v>
      </c>
      <c r="H28">
        <v>0.8</v>
      </c>
      <c r="I28">
        <v>182</v>
      </c>
      <c r="J28">
        <v>319</v>
      </c>
      <c r="K28">
        <f>VLOOKUP(D28,nodes!$A$1:$K$167,2)</f>
        <v>18</v>
      </c>
      <c r="L28">
        <f>VLOOKUP(E28,nodes!$A$1:$K$167,2)</f>
        <v>20</v>
      </c>
      <c r="M28">
        <f t="shared" si="0"/>
        <v>1.5122873345935729E-3</v>
      </c>
      <c r="N28" s="2">
        <f t="shared" si="1"/>
        <v>661.25</v>
      </c>
      <c r="O28">
        <f t="shared" si="2"/>
        <v>3.19</v>
      </c>
    </row>
    <row r="29" spans="1:15" x14ac:dyDescent="0.55000000000000004">
      <c r="A29">
        <v>28</v>
      </c>
      <c r="B29" t="s">
        <v>377</v>
      </c>
      <c r="C29">
        <v>1</v>
      </c>
      <c r="D29" t="s">
        <v>396</v>
      </c>
      <c r="E29" t="s">
        <v>397</v>
      </c>
      <c r="F29">
        <v>360</v>
      </c>
      <c r="G29">
        <v>0.52100000000000002</v>
      </c>
      <c r="H29">
        <v>0.23</v>
      </c>
      <c r="I29">
        <v>1132</v>
      </c>
      <c r="J29">
        <v>1302</v>
      </c>
      <c r="K29">
        <f>VLOOKUP(D29,nodes!$A$1:$K$167,2)</f>
        <v>19</v>
      </c>
      <c r="L29">
        <f>VLOOKUP(E29,nodes!$A$1:$K$167,2)</f>
        <v>20</v>
      </c>
      <c r="M29">
        <f t="shared" si="0"/>
        <v>1.7746913580246916E-4</v>
      </c>
      <c r="N29" s="2">
        <f t="shared" si="1"/>
        <v>5634.7826086956511</v>
      </c>
      <c r="O29">
        <f t="shared" si="2"/>
        <v>13.02</v>
      </c>
    </row>
    <row r="30" spans="1:15" x14ac:dyDescent="0.55000000000000004">
      <c r="A30">
        <v>29</v>
      </c>
      <c r="B30" t="s">
        <v>377</v>
      </c>
      <c r="C30">
        <v>1</v>
      </c>
      <c r="D30" t="s">
        <v>397</v>
      </c>
      <c r="E30" t="s">
        <v>525</v>
      </c>
      <c r="F30">
        <v>230</v>
      </c>
      <c r="G30">
        <v>70.072000000000003</v>
      </c>
      <c r="H30">
        <v>33.630000000000003</v>
      </c>
      <c r="I30">
        <v>375</v>
      </c>
      <c r="J30">
        <v>431</v>
      </c>
      <c r="K30">
        <f>VLOOKUP(D30,nodes!$A$1:$K$167,2)</f>
        <v>20</v>
      </c>
      <c r="L30">
        <f>VLOOKUP(E30,nodes!$A$1:$K$167,2)</f>
        <v>147</v>
      </c>
      <c r="M30">
        <f t="shared" si="0"/>
        <v>6.3572778827977322E-2</v>
      </c>
      <c r="N30" s="2">
        <f t="shared" si="1"/>
        <v>15.730002973535532</v>
      </c>
      <c r="O30">
        <f t="shared" si="2"/>
        <v>4.3099999999999996</v>
      </c>
    </row>
    <row r="31" spans="1:15" x14ac:dyDescent="0.55000000000000004">
      <c r="A31">
        <v>30</v>
      </c>
      <c r="B31" t="s">
        <v>377</v>
      </c>
      <c r="C31">
        <v>1</v>
      </c>
      <c r="D31" t="s">
        <v>397</v>
      </c>
      <c r="E31" t="s">
        <v>447</v>
      </c>
      <c r="F31">
        <v>230</v>
      </c>
      <c r="G31">
        <v>75.715999999999994</v>
      </c>
      <c r="H31">
        <v>36.340000000000003</v>
      </c>
      <c r="I31">
        <v>183</v>
      </c>
      <c r="J31">
        <v>319</v>
      </c>
      <c r="K31">
        <f>VLOOKUP(D31,nodes!$A$1:$K$167,2)</f>
        <v>20</v>
      </c>
      <c r="L31">
        <f>VLOOKUP(E31,nodes!$A$1:$K$167,2)</f>
        <v>70</v>
      </c>
      <c r="M31">
        <f t="shared" si="0"/>
        <v>6.8695652173913047E-2</v>
      </c>
      <c r="N31" s="2">
        <f t="shared" si="1"/>
        <v>14.556962025316455</v>
      </c>
      <c r="O31">
        <f t="shared" si="2"/>
        <v>3.19</v>
      </c>
    </row>
    <row r="32" spans="1:15" x14ac:dyDescent="0.55000000000000004">
      <c r="A32">
        <v>31</v>
      </c>
      <c r="B32" t="s">
        <v>377</v>
      </c>
      <c r="C32">
        <v>1</v>
      </c>
      <c r="D32" t="s">
        <v>397</v>
      </c>
      <c r="E32" t="s">
        <v>447</v>
      </c>
      <c r="F32">
        <v>230</v>
      </c>
      <c r="G32">
        <v>77.004000000000005</v>
      </c>
      <c r="H32">
        <v>36.96</v>
      </c>
      <c r="I32">
        <v>210</v>
      </c>
      <c r="J32">
        <v>360</v>
      </c>
      <c r="K32">
        <f>VLOOKUP(D32,nodes!$A$1:$K$167,2)</f>
        <v>20</v>
      </c>
      <c r="L32">
        <f>VLOOKUP(E32,nodes!$A$1:$K$167,2)</f>
        <v>70</v>
      </c>
      <c r="M32">
        <f t="shared" si="0"/>
        <v>6.9867674858223067E-2</v>
      </c>
      <c r="N32" s="2">
        <f t="shared" si="1"/>
        <v>14.312770562770561</v>
      </c>
      <c r="O32">
        <f t="shared" si="2"/>
        <v>3.6</v>
      </c>
    </row>
    <row r="33" spans="1:15" x14ac:dyDescent="0.55000000000000004">
      <c r="A33">
        <v>32</v>
      </c>
      <c r="B33" t="s">
        <v>377</v>
      </c>
      <c r="C33">
        <v>1</v>
      </c>
      <c r="D33" t="s">
        <v>397</v>
      </c>
      <c r="E33" t="s">
        <v>500</v>
      </c>
      <c r="F33">
        <v>360</v>
      </c>
      <c r="G33">
        <v>145</v>
      </c>
      <c r="H33">
        <v>63.67</v>
      </c>
      <c r="I33">
        <v>696</v>
      </c>
      <c r="J33">
        <v>1017</v>
      </c>
      <c r="K33">
        <f>VLOOKUP(D33,nodes!$A$1:$K$167,2)</f>
        <v>20</v>
      </c>
      <c r="L33">
        <f>VLOOKUP(E33,nodes!$A$1:$K$167,2)</f>
        <v>122</v>
      </c>
      <c r="M33">
        <f t="shared" si="0"/>
        <v>4.9128086419753088E-2</v>
      </c>
      <c r="N33" s="2">
        <f t="shared" si="1"/>
        <v>20.354955237945656</v>
      </c>
      <c r="O33">
        <f t="shared" si="2"/>
        <v>10.17</v>
      </c>
    </row>
    <row r="34" spans="1:15" x14ac:dyDescent="0.55000000000000004">
      <c r="A34">
        <v>33</v>
      </c>
      <c r="B34" t="s">
        <v>377</v>
      </c>
      <c r="C34">
        <v>1</v>
      </c>
      <c r="D34" t="s">
        <v>399</v>
      </c>
      <c r="E34" t="s">
        <v>458</v>
      </c>
      <c r="F34">
        <v>230</v>
      </c>
      <c r="G34">
        <v>8.0039999999999996</v>
      </c>
      <c r="H34">
        <v>3.84</v>
      </c>
      <c r="I34">
        <v>735</v>
      </c>
      <c r="J34">
        <v>918</v>
      </c>
      <c r="K34">
        <f>VLOOKUP(D34,nodes!$A$1:$K$167,2)</f>
        <v>22</v>
      </c>
      <c r="L34">
        <f>VLOOKUP(E34,nodes!$A$1:$K$167,2)</f>
        <v>81</v>
      </c>
      <c r="M34">
        <f t="shared" si="0"/>
        <v>7.2589792060491487E-3</v>
      </c>
      <c r="N34" s="2">
        <f t="shared" si="1"/>
        <v>137.76041666666669</v>
      </c>
      <c r="O34">
        <f t="shared" si="2"/>
        <v>9.18</v>
      </c>
    </row>
    <row r="35" spans="1:15" x14ac:dyDescent="0.55000000000000004">
      <c r="A35">
        <v>34</v>
      </c>
      <c r="B35" t="s">
        <v>377</v>
      </c>
      <c r="C35">
        <v>1</v>
      </c>
      <c r="D35" t="s">
        <v>399</v>
      </c>
      <c r="E35" t="s">
        <v>458</v>
      </c>
      <c r="F35">
        <v>230</v>
      </c>
      <c r="G35">
        <v>8.01</v>
      </c>
      <c r="H35">
        <v>3.84</v>
      </c>
      <c r="I35">
        <v>792</v>
      </c>
      <c r="J35">
        <v>926</v>
      </c>
      <c r="K35">
        <f>VLOOKUP(D35,nodes!$A$1:$K$167,2)</f>
        <v>22</v>
      </c>
      <c r="L35">
        <f>VLOOKUP(E35,nodes!$A$1:$K$167,2)</f>
        <v>81</v>
      </c>
      <c r="M35">
        <f t="shared" si="0"/>
        <v>7.2589792060491487E-3</v>
      </c>
      <c r="N35" s="2">
        <f t="shared" si="1"/>
        <v>137.76041666666669</v>
      </c>
      <c r="O35">
        <f t="shared" si="2"/>
        <v>9.26</v>
      </c>
    </row>
    <row r="36" spans="1:15" x14ac:dyDescent="0.55000000000000004">
      <c r="A36">
        <v>35</v>
      </c>
      <c r="B36" t="s">
        <v>377</v>
      </c>
      <c r="C36">
        <v>1</v>
      </c>
      <c r="D36" t="s">
        <v>399</v>
      </c>
      <c r="E36" t="s">
        <v>542</v>
      </c>
      <c r="F36">
        <v>230</v>
      </c>
      <c r="G36">
        <v>14.385999999999999</v>
      </c>
      <c r="H36">
        <v>6.91</v>
      </c>
      <c r="I36">
        <v>301</v>
      </c>
      <c r="J36">
        <v>416</v>
      </c>
      <c r="K36">
        <f>VLOOKUP(D36,nodes!$A$1:$K$167,2)</f>
        <v>22</v>
      </c>
      <c r="L36">
        <f>VLOOKUP(E36,nodes!$A$1:$K$167,2)</f>
        <v>164</v>
      </c>
      <c r="M36">
        <f t="shared" si="0"/>
        <v>1.3062381852551985E-2</v>
      </c>
      <c r="N36" s="2">
        <f t="shared" si="1"/>
        <v>76.555716353111436</v>
      </c>
      <c r="O36">
        <f t="shared" si="2"/>
        <v>4.16</v>
      </c>
    </row>
    <row r="37" spans="1:15" x14ac:dyDescent="0.55000000000000004">
      <c r="A37">
        <v>36</v>
      </c>
      <c r="B37" t="s">
        <v>377</v>
      </c>
      <c r="C37">
        <v>1</v>
      </c>
      <c r="D37" t="s">
        <v>399</v>
      </c>
      <c r="E37" t="s">
        <v>430</v>
      </c>
      <c r="F37">
        <v>230</v>
      </c>
      <c r="G37">
        <v>24.149000000000001</v>
      </c>
      <c r="H37">
        <v>11.59</v>
      </c>
      <c r="I37">
        <v>272</v>
      </c>
      <c r="J37">
        <v>361</v>
      </c>
      <c r="K37">
        <f>VLOOKUP(D37,nodes!$A$1:$K$167,2)</f>
        <v>22</v>
      </c>
      <c r="L37">
        <f>VLOOKUP(E37,nodes!$A$1:$K$167,2)</f>
        <v>53</v>
      </c>
      <c r="M37">
        <f t="shared" si="0"/>
        <v>2.1909262759924386E-2</v>
      </c>
      <c r="N37" s="2">
        <f t="shared" si="1"/>
        <v>45.642795513373599</v>
      </c>
      <c r="O37">
        <f t="shared" si="2"/>
        <v>3.61</v>
      </c>
    </row>
    <row r="38" spans="1:15" x14ac:dyDescent="0.55000000000000004">
      <c r="A38">
        <v>37</v>
      </c>
      <c r="B38" t="s">
        <v>377</v>
      </c>
      <c r="C38">
        <v>1</v>
      </c>
      <c r="D38" t="s">
        <v>400</v>
      </c>
      <c r="E38" t="s">
        <v>398</v>
      </c>
      <c r="F38">
        <v>230</v>
      </c>
      <c r="G38">
        <v>3</v>
      </c>
      <c r="H38">
        <v>1.44</v>
      </c>
      <c r="I38">
        <v>402</v>
      </c>
      <c r="J38">
        <v>435</v>
      </c>
      <c r="K38">
        <f>VLOOKUP(D38,nodes!$A$1:$K$167,2)</f>
        <v>23</v>
      </c>
      <c r="L38">
        <f>VLOOKUP(E38,nodes!$A$1:$K$167,2)</f>
        <v>21</v>
      </c>
      <c r="M38">
        <f t="shared" si="0"/>
        <v>2.7221172022684308E-3</v>
      </c>
      <c r="N38" s="2">
        <f t="shared" si="1"/>
        <v>367.36111111111114</v>
      </c>
      <c r="O38">
        <f t="shared" si="2"/>
        <v>4.3499999999999996</v>
      </c>
    </row>
    <row r="39" spans="1:15" x14ac:dyDescent="0.55000000000000004">
      <c r="A39">
        <v>38</v>
      </c>
      <c r="B39" t="s">
        <v>377</v>
      </c>
      <c r="C39">
        <v>1</v>
      </c>
      <c r="D39" t="s">
        <v>400</v>
      </c>
      <c r="E39" t="s">
        <v>440</v>
      </c>
      <c r="F39">
        <v>230</v>
      </c>
      <c r="G39">
        <v>15</v>
      </c>
      <c r="H39">
        <v>7.2</v>
      </c>
      <c r="I39">
        <v>365</v>
      </c>
      <c r="J39">
        <v>434</v>
      </c>
      <c r="K39">
        <f>VLOOKUP(D39,nodes!$A$1:$K$167,2)</f>
        <v>23</v>
      </c>
      <c r="L39">
        <f>VLOOKUP(E39,nodes!$A$1:$K$167,2)</f>
        <v>63</v>
      </c>
      <c r="M39">
        <f t="shared" si="0"/>
        <v>1.3610586011342156E-2</v>
      </c>
      <c r="N39" s="2">
        <f t="shared" si="1"/>
        <v>73.472222222222214</v>
      </c>
      <c r="O39">
        <f t="shared" si="2"/>
        <v>4.34</v>
      </c>
    </row>
    <row r="40" spans="1:15" x14ac:dyDescent="0.55000000000000004">
      <c r="A40">
        <v>39</v>
      </c>
      <c r="B40" t="s">
        <v>377</v>
      </c>
      <c r="C40">
        <v>1</v>
      </c>
      <c r="D40" t="s">
        <v>400</v>
      </c>
      <c r="E40" t="s">
        <v>506</v>
      </c>
      <c r="F40">
        <v>230</v>
      </c>
      <c r="G40">
        <v>35</v>
      </c>
      <c r="H40">
        <v>16.8</v>
      </c>
      <c r="I40">
        <v>405</v>
      </c>
      <c r="J40">
        <v>511</v>
      </c>
      <c r="K40">
        <f>VLOOKUP(D40,nodes!$A$1:$K$167,2)</f>
        <v>23</v>
      </c>
      <c r="L40">
        <f>VLOOKUP(E40,nodes!$A$1:$K$167,2)</f>
        <v>128</v>
      </c>
      <c r="M40">
        <f t="shared" si="0"/>
        <v>3.1758034026465029E-2</v>
      </c>
      <c r="N40" s="2">
        <f t="shared" si="1"/>
        <v>31.488095238095237</v>
      </c>
      <c r="O40">
        <f t="shared" si="2"/>
        <v>5.1100000000000003</v>
      </c>
    </row>
    <row r="41" spans="1:15" x14ac:dyDescent="0.55000000000000004">
      <c r="A41">
        <v>40</v>
      </c>
      <c r="B41" t="s">
        <v>377</v>
      </c>
      <c r="C41">
        <v>1</v>
      </c>
      <c r="D41" t="s">
        <v>402</v>
      </c>
      <c r="E41" t="s">
        <v>401</v>
      </c>
      <c r="F41">
        <v>230</v>
      </c>
      <c r="G41">
        <v>5.8999999999999997E-2</v>
      </c>
      <c r="H41">
        <v>0.03</v>
      </c>
      <c r="I41">
        <v>383</v>
      </c>
      <c r="J41">
        <v>464</v>
      </c>
      <c r="K41">
        <f>VLOOKUP(D41,nodes!$A$1:$K$167,2)</f>
        <v>25</v>
      </c>
      <c r="L41">
        <f>VLOOKUP(E41,nodes!$A$1:$K$167,2)</f>
        <v>24</v>
      </c>
      <c r="M41">
        <f t="shared" si="0"/>
        <v>5.6710775047258974E-5</v>
      </c>
      <c r="N41" s="2">
        <f t="shared" si="1"/>
        <v>17633.333333333336</v>
      </c>
      <c r="O41">
        <f t="shared" si="2"/>
        <v>4.6399999999999997</v>
      </c>
    </row>
    <row r="42" spans="1:15" x14ac:dyDescent="0.55000000000000004">
      <c r="A42">
        <v>41</v>
      </c>
      <c r="B42" t="s">
        <v>377</v>
      </c>
      <c r="C42">
        <v>1</v>
      </c>
      <c r="D42" t="s">
        <v>402</v>
      </c>
      <c r="E42" t="s">
        <v>401</v>
      </c>
      <c r="F42">
        <v>230</v>
      </c>
      <c r="G42">
        <v>22.675999999999998</v>
      </c>
      <c r="H42">
        <v>10.88</v>
      </c>
      <c r="I42">
        <v>358</v>
      </c>
      <c r="J42">
        <v>431</v>
      </c>
      <c r="K42">
        <f>VLOOKUP(D42,nodes!$A$1:$K$167,2)</f>
        <v>25</v>
      </c>
      <c r="L42">
        <f>VLOOKUP(E42,nodes!$A$1:$K$167,2)</f>
        <v>24</v>
      </c>
      <c r="M42">
        <f t="shared" si="0"/>
        <v>2.0567107750472591E-2</v>
      </c>
      <c r="N42" s="2">
        <f t="shared" si="1"/>
        <v>48.621323529411761</v>
      </c>
      <c r="O42">
        <f t="shared" si="2"/>
        <v>4.3099999999999996</v>
      </c>
    </row>
    <row r="43" spans="1:15" x14ac:dyDescent="0.55000000000000004">
      <c r="A43">
        <v>42</v>
      </c>
      <c r="B43" t="s">
        <v>377</v>
      </c>
      <c r="C43">
        <v>1</v>
      </c>
      <c r="D43" t="s">
        <v>402</v>
      </c>
      <c r="E43" t="s">
        <v>445</v>
      </c>
      <c r="F43">
        <v>230</v>
      </c>
      <c r="G43">
        <v>22.675999999999998</v>
      </c>
      <c r="H43">
        <v>10.88</v>
      </c>
      <c r="I43">
        <v>358</v>
      </c>
      <c r="J43">
        <v>431</v>
      </c>
      <c r="K43">
        <f>VLOOKUP(D43,nodes!$A$1:$K$167,2)</f>
        <v>25</v>
      </c>
      <c r="L43">
        <f>VLOOKUP(E43,nodes!$A$1:$K$167,2)</f>
        <v>68</v>
      </c>
      <c r="M43">
        <f t="shared" si="0"/>
        <v>2.0567107750472591E-2</v>
      </c>
      <c r="N43" s="2">
        <f t="shared" si="1"/>
        <v>48.621323529411761</v>
      </c>
      <c r="O43">
        <f t="shared" si="2"/>
        <v>4.3099999999999996</v>
      </c>
    </row>
    <row r="44" spans="1:15" x14ac:dyDescent="0.55000000000000004">
      <c r="A44">
        <v>43</v>
      </c>
      <c r="B44" t="s">
        <v>377</v>
      </c>
      <c r="C44">
        <v>1</v>
      </c>
      <c r="D44" t="s">
        <v>402</v>
      </c>
      <c r="E44" t="s">
        <v>455</v>
      </c>
      <c r="F44">
        <v>230</v>
      </c>
      <c r="G44">
        <v>23.3</v>
      </c>
      <c r="H44">
        <v>11.18</v>
      </c>
      <c r="I44">
        <v>238</v>
      </c>
      <c r="J44">
        <v>296</v>
      </c>
      <c r="K44">
        <f>VLOOKUP(D44,nodes!$A$1:$K$167,2)</f>
        <v>25</v>
      </c>
      <c r="L44">
        <f>VLOOKUP(E44,nodes!$A$1:$K$167,2)</f>
        <v>78</v>
      </c>
      <c r="M44">
        <f t="shared" si="0"/>
        <v>2.1134215500945179E-2</v>
      </c>
      <c r="N44" s="2">
        <f t="shared" si="1"/>
        <v>47.31663685152057</v>
      </c>
      <c r="O44">
        <f t="shared" si="2"/>
        <v>2.96</v>
      </c>
    </row>
    <row r="45" spans="1:15" x14ac:dyDescent="0.55000000000000004">
      <c r="A45">
        <v>44</v>
      </c>
      <c r="B45" t="s">
        <v>377</v>
      </c>
      <c r="C45">
        <v>1</v>
      </c>
      <c r="D45" t="s">
        <v>403</v>
      </c>
      <c r="E45" t="s">
        <v>481</v>
      </c>
      <c r="F45">
        <v>230</v>
      </c>
      <c r="G45">
        <v>77.295000000000002</v>
      </c>
      <c r="H45">
        <v>37.1</v>
      </c>
      <c r="I45">
        <v>383</v>
      </c>
      <c r="J45">
        <v>457</v>
      </c>
      <c r="K45">
        <f>VLOOKUP(D45,nodes!$A$1:$K$167,2)</f>
        <v>26</v>
      </c>
      <c r="L45">
        <f>VLOOKUP(E45,nodes!$A$1:$K$167,2)</f>
        <v>103</v>
      </c>
      <c r="M45">
        <f t="shared" si="0"/>
        <v>7.0132325141776947E-2</v>
      </c>
      <c r="N45" s="2">
        <f t="shared" si="1"/>
        <v>14.258760107816709</v>
      </c>
      <c r="O45">
        <f t="shared" si="2"/>
        <v>4.57</v>
      </c>
    </row>
    <row r="46" spans="1:15" x14ac:dyDescent="0.55000000000000004">
      <c r="A46">
        <v>46</v>
      </c>
      <c r="B46" t="s">
        <v>377</v>
      </c>
      <c r="C46">
        <v>1</v>
      </c>
      <c r="D46" t="s">
        <v>403</v>
      </c>
      <c r="E46" t="s">
        <v>437</v>
      </c>
      <c r="F46">
        <v>230</v>
      </c>
      <c r="G46">
        <v>129.80199999999999</v>
      </c>
      <c r="H46">
        <v>62.3</v>
      </c>
      <c r="I46">
        <v>381</v>
      </c>
      <c r="J46">
        <v>487</v>
      </c>
      <c r="K46">
        <f>VLOOKUP(D46,nodes!$A$1:$K$167,2)</f>
        <v>26</v>
      </c>
      <c r="L46">
        <f>VLOOKUP(E46,nodes!$A$1:$K$167,2)</f>
        <v>60</v>
      </c>
      <c r="M46">
        <f t="shared" si="0"/>
        <v>0.11776937618147447</v>
      </c>
      <c r="N46" s="2">
        <f t="shared" si="1"/>
        <v>8.4911717495987169</v>
      </c>
      <c r="O46">
        <f t="shared" si="2"/>
        <v>4.87</v>
      </c>
    </row>
    <row r="47" spans="1:15" x14ac:dyDescent="0.55000000000000004">
      <c r="A47">
        <v>47</v>
      </c>
      <c r="B47" t="s">
        <v>377</v>
      </c>
      <c r="C47">
        <v>1</v>
      </c>
      <c r="D47" t="s">
        <v>404</v>
      </c>
      <c r="E47" t="s">
        <v>380</v>
      </c>
      <c r="F47">
        <v>230</v>
      </c>
      <c r="G47">
        <v>23.956</v>
      </c>
      <c r="H47">
        <v>11.5</v>
      </c>
      <c r="I47">
        <v>610</v>
      </c>
      <c r="J47">
        <v>790</v>
      </c>
      <c r="K47">
        <f>VLOOKUP(D47,nodes!$A$1:$K$167,2)</f>
        <v>27</v>
      </c>
      <c r="L47">
        <f>VLOOKUP(E47,nodes!$A$1:$K$167,2)</f>
        <v>4</v>
      </c>
      <c r="M47">
        <f t="shared" si="0"/>
        <v>2.1739130434782608E-2</v>
      </c>
      <c r="N47" s="2">
        <f t="shared" si="1"/>
        <v>46</v>
      </c>
      <c r="O47">
        <f t="shared" si="2"/>
        <v>7.9</v>
      </c>
    </row>
    <row r="48" spans="1:15" x14ac:dyDescent="0.55000000000000004">
      <c r="A48">
        <v>48</v>
      </c>
      <c r="B48" t="s">
        <v>377</v>
      </c>
      <c r="C48">
        <v>1</v>
      </c>
      <c r="D48" t="s">
        <v>404</v>
      </c>
      <c r="E48" t="s">
        <v>436</v>
      </c>
      <c r="F48">
        <v>500</v>
      </c>
      <c r="G48">
        <v>49.716999999999999</v>
      </c>
      <c r="H48">
        <v>19.64</v>
      </c>
      <c r="I48">
        <v>2161</v>
      </c>
      <c r="J48">
        <v>2747</v>
      </c>
      <c r="K48">
        <f>VLOOKUP(D48,nodes!$A$1:$K$167,2)</f>
        <v>27</v>
      </c>
      <c r="L48">
        <f>VLOOKUP(E48,nodes!$A$1:$K$167,2)</f>
        <v>59</v>
      </c>
      <c r="M48">
        <f t="shared" si="0"/>
        <v>7.8560000000000001E-3</v>
      </c>
      <c r="N48" s="2">
        <f t="shared" si="1"/>
        <v>127.29124236252545</v>
      </c>
      <c r="O48">
        <f t="shared" si="2"/>
        <v>27.47</v>
      </c>
    </row>
    <row r="49" spans="1:15" x14ac:dyDescent="0.55000000000000004">
      <c r="A49">
        <v>49</v>
      </c>
      <c r="B49" t="s">
        <v>377</v>
      </c>
      <c r="C49">
        <v>1</v>
      </c>
      <c r="D49" t="s">
        <v>405</v>
      </c>
      <c r="E49" t="s">
        <v>528</v>
      </c>
      <c r="F49">
        <v>500</v>
      </c>
      <c r="G49">
        <v>68.73</v>
      </c>
      <c r="H49">
        <v>27.15</v>
      </c>
      <c r="I49">
        <v>1030</v>
      </c>
      <c r="J49">
        <v>1099</v>
      </c>
      <c r="K49">
        <f>VLOOKUP(D49,nodes!$A$1:$K$167,2)</f>
        <v>28</v>
      </c>
      <c r="L49">
        <f>VLOOKUP(E49,nodes!$A$1:$K$167,2)</f>
        <v>150</v>
      </c>
      <c r="M49">
        <f t="shared" si="0"/>
        <v>1.086E-2</v>
      </c>
      <c r="N49" s="2">
        <f t="shared" si="1"/>
        <v>92.081031307550646</v>
      </c>
      <c r="O49">
        <f t="shared" si="2"/>
        <v>10.99</v>
      </c>
    </row>
    <row r="50" spans="1:15" x14ac:dyDescent="0.55000000000000004">
      <c r="A50">
        <v>50</v>
      </c>
      <c r="B50" t="s">
        <v>377</v>
      </c>
      <c r="C50">
        <v>1</v>
      </c>
      <c r="D50" t="s">
        <v>405</v>
      </c>
      <c r="E50" t="s">
        <v>528</v>
      </c>
      <c r="F50">
        <v>500</v>
      </c>
      <c r="G50">
        <v>68.73</v>
      </c>
      <c r="H50">
        <v>27.15</v>
      </c>
      <c r="I50">
        <v>1030</v>
      </c>
      <c r="J50">
        <v>1099</v>
      </c>
      <c r="K50">
        <f>VLOOKUP(D50,nodes!$A$1:$K$167,2)</f>
        <v>28</v>
      </c>
      <c r="L50">
        <f>VLOOKUP(E50,nodes!$A$1:$K$167,2)</f>
        <v>150</v>
      </c>
      <c r="M50">
        <f t="shared" si="0"/>
        <v>1.086E-2</v>
      </c>
      <c r="N50" s="2">
        <f t="shared" si="1"/>
        <v>92.081031307550646</v>
      </c>
      <c r="O50">
        <f t="shared" si="2"/>
        <v>10.99</v>
      </c>
    </row>
    <row r="51" spans="1:15" x14ac:dyDescent="0.55000000000000004">
      <c r="A51">
        <v>51</v>
      </c>
      <c r="B51" t="s">
        <v>377</v>
      </c>
      <c r="C51">
        <v>1</v>
      </c>
      <c r="D51" t="s">
        <v>406</v>
      </c>
      <c r="E51" t="s">
        <v>383</v>
      </c>
      <c r="F51">
        <v>230</v>
      </c>
      <c r="G51">
        <v>19.8</v>
      </c>
      <c r="H51">
        <v>9.5</v>
      </c>
      <c r="I51">
        <v>288</v>
      </c>
      <c r="J51">
        <v>389</v>
      </c>
      <c r="K51">
        <f>VLOOKUP(D51,nodes!$A$1:$K$167,2)</f>
        <v>29</v>
      </c>
      <c r="L51">
        <f>VLOOKUP(E51,nodes!$A$1:$K$167,2)</f>
        <v>7</v>
      </c>
      <c r="M51">
        <f t="shared" si="0"/>
        <v>1.7958412098298678E-2</v>
      </c>
      <c r="N51" s="2">
        <f t="shared" si="1"/>
        <v>55.684210526315788</v>
      </c>
      <c r="O51">
        <f t="shared" si="2"/>
        <v>3.89</v>
      </c>
    </row>
    <row r="52" spans="1:15" x14ac:dyDescent="0.55000000000000004">
      <c r="A52">
        <v>52</v>
      </c>
      <c r="B52" t="s">
        <v>377</v>
      </c>
      <c r="C52">
        <v>1</v>
      </c>
      <c r="D52" t="s">
        <v>406</v>
      </c>
      <c r="E52" t="s">
        <v>458</v>
      </c>
      <c r="F52">
        <v>500</v>
      </c>
      <c r="G52">
        <v>66.722999999999999</v>
      </c>
      <c r="H52">
        <v>26.36</v>
      </c>
      <c r="I52">
        <v>1797</v>
      </c>
      <c r="J52">
        <v>2475</v>
      </c>
      <c r="K52">
        <f>VLOOKUP(D52,nodes!$A$1:$K$167,2)</f>
        <v>29</v>
      </c>
      <c r="L52">
        <f>VLOOKUP(E52,nodes!$A$1:$K$167,2)</f>
        <v>81</v>
      </c>
      <c r="M52">
        <f t="shared" si="0"/>
        <v>1.0544E-2</v>
      </c>
      <c r="N52" s="2">
        <f t="shared" si="1"/>
        <v>94.840667678300463</v>
      </c>
      <c r="O52">
        <f t="shared" si="2"/>
        <v>24.75</v>
      </c>
    </row>
    <row r="53" spans="1:15" x14ac:dyDescent="0.55000000000000004">
      <c r="A53">
        <v>53</v>
      </c>
      <c r="B53" t="s">
        <v>377</v>
      </c>
      <c r="C53">
        <v>1</v>
      </c>
      <c r="D53" t="s">
        <v>406</v>
      </c>
      <c r="E53" t="s">
        <v>411</v>
      </c>
      <c r="F53">
        <v>230</v>
      </c>
      <c r="G53">
        <v>60.304000000000002</v>
      </c>
      <c r="H53">
        <v>28.95</v>
      </c>
      <c r="I53">
        <v>336</v>
      </c>
      <c r="J53">
        <v>423</v>
      </c>
      <c r="K53">
        <f>VLOOKUP(D53,nodes!$A$1:$K$167,2)</f>
        <v>29</v>
      </c>
      <c r="L53">
        <f>VLOOKUP(E53,nodes!$A$1:$K$167,2)</f>
        <v>34</v>
      </c>
      <c r="M53">
        <f t="shared" ref="M53:M116" si="3">H53/(F53^2/100)</f>
        <v>5.4725897920604914E-2</v>
      </c>
      <c r="N53" s="2">
        <f t="shared" ref="N53:N116" si="4">1/M53</f>
        <v>18.272884283246977</v>
      </c>
      <c r="O53">
        <f t="shared" ref="O53:O116" si="5">J53/100</f>
        <v>4.2300000000000004</v>
      </c>
    </row>
    <row r="54" spans="1:15" x14ac:dyDescent="0.55000000000000004">
      <c r="A54">
        <v>54</v>
      </c>
      <c r="B54" t="s">
        <v>377</v>
      </c>
      <c r="C54">
        <v>1</v>
      </c>
      <c r="D54" t="s">
        <v>406</v>
      </c>
      <c r="E54" t="s">
        <v>454</v>
      </c>
      <c r="F54">
        <v>230</v>
      </c>
      <c r="G54">
        <v>60.366</v>
      </c>
      <c r="H54">
        <v>28.98</v>
      </c>
      <c r="I54">
        <v>312</v>
      </c>
      <c r="J54">
        <v>408</v>
      </c>
      <c r="K54">
        <f>VLOOKUP(D54,nodes!$A$1:$K$167,2)</f>
        <v>29</v>
      </c>
      <c r="L54">
        <f>VLOOKUP(E54,nodes!$A$1:$K$167,2)</f>
        <v>77</v>
      </c>
      <c r="M54">
        <f t="shared" si="3"/>
        <v>5.4782608695652171E-2</v>
      </c>
      <c r="N54" s="2">
        <f t="shared" si="4"/>
        <v>18.253968253968257</v>
      </c>
      <c r="O54">
        <f t="shared" si="5"/>
        <v>4.08</v>
      </c>
    </row>
    <row r="55" spans="1:15" x14ac:dyDescent="0.55000000000000004">
      <c r="A55">
        <v>55</v>
      </c>
      <c r="B55" t="s">
        <v>377</v>
      </c>
      <c r="C55">
        <v>1</v>
      </c>
      <c r="D55" t="s">
        <v>406</v>
      </c>
      <c r="E55" t="s">
        <v>473</v>
      </c>
      <c r="F55">
        <v>500</v>
      </c>
      <c r="G55">
        <v>80.143000000000001</v>
      </c>
      <c r="H55">
        <v>31.66</v>
      </c>
      <c r="I55">
        <v>2524</v>
      </c>
      <c r="J55">
        <v>3041</v>
      </c>
      <c r="K55">
        <f>VLOOKUP(D55,nodes!$A$1:$K$167,2)</f>
        <v>29</v>
      </c>
      <c r="L55">
        <f>VLOOKUP(E55,nodes!$A$1:$K$167,2)</f>
        <v>95</v>
      </c>
      <c r="M55">
        <f t="shared" si="3"/>
        <v>1.2664E-2</v>
      </c>
      <c r="N55" s="2">
        <f t="shared" si="4"/>
        <v>78.96399241945673</v>
      </c>
      <c r="O55">
        <f t="shared" si="5"/>
        <v>30.41</v>
      </c>
    </row>
    <row r="56" spans="1:15" x14ac:dyDescent="0.55000000000000004">
      <c r="A56">
        <v>56</v>
      </c>
      <c r="B56" t="s">
        <v>377</v>
      </c>
      <c r="C56">
        <v>1</v>
      </c>
      <c r="D56" t="s">
        <v>406</v>
      </c>
      <c r="E56" t="s">
        <v>473</v>
      </c>
      <c r="F56">
        <v>500</v>
      </c>
      <c r="G56">
        <v>80.364000000000004</v>
      </c>
      <c r="H56">
        <v>31.74</v>
      </c>
      <c r="I56">
        <v>2524</v>
      </c>
      <c r="J56">
        <v>3041</v>
      </c>
      <c r="K56">
        <f>VLOOKUP(D56,nodes!$A$1:$K$167,2)</f>
        <v>29</v>
      </c>
      <c r="L56">
        <f>VLOOKUP(E56,nodes!$A$1:$K$167,2)</f>
        <v>95</v>
      </c>
      <c r="M56">
        <f t="shared" si="3"/>
        <v>1.2695999999999999E-2</v>
      </c>
      <c r="N56" s="2">
        <f t="shared" si="4"/>
        <v>78.764965343415255</v>
      </c>
      <c r="O56">
        <f t="shared" si="5"/>
        <v>30.41</v>
      </c>
    </row>
    <row r="57" spans="1:15" x14ac:dyDescent="0.55000000000000004">
      <c r="A57">
        <v>57</v>
      </c>
      <c r="B57" t="s">
        <v>377</v>
      </c>
      <c r="C57">
        <v>1</v>
      </c>
      <c r="D57" t="s">
        <v>408</v>
      </c>
      <c r="E57" t="s">
        <v>428</v>
      </c>
      <c r="F57">
        <v>230</v>
      </c>
      <c r="G57">
        <v>15.51</v>
      </c>
      <c r="H57">
        <v>7.44</v>
      </c>
      <c r="I57">
        <v>378</v>
      </c>
      <c r="J57">
        <v>441</v>
      </c>
      <c r="K57">
        <f>VLOOKUP(D57,nodes!$A$1:$K$167,2)</f>
        <v>31</v>
      </c>
      <c r="L57">
        <f>VLOOKUP(E57,nodes!$A$1:$K$167,2)</f>
        <v>51</v>
      </c>
      <c r="M57">
        <f t="shared" si="3"/>
        <v>1.4064272211720227E-2</v>
      </c>
      <c r="N57" s="2">
        <f t="shared" si="4"/>
        <v>71.102150537634401</v>
      </c>
      <c r="O57">
        <f t="shared" si="5"/>
        <v>4.41</v>
      </c>
    </row>
    <row r="58" spans="1:15" x14ac:dyDescent="0.55000000000000004">
      <c r="A58">
        <v>58</v>
      </c>
      <c r="B58" t="s">
        <v>377</v>
      </c>
      <c r="C58">
        <v>1</v>
      </c>
      <c r="D58" t="s">
        <v>408</v>
      </c>
      <c r="E58" t="s">
        <v>392</v>
      </c>
      <c r="F58">
        <v>230</v>
      </c>
      <c r="G58">
        <v>16.97</v>
      </c>
      <c r="H58">
        <v>8.15</v>
      </c>
      <c r="I58">
        <v>385</v>
      </c>
      <c r="J58">
        <v>447</v>
      </c>
      <c r="K58">
        <f>VLOOKUP(D58,nodes!$A$1:$K$167,2)</f>
        <v>31</v>
      </c>
      <c r="L58">
        <f>VLOOKUP(E58,nodes!$A$1:$K$167,2)</f>
        <v>15</v>
      </c>
      <c r="M58">
        <f t="shared" si="3"/>
        <v>1.5406427221172024E-2</v>
      </c>
      <c r="N58" s="2">
        <f t="shared" si="4"/>
        <v>64.907975460122699</v>
      </c>
      <c r="O58">
        <f t="shared" si="5"/>
        <v>4.47</v>
      </c>
    </row>
    <row r="59" spans="1:15" x14ac:dyDescent="0.55000000000000004">
      <c r="A59">
        <v>59</v>
      </c>
      <c r="B59" t="s">
        <v>377</v>
      </c>
      <c r="C59">
        <v>1</v>
      </c>
      <c r="D59" t="s">
        <v>409</v>
      </c>
      <c r="E59" t="s">
        <v>512</v>
      </c>
      <c r="F59">
        <v>230</v>
      </c>
      <c r="G59">
        <v>5.9989999999999997</v>
      </c>
      <c r="H59">
        <v>2.88</v>
      </c>
      <c r="I59">
        <v>237</v>
      </c>
      <c r="J59">
        <v>291</v>
      </c>
      <c r="K59">
        <f>VLOOKUP(D59,nodes!$A$1:$K$167,2)</f>
        <v>32</v>
      </c>
      <c r="L59">
        <f>VLOOKUP(E59,nodes!$A$1:$K$167,2)</f>
        <v>134</v>
      </c>
      <c r="M59">
        <f t="shared" si="3"/>
        <v>5.4442344045368615E-3</v>
      </c>
      <c r="N59" s="2">
        <f t="shared" si="4"/>
        <v>183.68055555555557</v>
      </c>
      <c r="O59">
        <f t="shared" si="5"/>
        <v>2.91</v>
      </c>
    </row>
    <row r="60" spans="1:15" x14ac:dyDescent="0.55000000000000004">
      <c r="A60">
        <v>60</v>
      </c>
      <c r="B60" t="s">
        <v>377</v>
      </c>
      <c r="C60">
        <v>1</v>
      </c>
      <c r="D60" t="s">
        <v>410</v>
      </c>
      <c r="E60" t="s">
        <v>470</v>
      </c>
      <c r="F60">
        <v>230</v>
      </c>
      <c r="G60">
        <v>3.3639999999999999</v>
      </c>
      <c r="H60">
        <v>1.61</v>
      </c>
      <c r="I60">
        <v>377</v>
      </c>
      <c r="J60">
        <v>436</v>
      </c>
      <c r="K60">
        <f>VLOOKUP(D60,nodes!$A$1:$K$167,2)</f>
        <v>33</v>
      </c>
      <c r="L60">
        <f>VLOOKUP(E60,nodes!$A$1:$K$167,2)</f>
        <v>92</v>
      </c>
      <c r="M60">
        <f t="shared" si="3"/>
        <v>3.0434782608695656E-3</v>
      </c>
      <c r="N60" s="2">
        <f t="shared" si="4"/>
        <v>328.57142857142856</v>
      </c>
      <c r="O60">
        <f t="shared" si="5"/>
        <v>4.3600000000000003</v>
      </c>
    </row>
    <row r="61" spans="1:15" x14ac:dyDescent="0.55000000000000004">
      <c r="A61">
        <v>61</v>
      </c>
      <c r="B61" t="s">
        <v>377</v>
      </c>
      <c r="C61">
        <v>1</v>
      </c>
      <c r="D61" t="s">
        <v>411</v>
      </c>
      <c r="E61" t="s">
        <v>542</v>
      </c>
      <c r="F61">
        <v>230</v>
      </c>
      <c r="G61">
        <v>22.895</v>
      </c>
      <c r="H61">
        <v>10.99</v>
      </c>
      <c r="I61">
        <v>339</v>
      </c>
      <c r="J61">
        <v>425</v>
      </c>
      <c r="K61">
        <f>VLOOKUP(D61,nodes!$A$1:$K$167,2)</f>
        <v>34</v>
      </c>
      <c r="L61">
        <f>VLOOKUP(E61,nodes!$A$1:$K$167,2)</f>
        <v>164</v>
      </c>
      <c r="M61">
        <f t="shared" si="3"/>
        <v>2.0775047258979207E-2</v>
      </c>
      <c r="N61" s="2">
        <f t="shared" si="4"/>
        <v>48.134667879890806</v>
      </c>
      <c r="O61">
        <f t="shared" si="5"/>
        <v>4.25</v>
      </c>
    </row>
    <row r="62" spans="1:15" x14ac:dyDescent="0.55000000000000004">
      <c r="A62">
        <v>62</v>
      </c>
      <c r="B62" t="s">
        <v>377</v>
      </c>
      <c r="C62">
        <v>1</v>
      </c>
      <c r="D62" t="s">
        <v>412</v>
      </c>
      <c r="E62" t="s">
        <v>495</v>
      </c>
      <c r="F62">
        <v>230</v>
      </c>
      <c r="G62">
        <v>57.5</v>
      </c>
      <c r="H62">
        <v>27.6</v>
      </c>
      <c r="I62">
        <v>402</v>
      </c>
      <c r="J62">
        <v>435</v>
      </c>
      <c r="K62">
        <f>VLOOKUP(D62,nodes!$A$1:$K$167,2)</f>
        <v>35</v>
      </c>
      <c r="L62">
        <f>VLOOKUP(E62,nodes!$A$1:$K$167,2)</f>
        <v>117</v>
      </c>
      <c r="M62">
        <f t="shared" si="3"/>
        <v>5.2173913043478265E-2</v>
      </c>
      <c r="N62" s="2">
        <f t="shared" si="4"/>
        <v>19.166666666666664</v>
      </c>
      <c r="O62">
        <f t="shared" si="5"/>
        <v>4.3499999999999996</v>
      </c>
    </row>
    <row r="63" spans="1:15" x14ac:dyDescent="0.55000000000000004">
      <c r="A63">
        <v>63</v>
      </c>
      <c r="B63" t="s">
        <v>377</v>
      </c>
      <c r="C63">
        <v>1</v>
      </c>
      <c r="D63" t="s">
        <v>413</v>
      </c>
      <c r="E63" t="s">
        <v>414</v>
      </c>
      <c r="F63">
        <v>230</v>
      </c>
      <c r="G63">
        <v>40</v>
      </c>
      <c r="H63">
        <v>19.2</v>
      </c>
      <c r="I63">
        <v>370</v>
      </c>
      <c r="J63">
        <v>370</v>
      </c>
      <c r="K63">
        <f>VLOOKUP(D63,nodes!$A$1:$K$167,2)</f>
        <v>36</v>
      </c>
      <c r="L63">
        <f>VLOOKUP(E63,nodes!$A$1:$K$167,2)</f>
        <v>37</v>
      </c>
      <c r="M63">
        <f t="shared" si="3"/>
        <v>3.6294896030245744E-2</v>
      </c>
      <c r="N63" s="2">
        <f t="shared" si="4"/>
        <v>27.552083333333336</v>
      </c>
      <c r="O63">
        <f t="shared" si="5"/>
        <v>3.7</v>
      </c>
    </row>
    <row r="64" spans="1:15" x14ac:dyDescent="0.55000000000000004">
      <c r="A64">
        <v>64</v>
      </c>
      <c r="B64" t="s">
        <v>377</v>
      </c>
      <c r="C64">
        <v>1</v>
      </c>
      <c r="D64" t="s">
        <v>413</v>
      </c>
      <c r="E64" t="s">
        <v>511</v>
      </c>
      <c r="F64">
        <v>230</v>
      </c>
      <c r="G64">
        <v>51.338000000000001</v>
      </c>
      <c r="H64">
        <v>24.64</v>
      </c>
      <c r="I64">
        <v>385</v>
      </c>
      <c r="J64">
        <v>460</v>
      </c>
      <c r="K64">
        <f>VLOOKUP(D64,nodes!$A$1:$K$167,2)</f>
        <v>36</v>
      </c>
      <c r="L64">
        <f>VLOOKUP(E64,nodes!$A$1:$K$167,2)</f>
        <v>133</v>
      </c>
      <c r="M64">
        <f t="shared" si="3"/>
        <v>4.6578449905482044E-2</v>
      </c>
      <c r="N64" s="2">
        <f t="shared" si="4"/>
        <v>21.469155844155843</v>
      </c>
      <c r="O64">
        <f t="shared" si="5"/>
        <v>4.5999999999999996</v>
      </c>
    </row>
    <row r="65" spans="1:15" x14ac:dyDescent="0.55000000000000004">
      <c r="A65">
        <v>65</v>
      </c>
      <c r="B65" t="s">
        <v>377</v>
      </c>
      <c r="C65">
        <v>1</v>
      </c>
      <c r="D65" t="s">
        <v>415</v>
      </c>
      <c r="E65" t="s">
        <v>423</v>
      </c>
      <c r="F65">
        <v>230</v>
      </c>
      <c r="G65">
        <v>148.86000000000001</v>
      </c>
      <c r="H65">
        <v>71.45</v>
      </c>
      <c r="I65">
        <v>362</v>
      </c>
      <c r="J65">
        <v>476</v>
      </c>
      <c r="K65">
        <f>VLOOKUP(D65,nodes!$A$1:$K$167,2)</f>
        <v>38</v>
      </c>
      <c r="L65">
        <f>VLOOKUP(E65,nodes!$A$1:$K$167,2)</f>
        <v>46</v>
      </c>
      <c r="M65">
        <f t="shared" si="3"/>
        <v>0.13506616257088846</v>
      </c>
      <c r="N65" s="2">
        <f t="shared" si="4"/>
        <v>7.4037788663400983</v>
      </c>
      <c r="O65">
        <f t="shared" si="5"/>
        <v>4.76</v>
      </c>
    </row>
    <row r="66" spans="1:15" x14ac:dyDescent="0.55000000000000004">
      <c r="A66">
        <v>66</v>
      </c>
      <c r="B66" t="s">
        <v>377</v>
      </c>
      <c r="C66">
        <v>1</v>
      </c>
      <c r="D66" t="s">
        <v>416</v>
      </c>
      <c r="E66" t="s">
        <v>523</v>
      </c>
      <c r="F66">
        <v>230</v>
      </c>
      <c r="G66">
        <v>67.239999999999995</v>
      </c>
      <c r="H66">
        <v>32.28</v>
      </c>
      <c r="I66">
        <v>541</v>
      </c>
      <c r="J66">
        <v>541</v>
      </c>
      <c r="K66">
        <f>VLOOKUP(D66,nodes!$A$1:$K$167,2)</f>
        <v>39</v>
      </c>
      <c r="L66">
        <f>VLOOKUP(E66,nodes!$A$1:$K$167,2)</f>
        <v>145</v>
      </c>
      <c r="M66">
        <f t="shared" si="3"/>
        <v>6.1020793950850666E-2</v>
      </c>
      <c r="N66" s="2">
        <f t="shared" si="4"/>
        <v>16.387856257744733</v>
      </c>
      <c r="O66">
        <f t="shared" si="5"/>
        <v>5.41</v>
      </c>
    </row>
    <row r="67" spans="1:15" x14ac:dyDescent="0.55000000000000004">
      <c r="A67">
        <v>67</v>
      </c>
      <c r="B67" t="s">
        <v>377</v>
      </c>
      <c r="C67">
        <v>1</v>
      </c>
      <c r="D67" t="s">
        <v>420</v>
      </c>
      <c r="E67" t="s">
        <v>406</v>
      </c>
      <c r="F67">
        <v>230</v>
      </c>
      <c r="G67">
        <v>38.472000000000001</v>
      </c>
      <c r="H67">
        <v>18.47</v>
      </c>
      <c r="I67">
        <v>218</v>
      </c>
      <c r="J67">
        <v>319</v>
      </c>
      <c r="K67">
        <f>VLOOKUP(D67,nodes!$A$1:$K$167,2)</f>
        <v>43</v>
      </c>
      <c r="L67">
        <f>VLOOKUP(E67,nodes!$A$1:$K$167,2)</f>
        <v>29</v>
      </c>
      <c r="M67">
        <f t="shared" si="3"/>
        <v>3.4914933837429107E-2</v>
      </c>
      <c r="N67" s="2">
        <f t="shared" si="4"/>
        <v>28.641039523551708</v>
      </c>
      <c r="O67">
        <f t="shared" si="5"/>
        <v>3.19</v>
      </c>
    </row>
    <row r="68" spans="1:15" x14ac:dyDescent="0.55000000000000004">
      <c r="A68">
        <v>68</v>
      </c>
      <c r="B68" t="s">
        <v>377</v>
      </c>
      <c r="C68">
        <v>1</v>
      </c>
      <c r="D68" t="s">
        <v>420</v>
      </c>
      <c r="E68" t="s">
        <v>492</v>
      </c>
      <c r="F68">
        <v>230</v>
      </c>
      <c r="G68">
        <v>97.92</v>
      </c>
      <c r="H68">
        <v>47</v>
      </c>
      <c r="I68">
        <v>198</v>
      </c>
      <c r="J68">
        <v>321</v>
      </c>
      <c r="K68">
        <f>VLOOKUP(D68,nodes!$A$1:$K$167,2)</f>
        <v>43</v>
      </c>
      <c r="L68">
        <f>VLOOKUP(E68,nodes!$A$1:$K$167,2)</f>
        <v>114</v>
      </c>
      <c r="M68">
        <f t="shared" si="3"/>
        <v>8.8846880907372403E-2</v>
      </c>
      <c r="N68" s="2">
        <f t="shared" si="4"/>
        <v>11.25531914893617</v>
      </c>
      <c r="O68">
        <f t="shared" si="5"/>
        <v>3.21</v>
      </c>
    </row>
    <row r="69" spans="1:15" x14ac:dyDescent="0.55000000000000004">
      <c r="A69">
        <v>69</v>
      </c>
      <c r="B69" t="s">
        <v>377</v>
      </c>
      <c r="C69">
        <v>1</v>
      </c>
      <c r="D69" t="s">
        <v>422</v>
      </c>
      <c r="E69" t="s">
        <v>464</v>
      </c>
      <c r="F69">
        <v>230</v>
      </c>
      <c r="G69">
        <v>9.34</v>
      </c>
      <c r="H69">
        <v>4.4800000000000004</v>
      </c>
      <c r="I69">
        <v>666</v>
      </c>
      <c r="J69">
        <v>806</v>
      </c>
      <c r="K69">
        <f>VLOOKUP(D69,nodes!$A$1:$K$167,2)</f>
        <v>45</v>
      </c>
      <c r="L69">
        <f>VLOOKUP(E69,nodes!$A$1:$K$167,2)</f>
        <v>86</v>
      </c>
      <c r="M69">
        <f t="shared" si="3"/>
        <v>8.4688090737240086E-3</v>
      </c>
      <c r="N69" s="2">
        <f t="shared" si="4"/>
        <v>118.08035714285712</v>
      </c>
      <c r="O69">
        <f t="shared" si="5"/>
        <v>8.06</v>
      </c>
    </row>
    <row r="70" spans="1:15" x14ac:dyDescent="0.55000000000000004">
      <c r="A70">
        <v>70</v>
      </c>
      <c r="B70" t="s">
        <v>377</v>
      </c>
      <c r="C70">
        <v>1</v>
      </c>
      <c r="D70" t="s">
        <v>424</v>
      </c>
      <c r="E70" t="s">
        <v>521</v>
      </c>
      <c r="F70">
        <v>230</v>
      </c>
      <c r="G70">
        <v>64.328000000000003</v>
      </c>
      <c r="H70">
        <v>30.88</v>
      </c>
      <c r="I70">
        <v>378</v>
      </c>
      <c r="J70">
        <v>459</v>
      </c>
      <c r="K70">
        <f>VLOOKUP(D70,nodes!$A$1:$K$167,2)</f>
        <v>47</v>
      </c>
      <c r="L70">
        <f>VLOOKUP(E70,nodes!$A$1:$K$167,2)</f>
        <v>143</v>
      </c>
      <c r="M70">
        <f t="shared" si="3"/>
        <v>5.8374291115311908E-2</v>
      </c>
      <c r="N70" s="2">
        <f t="shared" si="4"/>
        <v>17.130829015544041</v>
      </c>
      <c r="O70">
        <f t="shared" si="5"/>
        <v>4.59</v>
      </c>
    </row>
    <row r="71" spans="1:15" x14ac:dyDescent="0.55000000000000004">
      <c r="A71">
        <v>71</v>
      </c>
      <c r="B71" t="s">
        <v>377</v>
      </c>
      <c r="C71">
        <v>1</v>
      </c>
      <c r="D71" t="s">
        <v>424</v>
      </c>
      <c r="E71" t="s">
        <v>526</v>
      </c>
      <c r="F71">
        <v>500</v>
      </c>
      <c r="G71">
        <v>130.726</v>
      </c>
      <c r="H71">
        <v>51.64</v>
      </c>
      <c r="I71">
        <v>1889</v>
      </c>
      <c r="J71">
        <v>2544</v>
      </c>
      <c r="K71">
        <f>VLOOKUP(D71,nodes!$A$1:$K$167,2)</f>
        <v>47</v>
      </c>
      <c r="L71">
        <f>VLOOKUP(E71,nodes!$A$1:$K$167,2)</f>
        <v>148</v>
      </c>
      <c r="M71">
        <f t="shared" si="3"/>
        <v>2.0656000000000001E-2</v>
      </c>
      <c r="N71" s="2">
        <f t="shared" si="4"/>
        <v>48.412083656080554</v>
      </c>
      <c r="O71">
        <f t="shared" si="5"/>
        <v>25.44</v>
      </c>
    </row>
    <row r="72" spans="1:15" x14ac:dyDescent="0.55000000000000004">
      <c r="A72">
        <v>72</v>
      </c>
      <c r="B72" t="s">
        <v>377</v>
      </c>
      <c r="C72">
        <v>1</v>
      </c>
      <c r="D72" t="s">
        <v>425</v>
      </c>
      <c r="E72" t="s">
        <v>482</v>
      </c>
      <c r="F72">
        <v>500</v>
      </c>
      <c r="G72">
        <v>13.962999999999999</v>
      </c>
      <c r="H72">
        <v>5.52</v>
      </c>
      <c r="I72">
        <v>2072</v>
      </c>
      <c r="J72">
        <v>2800</v>
      </c>
      <c r="K72">
        <f>VLOOKUP(D72,nodes!$A$1:$K$167,2)</f>
        <v>48</v>
      </c>
      <c r="L72">
        <f>VLOOKUP(E72,nodes!$A$1:$K$167,2)</f>
        <v>104</v>
      </c>
      <c r="M72">
        <f t="shared" si="3"/>
        <v>2.2079999999999999E-3</v>
      </c>
      <c r="N72" s="2">
        <f t="shared" si="4"/>
        <v>452.89855072463769</v>
      </c>
      <c r="O72">
        <f t="shared" si="5"/>
        <v>28</v>
      </c>
    </row>
    <row r="73" spans="1:15" x14ac:dyDescent="0.55000000000000004">
      <c r="A73">
        <v>73</v>
      </c>
      <c r="B73" t="s">
        <v>377</v>
      </c>
      <c r="C73">
        <v>1</v>
      </c>
      <c r="D73" t="s">
        <v>425</v>
      </c>
      <c r="E73" t="s">
        <v>413</v>
      </c>
      <c r="F73">
        <v>230</v>
      </c>
      <c r="G73">
        <v>23.021000000000001</v>
      </c>
      <c r="H73">
        <v>11.05</v>
      </c>
      <c r="I73">
        <v>385</v>
      </c>
      <c r="J73">
        <v>461</v>
      </c>
      <c r="K73">
        <f>VLOOKUP(D73,nodes!$A$1:$K$167,2)</f>
        <v>48</v>
      </c>
      <c r="L73">
        <f>VLOOKUP(E73,nodes!$A$1:$K$167,2)</f>
        <v>36</v>
      </c>
      <c r="M73">
        <f t="shared" si="3"/>
        <v>2.0888468809073725E-2</v>
      </c>
      <c r="N73" s="2">
        <f t="shared" si="4"/>
        <v>47.873303167420815</v>
      </c>
      <c r="O73">
        <f t="shared" si="5"/>
        <v>4.6100000000000003</v>
      </c>
    </row>
    <row r="74" spans="1:15" x14ac:dyDescent="0.55000000000000004">
      <c r="A74">
        <v>74</v>
      </c>
      <c r="B74" t="s">
        <v>377</v>
      </c>
      <c r="C74">
        <v>1</v>
      </c>
      <c r="D74" t="s">
        <v>425</v>
      </c>
      <c r="E74" t="s">
        <v>543</v>
      </c>
      <c r="F74">
        <v>500</v>
      </c>
      <c r="G74">
        <v>277.642</v>
      </c>
      <c r="H74">
        <v>109.67</v>
      </c>
      <c r="I74">
        <v>1718</v>
      </c>
      <c r="J74">
        <v>2441</v>
      </c>
      <c r="K74">
        <f>VLOOKUP(D74,nodes!$A$1:$K$167,2)</f>
        <v>48</v>
      </c>
      <c r="L74">
        <f>VLOOKUP(E74,nodes!$A$1:$K$167,2)</f>
        <v>165</v>
      </c>
      <c r="M74">
        <f t="shared" si="3"/>
        <v>4.3867999999999997E-2</v>
      </c>
      <c r="N74" s="2">
        <f t="shared" si="4"/>
        <v>22.795659706391906</v>
      </c>
      <c r="O74">
        <f t="shared" si="5"/>
        <v>24.41</v>
      </c>
    </row>
    <row r="75" spans="1:15" x14ac:dyDescent="0.55000000000000004">
      <c r="A75">
        <v>75</v>
      </c>
      <c r="B75" t="s">
        <v>377</v>
      </c>
      <c r="C75">
        <v>1</v>
      </c>
      <c r="D75" t="s">
        <v>425</v>
      </c>
      <c r="E75" t="s">
        <v>543</v>
      </c>
      <c r="F75">
        <v>500</v>
      </c>
      <c r="G75">
        <v>277.786</v>
      </c>
      <c r="H75">
        <v>109.73</v>
      </c>
      <c r="I75">
        <v>1749</v>
      </c>
      <c r="J75">
        <v>2463</v>
      </c>
      <c r="K75">
        <f>VLOOKUP(D75,nodes!$A$1:$K$167,2)</f>
        <v>48</v>
      </c>
      <c r="L75">
        <f>VLOOKUP(E75,nodes!$A$1:$K$167,2)</f>
        <v>165</v>
      </c>
      <c r="M75">
        <f t="shared" si="3"/>
        <v>4.3892E-2</v>
      </c>
      <c r="N75" s="2">
        <f t="shared" si="4"/>
        <v>22.783195115282968</v>
      </c>
      <c r="O75">
        <f t="shared" si="5"/>
        <v>24.63</v>
      </c>
    </row>
    <row r="76" spans="1:15" x14ac:dyDescent="0.55000000000000004">
      <c r="A76">
        <v>76</v>
      </c>
      <c r="B76" t="s">
        <v>377</v>
      </c>
      <c r="C76">
        <v>1</v>
      </c>
      <c r="D76" t="s">
        <v>426</v>
      </c>
      <c r="E76" t="s">
        <v>432</v>
      </c>
      <c r="F76">
        <v>230</v>
      </c>
      <c r="G76">
        <v>7.0609999999999999</v>
      </c>
      <c r="H76">
        <v>3.39</v>
      </c>
      <c r="I76">
        <v>264</v>
      </c>
      <c r="J76">
        <v>312</v>
      </c>
      <c r="K76">
        <f>VLOOKUP(D76,nodes!$A$1:$K$167,2)</f>
        <v>49</v>
      </c>
      <c r="L76">
        <f>VLOOKUP(E76,nodes!$A$1:$K$167,2)</f>
        <v>55</v>
      </c>
      <c r="M76">
        <f t="shared" si="3"/>
        <v>6.4083175803402647E-3</v>
      </c>
      <c r="N76" s="2">
        <f t="shared" si="4"/>
        <v>156.04719764011799</v>
      </c>
      <c r="O76">
        <f t="shared" si="5"/>
        <v>3.12</v>
      </c>
    </row>
    <row r="77" spans="1:15" x14ac:dyDescent="0.55000000000000004">
      <c r="A77">
        <v>77</v>
      </c>
      <c r="B77" t="s">
        <v>377</v>
      </c>
      <c r="C77">
        <v>1</v>
      </c>
      <c r="D77" t="s">
        <v>427</v>
      </c>
      <c r="E77" t="s">
        <v>432</v>
      </c>
      <c r="F77">
        <v>230</v>
      </c>
      <c r="G77">
        <v>4.1609999999999996</v>
      </c>
      <c r="H77">
        <v>2</v>
      </c>
      <c r="I77">
        <v>295</v>
      </c>
      <c r="J77">
        <v>327</v>
      </c>
      <c r="K77">
        <f>VLOOKUP(D77,nodes!$A$1:$K$167,2)</f>
        <v>50</v>
      </c>
      <c r="L77">
        <f>VLOOKUP(E77,nodes!$A$1:$K$167,2)</f>
        <v>55</v>
      </c>
      <c r="M77">
        <f t="shared" si="3"/>
        <v>3.780718336483932E-3</v>
      </c>
      <c r="N77" s="2">
        <f t="shared" si="4"/>
        <v>264.5</v>
      </c>
      <c r="O77">
        <f t="shared" si="5"/>
        <v>3.27</v>
      </c>
    </row>
    <row r="78" spans="1:15" x14ac:dyDescent="0.55000000000000004">
      <c r="A78">
        <v>78</v>
      </c>
      <c r="B78" t="s">
        <v>377</v>
      </c>
      <c r="C78">
        <v>1</v>
      </c>
      <c r="D78" t="s">
        <v>428</v>
      </c>
      <c r="E78" t="s">
        <v>478</v>
      </c>
      <c r="F78">
        <v>230</v>
      </c>
      <c r="G78">
        <v>12.39</v>
      </c>
      <c r="H78">
        <v>5.95</v>
      </c>
      <c r="I78">
        <v>353</v>
      </c>
      <c r="J78">
        <v>353</v>
      </c>
      <c r="K78">
        <f>VLOOKUP(D78,nodes!$A$1:$K$167,2)</f>
        <v>51</v>
      </c>
      <c r="L78">
        <f>VLOOKUP(E78,nodes!$A$1:$K$167,2)</f>
        <v>100</v>
      </c>
      <c r="M78">
        <f t="shared" si="3"/>
        <v>1.1247637051039698E-2</v>
      </c>
      <c r="N78" s="2">
        <f t="shared" si="4"/>
        <v>88.907563025210081</v>
      </c>
      <c r="O78">
        <f t="shared" si="5"/>
        <v>3.53</v>
      </c>
    </row>
    <row r="79" spans="1:15" x14ac:dyDescent="0.55000000000000004">
      <c r="A79">
        <v>79</v>
      </c>
      <c r="B79" t="s">
        <v>377</v>
      </c>
      <c r="C79">
        <v>1</v>
      </c>
      <c r="D79" t="s">
        <v>428</v>
      </c>
      <c r="E79" t="s">
        <v>478</v>
      </c>
      <c r="F79">
        <v>230</v>
      </c>
      <c r="G79">
        <v>15.51</v>
      </c>
      <c r="H79">
        <v>7.44</v>
      </c>
      <c r="I79">
        <v>341</v>
      </c>
      <c r="J79">
        <v>341</v>
      </c>
      <c r="K79">
        <f>VLOOKUP(D79,nodes!$A$1:$K$167,2)</f>
        <v>51</v>
      </c>
      <c r="L79">
        <f>VLOOKUP(E79,nodes!$A$1:$K$167,2)</f>
        <v>100</v>
      </c>
      <c r="M79">
        <f t="shared" si="3"/>
        <v>1.4064272211720227E-2</v>
      </c>
      <c r="N79" s="2">
        <f t="shared" si="4"/>
        <v>71.102150537634401</v>
      </c>
      <c r="O79">
        <f t="shared" si="5"/>
        <v>3.41</v>
      </c>
    </row>
    <row r="80" spans="1:15" x14ac:dyDescent="0.55000000000000004">
      <c r="A80">
        <v>80</v>
      </c>
      <c r="B80" t="s">
        <v>377</v>
      </c>
      <c r="C80">
        <v>1</v>
      </c>
      <c r="D80" t="s">
        <v>429</v>
      </c>
      <c r="E80" t="s">
        <v>505</v>
      </c>
      <c r="F80">
        <v>230</v>
      </c>
      <c r="G80">
        <v>103.157</v>
      </c>
      <c r="H80">
        <v>49.52</v>
      </c>
      <c r="I80">
        <v>385</v>
      </c>
      <c r="J80">
        <v>457</v>
      </c>
      <c r="K80">
        <f>VLOOKUP(D80,nodes!$A$1:$K$167,2)</f>
        <v>52</v>
      </c>
      <c r="L80">
        <f>VLOOKUP(E80,nodes!$A$1:$K$167,2)</f>
        <v>127</v>
      </c>
      <c r="M80">
        <f t="shared" si="3"/>
        <v>9.3610586011342159E-2</v>
      </c>
      <c r="N80" s="2">
        <f t="shared" si="4"/>
        <v>10.682552504038771</v>
      </c>
      <c r="O80">
        <f t="shared" si="5"/>
        <v>4.57</v>
      </c>
    </row>
    <row r="81" spans="1:15" x14ac:dyDescent="0.55000000000000004">
      <c r="A81">
        <v>81</v>
      </c>
      <c r="B81" t="s">
        <v>377</v>
      </c>
      <c r="C81">
        <v>1</v>
      </c>
      <c r="D81" t="s">
        <v>430</v>
      </c>
      <c r="E81" t="s">
        <v>476</v>
      </c>
      <c r="F81">
        <v>230</v>
      </c>
      <c r="G81">
        <v>8.6199999999999992</v>
      </c>
      <c r="H81">
        <v>4.1399999999999997</v>
      </c>
      <c r="I81">
        <v>335</v>
      </c>
      <c r="J81">
        <v>389</v>
      </c>
      <c r="K81">
        <f>VLOOKUP(D81,nodes!$A$1:$K$167,2)</f>
        <v>53</v>
      </c>
      <c r="L81">
        <f>VLOOKUP(E81,nodes!$A$1:$K$167,2)</f>
        <v>98</v>
      </c>
      <c r="M81">
        <f t="shared" si="3"/>
        <v>7.826086956521738E-3</v>
      </c>
      <c r="N81" s="2">
        <f t="shared" si="4"/>
        <v>127.7777777777778</v>
      </c>
      <c r="O81">
        <f t="shared" si="5"/>
        <v>3.89</v>
      </c>
    </row>
    <row r="82" spans="1:15" x14ac:dyDescent="0.55000000000000004">
      <c r="A82">
        <v>82</v>
      </c>
      <c r="B82" t="s">
        <v>377</v>
      </c>
      <c r="C82">
        <v>1</v>
      </c>
      <c r="D82" t="s">
        <v>430</v>
      </c>
      <c r="E82" t="s">
        <v>410</v>
      </c>
      <c r="F82">
        <v>230</v>
      </c>
      <c r="G82">
        <v>8.7230000000000008</v>
      </c>
      <c r="H82">
        <v>4.1900000000000004</v>
      </c>
      <c r="I82">
        <v>436</v>
      </c>
      <c r="J82">
        <v>455</v>
      </c>
      <c r="K82">
        <f>VLOOKUP(D82,nodes!$A$1:$K$167,2)</f>
        <v>53</v>
      </c>
      <c r="L82">
        <f>VLOOKUP(E82,nodes!$A$1:$K$167,2)</f>
        <v>33</v>
      </c>
      <c r="M82">
        <f t="shared" si="3"/>
        <v>7.9206049149338383E-3</v>
      </c>
      <c r="N82" s="2">
        <f t="shared" si="4"/>
        <v>126.25298329355607</v>
      </c>
      <c r="O82">
        <f t="shared" si="5"/>
        <v>4.55</v>
      </c>
    </row>
    <row r="83" spans="1:15" x14ac:dyDescent="0.55000000000000004">
      <c r="A83">
        <v>83</v>
      </c>
      <c r="B83" t="s">
        <v>377</v>
      </c>
      <c r="C83">
        <v>1</v>
      </c>
      <c r="D83" t="s">
        <v>430</v>
      </c>
      <c r="E83" t="s">
        <v>476</v>
      </c>
      <c r="F83">
        <v>230</v>
      </c>
      <c r="G83">
        <v>24.149000000000001</v>
      </c>
      <c r="H83">
        <v>11.59</v>
      </c>
      <c r="I83">
        <v>226</v>
      </c>
      <c r="J83">
        <v>262</v>
      </c>
      <c r="K83">
        <f>VLOOKUP(D83,nodes!$A$1:$K$167,2)</f>
        <v>53</v>
      </c>
      <c r="L83">
        <f>VLOOKUP(E83,nodes!$A$1:$K$167,2)</f>
        <v>98</v>
      </c>
      <c r="M83">
        <f t="shared" si="3"/>
        <v>2.1909262759924386E-2</v>
      </c>
      <c r="N83" s="2">
        <f t="shared" si="4"/>
        <v>45.642795513373599</v>
      </c>
      <c r="O83">
        <f t="shared" si="5"/>
        <v>2.62</v>
      </c>
    </row>
    <row r="84" spans="1:15" x14ac:dyDescent="0.55000000000000004">
      <c r="A84">
        <v>84</v>
      </c>
      <c r="B84" t="s">
        <v>377</v>
      </c>
      <c r="C84">
        <v>1</v>
      </c>
      <c r="D84" t="s">
        <v>432</v>
      </c>
      <c r="E84" t="s">
        <v>417</v>
      </c>
      <c r="F84">
        <v>230</v>
      </c>
      <c r="G84">
        <v>2.5779999999999998</v>
      </c>
      <c r="H84">
        <v>1.24</v>
      </c>
      <c r="I84">
        <v>406</v>
      </c>
      <c r="J84">
        <v>432</v>
      </c>
      <c r="K84">
        <f>VLOOKUP(D84,nodes!$A$1:$K$167,2)</f>
        <v>55</v>
      </c>
      <c r="L84">
        <f>VLOOKUP(E84,nodes!$A$1:$K$167,2)</f>
        <v>40</v>
      </c>
      <c r="M84">
        <f t="shared" si="3"/>
        <v>2.3440453686200376E-3</v>
      </c>
      <c r="N84" s="2">
        <f t="shared" si="4"/>
        <v>426.61290322580646</v>
      </c>
      <c r="O84">
        <f t="shared" si="5"/>
        <v>4.32</v>
      </c>
    </row>
    <row r="85" spans="1:15" x14ac:dyDescent="0.55000000000000004">
      <c r="A85">
        <v>85</v>
      </c>
      <c r="B85" t="s">
        <v>377</v>
      </c>
      <c r="C85">
        <v>1</v>
      </c>
      <c r="D85" t="s">
        <v>434</v>
      </c>
      <c r="E85" t="s">
        <v>433</v>
      </c>
      <c r="F85">
        <v>230</v>
      </c>
      <c r="G85">
        <v>12.169</v>
      </c>
      <c r="H85">
        <v>5.84</v>
      </c>
      <c r="I85">
        <v>383</v>
      </c>
      <c r="J85">
        <v>461</v>
      </c>
      <c r="K85">
        <f>VLOOKUP(D85,nodes!$A$1:$K$167,2)</f>
        <v>57</v>
      </c>
      <c r="L85">
        <f>VLOOKUP(E85,nodes!$A$1:$K$167,2)</f>
        <v>56</v>
      </c>
      <c r="M85">
        <f t="shared" si="3"/>
        <v>1.103969754253308E-2</v>
      </c>
      <c r="N85" s="2">
        <f t="shared" si="4"/>
        <v>90.58219178082193</v>
      </c>
      <c r="O85">
        <f t="shared" si="5"/>
        <v>4.6100000000000003</v>
      </c>
    </row>
    <row r="86" spans="1:15" x14ac:dyDescent="0.55000000000000004">
      <c r="A86">
        <v>86</v>
      </c>
      <c r="B86" t="s">
        <v>377</v>
      </c>
      <c r="C86">
        <v>1</v>
      </c>
      <c r="D86" t="s">
        <v>434</v>
      </c>
      <c r="E86" t="s">
        <v>433</v>
      </c>
      <c r="F86">
        <v>230</v>
      </c>
      <c r="G86">
        <v>12.198</v>
      </c>
      <c r="H86">
        <v>5.86</v>
      </c>
      <c r="I86">
        <v>383</v>
      </c>
      <c r="J86">
        <v>461</v>
      </c>
      <c r="K86">
        <f>VLOOKUP(D86,nodes!$A$1:$K$167,2)</f>
        <v>57</v>
      </c>
      <c r="L86">
        <f>VLOOKUP(E86,nodes!$A$1:$K$167,2)</f>
        <v>56</v>
      </c>
      <c r="M86">
        <f t="shared" si="3"/>
        <v>1.1077504725897922E-2</v>
      </c>
      <c r="N86" s="2">
        <f t="shared" si="4"/>
        <v>90.273037542662109</v>
      </c>
      <c r="O86">
        <f t="shared" si="5"/>
        <v>4.6100000000000003</v>
      </c>
    </row>
    <row r="87" spans="1:15" x14ac:dyDescent="0.55000000000000004">
      <c r="A87">
        <v>87</v>
      </c>
      <c r="B87" t="s">
        <v>377</v>
      </c>
      <c r="C87">
        <v>1</v>
      </c>
      <c r="D87" t="s">
        <v>434</v>
      </c>
      <c r="E87" t="s">
        <v>415</v>
      </c>
      <c r="F87">
        <v>230</v>
      </c>
      <c r="G87">
        <v>95.94</v>
      </c>
      <c r="H87">
        <v>46.05</v>
      </c>
      <c r="I87">
        <v>699</v>
      </c>
      <c r="J87">
        <v>812</v>
      </c>
      <c r="K87">
        <f>VLOOKUP(D87,nodes!$A$1:$K$167,2)</f>
        <v>57</v>
      </c>
      <c r="L87">
        <f>VLOOKUP(E87,nodes!$A$1:$K$167,2)</f>
        <v>38</v>
      </c>
      <c r="M87">
        <f t="shared" si="3"/>
        <v>8.7051039697542534E-2</v>
      </c>
      <c r="N87" s="2">
        <f t="shared" si="4"/>
        <v>11.487513572204126</v>
      </c>
      <c r="O87">
        <f t="shared" si="5"/>
        <v>8.1199999999999992</v>
      </c>
    </row>
    <row r="88" spans="1:15" x14ac:dyDescent="0.55000000000000004">
      <c r="A88">
        <v>88</v>
      </c>
      <c r="B88" t="s">
        <v>377</v>
      </c>
      <c r="C88">
        <v>1</v>
      </c>
      <c r="D88" t="s">
        <v>434</v>
      </c>
      <c r="E88" t="s">
        <v>415</v>
      </c>
      <c r="F88">
        <v>230</v>
      </c>
      <c r="G88">
        <v>96.11</v>
      </c>
      <c r="H88">
        <v>46.13</v>
      </c>
      <c r="I88">
        <v>587</v>
      </c>
      <c r="J88">
        <v>801</v>
      </c>
      <c r="K88">
        <f>VLOOKUP(D88,nodes!$A$1:$K$167,2)</f>
        <v>57</v>
      </c>
      <c r="L88">
        <f>VLOOKUP(E88,nodes!$A$1:$K$167,2)</f>
        <v>38</v>
      </c>
      <c r="M88">
        <f t="shared" si="3"/>
        <v>8.72022684310019E-2</v>
      </c>
      <c r="N88" s="2">
        <f t="shared" si="4"/>
        <v>11.467591588987643</v>
      </c>
      <c r="O88">
        <f t="shared" si="5"/>
        <v>8.01</v>
      </c>
    </row>
    <row r="89" spans="1:15" x14ac:dyDescent="0.55000000000000004">
      <c r="A89">
        <v>89</v>
      </c>
      <c r="B89" t="s">
        <v>377</v>
      </c>
      <c r="C89">
        <v>1</v>
      </c>
      <c r="D89" t="s">
        <v>436</v>
      </c>
      <c r="E89" t="s">
        <v>541</v>
      </c>
      <c r="F89">
        <v>230</v>
      </c>
      <c r="G89">
        <v>5.2750000000000004</v>
      </c>
      <c r="H89">
        <v>2.5299999999999998</v>
      </c>
      <c r="I89">
        <v>355</v>
      </c>
      <c r="J89">
        <v>430</v>
      </c>
      <c r="K89">
        <f>VLOOKUP(D89,nodes!$A$1:$K$167,2)</f>
        <v>59</v>
      </c>
      <c r="L89">
        <f>VLOOKUP(E89,nodes!$A$1:$K$167,2)</f>
        <v>163</v>
      </c>
      <c r="M89">
        <f t="shared" si="3"/>
        <v>4.7826086956521737E-3</v>
      </c>
      <c r="N89" s="2">
        <f t="shared" si="4"/>
        <v>209.09090909090909</v>
      </c>
      <c r="O89">
        <f t="shared" si="5"/>
        <v>4.3</v>
      </c>
    </row>
    <row r="90" spans="1:15" x14ac:dyDescent="0.55000000000000004">
      <c r="A90">
        <v>90</v>
      </c>
      <c r="B90" t="s">
        <v>377</v>
      </c>
      <c r="C90">
        <v>1</v>
      </c>
      <c r="D90" t="s">
        <v>436</v>
      </c>
      <c r="E90" t="s">
        <v>422</v>
      </c>
      <c r="F90">
        <v>230</v>
      </c>
      <c r="G90">
        <v>6.8639999999999999</v>
      </c>
      <c r="H90">
        <v>3.29</v>
      </c>
      <c r="I90">
        <v>695</v>
      </c>
      <c r="J90">
        <v>815</v>
      </c>
      <c r="K90">
        <f>VLOOKUP(D90,nodes!$A$1:$K$167,2)</f>
        <v>59</v>
      </c>
      <c r="L90">
        <f>VLOOKUP(E90,nodes!$A$1:$K$167,2)</f>
        <v>45</v>
      </c>
      <c r="M90">
        <f t="shared" si="3"/>
        <v>6.2192816635160677E-3</v>
      </c>
      <c r="N90" s="2">
        <f t="shared" si="4"/>
        <v>160.790273556231</v>
      </c>
      <c r="O90">
        <f t="shared" si="5"/>
        <v>8.15</v>
      </c>
    </row>
    <row r="91" spans="1:15" x14ac:dyDescent="0.55000000000000004">
      <c r="A91">
        <v>91</v>
      </c>
      <c r="B91" t="s">
        <v>377</v>
      </c>
      <c r="C91">
        <v>1</v>
      </c>
      <c r="D91" t="s">
        <v>436</v>
      </c>
      <c r="E91" t="s">
        <v>520</v>
      </c>
      <c r="F91">
        <v>230</v>
      </c>
      <c r="G91">
        <v>16.850000000000001</v>
      </c>
      <c r="H91">
        <v>8.09</v>
      </c>
      <c r="I91">
        <v>767</v>
      </c>
      <c r="J91">
        <v>921</v>
      </c>
      <c r="K91">
        <f>VLOOKUP(D91,nodes!$A$1:$K$167,2)</f>
        <v>59</v>
      </c>
      <c r="L91">
        <f>VLOOKUP(E91,nodes!$A$1:$K$167,2)</f>
        <v>142</v>
      </c>
      <c r="M91">
        <f t="shared" si="3"/>
        <v>1.5293005671077504E-2</v>
      </c>
      <c r="N91" s="2">
        <f t="shared" si="4"/>
        <v>65.389369592088997</v>
      </c>
      <c r="O91">
        <f t="shared" si="5"/>
        <v>9.2100000000000009</v>
      </c>
    </row>
    <row r="92" spans="1:15" x14ac:dyDescent="0.55000000000000004">
      <c r="A92">
        <v>92</v>
      </c>
      <c r="B92" t="s">
        <v>377</v>
      </c>
      <c r="C92">
        <v>1</v>
      </c>
      <c r="D92" t="s">
        <v>436</v>
      </c>
      <c r="E92" t="s">
        <v>520</v>
      </c>
      <c r="F92">
        <v>230</v>
      </c>
      <c r="G92">
        <v>16.850000000000001</v>
      </c>
      <c r="H92">
        <v>8.09</v>
      </c>
      <c r="I92">
        <v>767</v>
      </c>
      <c r="J92">
        <v>921</v>
      </c>
      <c r="K92">
        <f>VLOOKUP(D92,nodes!$A$1:$K$167,2)</f>
        <v>59</v>
      </c>
      <c r="L92">
        <f>VLOOKUP(E92,nodes!$A$1:$K$167,2)</f>
        <v>142</v>
      </c>
      <c r="M92">
        <f t="shared" si="3"/>
        <v>1.5293005671077504E-2</v>
      </c>
      <c r="N92" s="2">
        <f t="shared" si="4"/>
        <v>65.389369592088997</v>
      </c>
      <c r="O92">
        <f t="shared" si="5"/>
        <v>9.2100000000000009</v>
      </c>
    </row>
    <row r="93" spans="1:15" x14ac:dyDescent="0.55000000000000004">
      <c r="A93">
        <v>93</v>
      </c>
      <c r="B93" t="s">
        <v>377</v>
      </c>
      <c r="C93">
        <v>1</v>
      </c>
      <c r="D93" t="s">
        <v>436</v>
      </c>
      <c r="E93" t="s">
        <v>520</v>
      </c>
      <c r="F93">
        <v>230</v>
      </c>
      <c r="G93">
        <v>16.88</v>
      </c>
      <c r="H93">
        <v>8.1</v>
      </c>
      <c r="I93">
        <v>233</v>
      </c>
      <c r="J93">
        <v>341</v>
      </c>
      <c r="K93">
        <f>VLOOKUP(D93,nodes!$A$1:$K$167,2)</f>
        <v>59</v>
      </c>
      <c r="L93">
        <f>VLOOKUP(E93,nodes!$A$1:$K$167,2)</f>
        <v>142</v>
      </c>
      <c r="M93">
        <f t="shared" si="3"/>
        <v>1.5311909262759923E-2</v>
      </c>
      <c r="N93" s="2">
        <f t="shared" si="4"/>
        <v>65.308641975308646</v>
      </c>
      <c r="O93">
        <f t="shared" si="5"/>
        <v>3.41</v>
      </c>
    </row>
    <row r="94" spans="1:15" x14ac:dyDescent="0.55000000000000004">
      <c r="A94">
        <v>94</v>
      </c>
      <c r="B94" t="s">
        <v>377</v>
      </c>
      <c r="C94">
        <v>1</v>
      </c>
      <c r="D94" t="s">
        <v>436</v>
      </c>
      <c r="E94" t="s">
        <v>381</v>
      </c>
      <c r="F94">
        <v>230</v>
      </c>
      <c r="G94">
        <v>16.940999999999999</v>
      </c>
      <c r="H94">
        <v>8.1300000000000008</v>
      </c>
      <c r="I94">
        <v>233</v>
      </c>
      <c r="J94">
        <v>341</v>
      </c>
      <c r="K94">
        <f>VLOOKUP(D94,nodes!$A$1:$K$167,2)</f>
        <v>59</v>
      </c>
      <c r="L94">
        <f>VLOOKUP(E94,nodes!$A$1:$K$167,2)</f>
        <v>5</v>
      </c>
      <c r="M94">
        <f t="shared" si="3"/>
        <v>1.5368620037807186E-2</v>
      </c>
      <c r="N94" s="2">
        <f t="shared" si="4"/>
        <v>65.067650676506759</v>
      </c>
      <c r="O94">
        <f t="shared" si="5"/>
        <v>3.41</v>
      </c>
    </row>
    <row r="95" spans="1:15" x14ac:dyDescent="0.55000000000000004">
      <c r="A95">
        <v>95</v>
      </c>
      <c r="B95" t="s">
        <v>377</v>
      </c>
      <c r="C95">
        <v>1</v>
      </c>
      <c r="D95" t="s">
        <v>436</v>
      </c>
      <c r="E95" t="s">
        <v>553</v>
      </c>
      <c r="F95">
        <v>500</v>
      </c>
      <c r="G95">
        <v>21.6</v>
      </c>
      <c r="H95">
        <v>8.5299999999999994</v>
      </c>
      <c r="I95">
        <v>700</v>
      </c>
      <c r="J95">
        <v>700</v>
      </c>
      <c r="K95">
        <f>VLOOKUP(D95,nodes!$A$1:$K$167,2)</f>
        <v>59</v>
      </c>
      <c r="L95">
        <f>VLOOKUP(E95,nodes!$A$1:$K$167,2)</f>
        <v>166</v>
      </c>
      <c r="M95">
        <f t="shared" si="3"/>
        <v>3.4119999999999997E-3</v>
      </c>
      <c r="N95" s="2">
        <f t="shared" si="4"/>
        <v>293.08323563892151</v>
      </c>
      <c r="O95">
        <f t="shared" si="5"/>
        <v>7</v>
      </c>
    </row>
    <row r="96" spans="1:15" x14ac:dyDescent="0.55000000000000004">
      <c r="A96">
        <v>96</v>
      </c>
      <c r="B96" t="s">
        <v>377</v>
      </c>
      <c r="C96">
        <v>1</v>
      </c>
      <c r="D96" t="s">
        <v>436</v>
      </c>
      <c r="E96" t="s">
        <v>553</v>
      </c>
      <c r="F96">
        <v>500</v>
      </c>
      <c r="G96">
        <v>21.6</v>
      </c>
      <c r="H96">
        <v>8.5299999999999994</v>
      </c>
      <c r="I96">
        <v>700</v>
      </c>
      <c r="J96">
        <v>700</v>
      </c>
      <c r="K96">
        <f>VLOOKUP(D96,nodes!$A$1:$K$167,2)</f>
        <v>59</v>
      </c>
      <c r="L96">
        <f>VLOOKUP(E96,nodes!$A$1:$K$167,2)</f>
        <v>166</v>
      </c>
      <c r="M96">
        <f t="shared" si="3"/>
        <v>3.4119999999999997E-3</v>
      </c>
      <c r="N96" s="2">
        <f t="shared" si="4"/>
        <v>293.08323563892151</v>
      </c>
      <c r="O96">
        <f t="shared" si="5"/>
        <v>7</v>
      </c>
    </row>
    <row r="97" spans="1:15" x14ac:dyDescent="0.55000000000000004">
      <c r="A97">
        <v>97</v>
      </c>
      <c r="B97" t="s">
        <v>377</v>
      </c>
      <c r="C97">
        <v>1</v>
      </c>
      <c r="D97" t="s">
        <v>436</v>
      </c>
      <c r="E97" t="s">
        <v>402</v>
      </c>
      <c r="F97">
        <v>230</v>
      </c>
      <c r="G97">
        <v>22.675999999999998</v>
      </c>
      <c r="H97">
        <v>10.88</v>
      </c>
      <c r="I97">
        <v>358</v>
      </c>
      <c r="J97">
        <v>431</v>
      </c>
      <c r="K97">
        <f>VLOOKUP(D97,nodes!$A$1:$K$167,2)</f>
        <v>59</v>
      </c>
      <c r="L97">
        <f>VLOOKUP(E97,nodes!$A$1:$K$167,2)</f>
        <v>25</v>
      </c>
      <c r="M97">
        <f t="shared" si="3"/>
        <v>2.0567107750472591E-2</v>
      </c>
      <c r="N97" s="2">
        <f t="shared" si="4"/>
        <v>48.621323529411761</v>
      </c>
      <c r="O97">
        <f t="shared" si="5"/>
        <v>4.3099999999999996</v>
      </c>
    </row>
    <row r="98" spans="1:15" x14ac:dyDescent="0.55000000000000004">
      <c r="A98">
        <v>98</v>
      </c>
      <c r="B98" t="s">
        <v>377</v>
      </c>
      <c r="C98">
        <v>1</v>
      </c>
      <c r="D98" t="s">
        <v>436</v>
      </c>
      <c r="E98" t="s">
        <v>402</v>
      </c>
      <c r="F98">
        <v>230</v>
      </c>
      <c r="G98">
        <v>23.3</v>
      </c>
      <c r="H98">
        <v>11.18</v>
      </c>
      <c r="I98">
        <v>359</v>
      </c>
      <c r="J98">
        <v>437</v>
      </c>
      <c r="K98">
        <f>VLOOKUP(D98,nodes!$A$1:$K$167,2)</f>
        <v>59</v>
      </c>
      <c r="L98">
        <f>VLOOKUP(E98,nodes!$A$1:$K$167,2)</f>
        <v>25</v>
      </c>
      <c r="M98">
        <f t="shared" si="3"/>
        <v>2.1134215500945179E-2</v>
      </c>
      <c r="N98" s="2">
        <f t="shared" si="4"/>
        <v>47.31663685152057</v>
      </c>
      <c r="O98">
        <f t="shared" si="5"/>
        <v>4.37</v>
      </c>
    </row>
    <row r="99" spans="1:15" x14ac:dyDescent="0.55000000000000004">
      <c r="A99">
        <v>99</v>
      </c>
      <c r="B99" t="s">
        <v>377</v>
      </c>
      <c r="C99">
        <v>1</v>
      </c>
      <c r="D99" t="s">
        <v>437</v>
      </c>
      <c r="E99" t="s">
        <v>443</v>
      </c>
      <c r="F99">
        <v>230</v>
      </c>
      <c r="G99">
        <v>111.67700000000001</v>
      </c>
      <c r="H99">
        <v>53.6</v>
      </c>
      <c r="I99">
        <v>384</v>
      </c>
      <c r="J99">
        <v>459</v>
      </c>
      <c r="K99">
        <f>VLOOKUP(D99,nodes!$A$1:$K$167,2)</f>
        <v>60</v>
      </c>
      <c r="L99">
        <f>VLOOKUP(E99,nodes!$A$1:$K$167,2)</f>
        <v>66</v>
      </c>
      <c r="M99">
        <f t="shared" si="3"/>
        <v>0.10132325141776938</v>
      </c>
      <c r="N99" s="2">
        <f t="shared" si="4"/>
        <v>9.8694029850746272</v>
      </c>
      <c r="O99">
        <f t="shared" si="5"/>
        <v>4.59</v>
      </c>
    </row>
    <row r="100" spans="1:15" x14ac:dyDescent="0.55000000000000004">
      <c r="A100">
        <v>100</v>
      </c>
      <c r="B100" t="s">
        <v>377</v>
      </c>
      <c r="C100">
        <v>1</v>
      </c>
      <c r="D100" t="s">
        <v>438</v>
      </c>
      <c r="E100" t="s">
        <v>474</v>
      </c>
      <c r="F100">
        <v>230</v>
      </c>
      <c r="G100">
        <v>20</v>
      </c>
      <c r="H100">
        <v>9.6</v>
      </c>
      <c r="I100">
        <v>466</v>
      </c>
      <c r="J100">
        <v>570</v>
      </c>
      <c r="K100">
        <f>VLOOKUP(D100,nodes!$A$1:$K$167,2)</f>
        <v>61</v>
      </c>
      <c r="L100">
        <f>VLOOKUP(E100,nodes!$A$1:$K$167,2)</f>
        <v>96</v>
      </c>
      <c r="M100">
        <f t="shared" si="3"/>
        <v>1.8147448015122872E-2</v>
      </c>
      <c r="N100" s="2">
        <f t="shared" si="4"/>
        <v>55.104166666666671</v>
      </c>
      <c r="O100">
        <f t="shared" si="5"/>
        <v>5.7</v>
      </c>
    </row>
    <row r="101" spans="1:15" x14ac:dyDescent="0.55000000000000004">
      <c r="A101">
        <v>101</v>
      </c>
      <c r="B101" t="s">
        <v>377</v>
      </c>
      <c r="C101">
        <v>1</v>
      </c>
      <c r="D101" t="s">
        <v>438</v>
      </c>
      <c r="E101" t="s">
        <v>418</v>
      </c>
      <c r="F101">
        <v>230</v>
      </c>
      <c r="G101">
        <v>150.03</v>
      </c>
      <c r="H101">
        <v>72.010000000000005</v>
      </c>
      <c r="I101">
        <v>466</v>
      </c>
      <c r="J101">
        <v>570</v>
      </c>
      <c r="K101">
        <f>VLOOKUP(D101,nodes!$A$1:$K$167,2)</f>
        <v>61</v>
      </c>
      <c r="L101">
        <f>VLOOKUP(E101,nodes!$A$1:$K$167,2)</f>
        <v>41</v>
      </c>
      <c r="M101">
        <f t="shared" si="3"/>
        <v>0.13612476370510398</v>
      </c>
      <c r="N101" s="2">
        <f t="shared" si="4"/>
        <v>7.3462019164004992</v>
      </c>
      <c r="O101">
        <f t="shared" si="5"/>
        <v>5.7</v>
      </c>
    </row>
    <row r="102" spans="1:15" x14ac:dyDescent="0.55000000000000004">
      <c r="A102">
        <v>102</v>
      </c>
      <c r="B102" t="s">
        <v>377</v>
      </c>
      <c r="C102">
        <v>1</v>
      </c>
      <c r="D102" t="s">
        <v>439</v>
      </c>
      <c r="E102" t="s">
        <v>404</v>
      </c>
      <c r="F102">
        <v>500</v>
      </c>
      <c r="G102">
        <v>271.63299999999998</v>
      </c>
      <c r="H102">
        <v>107.3</v>
      </c>
      <c r="I102">
        <v>2138</v>
      </c>
      <c r="J102">
        <v>2627</v>
      </c>
      <c r="K102">
        <f>VLOOKUP(D102,nodes!$A$1:$K$167,2)</f>
        <v>62</v>
      </c>
      <c r="L102">
        <f>VLOOKUP(E102,nodes!$A$1:$K$167,2)</f>
        <v>27</v>
      </c>
      <c r="M102">
        <f t="shared" si="3"/>
        <v>4.292E-2</v>
      </c>
      <c r="N102" s="2">
        <f t="shared" si="4"/>
        <v>23.299161230195715</v>
      </c>
      <c r="O102">
        <f t="shared" si="5"/>
        <v>26.27</v>
      </c>
    </row>
    <row r="103" spans="1:15" x14ac:dyDescent="0.55000000000000004">
      <c r="A103">
        <v>103</v>
      </c>
      <c r="B103" t="s">
        <v>377</v>
      </c>
      <c r="C103">
        <v>1</v>
      </c>
      <c r="D103" t="s">
        <v>440</v>
      </c>
      <c r="E103" t="s">
        <v>506</v>
      </c>
      <c r="F103">
        <v>230</v>
      </c>
      <c r="G103">
        <v>45.853999999999999</v>
      </c>
      <c r="H103">
        <v>22.01</v>
      </c>
      <c r="I103">
        <v>385</v>
      </c>
      <c r="J103">
        <v>462</v>
      </c>
      <c r="K103">
        <f>VLOOKUP(D103,nodes!$A$1:$K$167,2)</f>
        <v>63</v>
      </c>
      <c r="L103">
        <f>VLOOKUP(E103,nodes!$A$1:$K$167,2)</f>
        <v>128</v>
      </c>
      <c r="M103">
        <f t="shared" si="3"/>
        <v>4.1606805293005672E-2</v>
      </c>
      <c r="N103" s="2">
        <f t="shared" si="4"/>
        <v>24.034529759200364</v>
      </c>
      <c r="O103">
        <f t="shared" si="5"/>
        <v>4.62</v>
      </c>
    </row>
    <row r="104" spans="1:15" x14ac:dyDescent="0.55000000000000004">
      <c r="A104">
        <v>104</v>
      </c>
      <c r="B104" t="s">
        <v>377</v>
      </c>
      <c r="C104">
        <v>1</v>
      </c>
      <c r="D104" t="s">
        <v>440</v>
      </c>
      <c r="E104" t="s">
        <v>506</v>
      </c>
      <c r="F104">
        <v>230</v>
      </c>
      <c r="G104">
        <v>45.853999999999999</v>
      </c>
      <c r="H104">
        <v>22.01</v>
      </c>
      <c r="I104">
        <v>385</v>
      </c>
      <c r="J104">
        <v>462</v>
      </c>
      <c r="K104">
        <f>VLOOKUP(D104,nodes!$A$1:$K$167,2)</f>
        <v>63</v>
      </c>
      <c r="L104">
        <f>VLOOKUP(E104,nodes!$A$1:$K$167,2)</f>
        <v>128</v>
      </c>
      <c r="M104">
        <f t="shared" si="3"/>
        <v>4.1606805293005672E-2</v>
      </c>
      <c r="N104" s="2">
        <f t="shared" si="4"/>
        <v>24.034529759200364</v>
      </c>
      <c r="O104">
        <f t="shared" si="5"/>
        <v>4.62</v>
      </c>
    </row>
    <row r="105" spans="1:15" x14ac:dyDescent="0.55000000000000004">
      <c r="A105">
        <v>105</v>
      </c>
      <c r="B105" t="s">
        <v>377</v>
      </c>
      <c r="C105">
        <v>1</v>
      </c>
      <c r="D105" t="s">
        <v>441</v>
      </c>
      <c r="E105" t="s">
        <v>448</v>
      </c>
      <c r="F105">
        <v>230</v>
      </c>
      <c r="G105">
        <v>0.64800000000000002</v>
      </c>
      <c r="H105">
        <v>0.31</v>
      </c>
      <c r="I105">
        <v>261</v>
      </c>
      <c r="J105">
        <v>351</v>
      </c>
      <c r="K105">
        <f>VLOOKUP(D105,nodes!$A$1:$K$167,2)</f>
        <v>64</v>
      </c>
      <c r="L105">
        <f>VLOOKUP(E105,nodes!$A$1:$K$167,2)</f>
        <v>71</v>
      </c>
      <c r="M105">
        <f t="shared" si="3"/>
        <v>5.860113421550094E-4</v>
      </c>
      <c r="N105" s="2">
        <f t="shared" si="4"/>
        <v>1706.4516129032259</v>
      </c>
      <c r="O105">
        <f t="shared" si="5"/>
        <v>3.51</v>
      </c>
    </row>
    <row r="106" spans="1:15" x14ac:dyDescent="0.55000000000000004">
      <c r="A106">
        <v>106</v>
      </c>
      <c r="B106" t="s">
        <v>377</v>
      </c>
      <c r="C106">
        <v>1</v>
      </c>
      <c r="D106" t="s">
        <v>441</v>
      </c>
      <c r="E106" t="s">
        <v>467</v>
      </c>
      <c r="F106">
        <v>230</v>
      </c>
      <c r="G106">
        <v>90</v>
      </c>
      <c r="H106">
        <v>43.2</v>
      </c>
      <c r="I106">
        <v>402</v>
      </c>
      <c r="J106">
        <v>435</v>
      </c>
      <c r="K106">
        <f>VLOOKUP(D106,nodes!$A$1:$K$167,2)</f>
        <v>64</v>
      </c>
      <c r="L106">
        <f>VLOOKUP(E106,nodes!$A$1:$K$167,2)</f>
        <v>89</v>
      </c>
      <c r="M106">
        <f t="shared" si="3"/>
        <v>8.166351606805293E-2</v>
      </c>
      <c r="N106" s="2">
        <f t="shared" si="4"/>
        <v>12.24537037037037</v>
      </c>
      <c r="O106">
        <f t="shared" si="5"/>
        <v>4.3499999999999996</v>
      </c>
    </row>
    <row r="107" spans="1:15" x14ac:dyDescent="0.55000000000000004">
      <c r="A107">
        <v>107</v>
      </c>
      <c r="B107" t="s">
        <v>377</v>
      </c>
      <c r="C107">
        <v>1</v>
      </c>
      <c r="D107" t="s">
        <v>441</v>
      </c>
      <c r="E107" t="s">
        <v>543</v>
      </c>
      <c r="F107">
        <v>500</v>
      </c>
      <c r="G107">
        <v>138.74799999999999</v>
      </c>
      <c r="H107">
        <v>54.81</v>
      </c>
      <c r="I107">
        <v>1998</v>
      </c>
      <c r="J107">
        <v>2700</v>
      </c>
      <c r="K107">
        <f>VLOOKUP(D107,nodes!$A$1:$K$167,2)</f>
        <v>64</v>
      </c>
      <c r="L107">
        <f>VLOOKUP(E107,nodes!$A$1:$K$167,2)</f>
        <v>165</v>
      </c>
      <c r="M107">
        <f t="shared" si="3"/>
        <v>2.1924000000000003E-2</v>
      </c>
      <c r="N107" s="2">
        <f t="shared" si="4"/>
        <v>45.612114577631814</v>
      </c>
      <c r="O107">
        <f t="shared" si="5"/>
        <v>27</v>
      </c>
    </row>
    <row r="108" spans="1:15" x14ac:dyDescent="0.55000000000000004">
      <c r="A108">
        <v>108</v>
      </c>
      <c r="B108" t="s">
        <v>377</v>
      </c>
      <c r="C108">
        <v>1</v>
      </c>
      <c r="D108" t="s">
        <v>442</v>
      </c>
      <c r="E108" t="s">
        <v>469</v>
      </c>
      <c r="F108">
        <v>230</v>
      </c>
      <c r="G108">
        <v>29.745000000000001</v>
      </c>
      <c r="H108">
        <v>14.28</v>
      </c>
      <c r="I108">
        <v>388</v>
      </c>
      <c r="J108">
        <v>459</v>
      </c>
      <c r="K108">
        <f>VLOOKUP(D108,nodes!$A$1:$K$167,2)</f>
        <v>65</v>
      </c>
      <c r="L108">
        <f>VLOOKUP(E108,nodes!$A$1:$K$167,2)</f>
        <v>91</v>
      </c>
      <c r="M108">
        <f t="shared" si="3"/>
        <v>2.6994328922495273E-2</v>
      </c>
      <c r="N108" s="2">
        <f t="shared" si="4"/>
        <v>37.044817927170868</v>
      </c>
      <c r="O108">
        <f t="shared" si="5"/>
        <v>4.59</v>
      </c>
    </row>
    <row r="109" spans="1:15" x14ac:dyDescent="0.55000000000000004">
      <c r="A109">
        <v>109</v>
      </c>
      <c r="B109" t="s">
        <v>377</v>
      </c>
      <c r="C109">
        <v>1</v>
      </c>
      <c r="D109" t="s">
        <v>444</v>
      </c>
      <c r="E109" t="s">
        <v>512</v>
      </c>
      <c r="F109">
        <v>230</v>
      </c>
      <c r="G109">
        <v>7.9080000000000004</v>
      </c>
      <c r="H109">
        <v>3.8</v>
      </c>
      <c r="I109">
        <v>237</v>
      </c>
      <c r="J109">
        <v>287</v>
      </c>
      <c r="K109">
        <f>VLOOKUP(D109,nodes!$A$1:$K$167,2)</f>
        <v>67</v>
      </c>
      <c r="L109">
        <f>VLOOKUP(E109,nodes!$A$1:$K$167,2)</f>
        <v>134</v>
      </c>
      <c r="M109">
        <f t="shared" si="3"/>
        <v>7.1833648393194701E-3</v>
      </c>
      <c r="N109" s="2">
        <f t="shared" si="4"/>
        <v>139.21052631578948</v>
      </c>
      <c r="O109">
        <f t="shared" si="5"/>
        <v>2.87</v>
      </c>
    </row>
    <row r="110" spans="1:15" x14ac:dyDescent="0.55000000000000004">
      <c r="A110">
        <v>110</v>
      </c>
      <c r="B110" t="s">
        <v>377</v>
      </c>
      <c r="C110">
        <v>1</v>
      </c>
      <c r="D110" t="s">
        <v>445</v>
      </c>
      <c r="E110" t="s">
        <v>444</v>
      </c>
      <c r="F110">
        <v>230</v>
      </c>
      <c r="G110">
        <v>7.9080000000000004</v>
      </c>
      <c r="H110">
        <v>3.8</v>
      </c>
      <c r="I110">
        <v>370</v>
      </c>
      <c r="J110">
        <v>431</v>
      </c>
      <c r="K110">
        <f>VLOOKUP(D110,nodes!$A$1:$K$167,2)</f>
        <v>68</v>
      </c>
      <c r="L110">
        <f>VLOOKUP(E110,nodes!$A$1:$K$167,2)</f>
        <v>67</v>
      </c>
      <c r="M110">
        <f t="shared" si="3"/>
        <v>7.1833648393194701E-3</v>
      </c>
      <c r="N110" s="2">
        <f t="shared" si="4"/>
        <v>139.21052631578948</v>
      </c>
      <c r="O110">
        <f t="shared" si="5"/>
        <v>4.3099999999999996</v>
      </c>
    </row>
    <row r="111" spans="1:15" x14ac:dyDescent="0.55000000000000004">
      <c r="A111">
        <v>111</v>
      </c>
      <c r="B111" t="s">
        <v>377</v>
      </c>
      <c r="C111">
        <v>1</v>
      </c>
      <c r="D111" t="s">
        <v>446</v>
      </c>
      <c r="E111" t="s">
        <v>449</v>
      </c>
      <c r="F111">
        <v>287</v>
      </c>
      <c r="G111">
        <v>75</v>
      </c>
      <c r="H111">
        <v>34.65</v>
      </c>
      <c r="I111">
        <v>642</v>
      </c>
      <c r="J111">
        <v>727</v>
      </c>
      <c r="K111">
        <f>VLOOKUP(D111,nodes!$A$1:$K$167,2)</f>
        <v>69</v>
      </c>
      <c r="L111">
        <f>VLOOKUP(E111,nodes!$A$1:$K$167,2)</f>
        <v>72</v>
      </c>
      <c r="M111">
        <f t="shared" si="3"/>
        <v>4.2066796974589947E-2</v>
      </c>
      <c r="N111" s="2">
        <f t="shared" si="4"/>
        <v>23.771717171717174</v>
      </c>
      <c r="O111">
        <f t="shared" si="5"/>
        <v>7.27</v>
      </c>
    </row>
    <row r="112" spans="1:15" x14ac:dyDescent="0.55000000000000004">
      <c r="A112">
        <v>112</v>
      </c>
      <c r="B112" t="s">
        <v>377</v>
      </c>
      <c r="C112">
        <v>1</v>
      </c>
      <c r="D112" t="s">
        <v>446</v>
      </c>
      <c r="E112" t="s">
        <v>449</v>
      </c>
      <c r="F112">
        <v>287</v>
      </c>
      <c r="G112">
        <v>75</v>
      </c>
      <c r="H112">
        <v>34.65</v>
      </c>
      <c r="I112">
        <v>642</v>
      </c>
      <c r="J112">
        <v>727</v>
      </c>
      <c r="K112">
        <f>VLOOKUP(D112,nodes!$A$1:$K$167,2)</f>
        <v>69</v>
      </c>
      <c r="L112">
        <f>VLOOKUP(E112,nodes!$A$1:$K$167,2)</f>
        <v>72</v>
      </c>
      <c r="M112">
        <f t="shared" si="3"/>
        <v>4.2066796974589947E-2</v>
      </c>
      <c r="N112" s="2">
        <f t="shared" si="4"/>
        <v>23.771717171717174</v>
      </c>
      <c r="O112">
        <f t="shared" si="5"/>
        <v>7.27</v>
      </c>
    </row>
    <row r="113" spans="1:15" x14ac:dyDescent="0.55000000000000004">
      <c r="A113">
        <v>113</v>
      </c>
      <c r="B113" t="s">
        <v>377</v>
      </c>
      <c r="C113">
        <v>1</v>
      </c>
      <c r="D113" t="s">
        <v>447</v>
      </c>
      <c r="E113" t="s">
        <v>429</v>
      </c>
      <c r="F113">
        <v>230</v>
      </c>
      <c r="G113">
        <v>84.46</v>
      </c>
      <c r="H113">
        <v>40.54</v>
      </c>
      <c r="I113">
        <v>355</v>
      </c>
      <c r="J113">
        <v>430</v>
      </c>
      <c r="K113">
        <f>VLOOKUP(D113,nodes!$A$1:$K$167,2)</f>
        <v>70</v>
      </c>
      <c r="L113">
        <f>VLOOKUP(E113,nodes!$A$1:$K$167,2)</f>
        <v>52</v>
      </c>
      <c r="M113">
        <f t="shared" si="3"/>
        <v>7.6635160680529293E-2</v>
      </c>
      <c r="N113" s="2">
        <f t="shared" si="4"/>
        <v>13.048840651208684</v>
      </c>
      <c r="O113">
        <f t="shared" si="5"/>
        <v>4.3</v>
      </c>
    </row>
    <row r="114" spans="1:15" x14ac:dyDescent="0.55000000000000004">
      <c r="A114">
        <v>114</v>
      </c>
      <c r="B114" t="s">
        <v>377</v>
      </c>
      <c r="C114">
        <v>1</v>
      </c>
      <c r="D114" t="s">
        <v>447</v>
      </c>
      <c r="E114" t="s">
        <v>517</v>
      </c>
      <c r="F114">
        <v>230</v>
      </c>
      <c r="G114">
        <v>89.593000000000004</v>
      </c>
      <c r="H114">
        <v>43</v>
      </c>
      <c r="I114">
        <v>207</v>
      </c>
      <c r="J114">
        <v>315</v>
      </c>
      <c r="K114">
        <f>VLOOKUP(D114,nodes!$A$1:$K$167,2)</f>
        <v>70</v>
      </c>
      <c r="L114">
        <f>VLOOKUP(E114,nodes!$A$1:$K$167,2)</f>
        <v>139</v>
      </c>
      <c r="M114">
        <f t="shared" si="3"/>
        <v>8.1285444234404536E-2</v>
      </c>
      <c r="N114" s="2">
        <f t="shared" si="4"/>
        <v>12.302325581395349</v>
      </c>
      <c r="O114">
        <f t="shared" si="5"/>
        <v>3.15</v>
      </c>
    </row>
    <row r="115" spans="1:15" x14ac:dyDescent="0.55000000000000004">
      <c r="A115">
        <v>115</v>
      </c>
      <c r="B115" t="s">
        <v>377</v>
      </c>
      <c r="C115">
        <v>1</v>
      </c>
      <c r="D115" t="s">
        <v>447</v>
      </c>
      <c r="E115" t="s">
        <v>517</v>
      </c>
      <c r="F115">
        <v>230</v>
      </c>
      <c r="G115">
        <v>90.805000000000007</v>
      </c>
      <c r="H115">
        <v>43.59</v>
      </c>
      <c r="I115">
        <v>204</v>
      </c>
      <c r="J115">
        <v>334</v>
      </c>
      <c r="K115">
        <f>VLOOKUP(D115,nodes!$A$1:$K$167,2)</f>
        <v>70</v>
      </c>
      <c r="L115">
        <f>VLOOKUP(E115,nodes!$A$1:$K$167,2)</f>
        <v>139</v>
      </c>
      <c r="M115">
        <f t="shared" si="3"/>
        <v>8.2400756143667306E-2</v>
      </c>
      <c r="N115" s="2">
        <f t="shared" si="4"/>
        <v>12.135810965817846</v>
      </c>
      <c r="O115">
        <f t="shared" si="5"/>
        <v>3.34</v>
      </c>
    </row>
    <row r="116" spans="1:15" x14ac:dyDescent="0.55000000000000004">
      <c r="A116">
        <v>116</v>
      </c>
      <c r="B116" t="s">
        <v>377</v>
      </c>
      <c r="C116">
        <v>1</v>
      </c>
      <c r="D116" t="s">
        <v>447</v>
      </c>
      <c r="E116" t="s">
        <v>479</v>
      </c>
      <c r="F116">
        <v>500</v>
      </c>
      <c r="G116">
        <v>145.96199999999999</v>
      </c>
      <c r="H116">
        <v>57.65</v>
      </c>
      <c r="I116">
        <v>2896</v>
      </c>
      <c r="J116">
        <v>3506</v>
      </c>
      <c r="K116">
        <f>VLOOKUP(D116,nodes!$A$1:$K$167,2)</f>
        <v>70</v>
      </c>
      <c r="L116">
        <f>VLOOKUP(E116,nodes!$A$1:$K$167,2)</f>
        <v>101</v>
      </c>
      <c r="M116">
        <f t="shared" si="3"/>
        <v>2.3060000000000001E-2</v>
      </c>
      <c r="N116" s="2">
        <f t="shared" si="4"/>
        <v>43.365134431916736</v>
      </c>
      <c r="O116">
        <f t="shared" si="5"/>
        <v>35.06</v>
      </c>
    </row>
    <row r="117" spans="1:15" x14ac:dyDescent="0.55000000000000004">
      <c r="A117">
        <v>117</v>
      </c>
      <c r="B117" t="s">
        <v>377</v>
      </c>
      <c r="C117">
        <v>1</v>
      </c>
      <c r="D117" t="s">
        <v>447</v>
      </c>
      <c r="E117" t="s">
        <v>505</v>
      </c>
      <c r="F117">
        <v>230</v>
      </c>
      <c r="G117">
        <v>152.4</v>
      </c>
      <c r="H117">
        <v>73.150000000000006</v>
      </c>
      <c r="I117">
        <v>196</v>
      </c>
      <c r="J117">
        <v>343</v>
      </c>
      <c r="K117">
        <f>VLOOKUP(D117,nodes!$A$1:$K$167,2)</f>
        <v>70</v>
      </c>
      <c r="L117">
        <f>VLOOKUP(E117,nodes!$A$1:$K$167,2)</f>
        <v>127</v>
      </c>
      <c r="M117">
        <f t="shared" ref="M117:M179" si="6">H117/(F117^2/100)</f>
        <v>0.13827977315689982</v>
      </c>
      <c r="N117" s="2">
        <f t="shared" ref="N117:N179" si="7">1/M117</f>
        <v>7.2317156527682842</v>
      </c>
      <c r="O117">
        <f t="shared" ref="O117:O179" si="8">J117/100</f>
        <v>3.43</v>
      </c>
    </row>
    <row r="118" spans="1:15" x14ac:dyDescent="0.55000000000000004">
      <c r="A118">
        <v>118</v>
      </c>
      <c r="B118" t="s">
        <v>377</v>
      </c>
      <c r="C118">
        <v>1</v>
      </c>
      <c r="D118" t="s">
        <v>447</v>
      </c>
      <c r="E118" t="s">
        <v>406</v>
      </c>
      <c r="F118">
        <v>500</v>
      </c>
      <c r="G118">
        <v>196.893</v>
      </c>
      <c r="H118">
        <v>77.77</v>
      </c>
      <c r="I118">
        <v>2048</v>
      </c>
      <c r="J118">
        <v>2746</v>
      </c>
      <c r="K118">
        <f>VLOOKUP(D118,nodes!$A$1:$K$167,2)</f>
        <v>70</v>
      </c>
      <c r="L118">
        <f>VLOOKUP(E118,nodes!$A$1:$K$167,2)</f>
        <v>29</v>
      </c>
      <c r="M118">
        <f t="shared" si="6"/>
        <v>3.1107999999999997E-2</v>
      </c>
      <c r="N118" s="2">
        <f t="shared" si="7"/>
        <v>32.146071750032149</v>
      </c>
      <c r="O118">
        <f t="shared" si="8"/>
        <v>27.46</v>
      </c>
    </row>
    <row r="119" spans="1:15" x14ac:dyDescent="0.55000000000000004">
      <c r="A119">
        <v>119</v>
      </c>
      <c r="B119" t="s">
        <v>377</v>
      </c>
      <c r="C119">
        <v>1</v>
      </c>
      <c r="D119" t="s">
        <v>447</v>
      </c>
      <c r="E119" t="s">
        <v>439</v>
      </c>
      <c r="F119">
        <v>500</v>
      </c>
      <c r="G119">
        <v>271.63299999999998</v>
      </c>
      <c r="H119">
        <v>107.3</v>
      </c>
      <c r="I119">
        <v>2175</v>
      </c>
      <c r="J119">
        <v>2761</v>
      </c>
      <c r="K119">
        <f>VLOOKUP(D119,nodes!$A$1:$K$167,2)</f>
        <v>70</v>
      </c>
      <c r="L119">
        <f>VLOOKUP(E119,nodes!$A$1:$K$167,2)</f>
        <v>62</v>
      </c>
      <c r="M119">
        <f t="shared" si="6"/>
        <v>4.292E-2</v>
      </c>
      <c r="N119" s="2">
        <f t="shared" si="7"/>
        <v>23.299161230195715</v>
      </c>
      <c r="O119">
        <f t="shared" si="8"/>
        <v>27.61</v>
      </c>
    </row>
    <row r="120" spans="1:15" x14ac:dyDescent="0.55000000000000004">
      <c r="A120">
        <v>120</v>
      </c>
      <c r="B120" t="s">
        <v>377</v>
      </c>
      <c r="C120">
        <v>1</v>
      </c>
      <c r="D120" t="s">
        <v>453</v>
      </c>
      <c r="E120" t="s">
        <v>534</v>
      </c>
      <c r="F120">
        <v>230</v>
      </c>
      <c r="G120">
        <v>42.5</v>
      </c>
      <c r="H120">
        <v>20.399999999999999</v>
      </c>
      <c r="I120">
        <v>381</v>
      </c>
      <c r="J120">
        <v>463</v>
      </c>
      <c r="K120">
        <f>VLOOKUP(D120,nodes!$A$1:$K$167,2)</f>
        <v>76</v>
      </c>
      <c r="L120">
        <f>VLOOKUP(E120,nodes!$A$1:$K$167,2)</f>
        <v>156</v>
      </c>
      <c r="M120">
        <f t="shared" si="6"/>
        <v>3.8563327032136101E-2</v>
      </c>
      <c r="N120" s="2">
        <f t="shared" si="7"/>
        <v>25.93137254901961</v>
      </c>
      <c r="O120">
        <f t="shared" si="8"/>
        <v>4.63</v>
      </c>
    </row>
    <row r="121" spans="1:15" x14ac:dyDescent="0.55000000000000004">
      <c r="A121">
        <v>121</v>
      </c>
      <c r="B121" t="s">
        <v>377</v>
      </c>
      <c r="C121">
        <v>1</v>
      </c>
      <c r="D121" t="s">
        <v>453</v>
      </c>
      <c r="E121" t="s">
        <v>534</v>
      </c>
      <c r="F121">
        <v>230</v>
      </c>
      <c r="G121">
        <v>42.5</v>
      </c>
      <c r="H121">
        <v>20.399999999999999</v>
      </c>
      <c r="I121">
        <v>381</v>
      </c>
      <c r="J121">
        <v>457</v>
      </c>
      <c r="K121">
        <f>VLOOKUP(D121,nodes!$A$1:$K$167,2)</f>
        <v>76</v>
      </c>
      <c r="L121">
        <f>VLOOKUP(E121,nodes!$A$1:$K$167,2)</f>
        <v>156</v>
      </c>
      <c r="M121">
        <f t="shared" si="6"/>
        <v>3.8563327032136101E-2</v>
      </c>
      <c r="N121" s="2">
        <f t="shared" si="7"/>
        <v>25.93137254901961</v>
      </c>
      <c r="O121">
        <f t="shared" si="8"/>
        <v>4.57</v>
      </c>
    </row>
    <row r="122" spans="1:15" x14ac:dyDescent="0.55000000000000004">
      <c r="A122">
        <v>122</v>
      </c>
      <c r="B122" t="s">
        <v>377</v>
      </c>
      <c r="C122">
        <v>1</v>
      </c>
      <c r="D122" t="s">
        <v>453</v>
      </c>
      <c r="E122" t="s">
        <v>412</v>
      </c>
      <c r="F122">
        <v>230</v>
      </c>
      <c r="G122">
        <v>57.5</v>
      </c>
      <c r="H122">
        <v>27.6</v>
      </c>
      <c r="I122">
        <v>402</v>
      </c>
      <c r="J122">
        <v>435</v>
      </c>
      <c r="K122">
        <f>VLOOKUP(D122,nodes!$A$1:$K$167,2)</f>
        <v>76</v>
      </c>
      <c r="L122">
        <f>VLOOKUP(E122,nodes!$A$1:$K$167,2)</f>
        <v>35</v>
      </c>
      <c r="M122">
        <f t="shared" si="6"/>
        <v>5.2173913043478265E-2</v>
      </c>
      <c r="N122" s="2">
        <f t="shared" si="7"/>
        <v>19.166666666666664</v>
      </c>
      <c r="O122">
        <f t="shared" si="8"/>
        <v>4.3499999999999996</v>
      </c>
    </row>
    <row r="123" spans="1:15" x14ac:dyDescent="0.55000000000000004">
      <c r="A123">
        <v>123</v>
      </c>
      <c r="B123" t="s">
        <v>377</v>
      </c>
      <c r="C123">
        <v>1</v>
      </c>
      <c r="D123" t="s">
        <v>454</v>
      </c>
      <c r="E123" t="s">
        <v>542</v>
      </c>
      <c r="F123">
        <v>230</v>
      </c>
      <c r="G123">
        <v>3.8769999999999998</v>
      </c>
      <c r="H123">
        <v>1.86</v>
      </c>
      <c r="I123">
        <v>371</v>
      </c>
      <c r="J123">
        <v>431</v>
      </c>
      <c r="K123">
        <f>VLOOKUP(D123,nodes!$A$1:$K$167,2)</f>
        <v>77</v>
      </c>
      <c r="L123">
        <f>VLOOKUP(E123,nodes!$A$1:$K$167,2)</f>
        <v>164</v>
      </c>
      <c r="M123">
        <f t="shared" si="6"/>
        <v>3.5160680529300568E-3</v>
      </c>
      <c r="N123" s="2">
        <f t="shared" si="7"/>
        <v>284.4086021505376</v>
      </c>
      <c r="O123">
        <f t="shared" si="8"/>
        <v>4.3099999999999996</v>
      </c>
    </row>
    <row r="124" spans="1:15" x14ac:dyDescent="0.55000000000000004">
      <c r="A124">
        <v>124</v>
      </c>
      <c r="B124" t="s">
        <v>377</v>
      </c>
      <c r="C124">
        <v>1</v>
      </c>
      <c r="D124" t="s">
        <v>455</v>
      </c>
      <c r="E124" t="s">
        <v>409</v>
      </c>
      <c r="F124">
        <v>230</v>
      </c>
      <c r="G124">
        <v>11.186</v>
      </c>
      <c r="H124">
        <v>5.37</v>
      </c>
      <c r="I124">
        <v>222</v>
      </c>
      <c r="J124">
        <v>262</v>
      </c>
      <c r="K124">
        <f>VLOOKUP(D124,nodes!$A$1:$K$167,2)</f>
        <v>78</v>
      </c>
      <c r="L124">
        <f>VLOOKUP(E124,nodes!$A$1:$K$167,2)</f>
        <v>32</v>
      </c>
      <c r="M124">
        <f t="shared" si="6"/>
        <v>1.0151228733459357E-2</v>
      </c>
      <c r="N124" s="2">
        <f t="shared" si="7"/>
        <v>98.510242085661076</v>
      </c>
      <c r="O124">
        <f t="shared" si="8"/>
        <v>2.62</v>
      </c>
    </row>
    <row r="125" spans="1:15" x14ac:dyDescent="0.55000000000000004">
      <c r="A125">
        <v>125</v>
      </c>
      <c r="B125" t="s">
        <v>377</v>
      </c>
      <c r="C125">
        <v>1</v>
      </c>
      <c r="D125" t="s">
        <v>456</v>
      </c>
      <c r="E125" t="s">
        <v>533</v>
      </c>
      <c r="F125">
        <v>230</v>
      </c>
      <c r="G125">
        <v>67.239999999999995</v>
      </c>
      <c r="H125">
        <v>32.28</v>
      </c>
      <c r="I125">
        <v>558</v>
      </c>
      <c r="J125">
        <v>599</v>
      </c>
      <c r="K125">
        <f>VLOOKUP(D125,nodes!$A$1:$K$167,2)</f>
        <v>79</v>
      </c>
      <c r="L125">
        <f>VLOOKUP(E125,nodes!$A$1:$K$167,2)</f>
        <v>155</v>
      </c>
      <c r="M125">
        <f t="shared" si="6"/>
        <v>6.1020793950850666E-2</v>
      </c>
      <c r="N125" s="2">
        <f t="shared" si="7"/>
        <v>16.387856257744733</v>
      </c>
      <c r="O125">
        <f t="shared" si="8"/>
        <v>5.99</v>
      </c>
    </row>
    <row r="126" spans="1:15" x14ac:dyDescent="0.55000000000000004">
      <c r="A126">
        <v>126</v>
      </c>
      <c r="B126" t="s">
        <v>377</v>
      </c>
      <c r="C126">
        <v>1</v>
      </c>
      <c r="D126" t="s">
        <v>457</v>
      </c>
      <c r="E126" t="s">
        <v>479</v>
      </c>
      <c r="F126">
        <v>500</v>
      </c>
      <c r="G126">
        <v>285.255</v>
      </c>
      <c r="H126">
        <v>112.68</v>
      </c>
      <c r="I126">
        <v>1818</v>
      </c>
      <c r="J126">
        <v>2581</v>
      </c>
      <c r="K126">
        <f>VLOOKUP(D126,nodes!$A$1:$K$167,2)</f>
        <v>80</v>
      </c>
      <c r="L126">
        <f>VLOOKUP(E126,nodes!$A$1:$K$167,2)</f>
        <v>101</v>
      </c>
      <c r="M126">
        <f t="shared" si="6"/>
        <v>4.5072000000000001E-2</v>
      </c>
      <c r="N126" s="2">
        <f t="shared" si="7"/>
        <v>22.186723464678735</v>
      </c>
      <c r="O126">
        <f t="shared" si="8"/>
        <v>25.81</v>
      </c>
    </row>
    <row r="127" spans="1:15" x14ac:dyDescent="0.55000000000000004">
      <c r="A127">
        <v>127</v>
      </c>
      <c r="B127" t="s">
        <v>377</v>
      </c>
      <c r="C127">
        <v>1</v>
      </c>
      <c r="D127" t="s">
        <v>457</v>
      </c>
      <c r="E127" t="s">
        <v>479</v>
      </c>
      <c r="F127">
        <v>500</v>
      </c>
      <c r="G127">
        <v>285.30200000000002</v>
      </c>
      <c r="H127">
        <v>112.69</v>
      </c>
      <c r="I127">
        <v>1818</v>
      </c>
      <c r="J127">
        <v>2581</v>
      </c>
      <c r="K127">
        <f>VLOOKUP(D127,nodes!$A$1:$K$167,2)</f>
        <v>80</v>
      </c>
      <c r="L127">
        <f>VLOOKUP(E127,nodes!$A$1:$K$167,2)</f>
        <v>101</v>
      </c>
      <c r="M127">
        <f t="shared" si="6"/>
        <v>4.5075999999999998E-2</v>
      </c>
      <c r="N127" s="2">
        <f t="shared" si="7"/>
        <v>22.184754636613722</v>
      </c>
      <c r="O127">
        <f t="shared" si="8"/>
        <v>25.81</v>
      </c>
    </row>
    <row r="128" spans="1:15" x14ac:dyDescent="0.55000000000000004">
      <c r="A128">
        <v>128</v>
      </c>
      <c r="B128" t="s">
        <v>377</v>
      </c>
      <c r="C128">
        <v>1</v>
      </c>
      <c r="D128" t="s">
        <v>458</v>
      </c>
      <c r="E128" t="s">
        <v>408</v>
      </c>
      <c r="F128">
        <v>230</v>
      </c>
      <c r="G128">
        <v>6.3460000000000001</v>
      </c>
      <c r="H128">
        <v>3.05</v>
      </c>
      <c r="I128">
        <v>735</v>
      </c>
      <c r="J128">
        <v>918</v>
      </c>
      <c r="K128">
        <f>VLOOKUP(D128,nodes!$A$1:$K$167,2)</f>
        <v>81</v>
      </c>
      <c r="L128">
        <f>VLOOKUP(E128,nodes!$A$1:$K$167,2)</f>
        <v>31</v>
      </c>
      <c r="M128">
        <f t="shared" si="6"/>
        <v>5.7655954631379959E-3</v>
      </c>
      <c r="N128" s="2">
        <f t="shared" si="7"/>
        <v>173.44262295081967</v>
      </c>
      <c r="O128">
        <f t="shared" si="8"/>
        <v>9.18</v>
      </c>
    </row>
    <row r="129" spans="1:15" x14ac:dyDescent="0.55000000000000004">
      <c r="A129">
        <v>129</v>
      </c>
      <c r="B129" t="s">
        <v>377</v>
      </c>
      <c r="C129">
        <v>1</v>
      </c>
      <c r="D129" t="s">
        <v>458</v>
      </c>
      <c r="E129" t="s">
        <v>408</v>
      </c>
      <c r="F129">
        <v>230</v>
      </c>
      <c r="G129">
        <v>6.391</v>
      </c>
      <c r="H129">
        <v>3.07</v>
      </c>
      <c r="I129">
        <v>776</v>
      </c>
      <c r="J129">
        <v>914</v>
      </c>
      <c r="K129">
        <f>VLOOKUP(D129,nodes!$A$1:$K$167,2)</f>
        <v>81</v>
      </c>
      <c r="L129">
        <f>VLOOKUP(E129,nodes!$A$1:$K$167,2)</f>
        <v>31</v>
      </c>
      <c r="M129">
        <f t="shared" si="6"/>
        <v>5.8034026465028348E-3</v>
      </c>
      <c r="N129" s="2">
        <f t="shared" si="7"/>
        <v>172.3127035830619</v>
      </c>
      <c r="O129">
        <f t="shared" si="8"/>
        <v>9.14</v>
      </c>
    </row>
    <row r="130" spans="1:15" x14ac:dyDescent="0.55000000000000004">
      <c r="A130">
        <v>130</v>
      </c>
      <c r="B130" t="s">
        <v>377</v>
      </c>
      <c r="C130">
        <v>1</v>
      </c>
      <c r="D130" t="s">
        <v>458</v>
      </c>
      <c r="E130" t="s">
        <v>436</v>
      </c>
      <c r="F130">
        <v>500</v>
      </c>
      <c r="G130">
        <v>19.523</v>
      </c>
      <c r="H130">
        <v>7.71</v>
      </c>
      <c r="I130">
        <v>1949</v>
      </c>
      <c r="J130">
        <v>2705</v>
      </c>
      <c r="K130">
        <f>VLOOKUP(D130,nodes!$A$1:$K$167,2)</f>
        <v>81</v>
      </c>
      <c r="L130">
        <f>VLOOKUP(E130,nodes!$A$1:$K$167,2)</f>
        <v>59</v>
      </c>
      <c r="M130">
        <f t="shared" si="6"/>
        <v>3.0839999999999999E-3</v>
      </c>
      <c r="N130" s="2">
        <f t="shared" si="7"/>
        <v>324.25421530479895</v>
      </c>
      <c r="O130">
        <f t="shared" si="8"/>
        <v>27.05</v>
      </c>
    </row>
    <row r="131" spans="1:15" x14ac:dyDescent="0.55000000000000004">
      <c r="A131">
        <v>131</v>
      </c>
      <c r="B131" t="s">
        <v>377</v>
      </c>
      <c r="C131">
        <v>1</v>
      </c>
      <c r="D131" t="s">
        <v>458</v>
      </c>
      <c r="E131" t="s">
        <v>430</v>
      </c>
      <c r="F131">
        <v>230</v>
      </c>
      <c r="G131">
        <v>19.309000000000001</v>
      </c>
      <c r="H131">
        <v>9.27</v>
      </c>
      <c r="I131">
        <v>301</v>
      </c>
      <c r="J131">
        <v>416</v>
      </c>
      <c r="K131">
        <f>VLOOKUP(D131,nodes!$A$1:$K$167,2)</f>
        <v>81</v>
      </c>
      <c r="L131">
        <f>VLOOKUP(E131,nodes!$A$1:$K$167,2)</f>
        <v>53</v>
      </c>
      <c r="M131">
        <f t="shared" si="6"/>
        <v>1.7523629489603024E-2</v>
      </c>
      <c r="N131" s="2">
        <f t="shared" si="7"/>
        <v>57.065803667745421</v>
      </c>
      <c r="O131">
        <f t="shared" si="8"/>
        <v>4.16</v>
      </c>
    </row>
    <row r="132" spans="1:15" x14ac:dyDescent="0.55000000000000004">
      <c r="A132">
        <v>132</v>
      </c>
      <c r="B132" t="s">
        <v>377</v>
      </c>
      <c r="C132">
        <v>1</v>
      </c>
      <c r="D132" t="s">
        <v>458</v>
      </c>
      <c r="E132" t="s">
        <v>541</v>
      </c>
      <c r="F132">
        <v>230</v>
      </c>
      <c r="G132">
        <v>22.768999999999998</v>
      </c>
      <c r="H132">
        <v>10.93</v>
      </c>
      <c r="I132">
        <v>355</v>
      </c>
      <c r="J132">
        <v>430</v>
      </c>
      <c r="K132">
        <f>VLOOKUP(D132,nodes!$A$1:$K$167,2)</f>
        <v>81</v>
      </c>
      <c r="L132">
        <f>VLOOKUP(E132,nodes!$A$1:$K$167,2)</f>
        <v>163</v>
      </c>
      <c r="M132">
        <f t="shared" si="6"/>
        <v>2.0661625708884686E-2</v>
      </c>
      <c r="N132" s="2">
        <f t="shared" si="7"/>
        <v>48.398902104300092</v>
      </c>
      <c r="O132">
        <f t="shared" si="8"/>
        <v>4.3</v>
      </c>
    </row>
    <row r="133" spans="1:15" x14ac:dyDescent="0.55000000000000004">
      <c r="A133">
        <v>133</v>
      </c>
      <c r="B133" t="s">
        <v>377</v>
      </c>
      <c r="C133">
        <v>1</v>
      </c>
      <c r="D133" t="s">
        <v>459</v>
      </c>
      <c r="E133" t="s">
        <v>450</v>
      </c>
      <c r="F133">
        <v>287</v>
      </c>
      <c r="G133">
        <v>1.5</v>
      </c>
      <c r="H133">
        <v>0.69</v>
      </c>
      <c r="I133">
        <v>300</v>
      </c>
      <c r="J133">
        <v>356</v>
      </c>
      <c r="K133">
        <f>VLOOKUP(D133,nodes!$A$1:$K$167,2)</f>
        <v>82</v>
      </c>
      <c r="L133">
        <f>VLOOKUP(E133,nodes!$A$1:$K$167,2)</f>
        <v>73</v>
      </c>
      <c r="M133">
        <f t="shared" si="6"/>
        <v>8.376937925675921E-4</v>
      </c>
      <c r="N133" s="2">
        <f t="shared" si="7"/>
        <v>1193.753623188406</v>
      </c>
      <c r="O133">
        <f t="shared" si="8"/>
        <v>3.56</v>
      </c>
    </row>
    <row r="134" spans="1:15" x14ac:dyDescent="0.55000000000000004">
      <c r="A134">
        <v>134</v>
      </c>
      <c r="B134" t="s">
        <v>377</v>
      </c>
      <c r="C134">
        <v>1</v>
      </c>
      <c r="D134" t="s">
        <v>459</v>
      </c>
      <c r="E134" t="s">
        <v>419</v>
      </c>
      <c r="F134">
        <v>287</v>
      </c>
      <c r="G134">
        <v>1.5</v>
      </c>
      <c r="H134">
        <v>0.69</v>
      </c>
      <c r="I134">
        <v>300</v>
      </c>
      <c r="J134">
        <v>532</v>
      </c>
      <c r="K134">
        <f>VLOOKUP(D134,nodes!$A$1:$K$167,2)</f>
        <v>82</v>
      </c>
      <c r="L134">
        <f>VLOOKUP(E134,nodes!$A$1:$K$167,2)</f>
        <v>42</v>
      </c>
      <c r="M134">
        <f t="shared" si="6"/>
        <v>8.376937925675921E-4</v>
      </c>
      <c r="N134" s="2">
        <f t="shared" si="7"/>
        <v>1193.753623188406</v>
      </c>
      <c r="O134">
        <f t="shared" si="8"/>
        <v>5.32</v>
      </c>
    </row>
    <row r="135" spans="1:15" x14ac:dyDescent="0.55000000000000004">
      <c r="A135">
        <v>135</v>
      </c>
      <c r="B135" t="s">
        <v>377</v>
      </c>
      <c r="C135">
        <v>1</v>
      </c>
      <c r="D135" t="s">
        <v>459</v>
      </c>
      <c r="E135" t="s">
        <v>446</v>
      </c>
      <c r="F135">
        <v>287</v>
      </c>
      <c r="G135">
        <v>2.5030000000000001</v>
      </c>
      <c r="H135">
        <v>1.1599999999999999</v>
      </c>
      <c r="I135">
        <v>320</v>
      </c>
      <c r="J135">
        <v>539</v>
      </c>
      <c r="K135">
        <f>VLOOKUP(D135,nodes!$A$1:$K$167,2)</f>
        <v>82</v>
      </c>
      <c r="L135">
        <f>VLOOKUP(E135,nodes!$A$1:$K$167,2)</f>
        <v>69</v>
      </c>
      <c r="M135">
        <f t="shared" si="6"/>
        <v>1.4082968106933433E-3</v>
      </c>
      <c r="N135" s="2">
        <f t="shared" si="7"/>
        <v>710.07758620689663</v>
      </c>
      <c r="O135">
        <f t="shared" si="8"/>
        <v>5.39</v>
      </c>
    </row>
    <row r="136" spans="1:15" x14ac:dyDescent="0.55000000000000004">
      <c r="A136">
        <v>136</v>
      </c>
      <c r="B136" t="s">
        <v>377</v>
      </c>
      <c r="C136">
        <v>1</v>
      </c>
      <c r="D136" t="s">
        <v>459</v>
      </c>
      <c r="E136" t="s">
        <v>509</v>
      </c>
      <c r="F136">
        <v>230</v>
      </c>
      <c r="G136">
        <v>59.588999999999999</v>
      </c>
      <c r="H136">
        <v>28.6</v>
      </c>
      <c r="I136">
        <v>492</v>
      </c>
      <c r="J136">
        <v>575</v>
      </c>
      <c r="K136">
        <f>VLOOKUP(D136,nodes!$A$1:$K$167,2)</f>
        <v>82</v>
      </c>
      <c r="L136">
        <f>VLOOKUP(E136,nodes!$A$1:$K$167,2)</f>
        <v>131</v>
      </c>
      <c r="M136">
        <f t="shared" si="6"/>
        <v>5.4064272211720228E-2</v>
      </c>
      <c r="N136" s="2">
        <f t="shared" si="7"/>
        <v>18.496503496503497</v>
      </c>
      <c r="O136">
        <f t="shared" si="8"/>
        <v>5.75</v>
      </c>
    </row>
    <row r="137" spans="1:15" x14ac:dyDescent="0.55000000000000004">
      <c r="A137">
        <v>137</v>
      </c>
      <c r="B137" t="s">
        <v>377</v>
      </c>
      <c r="C137">
        <v>1</v>
      </c>
      <c r="D137" t="s">
        <v>459</v>
      </c>
      <c r="E137" t="s">
        <v>450</v>
      </c>
      <c r="F137">
        <v>230</v>
      </c>
      <c r="G137">
        <v>59.588999999999999</v>
      </c>
      <c r="H137">
        <v>28.6</v>
      </c>
      <c r="I137">
        <v>240</v>
      </c>
      <c r="J137">
        <v>285</v>
      </c>
      <c r="K137">
        <f>VLOOKUP(D137,nodes!$A$1:$K$167,2)</f>
        <v>82</v>
      </c>
      <c r="L137">
        <f>VLOOKUP(E137,nodes!$A$1:$K$167,2)</f>
        <v>73</v>
      </c>
      <c r="M137">
        <f t="shared" si="6"/>
        <v>5.4064272211720228E-2</v>
      </c>
      <c r="N137" s="2">
        <f t="shared" si="7"/>
        <v>18.496503496503497</v>
      </c>
      <c r="O137">
        <f t="shared" si="8"/>
        <v>2.85</v>
      </c>
    </row>
    <row r="138" spans="1:15" x14ac:dyDescent="0.55000000000000004">
      <c r="A138">
        <v>138</v>
      </c>
      <c r="B138" t="s">
        <v>377</v>
      </c>
      <c r="C138">
        <v>1</v>
      </c>
      <c r="D138" t="s">
        <v>460</v>
      </c>
      <c r="E138" t="s">
        <v>461</v>
      </c>
      <c r="F138">
        <v>230</v>
      </c>
      <c r="G138">
        <v>4.2549999999999999</v>
      </c>
      <c r="H138">
        <v>2.04</v>
      </c>
      <c r="I138">
        <v>409</v>
      </c>
      <c r="J138">
        <v>409</v>
      </c>
      <c r="K138">
        <f>VLOOKUP(D138,nodes!$A$1:$K$167,2)</f>
        <v>83</v>
      </c>
      <c r="L138">
        <f>VLOOKUP(E138,nodes!$A$1:$K$167,2)</f>
        <v>84</v>
      </c>
      <c r="M138">
        <f t="shared" si="6"/>
        <v>3.8563327032136107E-3</v>
      </c>
      <c r="N138" s="2">
        <f t="shared" si="7"/>
        <v>259.31372549019608</v>
      </c>
      <c r="O138">
        <f t="shared" si="8"/>
        <v>4.09</v>
      </c>
    </row>
    <row r="139" spans="1:15" x14ac:dyDescent="0.55000000000000004">
      <c r="A139">
        <v>139</v>
      </c>
      <c r="B139" t="s">
        <v>377</v>
      </c>
      <c r="C139">
        <v>1</v>
      </c>
      <c r="D139" t="s">
        <v>461</v>
      </c>
      <c r="E139" t="s">
        <v>466</v>
      </c>
      <c r="F139">
        <v>230</v>
      </c>
      <c r="G139">
        <v>23.17</v>
      </c>
      <c r="H139">
        <v>11.12</v>
      </c>
      <c r="I139">
        <v>378</v>
      </c>
      <c r="J139">
        <v>459</v>
      </c>
      <c r="K139">
        <f>VLOOKUP(D139,nodes!$A$1:$K$167,2)</f>
        <v>84</v>
      </c>
      <c r="L139">
        <f>VLOOKUP(E139,nodes!$A$1:$K$167,2)</f>
        <v>88</v>
      </c>
      <c r="M139">
        <f t="shared" si="6"/>
        <v>2.1020793950850662E-2</v>
      </c>
      <c r="N139" s="2">
        <f t="shared" si="7"/>
        <v>47.571942446043167</v>
      </c>
      <c r="O139">
        <f t="shared" si="8"/>
        <v>4.59</v>
      </c>
    </row>
    <row r="140" spans="1:15" x14ac:dyDescent="0.55000000000000004">
      <c r="A140">
        <v>140</v>
      </c>
      <c r="B140" t="s">
        <v>377</v>
      </c>
      <c r="C140">
        <v>1</v>
      </c>
      <c r="D140" t="s">
        <v>463</v>
      </c>
      <c r="E140" t="s">
        <v>404</v>
      </c>
      <c r="F140">
        <v>230</v>
      </c>
      <c r="G140">
        <v>7.9359999999999999</v>
      </c>
      <c r="H140">
        <v>3.81</v>
      </c>
      <c r="I140">
        <v>699</v>
      </c>
      <c r="J140">
        <v>814</v>
      </c>
      <c r="K140">
        <f>VLOOKUP(D140,nodes!$A$1:$K$167,2)</f>
        <v>85</v>
      </c>
      <c r="L140">
        <f>VLOOKUP(E140,nodes!$A$1:$K$167,2)</f>
        <v>27</v>
      </c>
      <c r="M140">
        <f t="shared" si="6"/>
        <v>7.2022684310018908E-3</v>
      </c>
      <c r="N140" s="2">
        <f t="shared" si="7"/>
        <v>138.84514435695536</v>
      </c>
      <c r="O140">
        <f t="shared" si="8"/>
        <v>8.14</v>
      </c>
    </row>
    <row r="141" spans="1:15" x14ac:dyDescent="0.55000000000000004">
      <c r="A141">
        <v>141</v>
      </c>
      <c r="B141" t="s">
        <v>377</v>
      </c>
      <c r="C141">
        <v>1</v>
      </c>
      <c r="D141" t="s">
        <v>464</v>
      </c>
      <c r="E141" t="s">
        <v>463</v>
      </c>
      <c r="F141">
        <v>230</v>
      </c>
      <c r="G141">
        <v>27.562000000000001</v>
      </c>
      <c r="H141">
        <v>13.23</v>
      </c>
      <c r="I141">
        <v>666</v>
      </c>
      <c r="J141">
        <v>806</v>
      </c>
      <c r="K141">
        <f>VLOOKUP(D141,nodes!$A$1:$K$167,2)</f>
        <v>86</v>
      </c>
      <c r="L141">
        <f>VLOOKUP(E141,nodes!$A$1:$K$167,2)</f>
        <v>85</v>
      </c>
      <c r="M141">
        <f t="shared" si="6"/>
        <v>2.5009451795841211E-2</v>
      </c>
      <c r="N141" s="2">
        <f t="shared" si="7"/>
        <v>39.984882842025698</v>
      </c>
      <c r="O141">
        <f t="shared" si="8"/>
        <v>8.06</v>
      </c>
    </row>
    <row r="142" spans="1:15" x14ac:dyDescent="0.55000000000000004">
      <c r="A142">
        <v>142</v>
      </c>
      <c r="B142" t="s">
        <v>377</v>
      </c>
      <c r="C142">
        <v>1</v>
      </c>
      <c r="D142" t="s">
        <v>466</v>
      </c>
      <c r="E142" t="s">
        <v>465</v>
      </c>
      <c r="F142">
        <v>230</v>
      </c>
      <c r="G142">
        <v>3</v>
      </c>
      <c r="H142">
        <v>1.44</v>
      </c>
      <c r="I142">
        <v>378</v>
      </c>
      <c r="J142">
        <v>459</v>
      </c>
      <c r="K142">
        <f>VLOOKUP(D142,nodes!$A$1:$K$167,2)</f>
        <v>88</v>
      </c>
      <c r="L142">
        <f>VLOOKUP(E142,nodes!$A$1:$K$167,2)</f>
        <v>87</v>
      </c>
      <c r="M142">
        <f t="shared" si="6"/>
        <v>2.7221172022684308E-3</v>
      </c>
      <c r="N142" s="2">
        <f t="shared" si="7"/>
        <v>367.36111111111114</v>
      </c>
      <c r="O142">
        <f t="shared" si="8"/>
        <v>4.59</v>
      </c>
    </row>
    <row r="143" spans="1:15" x14ac:dyDescent="0.55000000000000004">
      <c r="A143">
        <v>143</v>
      </c>
      <c r="B143" t="s">
        <v>377</v>
      </c>
      <c r="C143">
        <v>1</v>
      </c>
      <c r="D143" t="s">
        <v>466</v>
      </c>
      <c r="E143" t="s">
        <v>527</v>
      </c>
      <c r="F143">
        <v>230</v>
      </c>
      <c r="G143">
        <v>23.17</v>
      </c>
      <c r="H143">
        <v>11.12</v>
      </c>
      <c r="I143">
        <v>378</v>
      </c>
      <c r="J143">
        <v>459</v>
      </c>
      <c r="K143">
        <f>VLOOKUP(D143,nodes!$A$1:$K$167,2)</f>
        <v>88</v>
      </c>
      <c r="L143">
        <f>VLOOKUP(E143,nodes!$A$1:$K$167,2)</f>
        <v>149</v>
      </c>
      <c r="M143">
        <f t="shared" si="6"/>
        <v>2.1020793950850662E-2</v>
      </c>
      <c r="N143" s="2">
        <f t="shared" si="7"/>
        <v>47.571942446043167</v>
      </c>
      <c r="O143">
        <f t="shared" si="8"/>
        <v>4.59</v>
      </c>
    </row>
    <row r="144" spans="1:15" x14ac:dyDescent="0.55000000000000004">
      <c r="A144">
        <v>144</v>
      </c>
      <c r="B144" t="s">
        <v>377</v>
      </c>
      <c r="C144">
        <v>1</v>
      </c>
      <c r="D144" t="s">
        <v>469</v>
      </c>
      <c r="E144" t="s">
        <v>468</v>
      </c>
      <c r="F144">
        <v>230</v>
      </c>
      <c r="G144">
        <v>28</v>
      </c>
      <c r="H144">
        <v>13.44</v>
      </c>
      <c r="I144">
        <v>402</v>
      </c>
      <c r="J144">
        <v>435</v>
      </c>
      <c r="K144">
        <f>VLOOKUP(D144,nodes!$A$1:$K$167,2)</f>
        <v>91</v>
      </c>
      <c r="L144">
        <f>VLOOKUP(E144,nodes!$A$1:$K$167,2)</f>
        <v>90</v>
      </c>
      <c r="M144">
        <f t="shared" si="6"/>
        <v>2.540642722117202E-2</v>
      </c>
      <c r="N144" s="2">
        <f t="shared" si="7"/>
        <v>39.360119047619051</v>
      </c>
      <c r="O144">
        <f t="shared" si="8"/>
        <v>4.3499999999999996</v>
      </c>
    </row>
    <row r="145" spans="1:15" x14ac:dyDescent="0.55000000000000004">
      <c r="A145">
        <v>145</v>
      </c>
      <c r="B145" t="s">
        <v>377</v>
      </c>
      <c r="C145">
        <v>1</v>
      </c>
      <c r="D145" t="s">
        <v>469</v>
      </c>
      <c r="E145" t="s">
        <v>461</v>
      </c>
      <c r="F145">
        <v>230</v>
      </c>
      <c r="G145">
        <v>29.745000000000001</v>
      </c>
      <c r="H145">
        <v>14.28</v>
      </c>
      <c r="I145">
        <v>385</v>
      </c>
      <c r="J145">
        <v>459</v>
      </c>
      <c r="K145">
        <f>VLOOKUP(D145,nodes!$A$1:$K$167,2)</f>
        <v>91</v>
      </c>
      <c r="L145">
        <f>VLOOKUP(E145,nodes!$A$1:$K$167,2)</f>
        <v>84</v>
      </c>
      <c r="M145">
        <f t="shared" si="6"/>
        <v>2.6994328922495273E-2</v>
      </c>
      <c r="N145" s="2">
        <f t="shared" si="7"/>
        <v>37.044817927170868</v>
      </c>
      <c r="O145">
        <f t="shared" si="8"/>
        <v>4.59</v>
      </c>
    </row>
    <row r="146" spans="1:15" x14ac:dyDescent="0.55000000000000004">
      <c r="A146">
        <v>146</v>
      </c>
      <c r="B146" t="s">
        <v>377</v>
      </c>
      <c r="C146">
        <v>1</v>
      </c>
      <c r="D146" t="s">
        <v>472</v>
      </c>
      <c r="E146" t="s">
        <v>471</v>
      </c>
      <c r="F146">
        <v>230</v>
      </c>
      <c r="G146">
        <v>1</v>
      </c>
      <c r="H146">
        <v>0.48</v>
      </c>
      <c r="I146">
        <v>402</v>
      </c>
      <c r="J146">
        <v>435</v>
      </c>
      <c r="K146">
        <f>VLOOKUP(D146,nodes!$A$1:$K$167,2)</f>
        <v>94</v>
      </c>
      <c r="L146">
        <f>VLOOKUP(E146,nodes!$A$1:$K$167,2)</f>
        <v>93</v>
      </c>
      <c r="M146">
        <f t="shared" si="6"/>
        <v>9.0737240075614359E-4</v>
      </c>
      <c r="N146" s="2">
        <f t="shared" si="7"/>
        <v>1102.0833333333335</v>
      </c>
      <c r="O146">
        <f t="shared" si="8"/>
        <v>4.3499999999999996</v>
      </c>
    </row>
    <row r="147" spans="1:15" x14ac:dyDescent="0.55000000000000004">
      <c r="A147">
        <v>147</v>
      </c>
      <c r="B147" t="s">
        <v>377</v>
      </c>
      <c r="C147">
        <v>1</v>
      </c>
      <c r="D147" t="s">
        <v>472</v>
      </c>
      <c r="E147" t="s">
        <v>487</v>
      </c>
      <c r="F147">
        <v>230</v>
      </c>
      <c r="G147">
        <v>20.38</v>
      </c>
      <c r="H147">
        <v>9.7799999999999994</v>
      </c>
      <c r="I147">
        <v>378</v>
      </c>
      <c r="J147">
        <v>459</v>
      </c>
      <c r="K147">
        <f>VLOOKUP(D147,nodes!$A$1:$K$167,2)</f>
        <v>94</v>
      </c>
      <c r="L147">
        <f>VLOOKUP(E147,nodes!$A$1:$K$167,2)</f>
        <v>109</v>
      </c>
      <c r="M147">
        <f t="shared" si="6"/>
        <v>1.8487712665406424E-2</v>
      </c>
      <c r="N147" s="2">
        <f t="shared" si="7"/>
        <v>54.089979550102257</v>
      </c>
      <c r="O147">
        <f t="shared" si="8"/>
        <v>4.59</v>
      </c>
    </row>
    <row r="148" spans="1:15" x14ac:dyDescent="0.55000000000000004">
      <c r="A148">
        <v>148</v>
      </c>
      <c r="B148" t="s">
        <v>377</v>
      </c>
      <c r="C148">
        <v>1</v>
      </c>
      <c r="D148" t="s">
        <v>473</v>
      </c>
      <c r="E148" t="s">
        <v>503</v>
      </c>
      <c r="F148">
        <v>230</v>
      </c>
      <c r="G148">
        <v>28.47</v>
      </c>
      <c r="H148">
        <v>13.67</v>
      </c>
      <c r="I148">
        <v>340</v>
      </c>
      <c r="J148">
        <v>414</v>
      </c>
      <c r="K148">
        <f>VLOOKUP(D148,nodes!$A$1:$K$167,2)</f>
        <v>95</v>
      </c>
      <c r="L148">
        <f>VLOOKUP(E148,nodes!$A$1:$K$167,2)</f>
        <v>125</v>
      </c>
      <c r="M148">
        <f t="shared" si="6"/>
        <v>2.5841209829867675E-2</v>
      </c>
      <c r="N148" s="2">
        <f t="shared" si="7"/>
        <v>38.697878566203364</v>
      </c>
      <c r="O148">
        <f t="shared" si="8"/>
        <v>4.1399999999999997</v>
      </c>
    </row>
    <row r="149" spans="1:15" x14ac:dyDescent="0.55000000000000004">
      <c r="A149">
        <v>149</v>
      </c>
      <c r="B149" t="s">
        <v>377</v>
      </c>
      <c r="C149">
        <v>1</v>
      </c>
      <c r="D149" t="s">
        <v>473</v>
      </c>
      <c r="E149" t="s">
        <v>405</v>
      </c>
      <c r="F149">
        <v>500</v>
      </c>
      <c r="G149">
        <v>68.73</v>
      </c>
      <c r="H149">
        <v>27.15</v>
      </c>
      <c r="I149">
        <v>1403</v>
      </c>
      <c r="J149">
        <v>2226</v>
      </c>
      <c r="K149">
        <f>VLOOKUP(D149,nodes!$A$1:$K$167,2)</f>
        <v>95</v>
      </c>
      <c r="L149">
        <f>VLOOKUP(E149,nodes!$A$1:$K$167,2)</f>
        <v>28</v>
      </c>
      <c r="M149">
        <f t="shared" si="6"/>
        <v>1.086E-2</v>
      </c>
      <c r="N149" s="2">
        <f t="shared" si="7"/>
        <v>92.081031307550646</v>
      </c>
      <c r="O149">
        <f t="shared" si="8"/>
        <v>22.26</v>
      </c>
    </row>
    <row r="150" spans="1:15" x14ac:dyDescent="0.55000000000000004">
      <c r="A150">
        <v>150</v>
      </c>
      <c r="B150" t="s">
        <v>377</v>
      </c>
      <c r="C150">
        <v>1</v>
      </c>
      <c r="D150" t="s">
        <v>473</v>
      </c>
      <c r="E150" t="s">
        <v>405</v>
      </c>
      <c r="F150">
        <v>500</v>
      </c>
      <c r="G150">
        <v>68.73</v>
      </c>
      <c r="H150">
        <v>27.15</v>
      </c>
      <c r="I150">
        <v>1406</v>
      </c>
      <c r="J150">
        <v>2226</v>
      </c>
      <c r="K150">
        <f>VLOOKUP(D150,nodes!$A$1:$K$167,2)</f>
        <v>95</v>
      </c>
      <c r="L150">
        <f>VLOOKUP(E150,nodes!$A$1:$K$167,2)</f>
        <v>28</v>
      </c>
      <c r="M150">
        <f t="shared" si="6"/>
        <v>1.086E-2</v>
      </c>
      <c r="N150" s="2">
        <f t="shared" si="7"/>
        <v>92.081031307550646</v>
      </c>
      <c r="O150">
        <f t="shared" si="8"/>
        <v>22.26</v>
      </c>
    </row>
    <row r="151" spans="1:15" x14ac:dyDescent="0.55000000000000004">
      <c r="A151">
        <v>151</v>
      </c>
      <c r="B151" t="s">
        <v>377</v>
      </c>
      <c r="C151">
        <v>1</v>
      </c>
      <c r="D151" t="s">
        <v>473</v>
      </c>
      <c r="E151" t="s">
        <v>431</v>
      </c>
      <c r="F151">
        <v>230</v>
      </c>
      <c r="G151">
        <v>61.557000000000002</v>
      </c>
      <c r="H151">
        <v>29.55</v>
      </c>
      <c r="I151">
        <v>190</v>
      </c>
      <c r="J151">
        <v>337</v>
      </c>
      <c r="K151">
        <f>VLOOKUP(D151,nodes!$A$1:$K$167,2)</f>
        <v>95</v>
      </c>
      <c r="L151">
        <f>VLOOKUP(E151,nodes!$A$1:$K$167,2)</f>
        <v>54</v>
      </c>
      <c r="M151">
        <f t="shared" si="6"/>
        <v>5.5860113421550096E-2</v>
      </c>
      <c r="N151" s="2">
        <f t="shared" si="7"/>
        <v>17.901861252115058</v>
      </c>
      <c r="O151">
        <f t="shared" si="8"/>
        <v>3.37</v>
      </c>
    </row>
    <row r="152" spans="1:15" x14ac:dyDescent="0.55000000000000004">
      <c r="A152">
        <v>152</v>
      </c>
      <c r="B152" t="s">
        <v>377</v>
      </c>
      <c r="C152">
        <v>1</v>
      </c>
      <c r="D152" t="s">
        <v>475</v>
      </c>
      <c r="E152" t="s">
        <v>456</v>
      </c>
      <c r="F152">
        <v>230</v>
      </c>
      <c r="G152">
        <v>67.239999999999995</v>
      </c>
      <c r="H152">
        <v>32.28</v>
      </c>
      <c r="I152">
        <v>540</v>
      </c>
      <c r="J152">
        <v>540</v>
      </c>
      <c r="K152">
        <f>VLOOKUP(D152,nodes!$A$1:$K$167,2)</f>
        <v>97</v>
      </c>
      <c r="L152">
        <f>VLOOKUP(E152,nodes!$A$1:$K$167,2)</f>
        <v>79</v>
      </c>
      <c r="M152">
        <f t="shared" si="6"/>
        <v>6.1020793950850666E-2</v>
      </c>
      <c r="N152" s="2">
        <f t="shared" si="7"/>
        <v>16.387856257744733</v>
      </c>
      <c r="O152">
        <f t="shared" si="8"/>
        <v>5.4</v>
      </c>
    </row>
    <row r="153" spans="1:15" x14ac:dyDescent="0.55000000000000004">
      <c r="A153">
        <v>153</v>
      </c>
      <c r="B153" t="s">
        <v>377</v>
      </c>
      <c r="C153">
        <v>1</v>
      </c>
      <c r="D153" t="s">
        <v>476</v>
      </c>
      <c r="E153" t="s">
        <v>410</v>
      </c>
      <c r="F153">
        <v>230</v>
      </c>
      <c r="G153">
        <v>1.113</v>
      </c>
      <c r="H153">
        <v>0.53</v>
      </c>
      <c r="I153">
        <v>233</v>
      </c>
      <c r="J153">
        <v>323</v>
      </c>
      <c r="K153">
        <f>VLOOKUP(D153,nodes!$A$1:$K$167,2)</f>
        <v>98</v>
      </c>
      <c r="L153">
        <f>VLOOKUP(E153,nodes!$A$1:$K$167,2)</f>
        <v>33</v>
      </c>
      <c r="M153">
        <f t="shared" si="6"/>
        <v>1.0018903591682421E-3</v>
      </c>
      <c r="N153" s="2">
        <f t="shared" si="7"/>
        <v>998.11320754716974</v>
      </c>
      <c r="O153">
        <f t="shared" si="8"/>
        <v>3.23</v>
      </c>
    </row>
    <row r="154" spans="1:15" x14ac:dyDescent="0.55000000000000004">
      <c r="A154">
        <v>154</v>
      </c>
      <c r="B154" t="s">
        <v>377</v>
      </c>
      <c r="C154">
        <v>1</v>
      </c>
      <c r="D154" t="s">
        <v>476</v>
      </c>
      <c r="E154" t="s">
        <v>410</v>
      </c>
      <c r="F154">
        <v>230</v>
      </c>
      <c r="G154">
        <v>1.113</v>
      </c>
      <c r="H154">
        <v>0.53</v>
      </c>
      <c r="I154">
        <v>233</v>
      </c>
      <c r="J154">
        <v>323</v>
      </c>
      <c r="K154">
        <f>VLOOKUP(D154,nodes!$A$1:$K$167,2)</f>
        <v>98</v>
      </c>
      <c r="L154">
        <f>VLOOKUP(E154,nodes!$A$1:$K$167,2)</f>
        <v>33</v>
      </c>
      <c r="M154">
        <f t="shared" si="6"/>
        <v>1.0018903591682421E-3</v>
      </c>
      <c r="N154" s="2">
        <f t="shared" si="7"/>
        <v>998.11320754716974</v>
      </c>
      <c r="O154">
        <f t="shared" si="8"/>
        <v>3.23</v>
      </c>
    </row>
    <row r="155" spans="1:15" x14ac:dyDescent="0.55000000000000004">
      <c r="A155">
        <v>155</v>
      </c>
      <c r="B155" t="s">
        <v>377</v>
      </c>
      <c r="C155">
        <v>1</v>
      </c>
      <c r="D155" t="s">
        <v>476</v>
      </c>
      <c r="E155" t="s">
        <v>455</v>
      </c>
      <c r="F155">
        <v>230</v>
      </c>
      <c r="G155">
        <v>7.11</v>
      </c>
      <c r="H155">
        <v>3.41</v>
      </c>
      <c r="I155">
        <v>208</v>
      </c>
      <c r="J155">
        <v>253</v>
      </c>
      <c r="K155">
        <f>VLOOKUP(D155,nodes!$A$1:$K$167,2)</f>
        <v>98</v>
      </c>
      <c r="L155">
        <f>VLOOKUP(E155,nodes!$A$1:$K$167,2)</f>
        <v>78</v>
      </c>
      <c r="M155">
        <f t="shared" si="6"/>
        <v>6.4461247637051045E-3</v>
      </c>
      <c r="N155" s="2">
        <f t="shared" si="7"/>
        <v>155.13196480938416</v>
      </c>
      <c r="O155">
        <f t="shared" si="8"/>
        <v>2.5299999999999998</v>
      </c>
    </row>
    <row r="156" spans="1:15" x14ac:dyDescent="0.55000000000000004">
      <c r="A156">
        <v>156</v>
      </c>
      <c r="B156" t="s">
        <v>377</v>
      </c>
      <c r="C156">
        <v>1</v>
      </c>
      <c r="D156" t="s">
        <v>476</v>
      </c>
      <c r="E156" t="s">
        <v>410</v>
      </c>
      <c r="F156">
        <v>230</v>
      </c>
      <c r="G156">
        <v>8.6199999999999992</v>
      </c>
      <c r="H156">
        <v>4.1399999999999997</v>
      </c>
      <c r="I156">
        <v>335</v>
      </c>
      <c r="J156">
        <v>389</v>
      </c>
      <c r="K156">
        <f>VLOOKUP(D156,nodes!$A$1:$K$167,2)</f>
        <v>98</v>
      </c>
      <c r="L156">
        <f>VLOOKUP(E156,nodes!$A$1:$K$167,2)</f>
        <v>33</v>
      </c>
      <c r="M156">
        <f t="shared" si="6"/>
        <v>7.826086956521738E-3</v>
      </c>
      <c r="N156" s="2">
        <f t="shared" si="7"/>
        <v>127.7777777777778</v>
      </c>
      <c r="O156">
        <f t="shared" si="8"/>
        <v>3.89</v>
      </c>
    </row>
    <row r="157" spans="1:15" x14ac:dyDescent="0.55000000000000004">
      <c r="A157">
        <v>157</v>
      </c>
      <c r="B157" t="s">
        <v>377</v>
      </c>
      <c r="C157">
        <v>1</v>
      </c>
      <c r="D157" t="s">
        <v>477</v>
      </c>
      <c r="E157" t="s">
        <v>415</v>
      </c>
      <c r="F157">
        <v>500</v>
      </c>
      <c r="G157">
        <v>68.73</v>
      </c>
      <c r="H157">
        <v>27.15</v>
      </c>
      <c r="I157">
        <v>1453</v>
      </c>
      <c r="J157">
        <v>2363</v>
      </c>
      <c r="K157">
        <f>VLOOKUP(D157,nodes!$A$1:$K$167,2)</f>
        <v>99</v>
      </c>
      <c r="L157">
        <f>VLOOKUP(E157,nodes!$A$1:$K$167,2)</f>
        <v>38</v>
      </c>
      <c r="M157">
        <f t="shared" si="6"/>
        <v>1.086E-2</v>
      </c>
      <c r="N157" s="2">
        <f t="shared" si="7"/>
        <v>92.081031307550646</v>
      </c>
      <c r="O157">
        <f t="shared" si="8"/>
        <v>23.63</v>
      </c>
    </row>
    <row r="158" spans="1:15" x14ac:dyDescent="0.55000000000000004">
      <c r="A158">
        <v>158</v>
      </c>
      <c r="B158" t="s">
        <v>377</v>
      </c>
      <c r="C158">
        <v>1</v>
      </c>
      <c r="D158" t="s">
        <v>477</v>
      </c>
      <c r="E158" t="s">
        <v>415</v>
      </c>
      <c r="F158">
        <v>500</v>
      </c>
      <c r="G158">
        <v>68.73</v>
      </c>
      <c r="H158">
        <v>27.15</v>
      </c>
      <c r="I158">
        <v>1453</v>
      </c>
      <c r="J158">
        <v>2363</v>
      </c>
      <c r="K158">
        <f>VLOOKUP(D158,nodes!$A$1:$K$167,2)</f>
        <v>99</v>
      </c>
      <c r="L158">
        <f>VLOOKUP(E158,nodes!$A$1:$K$167,2)</f>
        <v>38</v>
      </c>
      <c r="M158">
        <f t="shared" si="6"/>
        <v>1.086E-2</v>
      </c>
      <c r="N158" s="2">
        <f t="shared" si="7"/>
        <v>92.081031307550646</v>
      </c>
      <c r="O158">
        <f t="shared" si="8"/>
        <v>23.63</v>
      </c>
    </row>
    <row r="159" spans="1:15" x14ac:dyDescent="0.55000000000000004">
      <c r="A159">
        <v>159</v>
      </c>
      <c r="B159" t="s">
        <v>377</v>
      </c>
      <c r="C159">
        <v>1</v>
      </c>
      <c r="D159" t="s">
        <v>479</v>
      </c>
      <c r="E159" t="s">
        <v>537</v>
      </c>
      <c r="F159">
        <v>230</v>
      </c>
      <c r="G159">
        <v>63.356999999999999</v>
      </c>
      <c r="H159">
        <v>30.41</v>
      </c>
      <c r="I159">
        <v>375</v>
      </c>
      <c r="J159">
        <v>482</v>
      </c>
      <c r="K159">
        <f>VLOOKUP(D159,nodes!$A$1:$K$167,2)</f>
        <v>101</v>
      </c>
      <c r="L159">
        <f>VLOOKUP(E159,nodes!$A$1:$K$167,2)</f>
        <v>159</v>
      </c>
      <c r="M159">
        <f t="shared" si="6"/>
        <v>5.7485822306238187E-2</v>
      </c>
      <c r="N159" s="2">
        <f t="shared" si="7"/>
        <v>17.395593554751727</v>
      </c>
      <c r="O159">
        <f t="shared" si="8"/>
        <v>4.82</v>
      </c>
    </row>
    <row r="160" spans="1:15" x14ac:dyDescent="0.55000000000000004">
      <c r="A160">
        <v>160</v>
      </c>
      <c r="B160" t="s">
        <v>377</v>
      </c>
      <c r="C160">
        <v>1</v>
      </c>
      <c r="D160" t="s">
        <v>479</v>
      </c>
      <c r="E160" t="s">
        <v>532</v>
      </c>
      <c r="F160">
        <v>500</v>
      </c>
      <c r="G160">
        <v>139.11099999999999</v>
      </c>
      <c r="H160">
        <v>54.95</v>
      </c>
      <c r="I160">
        <v>2752</v>
      </c>
      <c r="J160">
        <v>3253</v>
      </c>
      <c r="K160">
        <f>VLOOKUP(D160,nodes!$A$1:$K$167,2)</f>
        <v>101</v>
      </c>
      <c r="L160">
        <f>VLOOKUP(E160,nodes!$A$1:$K$167,2)</f>
        <v>154</v>
      </c>
      <c r="M160">
        <f t="shared" si="6"/>
        <v>2.198E-2</v>
      </c>
      <c r="N160" s="2">
        <f t="shared" si="7"/>
        <v>45.495905368516837</v>
      </c>
      <c r="O160">
        <f t="shared" si="8"/>
        <v>32.53</v>
      </c>
    </row>
    <row r="161" spans="1:15" x14ac:dyDescent="0.55000000000000004">
      <c r="A161">
        <v>161</v>
      </c>
      <c r="B161" t="s">
        <v>377</v>
      </c>
      <c r="C161">
        <v>1</v>
      </c>
      <c r="D161" t="s">
        <v>479</v>
      </c>
      <c r="E161" t="s">
        <v>458</v>
      </c>
      <c r="F161">
        <v>500</v>
      </c>
      <c r="G161">
        <v>248.18899999999999</v>
      </c>
      <c r="H161">
        <v>98.03</v>
      </c>
      <c r="I161">
        <v>1911</v>
      </c>
      <c r="J161">
        <v>2610</v>
      </c>
      <c r="K161">
        <f>VLOOKUP(D161,nodes!$A$1:$K$167,2)</f>
        <v>101</v>
      </c>
      <c r="L161">
        <f>VLOOKUP(E161,nodes!$A$1:$K$167,2)</f>
        <v>81</v>
      </c>
      <c r="M161">
        <f t="shared" si="6"/>
        <v>3.9212000000000004E-2</v>
      </c>
      <c r="N161" s="2">
        <f t="shared" si="7"/>
        <v>25.50239722533918</v>
      </c>
      <c r="O161">
        <f t="shared" si="8"/>
        <v>26.1</v>
      </c>
    </row>
    <row r="162" spans="1:15" x14ac:dyDescent="0.55000000000000004">
      <c r="A162">
        <v>162</v>
      </c>
      <c r="B162" t="s">
        <v>377</v>
      </c>
      <c r="C162">
        <v>1</v>
      </c>
      <c r="D162" t="s">
        <v>479</v>
      </c>
      <c r="E162" t="s">
        <v>458</v>
      </c>
      <c r="F162">
        <v>500</v>
      </c>
      <c r="G162">
        <v>248.221</v>
      </c>
      <c r="H162">
        <v>98.05</v>
      </c>
      <c r="I162">
        <v>2896</v>
      </c>
      <c r="J162">
        <v>3486</v>
      </c>
      <c r="K162">
        <f>VLOOKUP(D162,nodes!$A$1:$K$167,2)</f>
        <v>101</v>
      </c>
      <c r="L162">
        <f>VLOOKUP(E162,nodes!$A$1:$K$167,2)</f>
        <v>81</v>
      </c>
      <c r="M162">
        <f t="shared" si="6"/>
        <v>3.9219999999999998E-2</v>
      </c>
      <c r="N162" s="2">
        <f t="shared" si="7"/>
        <v>25.497195308516066</v>
      </c>
      <c r="O162">
        <f t="shared" si="8"/>
        <v>34.86</v>
      </c>
    </row>
    <row r="163" spans="1:15" x14ac:dyDescent="0.55000000000000004">
      <c r="A163">
        <v>163</v>
      </c>
      <c r="B163" t="s">
        <v>377</v>
      </c>
      <c r="C163">
        <v>1</v>
      </c>
      <c r="D163" t="s">
        <v>479</v>
      </c>
      <c r="E163" t="s">
        <v>436</v>
      </c>
      <c r="F163">
        <v>500</v>
      </c>
      <c r="G163">
        <v>263.93400000000003</v>
      </c>
      <c r="H163">
        <v>104.25</v>
      </c>
      <c r="I163">
        <v>1892</v>
      </c>
      <c r="J163">
        <v>2606</v>
      </c>
      <c r="K163">
        <f>VLOOKUP(D163,nodes!$A$1:$K$167,2)</f>
        <v>101</v>
      </c>
      <c r="L163">
        <f>VLOOKUP(E163,nodes!$A$1:$K$167,2)</f>
        <v>59</v>
      </c>
      <c r="M163">
        <f t="shared" si="6"/>
        <v>4.1700000000000001E-2</v>
      </c>
      <c r="N163" s="2">
        <f t="shared" si="7"/>
        <v>23.980815347721823</v>
      </c>
      <c r="O163">
        <f t="shared" si="8"/>
        <v>26.06</v>
      </c>
    </row>
    <row r="164" spans="1:15" x14ac:dyDescent="0.55000000000000004">
      <c r="A164">
        <v>164</v>
      </c>
      <c r="B164" t="s">
        <v>377</v>
      </c>
      <c r="C164">
        <v>1</v>
      </c>
      <c r="D164" t="s">
        <v>480</v>
      </c>
      <c r="E164" t="s">
        <v>554</v>
      </c>
      <c r="F164">
        <v>230</v>
      </c>
      <c r="G164">
        <v>22.9</v>
      </c>
      <c r="H164">
        <v>10.99</v>
      </c>
      <c r="I164">
        <v>450</v>
      </c>
      <c r="J164">
        <v>450</v>
      </c>
      <c r="K164">
        <f>VLOOKUP(D164,nodes!$A$1:$K$167,2)</f>
        <v>102</v>
      </c>
      <c r="L164">
        <f>VLOOKUP(E164,nodes!$A$1:$K$167,2)</f>
        <v>166</v>
      </c>
      <c r="M164">
        <f t="shared" si="6"/>
        <v>2.0775047258979207E-2</v>
      </c>
      <c r="N164" s="2">
        <f t="shared" si="7"/>
        <v>48.134667879890806</v>
      </c>
      <c r="O164">
        <f t="shared" si="8"/>
        <v>4.5</v>
      </c>
    </row>
    <row r="165" spans="1:15" x14ac:dyDescent="0.55000000000000004">
      <c r="A165">
        <v>165</v>
      </c>
      <c r="B165" t="s">
        <v>377</v>
      </c>
      <c r="C165">
        <v>1</v>
      </c>
      <c r="D165" t="s">
        <v>480</v>
      </c>
      <c r="E165" t="s">
        <v>376</v>
      </c>
      <c r="F165">
        <v>230</v>
      </c>
      <c r="G165">
        <v>161.71</v>
      </c>
      <c r="H165">
        <v>77.62</v>
      </c>
      <c r="I165">
        <v>403</v>
      </c>
      <c r="J165">
        <v>483</v>
      </c>
      <c r="K165">
        <f>VLOOKUP(D165,nodes!$A$1:$K$167,2)</f>
        <v>102</v>
      </c>
      <c r="L165">
        <f>VLOOKUP(E165,nodes!$A$1:$K$167,2)</f>
        <v>1</v>
      </c>
      <c r="M165">
        <f t="shared" si="6"/>
        <v>0.1467296786389414</v>
      </c>
      <c r="N165" s="2">
        <f t="shared" si="7"/>
        <v>6.8152538005668637</v>
      </c>
      <c r="O165">
        <f t="shared" si="8"/>
        <v>4.83</v>
      </c>
    </row>
    <row r="166" spans="1:15" x14ac:dyDescent="0.55000000000000004">
      <c r="A166">
        <v>166</v>
      </c>
      <c r="B166" t="s">
        <v>377</v>
      </c>
      <c r="C166">
        <v>1</v>
      </c>
      <c r="D166" t="s">
        <v>480</v>
      </c>
      <c r="E166" t="s">
        <v>554</v>
      </c>
      <c r="F166">
        <v>230</v>
      </c>
      <c r="G166">
        <v>167</v>
      </c>
      <c r="H166">
        <v>80.16</v>
      </c>
      <c r="I166">
        <v>380</v>
      </c>
      <c r="J166">
        <v>380</v>
      </c>
      <c r="K166">
        <f>VLOOKUP(D166,nodes!$A$1:$K$167,2)</f>
        <v>102</v>
      </c>
      <c r="L166">
        <f>VLOOKUP(E166,nodes!$A$1:$K$167,2)</f>
        <v>166</v>
      </c>
      <c r="M166">
        <f t="shared" si="6"/>
        <v>0.15153119092627598</v>
      </c>
      <c r="N166" s="2">
        <f t="shared" si="7"/>
        <v>6.5993013972055889</v>
      </c>
      <c r="O166">
        <f t="shared" si="8"/>
        <v>3.8</v>
      </c>
    </row>
    <row r="167" spans="1:15" x14ac:dyDescent="0.55000000000000004">
      <c r="A167">
        <v>168</v>
      </c>
      <c r="B167" t="s">
        <v>377</v>
      </c>
      <c r="C167">
        <v>1</v>
      </c>
      <c r="D167" t="s">
        <v>482</v>
      </c>
      <c r="E167" t="s">
        <v>441</v>
      </c>
      <c r="F167">
        <v>500</v>
      </c>
      <c r="G167">
        <v>138.41399999999999</v>
      </c>
      <c r="H167">
        <v>54.67</v>
      </c>
      <c r="I167">
        <v>1715</v>
      </c>
      <c r="J167">
        <v>2441</v>
      </c>
      <c r="K167">
        <f>VLOOKUP(D167,nodes!$A$1:$K$167,2)</f>
        <v>104</v>
      </c>
      <c r="L167">
        <f>VLOOKUP(E167,nodes!$A$1:$K$167,2)</f>
        <v>64</v>
      </c>
      <c r="M167">
        <f t="shared" si="6"/>
        <v>2.1868000000000002E-2</v>
      </c>
      <c r="N167" s="2">
        <f t="shared" si="7"/>
        <v>45.728918968355586</v>
      </c>
      <c r="O167">
        <f t="shared" si="8"/>
        <v>24.41</v>
      </c>
    </row>
    <row r="168" spans="1:15" x14ac:dyDescent="0.55000000000000004">
      <c r="A168">
        <v>169</v>
      </c>
      <c r="B168" t="s">
        <v>377</v>
      </c>
      <c r="C168">
        <v>1</v>
      </c>
      <c r="D168" t="s">
        <v>484</v>
      </c>
      <c r="E168" t="s">
        <v>483</v>
      </c>
      <c r="F168">
        <v>230</v>
      </c>
      <c r="G168">
        <v>0.34899999999999998</v>
      </c>
      <c r="H168">
        <v>0.17</v>
      </c>
      <c r="I168">
        <v>402</v>
      </c>
      <c r="J168">
        <v>435</v>
      </c>
      <c r="K168">
        <f>VLOOKUP(D168,nodes!$A$1:$K$167,2)</f>
        <v>106</v>
      </c>
      <c r="L168">
        <f>VLOOKUP(E168,nodes!$A$1:$K$167,2)</f>
        <v>105</v>
      </c>
      <c r="M168">
        <f t="shared" si="6"/>
        <v>3.2136105860113424E-4</v>
      </c>
      <c r="N168" s="2">
        <f t="shared" si="7"/>
        <v>3111.7647058823527</v>
      </c>
      <c r="O168">
        <f t="shared" si="8"/>
        <v>4.3499999999999996</v>
      </c>
    </row>
    <row r="169" spans="1:15" x14ac:dyDescent="0.55000000000000004">
      <c r="A169">
        <v>170</v>
      </c>
      <c r="B169" t="s">
        <v>377</v>
      </c>
      <c r="C169">
        <v>1</v>
      </c>
      <c r="D169" t="s">
        <v>484</v>
      </c>
      <c r="E169" t="s">
        <v>397</v>
      </c>
      <c r="F169">
        <v>230</v>
      </c>
      <c r="G169">
        <v>97.92</v>
      </c>
      <c r="H169">
        <v>47</v>
      </c>
      <c r="I169">
        <v>198</v>
      </c>
      <c r="J169">
        <v>321</v>
      </c>
      <c r="K169">
        <f>VLOOKUP(D169,nodes!$A$1:$K$167,2)</f>
        <v>106</v>
      </c>
      <c r="L169">
        <f>VLOOKUP(E169,nodes!$A$1:$K$167,2)</f>
        <v>20</v>
      </c>
      <c r="M169">
        <f t="shared" si="6"/>
        <v>8.8846880907372403E-2</v>
      </c>
      <c r="N169" s="2">
        <f t="shared" si="7"/>
        <v>11.25531914893617</v>
      </c>
      <c r="O169">
        <f t="shared" si="8"/>
        <v>3.21</v>
      </c>
    </row>
    <row r="170" spans="1:15" x14ac:dyDescent="0.55000000000000004">
      <c r="A170">
        <v>171</v>
      </c>
      <c r="B170" t="s">
        <v>377</v>
      </c>
      <c r="C170">
        <v>1</v>
      </c>
      <c r="D170" t="s">
        <v>485</v>
      </c>
      <c r="E170" t="s">
        <v>426</v>
      </c>
      <c r="F170">
        <v>230</v>
      </c>
      <c r="G170">
        <v>2.7509999999999999</v>
      </c>
      <c r="H170">
        <v>1.32</v>
      </c>
      <c r="I170">
        <v>643</v>
      </c>
      <c r="J170">
        <v>816</v>
      </c>
      <c r="K170">
        <f>VLOOKUP(D170,nodes!$A$1:$K$167,2)</f>
        <v>107</v>
      </c>
      <c r="L170">
        <f>VLOOKUP(E170,nodes!$A$1:$K$167,2)</f>
        <v>49</v>
      </c>
      <c r="M170">
        <f t="shared" si="6"/>
        <v>2.4952741020793953E-3</v>
      </c>
      <c r="N170" s="2">
        <f t="shared" si="7"/>
        <v>400.75757575757575</v>
      </c>
      <c r="O170">
        <f t="shared" si="8"/>
        <v>8.16</v>
      </c>
    </row>
    <row r="171" spans="1:15" x14ac:dyDescent="0.55000000000000004">
      <c r="A171">
        <v>172</v>
      </c>
      <c r="B171" t="s">
        <v>377</v>
      </c>
      <c r="C171">
        <v>1</v>
      </c>
      <c r="D171" t="s">
        <v>485</v>
      </c>
      <c r="E171" t="s">
        <v>393</v>
      </c>
      <c r="F171">
        <v>230</v>
      </c>
      <c r="G171">
        <v>9.2170000000000005</v>
      </c>
      <c r="H171">
        <v>4.42</v>
      </c>
      <c r="I171">
        <v>643</v>
      </c>
      <c r="J171">
        <v>816</v>
      </c>
      <c r="K171">
        <f>VLOOKUP(D171,nodes!$A$1:$K$167,2)</f>
        <v>107</v>
      </c>
      <c r="L171">
        <f>VLOOKUP(E171,nodes!$A$1:$K$167,2)</f>
        <v>16</v>
      </c>
      <c r="M171">
        <f t="shared" si="6"/>
        <v>8.3553875236294893E-3</v>
      </c>
      <c r="N171" s="2">
        <f t="shared" si="7"/>
        <v>119.68325791855204</v>
      </c>
      <c r="O171">
        <f t="shared" si="8"/>
        <v>8.16</v>
      </c>
    </row>
    <row r="172" spans="1:15" x14ac:dyDescent="0.55000000000000004">
      <c r="A172">
        <v>173</v>
      </c>
      <c r="B172" t="s">
        <v>377</v>
      </c>
      <c r="C172">
        <v>1</v>
      </c>
      <c r="D172" t="s">
        <v>485</v>
      </c>
      <c r="E172" t="s">
        <v>451</v>
      </c>
      <c r="F172">
        <v>230</v>
      </c>
      <c r="G172">
        <v>12.397</v>
      </c>
      <c r="H172">
        <v>5.95</v>
      </c>
      <c r="I172">
        <v>348</v>
      </c>
      <c r="J172">
        <v>466</v>
      </c>
      <c r="K172">
        <f>VLOOKUP(D172,nodes!$A$1:$K$167,2)</f>
        <v>107</v>
      </c>
      <c r="L172">
        <f>VLOOKUP(E172,nodes!$A$1:$K$167,2)</f>
        <v>74</v>
      </c>
      <c r="M172">
        <f t="shared" si="6"/>
        <v>1.1247637051039698E-2</v>
      </c>
      <c r="N172" s="2">
        <f t="shared" si="7"/>
        <v>88.907563025210081</v>
      </c>
      <c r="O172">
        <f t="shared" si="8"/>
        <v>4.66</v>
      </c>
    </row>
    <row r="173" spans="1:15" x14ac:dyDescent="0.55000000000000004">
      <c r="A173">
        <v>174</v>
      </c>
      <c r="B173" t="s">
        <v>377</v>
      </c>
      <c r="C173">
        <v>1</v>
      </c>
      <c r="D173" t="s">
        <v>485</v>
      </c>
      <c r="E173" t="s">
        <v>451</v>
      </c>
      <c r="F173">
        <v>230</v>
      </c>
      <c r="G173">
        <v>12.41</v>
      </c>
      <c r="H173">
        <v>5.96</v>
      </c>
      <c r="I173">
        <v>348</v>
      </c>
      <c r="J173">
        <v>466</v>
      </c>
      <c r="K173">
        <f>VLOOKUP(D173,nodes!$A$1:$K$167,2)</f>
        <v>107</v>
      </c>
      <c r="L173">
        <f>VLOOKUP(E173,nodes!$A$1:$K$167,2)</f>
        <v>74</v>
      </c>
      <c r="M173">
        <f t="shared" si="6"/>
        <v>1.1266540642722117E-2</v>
      </c>
      <c r="N173" s="2">
        <f t="shared" si="7"/>
        <v>88.758389261744966</v>
      </c>
      <c r="O173">
        <f t="shared" si="8"/>
        <v>4.66</v>
      </c>
    </row>
    <row r="174" spans="1:15" x14ac:dyDescent="0.55000000000000004">
      <c r="A174">
        <v>175</v>
      </c>
      <c r="B174" t="s">
        <v>377</v>
      </c>
      <c r="C174">
        <v>1</v>
      </c>
      <c r="D174" t="s">
        <v>486</v>
      </c>
      <c r="E174" t="s">
        <v>438</v>
      </c>
      <c r="F174">
        <v>230</v>
      </c>
      <c r="G174">
        <v>150.03</v>
      </c>
      <c r="H174">
        <v>72.010000000000005</v>
      </c>
      <c r="I174">
        <v>408</v>
      </c>
      <c r="J174">
        <v>419</v>
      </c>
      <c r="K174">
        <f>VLOOKUP(D174,nodes!$A$1:$K$167,2)</f>
        <v>108</v>
      </c>
      <c r="L174">
        <f>VLOOKUP(E174,nodes!$A$1:$K$167,2)</f>
        <v>61</v>
      </c>
      <c r="M174">
        <f t="shared" si="6"/>
        <v>0.13612476370510398</v>
      </c>
      <c r="N174" s="2">
        <f t="shared" si="7"/>
        <v>7.3462019164004992</v>
      </c>
      <c r="O174">
        <f t="shared" si="8"/>
        <v>4.1900000000000004</v>
      </c>
    </row>
    <row r="175" spans="1:15" x14ac:dyDescent="0.55000000000000004">
      <c r="A175">
        <v>176</v>
      </c>
      <c r="B175" t="s">
        <v>377</v>
      </c>
      <c r="C175">
        <v>1</v>
      </c>
      <c r="D175" t="s">
        <v>490</v>
      </c>
      <c r="E175" t="s">
        <v>390</v>
      </c>
      <c r="F175">
        <v>230</v>
      </c>
      <c r="G175">
        <v>9.1460000000000008</v>
      </c>
      <c r="H175">
        <v>4.3899999999999997</v>
      </c>
      <c r="I175">
        <v>206</v>
      </c>
      <c r="J175">
        <v>341</v>
      </c>
      <c r="K175">
        <f>VLOOKUP(D175,nodes!$A$1:$K$167,2)</f>
        <v>112</v>
      </c>
      <c r="L175">
        <f>VLOOKUP(E175,nodes!$A$1:$K$167,2)</f>
        <v>13</v>
      </c>
      <c r="M175">
        <f t="shared" si="6"/>
        <v>8.2986767485822305E-3</v>
      </c>
      <c r="N175" s="2">
        <f t="shared" si="7"/>
        <v>120.50113895216401</v>
      </c>
      <c r="O175">
        <f t="shared" si="8"/>
        <v>3.41</v>
      </c>
    </row>
    <row r="176" spans="1:15" x14ac:dyDescent="0.55000000000000004">
      <c r="A176">
        <v>177</v>
      </c>
      <c r="B176" t="s">
        <v>377</v>
      </c>
      <c r="C176">
        <v>1</v>
      </c>
      <c r="D176" t="s">
        <v>492</v>
      </c>
      <c r="E176" t="s">
        <v>491</v>
      </c>
      <c r="F176">
        <v>230</v>
      </c>
      <c r="G176">
        <v>0.433</v>
      </c>
      <c r="H176">
        <v>0.21</v>
      </c>
      <c r="I176">
        <v>375</v>
      </c>
      <c r="J176">
        <v>457</v>
      </c>
      <c r="K176">
        <f>VLOOKUP(D176,nodes!$A$1:$K$167,2)</f>
        <v>114</v>
      </c>
      <c r="L176">
        <f>VLOOKUP(E176,nodes!$A$1:$K$167,2)</f>
        <v>113</v>
      </c>
      <c r="M176">
        <f t="shared" si="6"/>
        <v>3.9697542533081282E-4</v>
      </c>
      <c r="N176" s="2">
        <f t="shared" si="7"/>
        <v>2519.0476190476193</v>
      </c>
      <c r="O176">
        <f t="shared" si="8"/>
        <v>4.57</v>
      </c>
    </row>
    <row r="177" spans="1:15" x14ac:dyDescent="0.55000000000000004">
      <c r="A177">
        <v>178</v>
      </c>
      <c r="B177" t="s">
        <v>377</v>
      </c>
      <c r="C177">
        <v>1</v>
      </c>
      <c r="D177" t="s">
        <v>492</v>
      </c>
      <c r="E177" t="s">
        <v>491</v>
      </c>
      <c r="F177">
        <v>230</v>
      </c>
      <c r="G177">
        <v>0.45300000000000001</v>
      </c>
      <c r="H177">
        <v>0.22</v>
      </c>
      <c r="I177">
        <v>402</v>
      </c>
      <c r="J177">
        <v>435</v>
      </c>
      <c r="K177">
        <f>VLOOKUP(D177,nodes!$A$1:$K$167,2)</f>
        <v>114</v>
      </c>
      <c r="L177">
        <f>VLOOKUP(E177,nodes!$A$1:$K$167,2)</f>
        <v>113</v>
      </c>
      <c r="M177">
        <f t="shared" si="6"/>
        <v>4.1587901701323253E-4</v>
      </c>
      <c r="N177" s="2">
        <f t="shared" si="7"/>
        <v>2404.5454545454545</v>
      </c>
      <c r="O177">
        <f t="shared" si="8"/>
        <v>4.3499999999999996</v>
      </c>
    </row>
    <row r="178" spans="1:15" x14ac:dyDescent="0.55000000000000004">
      <c r="A178">
        <v>179</v>
      </c>
      <c r="B178" t="s">
        <v>377</v>
      </c>
      <c r="C178">
        <v>1</v>
      </c>
      <c r="D178" t="s">
        <v>492</v>
      </c>
      <c r="E178" t="s">
        <v>406</v>
      </c>
      <c r="F178">
        <v>230</v>
      </c>
      <c r="G178">
        <v>67.73</v>
      </c>
      <c r="H178">
        <v>32.51</v>
      </c>
      <c r="I178">
        <v>375</v>
      </c>
      <c r="J178">
        <v>431</v>
      </c>
      <c r="K178">
        <f>VLOOKUP(D178,nodes!$A$1:$K$167,2)</f>
        <v>114</v>
      </c>
      <c r="L178">
        <f>VLOOKUP(E178,nodes!$A$1:$K$167,2)</f>
        <v>29</v>
      </c>
      <c r="M178">
        <f t="shared" si="6"/>
        <v>6.145557655954631E-2</v>
      </c>
      <c r="N178" s="2">
        <f t="shared" si="7"/>
        <v>16.271916333435868</v>
      </c>
      <c r="O178">
        <f t="shared" si="8"/>
        <v>4.3099999999999996</v>
      </c>
    </row>
    <row r="179" spans="1:15" x14ac:dyDescent="0.55000000000000004">
      <c r="A179">
        <v>180</v>
      </c>
      <c r="B179" t="s">
        <v>377</v>
      </c>
      <c r="C179">
        <v>1</v>
      </c>
      <c r="D179" t="s">
        <v>492</v>
      </c>
      <c r="E179" t="s">
        <v>484</v>
      </c>
      <c r="F179">
        <v>230</v>
      </c>
      <c r="G179">
        <v>97.92</v>
      </c>
      <c r="H179">
        <v>47</v>
      </c>
      <c r="I179">
        <v>198</v>
      </c>
      <c r="J179">
        <v>321</v>
      </c>
      <c r="K179">
        <f>VLOOKUP(D179,nodes!$A$1:$K$167,2)</f>
        <v>114</v>
      </c>
      <c r="L179">
        <f>VLOOKUP(E179,nodes!$A$1:$K$167,2)</f>
        <v>106</v>
      </c>
      <c r="M179">
        <f t="shared" si="6"/>
        <v>8.8846880907372403E-2</v>
      </c>
      <c r="N179" s="2">
        <f t="shared" si="7"/>
        <v>11.25531914893617</v>
      </c>
      <c r="O179">
        <f t="shared" si="8"/>
        <v>3.21</v>
      </c>
    </row>
    <row r="180" spans="1:15" x14ac:dyDescent="0.55000000000000004">
      <c r="A180">
        <v>181</v>
      </c>
      <c r="B180" t="s">
        <v>377</v>
      </c>
      <c r="C180">
        <v>1</v>
      </c>
      <c r="D180" t="s">
        <v>494</v>
      </c>
      <c r="E180" t="s">
        <v>435</v>
      </c>
      <c r="F180">
        <v>230</v>
      </c>
      <c r="G180">
        <v>11.994999999999999</v>
      </c>
      <c r="H180">
        <v>5.76</v>
      </c>
      <c r="I180">
        <v>384</v>
      </c>
      <c r="J180">
        <v>462</v>
      </c>
      <c r="K180">
        <f>VLOOKUP(D180,nodes!$A$1:$K$167,2)</f>
        <v>116</v>
      </c>
      <c r="L180">
        <f>VLOOKUP(E180,nodes!$A$1:$K$167,2)</f>
        <v>58</v>
      </c>
      <c r="M180">
        <f t="shared" ref="M180:M243" si="9">H180/(F180^2/100)</f>
        <v>1.0888468809073723E-2</v>
      </c>
      <c r="N180" s="2">
        <f t="shared" ref="N180:N243" si="10">1/M180</f>
        <v>91.840277777777786</v>
      </c>
      <c r="O180">
        <f t="shared" ref="O180:O243" si="11">J180/100</f>
        <v>4.62</v>
      </c>
    </row>
    <row r="181" spans="1:15" x14ac:dyDescent="0.55000000000000004">
      <c r="A181">
        <v>182</v>
      </c>
      <c r="B181" t="s">
        <v>377</v>
      </c>
      <c r="C181">
        <v>1</v>
      </c>
      <c r="D181" t="s">
        <v>494</v>
      </c>
      <c r="E181" t="s">
        <v>378</v>
      </c>
      <c r="F181">
        <v>500</v>
      </c>
      <c r="G181">
        <v>83.695999999999998</v>
      </c>
      <c r="H181">
        <v>33.06</v>
      </c>
      <c r="I181">
        <v>2440</v>
      </c>
      <c r="J181">
        <v>2826</v>
      </c>
      <c r="K181">
        <f>VLOOKUP(D181,nodes!$A$1:$K$167,2)</f>
        <v>116</v>
      </c>
      <c r="L181">
        <f>VLOOKUP(E181,nodes!$A$1:$K$167,2)</f>
        <v>2</v>
      </c>
      <c r="M181">
        <f t="shared" si="9"/>
        <v>1.3224000000000001E-2</v>
      </c>
      <c r="N181" s="2">
        <f t="shared" si="10"/>
        <v>75.620084694494849</v>
      </c>
      <c r="O181">
        <f t="shared" si="11"/>
        <v>28.26</v>
      </c>
    </row>
    <row r="182" spans="1:15" x14ac:dyDescent="0.55000000000000004">
      <c r="A182">
        <v>183</v>
      </c>
      <c r="B182" t="s">
        <v>377</v>
      </c>
      <c r="C182">
        <v>1</v>
      </c>
      <c r="D182" t="s">
        <v>494</v>
      </c>
      <c r="E182" t="s">
        <v>378</v>
      </c>
      <c r="F182">
        <v>500</v>
      </c>
      <c r="G182">
        <v>83.731999999999999</v>
      </c>
      <c r="H182">
        <v>33.07</v>
      </c>
      <c r="I182">
        <v>1892</v>
      </c>
      <c r="J182">
        <v>2684</v>
      </c>
      <c r="K182">
        <f>VLOOKUP(D182,nodes!$A$1:$K$167,2)</f>
        <v>116</v>
      </c>
      <c r="L182">
        <f>VLOOKUP(E182,nodes!$A$1:$K$167,2)</f>
        <v>2</v>
      </c>
      <c r="M182">
        <f t="shared" si="9"/>
        <v>1.3228E-2</v>
      </c>
      <c r="N182" s="2">
        <f t="shared" si="10"/>
        <v>75.597218022376779</v>
      </c>
      <c r="O182">
        <f t="shared" si="11"/>
        <v>26.84</v>
      </c>
    </row>
    <row r="183" spans="1:15" x14ac:dyDescent="0.55000000000000004">
      <c r="A183">
        <v>184</v>
      </c>
      <c r="B183" t="s">
        <v>377</v>
      </c>
      <c r="C183">
        <v>1</v>
      </c>
      <c r="D183" t="s">
        <v>495</v>
      </c>
      <c r="E183" t="s">
        <v>532</v>
      </c>
      <c r="F183">
        <v>230</v>
      </c>
      <c r="G183">
        <v>25</v>
      </c>
      <c r="H183">
        <v>12</v>
      </c>
      <c r="I183">
        <v>402</v>
      </c>
      <c r="J183">
        <v>435</v>
      </c>
      <c r="K183">
        <f>VLOOKUP(D183,nodes!$A$1:$K$167,2)</f>
        <v>117</v>
      </c>
      <c r="L183">
        <f>VLOOKUP(E183,nodes!$A$1:$K$167,2)</f>
        <v>154</v>
      </c>
      <c r="M183">
        <f t="shared" si="9"/>
        <v>2.2684310018903593E-2</v>
      </c>
      <c r="N183" s="2">
        <f t="shared" si="10"/>
        <v>44.083333333333329</v>
      </c>
      <c r="O183">
        <f t="shared" si="11"/>
        <v>4.3499999999999996</v>
      </c>
    </row>
    <row r="184" spans="1:15" x14ac:dyDescent="0.55000000000000004">
      <c r="A184">
        <v>185</v>
      </c>
      <c r="B184" t="s">
        <v>377</v>
      </c>
      <c r="C184">
        <v>1</v>
      </c>
      <c r="D184" t="s">
        <v>495</v>
      </c>
      <c r="E184" t="s">
        <v>532</v>
      </c>
      <c r="F184">
        <v>230</v>
      </c>
      <c r="G184">
        <v>25</v>
      </c>
      <c r="H184">
        <v>12</v>
      </c>
      <c r="I184">
        <v>402</v>
      </c>
      <c r="J184">
        <v>435</v>
      </c>
      <c r="K184">
        <f>VLOOKUP(D184,nodes!$A$1:$K$167,2)</f>
        <v>117</v>
      </c>
      <c r="L184">
        <f>VLOOKUP(E184,nodes!$A$1:$K$167,2)</f>
        <v>154</v>
      </c>
      <c r="M184">
        <f t="shared" si="9"/>
        <v>2.2684310018903593E-2</v>
      </c>
      <c r="N184" s="2">
        <f t="shared" si="10"/>
        <v>44.083333333333329</v>
      </c>
      <c r="O184">
        <f t="shared" si="11"/>
        <v>4.3499999999999996</v>
      </c>
    </row>
    <row r="185" spans="1:15" x14ac:dyDescent="0.55000000000000004">
      <c r="A185">
        <v>186</v>
      </c>
      <c r="B185" t="s">
        <v>377</v>
      </c>
      <c r="C185">
        <v>1</v>
      </c>
      <c r="D185" t="s">
        <v>496</v>
      </c>
      <c r="E185" t="s">
        <v>538</v>
      </c>
      <c r="F185">
        <v>360</v>
      </c>
      <c r="G185">
        <v>10.237</v>
      </c>
      <c r="H185">
        <v>4.49</v>
      </c>
      <c r="I185">
        <v>586</v>
      </c>
      <c r="J185">
        <v>674</v>
      </c>
      <c r="K185">
        <f>VLOOKUP(D185,nodes!$A$1:$K$167,2)</f>
        <v>118</v>
      </c>
      <c r="L185">
        <f>VLOOKUP(E185,nodes!$A$1:$K$167,2)</f>
        <v>160</v>
      </c>
      <c r="M185">
        <f t="shared" si="9"/>
        <v>3.4645061728395062E-3</v>
      </c>
      <c r="N185" s="2">
        <f t="shared" si="10"/>
        <v>288.641425389755</v>
      </c>
      <c r="O185">
        <f t="shared" si="11"/>
        <v>6.74</v>
      </c>
    </row>
    <row r="186" spans="1:15" x14ac:dyDescent="0.55000000000000004">
      <c r="A186">
        <v>187</v>
      </c>
      <c r="B186" t="s">
        <v>377</v>
      </c>
      <c r="C186">
        <v>1</v>
      </c>
      <c r="D186" t="s">
        <v>496</v>
      </c>
      <c r="E186" t="s">
        <v>530</v>
      </c>
      <c r="F186">
        <v>360</v>
      </c>
      <c r="G186">
        <v>78.281000000000006</v>
      </c>
      <c r="H186">
        <v>34.369999999999997</v>
      </c>
      <c r="I186">
        <v>586</v>
      </c>
      <c r="J186">
        <v>674</v>
      </c>
      <c r="K186">
        <f>VLOOKUP(D186,nodes!$A$1:$K$167,2)</f>
        <v>118</v>
      </c>
      <c r="L186">
        <f>VLOOKUP(E186,nodes!$A$1:$K$167,2)</f>
        <v>152</v>
      </c>
      <c r="M186">
        <f t="shared" si="9"/>
        <v>2.6520061728395061E-2</v>
      </c>
      <c r="N186" s="2">
        <f t="shared" si="10"/>
        <v>37.707302880418972</v>
      </c>
      <c r="O186">
        <f t="shared" si="11"/>
        <v>6.74</v>
      </c>
    </row>
    <row r="187" spans="1:15" x14ac:dyDescent="0.55000000000000004">
      <c r="A187">
        <v>188</v>
      </c>
      <c r="B187" t="s">
        <v>377</v>
      </c>
      <c r="C187">
        <v>1</v>
      </c>
      <c r="D187" t="s">
        <v>499</v>
      </c>
      <c r="E187" t="s">
        <v>498</v>
      </c>
      <c r="F187">
        <v>230</v>
      </c>
      <c r="G187">
        <v>1</v>
      </c>
      <c r="H187">
        <v>0.48</v>
      </c>
      <c r="I187">
        <v>341</v>
      </c>
      <c r="J187">
        <v>430</v>
      </c>
      <c r="K187">
        <f>VLOOKUP(D187,nodes!$A$1:$K$167,2)</f>
        <v>121</v>
      </c>
      <c r="L187">
        <f>VLOOKUP(E187,nodes!$A$1:$K$167,2)</f>
        <v>120</v>
      </c>
      <c r="M187">
        <f t="shared" si="9"/>
        <v>9.0737240075614359E-4</v>
      </c>
      <c r="N187" s="2">
        <f t="shared" si="10"/>
        <v>1102.0833333333335</v>
      </c>
      <c r="O187">
        <f t="shared" si="11"/>
        <v>4.3</v>
      </c>
    </row>
    <row r="188" spans="1:15" x14ac:dyDescent="0.55000000000000004">
      <c r="A188">
        <v>189</v>
      </c>
      <c r="B188" t="s">
        <v>377</v>
      </c>
      <c r="C188">
        <v>1</v>
      </c>
      <c r="D188" t="s">
        <v>499</v>
      </c>
      <c r="E188" t="s">
        <v>492</v>
      </c>
      <c r="F188">
        <v>230</v>
      </c>
      <c r="G188">
        <v>67.73</v>
      </c>
      <c r="H188">
        <v>32.51</v>
      </c>
      <c r="I188">
        <v>394</v>
      </c>
      <c r="J188">
        <v>467</v>
      </c>
      <c r="K188">
        <f>VLOOKUP(D188,nodes!$A$1:$K$167,2)</f>
        <v>121</v>
      </c>
      <c r="L188">
        <f>VLOOKUP(E188,nodes!$A$1:$K$167,2)</f>
        <v>114</v>
      </c>
      <c r="M188">
        <f t="shared" si="9"/>
        <v>6.145557655954631E-2</v>
      </c>
      <c r="N188" s="2">
        <f t="shared" si="10"/>
        <v>16.271916333435868</v>
      </c>
      <c r="O188">
        <f t="shared" si="11"/>
        <v>4.67</v>
      </c>
    </row>
    <row r="189" spans="1:15" x14ac:dyDescent="0.55000000000000004">
      <c r="A189">
        <v>190</v>
      </c>
      <c r="B189" t="s">
        <v>377</v>
      </c>
      <c r="C189">
        <v>1</v>
      </c>
      <c r="D189" t="s">
        <v>500</v>
      </c>
      <c r="E189" t="s">
        <v>530</v>
      </c>
      <c r="F189">
        <v>360</v>
      </c>
      <c r="G189">
        <v>145</v>
      </c>
      <c r="H189">
        <v>63.67</v>
      </c>
      <c r="I189">
        <v>586</v>
      </c>
      <c r="J189">
        <v>674</v>
      </c>
      <c r="K189">
        <f>VLOOKUP(D189,nodes!$A$1:$K$167,2)</f>
        <v>122</v>
      </c>
      <c r="L189">
        <f>VLOOKUP(E189,nodes!$A$1:$K$167,2)</f>
        <v>152</v>
      </c>
      <c r="M189">
        <f t="shared" si="9"/>
        <v>4.9128086419753088E-2</v>
      </c>
      <c r="N189" s="2">
        <f t="shared" si="10"/>
        <v>20.354955237945656</v>
      </c>
      <c r="O189">
        <f t="shared" si="11"/>
        <v>6.74</v>
      </c>
    </row>
    <row r="190" spans="1:15" x14ac:dyDescent="0.55000000000000004">
      <c r="A190">
        <v>191</v>
      </c>
      <c r="B190" t="s">
        <v>377</v>
      </c>
      <c r="C190">
        <v>1</v>
      </c>
      <c r="D190" t="s">
        <v>502</v>
      </c>
      <c r="E190" t="s">
        <v>533</v>
      </c>
      <c r="F190">
        <v>230</v>
      </c>
      <c r="G190">
        <v>6.9779999999999998</v>
      </c>
      <c r="H190">
        <v>3.35</v>
      </c>
      <c r="I190">
        <v>767</v>
      </c>
      <c r="J190">
        <v>921</v>
      </c>
      <c r="K190">
        <f>VLOOKUP(D190,nodes!$A$1:$K$167,2)</f>
        <v>124</v>
      </c>
      <c r="L190">
        <f>VLOOKUP(E190,nodes!$A$1:$K$167,2)</f>
        <v>155</v>
      </c>
      <c r="M190">
        <f t="shared" si="9"/>
        <v>6.3327032136105861E-3</v>
      </c>
      <c r="N190" s="2">
        <f t="shared" si="10"/>
        <v>157.91044776119404</v>
      </c>
      <c r="O190">
        <f t="shared" si="11"/>
        <v>9.2100000000000009</v>
      </c>
    </row>
    <row r="191" spans="1:15" x14ac:dyDescent="0.55000000000000004">
      <c r="A191">
        <v>192</v>
      </c>
      <c r="B191" t="s">
        <v>377</v>
      </c>
      <c r="C191">
        <v>1</v>
      </c>
      <c r="D191" t="s">
        <v>502</v>
      </c>
      <c r="E191" t="s">
        <v>533</v>
      </c>
      <c r="F191">
        <v>230</v>
      </c>
      <c r="G191">
        <v>6.9909999999999997</v>
      </c>
      <c r="H191">
        <v>3.36</v>
      </c>
      <c r="I191">
        <v>767</v>
      </c>
      <c r="J191">
        <v>921</v>
      </c>
      <c r="K191">
        <f>VLOOKUP(D191,nodes!$A$1:$K$167,2)</f>
        <v>124</v>
      </c>
      <c r="L191">
        <f>VLOOKUP(E191,nodes!$A$1:$K$167,2)</f>
        <v>155</v>
      </c>
      <c r="M191">
        <f t="shared" si="9"/>
        <v>6.3516068052930051E-3</v>
      </c>
      <c r="N191" s="2">
        <f t="shared" si="10"/>
        <v>157.4404761904762</v>
      </c>
      <c r="O191">
        <f t="shared" si="11"/>
        <v>9.2100000000000009</v>
      </c>
    </row>
    <row r="192" spans="1:15" x14ac:dyDescent="0.55000000000000004">
      <c r="A192">
        <v>193</v>
      </c>
      <c r="B192" t="s">
        <v>377</v>
      </c>
      <c r="C192">
        <v>1</v>
      </c>
      <c r="D192" t="s">
        <v>502</v>
      </c>
      <c r="E192" t="s">
        <v>485</v>
      </c>
      <c r="F192">
        <v>230</v>
      </c>
      <c r="G192">
        <v>54.109000000000002</v>
      </c>
      <c r="H192">
        <v>25.97</v>
      </c>
      <c r="I192">
        <v>587</v>
      </c>
      <c r="J192">
        <v>801</v>
      </c>
      <c r="K192">
        <f>VLOOKUP(D192,nodes!$A$1:$K$167,2)</f>
        <v>124</v>
      </c>
      <c r="L192">
        <f>VLOOKUP(E192,nodes!$A$1:$K$167,2)</f>
        <v>107</v>
      </c>
      <c r="M192">
        <f t="shared" si="9"/>
        <v>4.9092627599243856E-2</v>
      </c>
      <c r="N192" s="2">
        <f t="shared" si="10"/>
        <v>20.369657296881016</v>
      </c>
      <c r="O192">
        <f t="shared" si="11"/>
        <v>8.01</v>
      </c>
    </row>
    <row r="193" spans="1:15" x14ac:dyDescent="0.55000000000000004">
      <c r="A193">
        <v>194</v>
      </c>
      <c r="B193" t="s">
        <v>377</v>
      </c>
      <c r="C193">
        <v>1</v>
      </c>
      <c r="D193" t="s">
        <v>502</v>
      </c>
      <c r="E193" t="s">
        <v>485</v>
      </c>
      <c r="F193">
        <v>230</v>
      </c>
      <c r="G193">
        <v>54.837000000000003</v>
      </c>
      <c r="H193">
        <v>26.32</v>
      </c>
      <c r="I193">
        <v>637</v>
      </c>
      <c r="J193">
        <v>765</v>
      </c>
      <c r="K193">
        <f>VLOOKUP(D193,nodes!$A$1:$K$167,2)</f>
        <v>124</v>
      </c>
      <c r="L193">
        <f>VLOOKUP(E193,nodes!$A$1:$K$167,2)</f>
        <v>107</v>
      </c>
      <c r="M193">
        <f t="shared" si="9"/>
        <v>4.9754253308128542E-2</v>
      </c>
      <c r="N193" s="2">
        <f t="shared" si="10"/>
        <v>20.098784194528875</v>
      </c>
      <c r="O193">
        <f t="shared" si="11"/>
        <v>7.65</v>
      </c>
    </row>
    <row r="194" spans="1:15" x14ac:dyDescent="0.55000000000000004">
      <c r="A194">
        <v>195</v>
      </c>
      <c r="B194" t="s">
        <v>377</v>
      </c>
      <c r="C194">
        <v>1</v>
      </c>
      <c r="D194" t="s">
        <v>502</v>
      </c>
      <c r="E194" t="s">
        <v>434</v>
      </c>
      <c r="F194">
        <v>230</v>
      </c>
      <c r="G194">
        <v>95.94</v>
      </c>
      <c r="H194">
        <v>46.05</v>
      </c>
      <c r="I194">
        <v>666</v>
      </c>
      <c r="J194">
        <v>806</v>
      </c>
      <c r="K194">
        <f>VLOOKUP(D194,nodes!$A$1:$K$167,2)</f>
        <v>124</v>
      </c>
      <c r="L194">
        <f>VLOOKUP(E194,nodes!$A$1:$K$167,2)</f>
        <v>57</v>
      </c>
      <c r="M194">
        <f t="shared" si="9"/>
        <v>8.7051039697542534E-2</v>
      </c>
      <c r="N194" s="2">
        <f t="shared" si="10"/>
        <v>11.487513572204126</v>
      </c>
      <c r="O194">
        <f t="shared" si="11"/>
        <v>8.06</v>
      </c>
    </row>
    <row r="195" spans="1:15" x14ac:dyDescent="0.55000000000000004">
      <c r="A195">
        <v>196</v>
      </c>
      <c r="B195" t="s">
        <v>377</v>
      </c>
      <c r="C195">
        <v>1</v>
      </c>
      <c r="D195" t="s">
        <v>502</v>
      </c>
      <c r="E195" t="s">
        <v>434</v>
      </c>
      <c r="F195">
        <v>230</v>
      </c>
      <c r="G195">
        <v>96.11</v>
      </c>
      <c r="H195">
        <v>46.13</v>
      </c>
      <c r="I195">
        <v>383</v>
      </c>
      <c r="J195">
        <v>461</v>
      </c>
      <c r="K195">
        <f>VLOOKUP(D195,nodes!$A$1:$K$167,2)</f>
        <v>124</v>
      </c>
      <c r="L195">
        <f>VLOOKUP(E195,nodes!$A$1:$K$167,2)</f>
        <v>57</v>
      </c>
      <c r="M195">
        <f t="shared" si="9"/>
        <v>8.72022684310019E-2</v>
      </c>
      <c r="N195" s="2">
        <f t="shared" si="10"/>
        <v>11.467591588987643</v>
      </c>
      <c r="O195">
        <f t="shared" si="11"/>
        <v>4.6100000000000003</v>
      </c>
    </row>
    <row r="196" spans="1:15" x14ac:dyDescent="0.55000000000000004">
      <c r="A196">
        <v>197</v>
      </c>
      <c r="B196" t="s">
        <v>377</v>
      </c>
      <c r="C196">
        <v>1</v>
      </c>
      <c r="D196" t="s">
        <v>503</v>
      </c>
      <c r="E196" t="s">
        <v>486</v>
      </c>
      <c r="F196">
        <v>230</v>
      </c>
      <c r="G196">
        <v>150.03</v>
      </c>
      <c r="H196">
        <v>72.010000000000005</v>
      </c>
      <c r="I196">
        <v>487</v>
      </c>
      <c r="J196">
        <v>566</v>
      </c>
      <c r="K196">
        <f>VLOOKUP(D196,nodes!$A$1:$K$167,2)</f>
        <v>125</v>
      </c>
      <c r="L196">
        <f>VLOOKUP(E196,nodes!$A$1:$K$167,2)</f>
        <v>108</v>
      </c>
      <c r="M196">
        <f t="shared" si="9"/>
        <v>0.13612476370510398</v>
      </c>
      <c r="N196" s="2">
        <f t="shared" si="10"/>
        <v>7.3462019164004992</v>
      </c>
      <c r="O196">
        <f t="shared" si="11"/>
        <v>5.66</v>
      </c>
    </row>
    <row r="197" spans="1:15" x14ac:dyDescent="0.55000000000000004">
      <c r="A197">
        <v>198</v>
      </c>
      <c r="B197" t="s">
        <v>377</v>
      </c>
      <c r="C197">
        <v>1</v>
      </c>
      <c r="D197" t="s">
        <v>504</v>
      </c>
      <c r="E197" t="s">
        <v>482</v>
      </c>
      <c r="F197">
        <v>500</v>
      </c>
      <c r="G197">
        <v>74.802000000000007</v>
      </c>
      <c r="H197">
        <v>29.55</v>
      </c>
      <c r="I197">
        <v>2896</v>
      </c>
      <c r="J197">
        <v>3488</v>
      </c>
      <c r="K197">
        <f>VLOOKUP(D197,nodes!$A$1:$K$167,2)</f>
        <v>126</v>
      </c>
      <c r="L197">
        <f>VLOOKUP(E197,nodes!$A$1:$K$167,2)</f>
        <v>104</v>
      </c>
      <c r="M197">
        <f t="shared" si="9"/>
        <v>1.1820000000000001E-2</v>
      </c>
      <c r="N197" s="2">
        <f t="shared" si="10"/>
        <v>84.602368866328248</v>
      </c>
      <c r="O197">
        <f t="shared" si="11"/>
        <v>34.880000000000003</v>
      </c>
    </row>
    <row r="198" spans="1:15" x14ac:dyDescent="0.55000000000000004">
      <c r="A198">
        <v>199</v>
      </c>
      <c r="B198" t="s">
        <v>377</v>
      </c>
      <c r="C198">
        <v>1</v>
      </c>
      <c r="D198" t="s">
        <v>504</v>
      </c>
      <c r="E198" t="s">
        <v>482</v>
      </c>
      <c r="F198">
        <v>500</v>
      </c>
      <c r="G198">
        <v>74.92</v>
      </c>
      <c r="H198">
        <v>29.59</v>
      </c>
      <c r="I198">
        <v>2896</v>
      </c>
      <c r="J198">
        <v>3488</v>
      </c>
      <c r="K198">
        <f>VLOOKUP(D198,nodes!$A$1:$K$167,2)</f>
        <v>126</v>
      </c>
      <c r="L198">
        <f>VLOOKUP(E198,nodes!$A$1:$K$167,2)</f>
        <v>104</v>
      </c>
      <c r="M198">
        <f t="shared" si="9"/>
        <v>1.1835999999999999E-2</v>
      </c>
      <c r="N198" s="2">
        <f t="shared" si="10"/>
        <v>84.48800270361609</v>
      </c>
      <c r="O198">
        <f t="shared" si="11"/>
        <v>34.880000000000003</v>
      </c>
    </row>
    <row r="199" spans="1:15" x14ac:dyDescent="0.55000000000000004">
      <c r="A199">
        <v>200</v>
      </c>
      <c r="B199" t="s">
        <v>377</v>
      </c>
      <c r="C199">
        <v>1</v>
      </c>
      <c r="D199" t="s">
        <v>505</v>
      </c>
      <c r="E199" t="s">
        <v>490</v>
      </c>
      <c r="F199">
        <v>230</v>
      </c>
      <c r="G199">
        <v>85.337000000000003</v>
      </c>
      <c r="H199">
        <v>40.96</v>
      </c>
      <c r="I199">
        <v>185</v>
      </c>
      <c r="J199">
        <v>338</v>
      </c>
      <c r="K199">
        <f>VLOOKUP(D199,nodes!$A$1:$K$167,2)</f>
        <v>127</v>
      </c>
      <c r="L199">
        <f>VLOOKUP(E199,nodes!$A$1:$K$167,2)</f>
        <v>112</v>
      </c>
      <c r="M199">
        <f t="shared" si="9"/>
        <v>7.7429111531190933E-2</v>
      </c>
      <c r="N199" s="2">
        <f t="shared" si="10"/>
        <v>12.915039062499998</v>
      </c>
      <c r="O199">
        <f t="shared" si="11"/>
        <v>3.38</v>
      </c>
    </row>
    <row r="200" spans="1:15" x14ac:dyDescent="0.55000000000000004">
      <c r="A200">
        <v>201</v>
      </c>
      <c r="B200" t="s">
        <v>377</v>
      </c>
      <c r="C200">
        <v>1</v>
      </c>
      <c r="D200" t="s">
        <v>506</v>
      </c>
      <c r="E200" t="s">
        <v>539</v>
      </c>
      <c r="F200">
        <v>230</v>
      </c>
      <c r="G200">
        <v>9.5</v>
      </c>
      <c r="H200">
        <v>4.5599999999999996</v>
      </c>
      <c r="I200">
        <v>420</v>
      </c>
      <c r="J200">
        <v>420</v>
      </c>
      <c r="K200">
        <f>VLOOKUP(D200,nodes!$A$1:$K$167,2)</f>
        <v>128</v>
      </c>
      <c r="L200">
        <f>VLOOKUP(E200,nodes!$A$1:$K$167,2)</f>
        <v>161</v>
      </c>
      <c r="M200">
        <f t="shared" si="9"/>
        <v>8.6200378071833641E-3</v>
      </c>
      <c r="N200" s="2">
        <f t="shared" si="10"/>
        <v>116.00877192982458</v>
      </c>
      <c r="O200">
        <f t="shared" si="11"/>
        <v>4.2</v>
      </c>
    </row>
    <row r="201" spans="1:15" x14ac:dyDescent="0.55000000000000004">
      <c r="A201">
        <v>202</v>
      </c>
      <c r="B201" t="s">
        <v>377</v>
      </c>
      <c r="C201">
        <v>1</v>
      </c>
      <c r="D201" t="s">
        <v>506</v>
      </c>
      <c r="E201" t="s">
        <v>480</v>
      </c>
      <c r="F201">
        <v>230</v>
      </c>
      <c r="G201">
        <v>16.157</v>
      </c>
      <c r="H201">
        <v>7.76</v>
      </c>
      <c r="I201">
        <v>385</v>
      </c>
      <c r="J201">
        <v>460</v>
      </c>
      <c r="K201">
        <f>VLOOKUP(D201,nodes!$A$1:$K$167,2)</f>
        <v>128</v>
      </c>
      <c r="L201">
        <f>VLOOKUP(E201,nodes!$A$1:$K$167,2)</f>
        <v>102</v>
      </c>
      <c r="M201">
        <f t="shared" si="9"/>
        <v>1.4669187145557656E-2</v>
      </c>
      <c r="N201" s="2">
        <f t="shared" si="10"/>
        <v>68.170103092783506</v>
      </c>
      <c r="O201">
        <f t="shared" si="11"/>
        <v>4.5999999999999996</v>
      </c>
    </row>
    <row r="202" spans="1:15" x14ac:dyDescent="0.55000000000000004">
      <c r="A202">
        <v>203</v>
      </c>
      <c r="B202" t="s">
        <v>377</v>
      </c>
      <c r="C202">
        <v>1</v>
      </c>
      <c r="D202" t="s">
        <v>506</v>
      </c>
      <c r="E202" t="s">
        <v>403</v>
      </c>
      <c r="F202">
        <v>500</v>
      </c>
      <c r="G202">
        <v>179.85300000000001</v>
      </c>
      <c r="H202">
        <v>71.040000000000006</v>
      </c>
      <c r="I202">
        <v>2302</v>
      </c>
      <c r="J202">
        <v>2859</v>
      </c>
      <c r="K202">
        <f>VLOOKUP(D202,nodes!$A$1:$K$167,2)</f>
        <v>128</v>
      </c>
      <c r="L202">
        <f>VLOOKUP(E202,nodes!$A$1:$K$167,2)</f>
        <v>26</v>
      </c>
      <c r="M202">
        <f t="shared" si="9"/>
        <v>2.8416000000000004E-2</v>
      </c>
      <c r="N202" s="2">
        <f t="shared" si="10"/>
        <v>35.191441441441434</v>
      </c>
      <c r="O202">
        <f t="shared" si="11"/>
        <v>28.59</v>
      </c>
    </row>
    <row r="203" spans="1:15" x14ac:dyDescent="0.55000000000000004">
      <c r="A203">
        <v>204</v>
      </c>
      <c r="B203" t="s">
        <v>377</v>
      </c>
      <c r="C203">
        <v>1</v>
      </c>
      <c r="D203" t="s">
        <v>506</v>
      </c>
      <c r="E203" t="s">
        <v>378</v>
      </c>
      <c r="F203">
        <v>500</v>
      </c>
      <c r="G203">
        <v>223.06200000000001</v>
      </c>
      <c r="H203">
        <v>88.11</v>
      </c>
      <c r="I203">
        <v>1957</v>
      </c>
      <c r="J203">
        <v>2697</v>
      </c>
      <c r="K203">
        <f>VLOOKUP(D203,nodes!$A$1:$K$167,2)</f>
        <v>128</v>
      </c>
      <c r="L203">
        <f>VLOOKUP(E203,nodes!$A$1:$K$167,2)</f>
        <v>2</v>
      </c>
      <c r="M203">
        <f t="shared" si="9"/>
        <v>3.5243999999999998E-2</v>
      </c>
      <c r="N203" s="2">
        <f t="shared" si="10"/>
        <v>28.373623879241858</v>
      </c>
      <c r="O203">
        <f t="shared" si="11"/>
        <v>26.97</v>
      </c>
    </row>
    <row r="204" spans="1:15" x14ac:dyDescent="0.55000000000000004">
      <c r="A204">
        <v>205</v>
      </c>
      <c r="B204" t="s">
        <v>377</v>
      </c>
      <c r="C204">
        <v>1</v>
      </c>
      <c r="D204" t="s">
        <v>507</v>
      </c>
      <c r="E204" t="s">
        <v>506</v>
      </c>
      <c r="F204">
        <v>230</v>
      </c>
      <c r="G204">
        <v>3.387</v>
      </c>
      <c r="H204">
        <v>1.63</v>
      </c>
      <c r="I204">
        <v>470</v>
      </c>
      <c r="J204">
        <v>470</v>
      </c>
      <c r="K204">
        <f>VLOOKUP(D204,nodes!$A$1:$K$167,2)</f>
        <v>129</v>
      </c>
      <c r="L204">
        <f>VLOOKUP(E204,nodes!$A$1:$K$167,2)</f>
        <v>128</v>
      </c>
      <c r="M204">
        <f t="shared" si="9"/>
        <v>3.0812854442344045E-3</v>
      </c>
      <c r="N204" s="2">
        <f t="shared" si="10"/>
        <v>324.53987730061351</v>
      </c>
      <c r="O204">
        <f t="shared" si="11"/>
        <v>4.7</v>
      </c>
    </row>
    <row r="205" spans="1:15" x14ac:dyDescent="0.55000000000000004">
      <c r="A205">
        <v>206</v>
      </c>
      <c r="B205" t="s">
        <v>377</v>
      </c>
      <c r="C205">
        <v>1</v>
      </c>
      <c r="D205" t="s">
        <v>507</v>
      </c>
      <c r="E205" t="s">
        <v>506</v>
      </c>
      <c r="F205">
        <v>230</v>
      </c>
      <c r="G205">
        <v>3.4140000000000001</v>
      </c>
      <c r="H205">
        <v>1.64</v>
      </c>
      <c r="I205">
        <v>470</v>
      </c>
      <c r="J205">
        <v>470</v>
      </c>
      <c r="K205">
        <f>VLOOKUP(D205,nodes!$A$1:$K$167,2)</f>
        <v>129</v>
      </c>
      <c r="L205">
        <f>VLOOKUP(E205,nodes!$A$1:$K$167,2)</f>
        <v>128</v>
      </c>
      <c r="M205">
        <f t="shared" si="9"/>
        <v>3.1001890359168239E-3</v>
      </c>
      <c r="N205" s="2">
        <f t="shared" si="10"/>
        <v>322.5609756097561</v>
      </c>
      <c r="O205">
        <f t="shared" si="11"/>
        <v>4.7</v>
      </c>
    </row>
    <row r="206" spans="1:15" x14ac:dyDescent="0.55000000000000004">
      <c r="A206">
        <v>207</v>
      </c>
      <c r="B206" t="s">
        <v>377</v>
      </c>
      <c r="C206">
        <v>1</v>
      </c>
      <c r="D206" t="s">
        <v>508</v>
      </c>
      <c r="E206" t="s">
        <v>514</v>
      </c>
      <c r="F206">
        <v>230</v>
      </c>
      <c r="G206">
        <v>40</v>
      </c>
      <c r="H206">
        <v>19.2</v>
      </c>
      <c r="I206">
        <v>402</v>
      </c>
      <c r="J206">
        <v>435</v>
      </c>
      <c r="K206">
        <f>VLOOKUP(D206,nodes!$A$1:$K$167,2)</f>
        <v>130</v>
      </c>
      <c r="L206">
        <f>VLOOKUP(E206,nodes!$A$1:$K$167,2)</f>
        <v>136</v>
      </c>
      <c r="M206">
        <f t="shared" si="9"/>
        <v>3.6294896030245744E-2</v>
      </c>
      <c r="N206" s="2">
        <f t="shared" si="10"/>
        <v>27.552083333333336</v>
      </c>
      <c r="O206">
        <f t="shared" si="11"/>
        <v>4.3499999999999996</v>
      </c>
    </row>
    <row r="207" spans="1:15" x14ac:dyDescent="0.55000000000000004">
      <c r="A207">
        <v>208</v>
      </c>
      <c r="B207" t="s">
        <v>377</v>
      </c>
      <c r="C207">
        <v>1</v>
      </c>
      <c r="D207" t="s">
        <v>508</v>
      </c>
      <c r="E207" t="s">
        <v>391</v>
      </c>
      <c r="F207">
        <v>230</v>
      </c>
      <c r="G207">
        <v>44.555</v>
      </c>
      <c r="H207">
        <v>21.39</v>
      </c>
      <c r="I207">
        <v>701</v>
      </c>
      <c r="J207">
        <v>840</v>
      </c>
      <c r="K207">
        <f>VLOOKUP(D207,nodes!$A$1:$K$167,2)</f>
        <v>130</v>
      </c>
      <c r="L207">
        <f>VLOOKUP(E207,nodes!$A$1:$K$167,2)</f>
        <v>14</v>
      </c>
      <c r="M207">
        <f t="shared" si="9"/>
        <v>4.0434782608695652E-2</v>
      </c>
      <c r="N207" s="2">
        <f t="shared" si="10"/>
        <v>24.731182795698924</v>
      </c>
      <c r="O207">
        <f t="shared" si="11"/>
        <v>8.4</v>
      </c>
    </row>
    <row r="208" spans="1:15" x14ac:dyDescent="0.55000000000000004">
      <c r="A208">
        <v>209</v>
      </c>
      <c r="B208" t="s">
        <v>377</v>
      </c>
      <c r="C208">
        <v>1</v>
      </c>
      <c r="D208" t="s">
        <v>508</v>
      </c>
      <c r="E208" t="s">
        <v>391</v>
      </c>
      <c r="F208">
        <v>230</v>
      </c>
      <c r="G208">
        <v>44.578000000000003</v>
      </c>
      <c r="H208">
        <v>21.4</v>
      </c>
      <c r="I208">
        <v>701</v>
      </c>
      <c r="J208">
        <v>840</v>
      </c>
      <c r="K208">
        <f>VLOOKUP(D208,nodes!$A$1:$K$167,2)</f>
        <v>130</v>
      </c>
      <c r="L208">
        <f>VLOOKUP(E208,nodes!$A$1:$K$167,2)</f>
        <v>14</v>
      </c>
      <c r="M208">
        <f t="shared" si="9"/>
        <v>4.0453686200378071E-2</v>
      </c>
      <c r="N208" s="2">
        <f t="shared" si="10"/>
        <v>24.719626168224298</v>
      </c>
      <c r="O208">
        <f t="shared" si="11"/>
        <v>8.4</v>
      </c>
    </row>
    <row r="209" spans="1:15" x14ac:dyDescent="0.55000000000000004">
      <c r="A209">
        <v>210</v>
      </c>
      <c r="B209" t="s">
        <v>377</v>
      </c>
      <c r="C209">
        <v>1</v>
      </c>
      <c r="D209" t="s">
        <v>508</v>
      </c>
      <c r="E209" t="s">
        <v>504</v>
      </c>
      <c r="F209">
        <v>287</v>
      </c>
      <c r="G209">
        <v>57</v>
      </c>
      <c r="H209">
        <v>26.34</v>
      </c>
      <c r="I209">
        <v>601</v>
      </c>
      <c r="J209">
        <v>602</v>
      </c>
      <c r="K209">
        <f>VLOOKUP(D209,nodes!$A$1:$K$167,2)</f>
        <v>130</v>
      </c>
      <c r="L209">
        <f>VLOOKUP(E209,nodes!$A$1:$K$167,2)</f>
        <v>126</v>
      </c>
      <c r="M209">
        <f t="shared" si="9"/>
        <v>3.1978049994536781E-2</v>
      </c>
      <c r="N209" s="2">
        <f t="shared" si="10"/>
        <v>31.271450265755504</v>
      </c>
      <c r="O209">
        <f t="shared" si="11"/>
        <v>6.02</v>
      </c>
    </row>
    <row r="210" spans="1:15" x14ac:dyDescent="0.55000000000000004">
      <c r="A210">
        <v>211</v>
      </c>
      <c r="B210" t="s">
        <v>377</v>
      </c>
      <c r="C210">
        <v>1</v>
      </c>
      <c r="D210" t="s">
        <v>508</v>
      </c>
      <c r="E210" t="s">
        <v>504</v>
      </c>
      <c r="F210">
        <v>287</v>
      </c>
      <c r="G210">
        <v>57</v>
      </c>
      <c r="H210">
        <v>26.34</v>
      </c>
      <c r="I210">
        <v>601</v>
      </c>
      <c r="J210">
        <v>602</v>
      </c>
      <c r="K210">
        <f>VLOOKUP(D210,nodes!$A$1:$K$167,2)</f>
        <v>130</v>
      </c>
      <c r="L210">
        <f>VLOOKUP(E210,nodes!$A$1:$K$167,2)</f>
        <v>126</v>
      </c>
      <c r="M210">
        <f t="shared" si="9"/>
        <v>3.1978049994536781E-2</v>
      </c>
      <c r="N210" s="2">
        <f t="shared" si="10"/>
        <v>31.271450265755504</v>
      </c>
      <c r="O210">
        <f t="shared" si="11"/>
        <v>6.02</v>
      </c>
    </row>
    <row r="211" spans="1:15" x14ac:dyDescent="0.55000000000000004">
      <c r="A211">
        <v>212</v>
      </c>
      <c r="B211" t="s">
        <v>377</v>
      </c>
      <c r="C211">
        <v>1</v>
      </c>
      <c r="D211" t="s">
        <v>509</v>
      </c>
      <c r="E211" t="s">
        <v>497</v>
      </c>
      <c r="F211">
        <v>287</v>
      </c>
      <c r="G211">
        <v>125.474</v>
      </c>
      <c r="H211">
        <v>57.98</v>
      </c>
      <c r="I211">
        <v>286</v>
      </c>
      <c r="J211">
        <v>512</v>
      </c>
      <c r="K211">
        <f>VLOOKUP(D211,nodes!$A$1:$K$167,2)</f>
        <v>131</v>
      </c>
      <c r="L211">
        <f>VLOOKUP(E211,nodes!$A$1:$K$167,2)</f>
        <v>119</v>
      </c>
      <c r="M211">
        <f t="shared" si="9"/>
        <v>7.0390559555172441E-2</v>
      </c>
      <c r="N211" s="2">
        <f t="shared" si="10"/>
        <v>14.206450500172476</v>
      </c>
      <c r="O211">
        <f t="shared" si="11"/>
        <v>5.12</v>
      </c>
    </row>
    <row r="212" spans="1:15" x14ac:dyDescent="0.55000000000000004">
      <c r="A212">
        <v>213</v>
      </c>
      <c r="B212" t="s">
        <v>377</v>
      </c>
      <c r="C212">
        <v>1</v>
      </c>
      <c r="D212" t="s">
        <v>509</v>
      </c>
      <c r="E212" t="s">
        <v>394</v>
      </c>
      <c r="F212">
        <v>287</v>
      </c>
      <c r="G212">
        <v>340.69</v>
      </c>
      <c r="H212">
        <v>157.41999999999999</v>
      </c>
      <c r="I212">
        <v>843</v>
      </c>
      <c r="J212">
        <v>1007</v>
      </c>
      <c r="K212">
        <f>VLOOKUP(D212,nodes!$A$1:$K$167,2)</f>
        <v>131</v>
      </c>
      <c r="L212">
        <f>VLOOKUP(E212,nodes!$A$1:$K$167,2)</f>
        <v>17</v>
      </c>
      <c r="M212">
        <f t="shared" si="9"/>
        <v>0.19111558960288455</v>
      </c>
      <c r="N212" s="2">
        <f t="shared" si="10"/>
        <v>5.2324355228052353</v>
      </c>
      <c r="O212">
        <f t="shared" si="11"/>
        <v>10.07</v>
      </c>
    </row>
    <row r="213" spans="1:15" x14ac:dyDescent="0.55000000000000004">
      <c r="A213">
        <v>214</v>
      </c>
      <c r="B213" t="s">
        <v>377</v>
      </c>
      <c r="C213">
        <v>1</v>
      </c>
      <c r="D213" t="s">
        <v>510</v>
      </c>
      <c r="E213" t="s">
        <v>452</v>
      </c>
      <c r="F213">
        <v>230</v>
      </c>
      <c r="G213">
        <v>4.6689999999999996</v>
      </c>
      <c r="H213">
        <v>2.2400000000000002</v>
      </c>
      <c r="I213">
        <v>378</v>
      </c>
      <c r="J213">
        <v>459</v>
      </c>
      <c r="K213">
        <f>VLOOKUP(D213,nodes!$A$1:$K$167,2)</f>
        <v>132</v>
      </c>
      <c r="L213">
        <f>VLOOKUP(E213,nodes!$A$1:$K$167,2)</f>
        <v>75</v>
      </c>
      <c r="M213">
        <f t="shared" si="9"/>
        <v>4.2344045368620043E-3</v>
      </c>
      <c r="N213" s="2">
        <f t="shared" si="10"/>
        <v>236.16071428571425</v>
      </c>
      <c r="O213">
        <f t="shared" si="11"/>
        <v>4.59</v>
      </c>
    </row>
    <row r="214" spans="1:15" x14ac:dyDescent="0.55000000000000004">
      <c r="A214">
        <v>215</v>
      </c>
      <c r="B214" t="s">
        <v>377</v>
      </c>
      <c r="C214">
        <v>1</v>
      </c>
      <c r="D214" t="s">
        <v>510</v>
      </c>
      <c r="E214" t="s">
        <v>508</v>
      </c>
      <c r="F214">
        <v>230</v>
      </c>
      <c r="G214">
        <v>14.654999999999999</v>
      </c>
      <c r="H214">
        <v>7.03</v>
      </c>
      <c r="I214">
        <v>725</v>
      </c>
      <c r="J214">
        <v>861</v>
      </c>
      <c r="K214">
        <f>VLOOKUP(D214,nodes!$A$1:$K$167,2)</f>
        <v>132</v>
      </c>
      <c r="L214">
        <f>VLOOKUP(E214,nodes!$A$1:$K$167,2)</f>
        <v>130</v>
      </c>
      <c r="M214">
        <f t="shared" si="9"/>
        <v>1.3289224952741022E-2</v>
      </c>
      <c r="N214" s="2">
        <f t="shared" si="10"/>
        <v>75.248933143669973</v>
      </c>
      <c r="O214">
        <f t="shared" si="11"/>
        <v>8.61</v>
      </c>
    </row>
    <row r="215" spans="1:15" x14ac:dyDescent="0.55000000000000004">
      <c r="A215">
        <v>216</v>
      </c>
      <c r="B215" t="s">
        <v>377</v>
      </c>
      <c r="C215">
        <v>1</v>
      </c>
      <c r="D215" t="s">
        <v>510</v>
      </c>
      <c r="E215" t="s">
        <v>508</v>
      </c>
      <c r="F215">
        <v>230</v>
      </c>
      <c r="G215">
        <v>14.643000000000001</v>
      </c>
      <c r="H215">
        <v>7.03</v>
      </c>
      <c r="I215">
        <v>725</v>
      </c>
      <c r="J215">
        <v>861</v>
      </c>
      <c r="K215">
        <f>VLOOKUP(D215,nodes!$A$1:$K$167,2)</f>
        <v>132</v>
      </c>
      <c r="L215">
        <f>VLOOKUP(E215,nodes!$A$1:$K$167,2)</f>
        <v>130</v>
      </c>
      <c r="M215">
        <f t="shared" si="9"/>
        <v>1.3289224952741022E-2</v>
      </c>
      <c r="N215" s="2">
        <f t="shared" si="10"/>
        <v>75.248933143669973</v>
      </c>
      <c r="O215">
        <f t="shared" si="11"/>
        <v>8.61</v>
      </c>
    </row>
    <row r="216" spans="1:15" x14ac:dyDescent="0.55000000000000004">
      <c r="A216">
        <v>217</v>
      </c>
      <c r="B216" t="s">
        <v>377</v>
      </c>
      <c r="C216">
        <v>1</v>
      </c>
      <c r="D216" t="s">
        <v>511</v>
      </c>
      <c r="E216" t="s">
        <v>442</v>
      </c>
      <c r="F216">
        <v>230</v>
      </c>
      <c r="G216">
        <v>29.745000000000001</v>
      </c>
      <c r="H216">
        <v>14.28</v>
      </c>
      <c r="I216">
        <v>388</v>
      </c>
      <c r="J216">
        <v>459</v>
      </c>
      <c r="K216">
        <f>VLOOKUP(D216,nodes!$A$1:$K$167,2)</f>
        <v>133</v>
      </c>
      <c r="L216">
        <f>VLOOKUP(E216,nodes!$A$1:$K$167,2)</f>
        <v>65</v>
      </c>
      <c r="M216">
        <f t="shared" si="9"/>
        <v>2.6994328922495273E-2</v>
      </c>
      <c r="N216" s="2">
        <f t="shared" si="10"/>
        <v>37.044817927170868</v>
      </c>
      <c r="O216">
        <f t="shared" si="11"/>
        <v>4.59</v>
      </c>
    </row>
    <row r="217" spans="1:15" x14ac:dyDescent="0.55000000000000004">
      <c r="A217">
        <v>218</v>
      </c>
      <c r="B217" t="s">
        <v>377</v>
      </c>
      <c r="C217">
        <v>1</v>
      </c>
      <c r="D217" t="s">
        <v>511</v>
      </c>
      <c r="E217" t="s">
        <v>510</v>
      </c>
      <c r="F217">
        <v>230</v>
      </c>
      <c r="G217">
        <v>30.564</v>
      </c>
      <c r="H217">
        <v>14.67</v>
      </c>
      <c r="I217">
        <v>382</v>
      </c>
      <c r="J217">
        <v>459</v>
      </c>
      <c r="K217">
        <f>VLOOKUP(D217,nodes!$A$1:$K$167,2)</f>
        <v>133</v>
      </c>
      <c r="L217">
        <f>VLOOKUP(E217,nodes!$A$1:$K$167,2)</f>
        <v>132</v>
      </c>
      <c r="M217">
        <f t="shared" si="9"/>
        <v>2.7731568998109642E-2</v>
      </c>
      <c r="N217" s="2">
        <f t="shared" si="10"/>
        <v>36.059986366734833</v>
      </c>
      <c r="O217">
        <f t="shared" si="11"/>
        <v>4.59</v>
      </c>
    </row>
    <row r="218" spans="1:15" x14ac:dyDescent="0.55000000000000004">
      <c r="A218">
        <v>219</v>
      </c>
      <c r="B218" t="s">
        <v>377</v>
      </c>
      <c r="C218">
        <v>1</v>
      </c>
      <c r="D218" t="s">
        <v>512</v>
      </c>
      <c r="E218" t="s">
        <v>470</v>
      </c>
      <c r="F218">
        <v>230</v>
      </c>
      <c r="G218">
        <v>4.6340000000000003</v>
      </c>
      <c r="H218">
        <v>2.2200000000000002</v>
      </c>
      <c r="I218">
        <v>421</v>
      </c>
      <c r="J218">
        <v>446</v>
      </c>
      <c r="K218">
        <f>VLOOKUP(D218,nodes!$A$1:$K$167,2)</f>
        <v>134</v>
      </c>
      <c r="L218">
        <f>VLOOKUP(E218,nodes!$A$1:$K$167,2)</f>
        <v>92</v>
      </c>
      <c r="M218">
        <f t="shared" si="9"/>
        <v>4.1965973534971645E-3</v>
      </c>
      <c r="N218" s="2">
        <f t="shared" si="10"/>
        <v>238.28828828828827</v>
      </c>
      <c r="O218">
        <f t="shared" si="11"/>
        <v>4.46</v>
      </c>
    </row>
    <row r="219" spans="1:15" x14ac:dyDescent="0.55000000000000004">
      <c r="A219">
        <v>220</v>
      </c>
      <c r="B219" t="s">
        <v>377</v>
      </c>
      <c r="C219">
        <v>1</v>
      </c>
      <c r="D219" t="s">
        <v>514</v>
      </c>
      <c r="E219" t="s">
        <v>513</v>
      </c>
      <c r="F219">
        <v>230</v>
      </c>
      <c r="G219">
        <v>10</v>
      </c>
      <c r="H219">
        <v>4.8</v>
      </c>
      <c r="I219">
        <v>402</v>
      </c>
      <c r="J219">
        <v>435</v>
      </c>
      <c r="K219">
        <f>VLOOKUP(D219,nodes!$A$1:$K$167,2)</f>
        <v>136</v>
      </c>
      <c r="L219">
        <f>VLOOKUP(E219,nodes!$A$1:$K$167,2)</f>
        <v>135</v>
      </c>
      <c r="M219">
        <f t="shared" si="9"/>
        <v>9.0737240075614359E-3</v>
      </c>
      <c r="N219" s="2">
        <f t="shared" si="10"/>
        <v>110.20833333333334</v>
      </c>
      <c r="O219">
        <f t="shared" si="11"/>
        <v>4.3499999999999996</v>
      </c>
    </row>
    <row r="220" spans="1:15" x14ac:dyDescent="0.55000000000000004">
      <c r="A220">
        <v>221</v>
      </c>
      <c r="B220" t="s">
        <v>377</v>
      </c>
      <c r="C220">
        <v>1</v>
      </c>
      <c r="D220" t="s">
        <v>514</v>
      </c>
      <c r="E220" t="s">
        <v>515</v>
      </c>
      <c r="F220">
        <v>230</v>
      </c>
      <c r="G220">
        <v>40</v>
      </c>
      <c r="H220">
        <v>19.2</v>
      </c>
      <c r="I220">
        <v>402</v>
      </c>
      <c r="J220">
        <v>435</v>
      </c>
      <c r="K220">
        <f>VLOOKUP(D220,nodes!$A$1:$K$167,2)</f>
        <v>136</v>
      </c>
      <c r="L220">
        <f>VLOOKUP(E220,nodes!$A$1:$K$167,2)</f>
        <v>137</v>
      </c>
      <c r="M220">
        <f t="shared" si="9"/>
        <v>3.6294896030245744E-2</v>
      </c>
      <c r="N220" s="2">
        <f t="shared" si="10"/>
        <v>27.552083333333336</v>
      </c>
      <c r="O220">
        <f t="shared" si="11"/>
        <v>4.3499999999999996</v>
      </c>
    </row>
    <row r="221" spans="1:15" x14ac:dyDescent="0.55000000000000004">
      <c r="A221">
        <v>222</v>
      </c>
      <c r="B221" t="s">
        <v>377</v>
      </c>
      <c r="C221">
        <v>1</v>
      </c>
      <c r="D221" t="s">
        <v>516</v>
      </c>
      <c r="E221" t="s">
        <v>445</v>
      </c>
      <c r="F221">
        <v>230</v>
      </c>
      <c r="G221">
        <v>16.722999999999999</v>
      </c>
      <c r="H221">
        <v>8.0299999999999994</v>
      </c>
      <c r="I221">
        <v>296</v>
      </c>
      <c r="J221">
        <v>390</v>
      </c>
      <c r="K221">
        <f>VLOOKUP(D221,nodes!$A$1:$K$167,2)</f>
        <v>138</v>
      </c>
      <c r="L221">
        <f>VLOOKUP(E221,nodes!$A$1:$K$167,2)</f>
        <v>68</v>
      </c>
      <c r="M221">
        <f t="shared" si="9"/>
        <v>1.5179584120982985E-2</v>
      </c>
      <c r="N221" s="2">
        <f t="shared" si="10"/>
        <v>65.877957658779579</v>
      </c>
      <c r="O221">
        <f t="shared" si="11"/>
        <v>3.9</v>
      </c>
    </row>
    <row r="222" spans="1:15" x14ac:dyDescent="0.55000000000000004">
      <c r="A222">
        <v>223</v>
      </c>
      <c r="B222" t="s">
        <v>377</v>
      </c>
      <c r="C222">
        <v>1</v>
      </c>
      <c r="D222" t="s">
        <v>520</v>
      </c>
      <c r="E222" t="s">
        <v>519</v>
      </c>
      <c r="F222">
        <v>230</v>
      </c>
      <c r="G222">
        <v>4.3999999999999997E-2</v>
      </c>
      <c r="H222">
        <v>0.02</v>
      </c>
      <c r="I222">
        <v>783</v>
      </c>
      <c r="J222">
        <v>934</v>
      </c>
      <c r="K222">
        <f>VLOOKUP(D222,nodes!$A$1:$K$167,2)</f>
        <v>142</v>
      </c>
      <c r="L222">
        <f>VLOOKUP(E222,nodes!$A$1:$K$167,2)</f>
        <v>141</v>
      </c>
      <c r="M222">
        <f t="shared" si="9"/>
        <v>3.7807183364839323E-5</v>
      </c>
      <c r="N222" s="2">
        <f t="shared" si="10"/>
        <v>26449.999999999996</v>
      </c>
      <c r="O222">
        <f t="shared" si="11"/>
        <v>9.34</v>
      </c>
    </row>
    <row r="223" spans="1:15" x14ac:dyDescent="0.55000000000000004">
      <c r="A223">
        <v>224</v>
      </c>
      <c r="B223" t="s">
        <v>377</v>
      </c>
      <c r="C223">
        <v>1</v>
      </c>
      <c r="D223" t="s">
        <v>520</v>
      </c>
      <c r="E223" t="s">
        <v>519</v>
      </c>
      <c r="F223">
        <v>230</v>
      </c>
      <c r="G223">
        <v>0.05</v>
      </c>
      <c r="H223">
        <v>0.02</v>
      </c>
      <c r="I223">
        <v>402</v>
      </c>
      <c r="J223">
        <v>435</v>
      </c>
      <c r="K223">
        <f>VLOOKUP(D223,nodes!$A$1:$K$167,2)</f>
        <v>142</v>
      </c>
      <c r="L223">
        <f>VLOOKUP(E223,nodes!$A$1:$K$167,2)</f>
        <v>141</v>
      </c>
      <c r="M223">
        <f t="shared" si="9"/>
        <v>3.7807183364839323E-5</v>
      </c>
      <c r="N223" s="2">
        <f t="shared" si="10"/>
        <v>26449.999999999996</v>
      </c>
      <c r="O223">
        <f t="shared" si="11"/>
        <v>4.3499999999999996</v>
      </c>
    </row>
    <row r="224" spans="1:15" x14ac:dyDescent="0.55000000000000004">
      <c r="A224">
        <v>225</v>
      </c>
      <c r="B224" t="s">
        <v>377</v>
      </c>
      <c r="C224">
        <v>1</v>
      </c>
      <c r="D224" t="s">
        <v>520</v>
      </c>
      <c r="E224" t="s">
        <v>519</v>
      </c>
      <c r="F224">
        <v>230</v>
      </c>
      <c r="G224">
        <v>7.8E-2</v>
      </c>
      <c r="H224">
        <v>0.04</v>
      </c>
      <c r="I224">
        <v>402</v>
      </c>
      <c r="J224">
        <v>435</v>
      </c>
      <c r="K224">
        <f>VLOOKUP(D224,nodes!$A$1:$K$167,2)</f>
        <v>142</v>
      </c>
      <c r="L224">
        <f>VLOOKUP(E224,nodes!$A$1:$K$167,2)</f>
        <v>141</v>
      </c>
      <c r="M224">
        <f t="shared" si="9"/>
        <v>7.5614366729678646E-5</v>
      </c>
      <c r="N224" s="2">
        <f t="shared" si="10"/>
        <v>13224.999999999998</v>
      </c>
      <c r="O224">
        <f t="shared" si="11"/>
        <v>4.3499999999999996</v>
      </c>
    </row>
    <row r="225" spans="1:15" x14ac:dyDescent="0.55000000000000004">
      <c r="A225">
        <v>226</v>
      </c>
      <c r="B225" t="s">
        <v>377</v>
      </c>
      <c r="C225">
        <v>1</v>
      </c>
      <c r="D225" t="s">
        <v>520</v>
      </c>
      <c r="E225" t="s">
        <v>381</v>
      </c>
      <c r="F225">
        <v>230</v>
      </c>
      <c r="G225">
        <v>16.850000000000001</v>
      </c>
      <c r="H225">
        <v>8.09</v>
      </c>
      <c r="I225">
        <v>767</v>
      </c>
      <c r="J225">
        <v>921</v>
      </c>
      <c r="K225">
        <f>VLOOKUP(D225,nodes!$A$1:$K$167,2)</f>
        <v>142</v>
      </c>
      <c r="L225">
        <f>VLOOKUP(E225,nodes!$A$1:$K$167,2)</f>
        <v>5</v>
      </c>
      <c r="M225">
        <f t="shared" si="9"/>
        <v>1.5293005671077504E-2</v>
      </c>
      <c r="N225" s="2">
        <f t="shared" si="10"/>
        <v>65.389369592088997</v>
      </c>
      <c r="O225">
        <f t="shared" si="11"/>
        <v>9.2100000000000009</v>
      </c>
    </row>
    <row r="226" spans="1:15" x14ac:dyDescent="0.55000000000000004">
      <c r="A226">
        <v>227</v>
      </c>
      <c r="B226" t="s">
        <v>377</v>
      </c>
      <c r="C226">
        <v>1</v>
      </c>
      <c r="D226" t="s">
        <v>520</v>
      </c>
      <c r="E226" t="s">
        <v>381</v>
      </c>
      <c r="F226">
        <v>230</v>
      </c>
      <c r="G226">
        <v>16.850000000000001</v>
      </c>
      <c r="H226">
        <v>8.09</v>
      </c>
      <c r="I226">
        <v>787</v>
      </c>
      <c r="J226">
        <v>914</v>
      </c>
      <c r="K226">
        <f>VLOOKUP(D226,nodes!$A$1:$K$167,2)</f>
        <v>142</v>
      </c>
      <c r="L226">
        <f>VLOOKUP(E226,nodes!$A$1:$K$167,2)</f>
        <v>5</v>
      </c>
      <c r="M226">
        <f t="shared" si="9"/>
        <v>1.5293005671077504E-2</v>
      </c>
      <c r="N226" s="2">
        <f t="shared" si="10"/>
        <v>65.389369592088997</v>
      </c>
      <c r="O226">
        <f t="shared" si="11"/>
        <v>9.14</v>
      </c>
    </row>
    <row r="227" spans="1:15" x14ac:dyDescent="0.55000000000000004">
      <c r="A227">
        <v>228</v>
      </c>
      <c r="B227" t="s">
        <v>377</v>
      </c>
      <c r="C227">
        <v>1</v>
      </c>
      <c r="D227" t="s">
        <v>520</v>
      </c>
      <c r="E227" t="s">
        <v>381</v>
      </c>
      <c r="F227">
        <v>230</v>
      </c>
      <c r="G227">
        <v>16.88</v>
      </c>
      <c r="H227">
        <v>8.1</v>
      </c>
      <c r="I227">
        <v>233</v>
      </c>
      <c r="J227">
        <v>341</v>
      </c>
      <c r="K227">
        <f>VLOOKUP(D227,nodes!$A$1:$K$167,2)</f>
        <v>142</v>
      </c>
      <c r="L227">
        <f>VLOOKUP(E227,nodes!$A$1:$K$167,2)</f>
        <v>5</v>
      </c>
      <c r="M227">
        <f t="shared" si="9"/>
        <v>1.5311909262759923E-2</v>
      </c>
      <c r="N227" s="2">
        <f t="shared" si="10"/>
        <v>65.308641975308646</v>
      </c>
      <c r="O227">
        <f t="shared" si="11"/>
        <v>3.41</v>
      </c>
    </row>
    <row r="228" spans="1:15" x14ac:dyDescent="0.55000000000000004">
      <c r="A228">
        <v>229</v>
      </c>
      <c r="B228" t="s">
        <v>377</v>
      </c>
      <c r="C228">
        <v>1</v>
      </c>
      <c r="D228" t="s">
        <v>522</v>
      </c>
      <c r="E228" t="s">
        <v>493</v>
      </c>
      <c r="F228">
        <v>287</v>
      </c>
      <c r="G228">
        <v>25</v>
      </c>
      <c r="H228">
        <v>11.55</v>
      </c>
      <c r="I228">
        <v>777</v>
      </c>
      <c r="J228">
        <v>997</v>
      </c>
      <c r="K228">
        <f>VLOOKUP(D228,nodes!$A$1:$K$167,2)</f>
        <v>144</v>
      </c>
      <c r="L228">
        <f>VLOOKUP(E228,nodes!$A$1:$K$167,2)</f>
        <v>115</v>
      </c>
      <c r="M228">
        <f t="shared" si="9"/>
        <v>1.4022265658196651E-2</v>
      </c>
      <c r="N228" s="2">
        <f t="shared" si="10"/>
        <v>71.315151515151513</v>
      </c>
      <c r="O228">
        <f t="shared" si="11"/>
        <v>9.9700000000000006</v>
      </c>
    </row>
    <row r="229" spans="1:15" x14ac:dyDescent="0.55000000000000004">
      <c r="A229">
        <v>230</v>
      </c>
      <c r="B229" t="s">
        <v>377</v>
      </c>
      <c r="C229">
        <v>1</v>
      </c>
      <c r="D229" t="s">
        <v>523</v>
      </c>
      <c r="E229" t="s">
        <v>475</v>
      </c>
      <c r="F229">
        <v>230</v>
      </c>
      <c r="G229">
        <v>67.239999999999995</v>
      </c>
      <c r="H229">
        <v>32.28</v>
      </c>
      <c r="I229">
        <v>565</v>
      </c>
      <c r="J229">
        <v>599</v>
      </c>
      <c r="K229">
        <f>VLOOKUP(D229,nodes!$A$1:$K$167,2)</f>
        <v>145</v>
      </c>
      <c r="L229">
        <f>VLOOKUP(E229,nodes!$A$1:$K$167,2)</f>
        <v>97</v>
      </c>
      <c r="M229">
        <f t="shared" si="9"/>
        <v>6.1020793950850666E-2</v>
      </c>
      <c r="N229" s="2">
        <f t="shared" si="10"/>
        <v>16.387856257744733</v>
      </c>
      <c r="O229">
        <f t="shared" si="11"/>
        <v>5.99</v>
      </c>
    </row>
    <row r="230" spans="1:15" x14ac:dyDescent="0.55000000000000004">
      <c r="A230">
        <v>231</v>
      </c>
      <c r="B230" t="s">
        <v>377</v>
      </c>
      <c r="C230">
        <v>1</v>
      </c>
      <c r="D230" t="s">
        <v>524</v>
      </c>
      <c r="E230" t="s">
        <v>529</v>
      </c>
      <c r="F230">
        <v>500</v>
      </c>
      <c r="G230">
        <v>68.73</v>
      </c>
      <c r="H230">
        <v>27.15</v>
      </c>
      <c r="I230">
        <v>1456</v>
      </c>
      <c r="J230">
        <v>2345</v>
      </c>
      <c r="K230">
        <f>VLOOKUP(D230,nodes!$A$1:$K$167,2)</f>
        <v>146</v>
      </c>
      <c r="L230">
        <f>VLOOKUP(E230,nodes!$A$1:$K$167,2)</f>
        <v>151</v>
      </c>
      <c r="M230">
        <f t="shared" si="9"/>
        <v>1.086E-2</v>
      </c>
      <c r="N230" s="2">
        <f t="shared" si="10"/>
        <v>92.081031307550646</v>
      </c>
      <c r="O230">
        <f t="shared" si="11"/>
        <v>23.45</v>
      </c>
    </row>
    <row r="231" spans="1:15" x14ac:dyDescent="0.55000000000000004">
      <c r="A231">
        <v>232</v>
      </c>
      <c r="B231" t="s">
        <v>377</v>
      </c>
      <c r="C231">
        <v>1</v>
      </c>
      <c r="D231" t="s">
        <v>524</v>
      </c>
      <c r="E231" t="s">
        <v>529</v>
      </c>
      <c r="F231">
        <v>500</v>
      </c>
      <c r="G231">
        <v>68.73</v>
      </c>
      <c r="H231">
        <v>27.15</v>
      </c>
      <c r="I231">
        <v>1465</v>
      </c>
      <c r="J231">
        <v>2348</v>
      </c>
      <c r="K231">
        <f>VLOOKUP(D231,nodes!$A$1:$K$167,2)</f>
        <v>146</v>
      </c>
      <c r="L231">
        <f>VLOOKUP(E231,nodes!$A$1:$K$167,2)</f>
        <v>151</v>
      </c>
      <c r="M231">
        <f t="shared" si="9"/>
        <v>1.086E-2</v>
      </c>
      <c r="N231" s="2">
        <f t="shared" si="10"/>
        <v>92.081031307550646</v>
      </c>
      <c r="O231">
        <f t="shared" si="11"/>
        <v>23.48</v>
      </c>
    </row>
    <row r="232" spans="1:15" x14ac:dyDescent="0.55000000000000004">
      <c r="A232">
        <v>233</v>
      </c>
      <c r="B232" t="s">
        <v>377</v>
      </c>
      <c r="C232">
        <v>1</v>
      </c>
      <c r="D232" t="s">
        <v>525</v>
      </c>
      <c r="E232" t="s">
        <v>386</v>
      </c>
      <c r="F232">
        <v>230</v>
      </c>
      <c r="G232">
        <v>49.7</v>
      </c>
      <c r="H232">
        <v>23.86</v>
      </c>
      <c r="I232">
        <v>376</v>
      </c>
      <c r="J232">
        <v>438</v>
      </c>
      <c r="K232">
        <f>VLOOKUP(D232,nodes!$A$1:$K$167,2)</f>
        <v>147</v>
      </c>
      <c r="L232">
        <f>VLOOKUP(E232,nodes!$A$1:$K$167,2)</f>
        <v>10</v>
      </c>
      <c r="M232">
        <f t="shared" si="9"/>
        <v>4.5103969754253306E-2</v>
      </c>
      <c r="N232" s="2">
        <f t="shared" si="10"/>
        <v>22.1709974853311</v>
      </c>
      <c r="O232">
        <f t="shared" si="11"/>
        <v>4.38</v>
      </c>
    </row>
    <row r="233" spans="1:15" x14ac:dyDescent="0.55000000000000004">
      <c r="A233">
        <v>234</v>
      </c>
      <c r="B233" t="s">
        <v>377</v>
      </c>
      <c r="C233">
        <v>1</v>
      </c>
      <c r="D233" t="s">
        <v>525</v>
      </c>
      <c r="E233" t="s">
        <v>499</v>
      </c>
      <c r="F233">
        <v>230</v>
      </c>
      <c r="G233">
        <v>67.73</v>
      </c>
      <c r="H233">
        <v>32.51</v>
      </c>
      <c r="I233">
        <v>394</v>
      </c>
      <c r="J233">
        <v>467</v>
      </c>
      <c r="K233">
        <f>VLOOKUP(D233,nodes!$A$1:$K$167,2)</f>
        <v>147</v>
      </c>
      <c r="L233">
        <f>VLOOKUP(E233,nodes!$A$1:$K$167,2)</f>
        <v>121</v>
      </c>
      <c r="M233">
        <f t="shared" si="9"/>
        <v>6.145557655954631E-2</v>
      </c>
      <c r="N233" s="2">
        <f t="shared" si="10"/>
        <v>16.271916333435868</v>
      </c>
      <c r="O233">
        <f t="shared" si="11"/>
        <v>4.67</v>
      </c>
    </row>
    <row r="234" spans="1:15" x14ac:dyDescent="0.55000000000000004">
      <c r="A234">
        <v>235</v>
      </c>
      <c r="B234" t="s">
        <v>377</v>
      </c>
      <c r="C234">
        <v>1</v>
      </c>
      <c r="D234" t="s">
        <v>526</v>
      </c>
      <c r="E234" t="s">
        <v>509</v>
      </c>
      <c r="F234">
        <v>500</v>
      </c>
      <c r="G234">
        <v>142.78899999999999</v>
      </c>
      <c r="H234">
        <v>56.4</v>
      </c>
      <c r="I234">
        <v>1740</v>
      </c>
      <c r="J234">
        <v>2410</v>
      </c>
      <c r="K234">
        <f>VLOOKUP(D234,nodes!$A$1:$K$167,2)</f>
        <v>148</v>
      </c>
      <c r="L234">
        <f>VLOOKUP(E234,nodes!$A$1:$K$167,2)</f>
        <v>131</v>
      </c>
      <c r="M234">
        <f t="shared" si="9"/>
        <v>2.256E-2</v>
      </c>
      <c r="N234" s="2">
        <f t="shared" si="10"/>
        <v>44.326241134751776</v>
      </c>
      <c r="O234">
        <f t="shared" si="11"/>
        <v>24.1</v>
      </c>
    </row>
    <row r="235" spans="1:15" x14ac:dyDescent="0.55000000000000004">
      <c r="A235">
        <v>236</v>
      </c>
      <c r="B235" t="s">
        <v>377</v>
      </c>
      <c r="C235">
        <v>1</v>
      </c>
      <c r="D235" t="s">
        <v>527</v>
      </c>
      <c r="E235" t="s">
        <v>384</v>
      </c>
      <c r="F235">
        <v>230</v>
      </c>
      <c r="G235">
        <v>9.9000000000000005E-2</v>
      </c>
      <c r="H235">
        <v>0.05</v>
      </c>
      <c r="I235">
        <v>402</v>
      </c>
      <c r="J235">
        <v>435</v>
      </c>
      <c r="K235">
        <f>VLOOKUP(D235,nodes!$A$1:$K$167,2)</f>
        <v>149</v>
      </c>
      <c r="L235">
        <f>VLOOKUP(E235,nodes!$A$1:$K$167,2)</f>
        <v>8</v>
      </c>
      <c r="M235">
        <f t="shared" si="9"/>
        <v>9.4517958412098304E-5</v>
      </c>
      <c r="N235" s="2">
        <f t="shared" si="10"/>
        <v>10580</v>
      </c>
      <c r="O235">
        <f t="shared" si="11"/>
        <v>4.3499999999999996</v>
      </c>
    </row>
    <row r="236" spans="1:15" x14ac:dyDescent="0.55000000000000004">
      <c r="A236">
        <v>237</v>
      </c>
      <c r="B236" t="s">
        <v>377</v>
      </c>
      <c r="C236">
        <v>1</v>
      </c>
      <c r="D236" t="s">
        <v>527</v>
      </c>
      <c r="E236" t="s">
        <v>489</v>
      </c>
      <c r="F236">
        <v>230</v>
      </c>
      <c r="G236">
        <v>1</v>
      </c>
      <c r="H236">
        <v>0.48</v>
      </c>
      <c r="I236">
        <v>289</v>
      </c>
      <c r="J236">
        <v>289</v>
      </c>
      <c r="K236">
        <f>VLOOKUP(D236,nodes!$A$1:$K$167,2)</f>
        <v>149</v>
      </c>
      <c r="L236">
        <f>VLOOKUP(E236,nodes!$A$1:$K$167,2)</f>
        <v>111</v>
      </c>
      <c r="M236">
        <f t="shared" si="9"/>
        <v>9.0737240075614359E-4</v>
      </c>
      <c r="N236" s="2">
        <f t="shared" si="10"/>
        <v>1102.0833333333335</v>
      </c>
      <c r="O236">
        <f t="shared" si="11"/>
        <v>2.89</v>
      </c>
    </row>
    <row r="237" spans="1:15" x14ac:dyDescent="0.55000000000000004">
      <c r="A237">
        <v>238</v>
      </c>
      <c r="B237" t="s">
        <v>377</v>
      </c>
      <c r="C237">
        <v>1</v>
      </c>
      <c r="D237" t="s">
        <v>527</v>
      </c>
      <c r="E237" t="s">
        <v>472</v>
      </c>
      <c r="F237">
        <v>230</v>
      </c>
      <c r="G237">
        <v>20.38</v>
      </c>
      <c r="H237">
        <v>9.7799999999999994</v>
      </c>
      <c r="I237">
        <v>378</v>
      </c>
      <c r="J237">
        <v>459</v>
      </c>
      <c r="K237">
        <f>VLOOKUP(D237,nodes!$A$1:$K$167,2)</f>
        <v>149</v>
      </c>
      <c r="L237">
        <f>VLOOKUP(E237,nodes!$A$1:$K$167,2)</f>
        <v>94</v>
      </c>
      <c r="M237">
        <f t="shared" si="9"/>
        <v>1.8487712665406424E-2</v>
      </c>
      <c r="N237" s="2">
        <f t="shared" si="10"/>
        <v>54.089979550102257</v>
      </c>
      <c r="O237">
        <f t="shared" si="11"/>
        <v>4.59</v>
      </c>
    </row>
    <row r="238" spans="1:15" x14ac:dyDescent="0.55000000000000004">
      <c r="A238">
        <v>239</v>
      </c>
      <c r="B238" t="s">
        <v>377</v>
      </c>
      <c r="C238">
        <v>1</v>
      </c>
      <c r="D238" t="s">
        <v>527</v>
      </c>
      <c r="E238" t="s">
        <v>389</v>
      </c>
      <c r="F238">
        <v>230</v>
      </c>
      <c r="G238">
        <v>28.033999999999999</v>
      </c>
      <c r="H238">
        <v>13.46</v>
      </c>
      <c r="I238">
        <v>378</v>
      </c>
      <c r="J238">
        <v>459</v>
      </c>
      <c r="K238">
        <f>VLOOKUP(D238,nodes!$A$1:$K$167,2)</f>
        <v>149</v>
      </c>
      <c r="L238">
        <f>VLOOKUP(E238,nodes!$A$1:$K$167,2)</f>
        <v>12</v>
      </c>
      <c r="M238">
        <f t="shared" si="9"/>
        <v>2.5444234404536862E-2</v>
      </c>
      <c r="N238" s="2">
        <f t="shared" si="10"/>
        <v>39.301634472511147</v>
      </c>
      <c r="O238">
        <f t="shared" si="11"/>
        <v>4.59</v>
      </c>
    </row>
    <row r="239" spans="1:15" x14ac:dyDescent="0.55000000000000004">
      <c r="A239">
        <v>240</v>
      </c>
      <c r="B239" t="s">
        <v>377</v>
      </c>
      <c r="C239">
        <v>1</v>
      </c>
      <c r="D239" t="s">
        <v>528</v>
      </c>
      <c r="E239" t="s">
        <v>524</v>
      </c>
      <c r="F239">
        <v>500</v>
      </c>
      <c r="G239">
        <v>68.73</v>
      </c>
      <c r="H239">
        <v>27.15</v>
      </c>
      <c r="I239">
        <v>1456</v>
      </c>
      <c r="J239">
        <v>2345</v>
      </c>
      <c r="K239">
        <f>VLOOKUP(D239,nodes!$A$1:$K$167,2)</f>
        <v>150</v>
      </c>
      <c r="L239">
        <f>VLOOKUP(E239,nodes!$A$1:$K$167,2)</f>
        <v>146</v>
      </c>
      <c r="M239">
        <f t="shared" si="9"/>
        <v>1.086E-2</v>
      </c>
      <c r="N239" s="2">
        <f t="shared" si="10"/>
        <v>92.081031307550646</v>
      </c>
      <c r="O239">
        <f t="shared" si="11"/>
        <v>23.45</v>
      </c>
    </row>
    <row r="240" spans="1:15" x14ac:dyDescent="0.55000000000000004">
      <c r="A240">
        <v>241</v>
      </c>
      <c r="B240" t="s">
        <v>377</v>
      </c>
      <c r="C240">
        <v>1</v>
      </c>
      <c r="D240" t="s">
        <v>528</v>
      </c>
      <c r="E240" t="s">
        <v>524</v>
      </c>
      <c r="F240">
        <v>500</v>
      </c>
      <c r="G240">
        <v>68.73</v>
      </c>
      <c r="H240">
        <v>27.15</v>
      </c>
      <c r="I240">
        <v>1465</v>
      </c>
      <c r="J240">
        <v>2348</v>
      </c>
      <c r="K240">
        <f>VLOOKUP(D240,nodes!$A$1:$K$167,2)</f>
        <v>150</v>
      </c>
      <c r="L240">
        <f>VLOOKUP(E240,nodes!$A$1:$K$167,2)</f>
        <v>146</v>
      </c>
      <c r="M240">
        <f t="shared" si="9"/>
        <v>1.086E-2</v>
      </c>
      <c r="N240" s="2">
        <f t="shared" si="10"/>
        <v>92.081031307550646</v>
      </c>
      <c r="O240">
        <f t="shared" si="11"/>
        <v>23.48</v>
      </c>
    </row>
    <row r="241" spans="1:15" x14ac:dyDescent="0.55000000000000004">
      <c r="A241">
        <v>242</v>
      </c>
      <c r="B241" t="s">
        <v>377</v>
      </c>
      <c r="C241">
        <v>1</v>
      </c>
      <c r="D241" t="s">
        <v>529</v>
      </c>
      <c r="E241" t="s">
        <v>477</v>
      </c>
      <c r="F241">
        <v>500</v>
      </c>
      <c r="G241">
        <v>68.73</v>
      </c>
      <c r="H241">
        <v>27.15</v>
      </c>
      <c r="I241">
        <v>1030</v>
      </c>
      <c r="J241">
        <v>1099</v>
      </c>
      <c r="K241">
        <f>VLOOKUP(D241,nodes!$A$1:$K$167,2)</f>
        <v>151</v>
      </c>
      <c r="L241">
        <f>VLOOKUP(E241,nodes!$A$1:$K$167,2)</f>
        <v>99</v>
      </c>
      <c r="M241">
        <f t="shared" si="9"/>
        <v>1.086E-2</v>
      </c>
      <c r="N241" s="2">
        <f t="shared" si="10"/>
        <v>92.081031307550646</v>
      </c>
      <c r="O241">
        <f t="shared" si="11"/>
        <v>10.99</v>
      </c>
    </row>
    <row r="242" spans="1:15" x14ac:dyDescent="0.55000000000000004">
      <c r="A242">
        <v>243</v>
      </c>
      <c r="B242" t="s">
        <v>377</v>
      </c>
      <c r="C242">
        <v>1</v>
      </c>
      <c r="D242" t="s">
        <v>529</v>
      </c>
      <c r="E242" t="s">
        <v>477</v>
      </c>
      <c r="F242">
        <v>500</v>
      </c>
      <c r="G242">
        <v>68.73</v>
      </c>
      <c r="H242">
        <v>27.15</v>
      </c>
      <c r="I242">
        <v>1030</v>
      </c>
      <c r="J242">
        <v>1099</v>
      </c>
      <c r="K242">
        <f>VLOOKUP(D242,nodes!$A$1:$K$167,2)</f>
        <v>151</v>
      </c>
      <c r="L242">
        <f>VLOOKUP(E242,nodes!$A$1:$K$167,2)</f>
        <v>99</v>
      </c>
      <c r="M242">
        <f t="shared" si="9"/>
        <v>1.086E-2</v>
      </c>
      <c r="N242" s="2">
        <f t="shared" si="10"/>
        <v>92.081031307550646</v>
      </c>
      <c r="O242">
        <f t="shared" si="11"/>
        <v>10.99</v>
      </c>
    </row>
    <row r="243" spans="1:15" x14ac:dyDescent="0.55000000000000004">
      <c r="A243">
        <v>244</v>
      </c>
      <c r="B243" t="s">
        <v>377</v>
      </c>
      <c r="C243">
        <v>1</v>
      </c>
      <c r="D243" t="s">
        <v>532</v>
      </c>
      <c r="E243" t="s">
        <v>506</v>
      </c>
      <c r="F243">
        <v>500</v>
      </c>
      <c r="G243">
        <v>162.87299999999999</v>
      </c>
      <c r="H243">
        <v>64.33</v>
      </c>
      <c r="I243">
        <v>2835</v>
      </c>
      <c r="J243">
        <v>3453</v>
      </c>
      <c r="K243">
        <f>VLOOKUP(D243,nodes!$A$1:$K$167,2)</f>
        <v>154</v>
      </c>
      <c r="L243">
        <f>VLOOKUP(E243,nodes!$A$1:$K$167,2)</f>
        <v>128</v>
      </c>
      <c r="M243">
        <f t="shared" si="9"/>
        <v>2.5731999999999998E-2</v>
      </c>
      <c r="N243" s="2">
        <f t="shared" si="10"/>
        <v>38.862117208145506</v>
      </c>
      <c r="O243">
        <f t="shared" si="11"/>
        <v>34.53</v>
      </c>
    </row>
    <row r="244" spans="1:15" x14ac:dyDescent="0.55000000000000004">
      <c r="A244">
        <v>245</v>
      </c>
      <c r="B244" t="s">
        <v>377</v>
      </c>
      <c r="C244">
        <v>1</v>
      </c>
      <c r="D244" t="s">
        <v>536</v>
      </c>
      <c r="E244" t="s">
        <v>421</v>
      </c>
      <c r="F244">
        <v>287</v>
      </c>
      <c r="G244">
        <v>40.5</v>
      </c>
      <c r="H244">
        <v>18.71</v>
      </c>
      <c r="I244">
        <v>461</v>
      </c>
      <c r="J244">
        <v>461</v>
      </c>
      <c r="K244">
        <f>VLOOKUP(D244,nodes!$A$1:$K$167,2)</f>
        <v>158</v>
      </c>
      <c r="L244">
        <f>VLOOKUP(E244,nodes!$A$1:$K$167,2)</f>
        <v>44</v>
      </c>
      <c r="M244">
        <f t="shared" ref="M244:M253" si="12">H244/(F244^2/100)</f>
        <v>2.2714856317303838E-2</v>
      </c>
      <c r="N244" s="2">
        <f t="shared" ref="N244:N253" si="13">1/M244</f>
        <v>44.024051309460184</v>
      </c>
      <c r="O244">
        <f t="shared" ref="O244:O253" si="14">J244/100</f>
        <v>4.6100000000000003</v>
      </c>
    </row>
    <row r="245" spans="1:15" x14ac:dyDescent="0.55000000000000004">
      <c r="A245">
        <v>246</v>
      </c>
      <c r="B245" t="s">
        <v>377</v>
      </c>
      <c r="C245">
        <v>1</v>
      </c>
      <c r="D245" t="s">
        <v>536</v>
      </c>
      <c r="E245" t="s">
        <v>535</v>
      </c>
      <c r="F245">
        <v>287</v>
      </c>
      <c r="G245">
        <v>40.5</v>
      </c>
      <c r="H245">
        <v>18.71</v>
      </c>
      <c r="I245">
        <v>461</v>
      </c>
      <c r="J245">
        <v>461</v>
      </c>
      <c r="K245">
        <f>VLOOKUP(D245,nodes!$A$1:$K$167,2)</f>
        <v>158</v>
      </c>
      <c r="L245">
        <f>VLOOKUP(E245,nodes!$A$1:$K$167,2)</f>
        <v>157</v>
      </c>
      <c r="M245">
        <f t="shared" si="12"/>
        <v>2.2714856317303838E-2</v>
      </c>
      <c r="N245" s="2">
        <f t="shared" si="13"/>
        <v>44.024051309460184</v>
      </c>
      <c r="O245">
        <f t="shared" si="14"/>
        <v>4.6100000000000003</v>
      </c>
    </row>
    <row r="246" spans="1:15" x14ac:dyDescent="0.55000000000000004">
      <c r="A246">
        <v>247</v>
      </c>
      <c r="B246" t="s">
        <v>377</v>
      </c>
      <c r="C246">
        <v>1</v>
      </c>
      <c r="D246" t="s">
        <v>540</v>
      </c>
      <c r="E246" t="s">
        <v>480</v>
      </c>
      <c r="F246">
        <v>230</v>
      </c>
      <c r="G246">
        <v>21</v>
      </c>
      <c r="H246">
        <v>10.08</v>
      </c>
      <c r="I246">
        <v>397</v>
      </c>
      <c r="J246">
        <v>460</v>
      </c>
      <c r="K246">
        <f>VLOOKUP(D246,nodes!$A$1:$K$167,2)</f>
        <v>162</v>
      </c>
      <c r="L246">
        <f>VLOOKUP(E246,nodes!$A$1:$K$167,2)</f>
        <v>102</v>
      </c>
      <c r="M246">
        <f t="shared" si="12"/>
        <v>1.9054820415879019E-2</v>
      </c>
      <c r="N246" s="2">
        <f t="shared" si="13"/>
        <v>52.480158730158728</v>
      </c>
      <c r="O246">
        <f t="shared" si="14"/>
        <v>4.5999999999999996</v>
      </c>
    </row>
    <row r="247" spans="1:15" x14ac:dyDescent="0.55000000000000004">
      <c r="A247">
        <v>248</v>
      </c>
      <c r="B247" t="s">
        <v>377</v>
      </c>
      <c r="C247">
        <v>1</v>
      </c>
      <c r="D247" t="s">
        <v>542</v>
      </c>
      <c r="E247" t="s">
        <v>430</v>
      </c>
      <c r="F247">
        <v>230</v>
      </c>
      <c r="G247">
        <v>5.2720000000000002</v>
      </c>
      <c r="H247">
        <v>2.5299999999999998</v>
      </c>
      <c r="I247">
        <v>375</v>
      </c>
      <c r="J247">
        <v>431</v>
      </c>
      <c r="K247">
        <f>VLOOKUP(D247,nodes!$A$1:$K$167,2)</f>
        <v>164</v>
      </c>
      <c r="L247">
        <f>VLOOKUP(E247,nodes!$A$1:$K$167,2)</f>
        <v>53</v>
      </c>
      <c r="M247">
        <f t="shared" si="12"/>
        <v>4.7826086956521737E-3</v>
      </c>
      <c r="N247" s="2">
        <f t="shared" si="13"/>
        <v>209.09090909090909</v>
      </c>
      <c r="O247">
        <f t="shared" si="14"/>
        <v>4.3099999999999996</v>
      </c>
    </row>
    <row r="248" spans="1:15" x14ac:dyDescent="0.55000000000000004">
      <c r="A248">
        <v>249</v>
      </c>
      <c r="B248" t="s">
        <v>377</v>
      </c>
      <c r="C248">
        <v>1</v>
      </c>
      <c r="D248" t="s">
        <v>543</v>
      </c>
      <c r="E248" t="s">
        <v>518</v>
      </c>
      <c r="F248">
        <v>230</v>
      </c>
      <c r="G248">
        <v>33.308999999999997</v>
      </c>
      <c r="H248">
        <v>15.99</v>
      </c>
      <c r="I248">
        <v>350</v>
      </c>
      <c r="J248">
        <v>423</v>
      </c>
      <c r="K248">
        <f>VLOOKUP(D248,nodes!$A$1:$K$167,2)</f>
        <v>165</v>
      </c>
      <c r="L248">
        <f>VLOOKUP(E248,nodes!$A$1:$K$167,2)</f>
        <v>140</v>
      </c>
      <c r="M248">
        <f t="shared" si="12"/>
        <v>3.0226843100189037E-2</v>
      </c>
      <c r="N248" s="2">
        <f t="shared" si="13"/>
        <v>33.083176985616007</v>
      </c>
      <c r="O248">
        <f t="shared" si="14"/>
        <v>4.2300000000000004</v>
      </c>
    </row>
    <row r="249" spans="1:15" x14ac:dyDescent="0.55000000000000004">
      <c r="A249">
        <v>250</v>
      </c>
      <c r="B249" t="s">
        <v>377</v>
      </c>
      <c r="C249">
        <v>1</v>
      </c>
      <c r="D249" t="s">
        <v>543</v>
      </c>
      <c r="E249" t="s">
        <v>424</v>
      </c>
      <c r="F249">
        <v>500</v>
      </c>
      <c r="G249">
        <v>174.72200000000001</v>
      </c>
      <c r="H249">
        <v>69.02</v>
      </c>
      <c r="I249">
        <v>1726</v>
      </c>
      <c r="J249">
        <v>2475</v>
      </c>
      <c r="K249">
        <f>VLOOKUP(D249,nodes!$A$1:$K$167,2)</f>
        <v>165</v>
      </c>
      <c r="L249">
        <f>VLOOKUP(E249,nodes!$A$1:$K$167,2)</f>
        <v>47</v>
      </c>
      <c r="M249">
        <f t="shared" si="12"/>
        <v>2.7607999999999997E-2</v>
      </c>
      <c r="N249" s="2">
        <f t="shared" si="13"/>
        <v>36.221385105766451</v>
      </c>
      <c r="O249">
        <f t="shared" si="14"/>
        <v>24.75</v>
      </c>
    </row>
    <row r="250" spans="1:15" x14ac:dyDescent="0.55000000000000004">
      <c r="A250">
        <v>251</v>
      </c>
      <c r="B250" t="s">
        <v>377</v>
      </c>
      <c r="C250">
        <v>1</v>
      </c>
      <c r="D250" t="s">
        <v>543</v>
      </c>
      <c r="E250" t="s">
        <v>447</v>
      </c>
      <c r="F250">
        <v>500</v>
      </c>
      <c r="G250">
        <v>330.07799999999997</v>
      </c>
      <c r="H250">
        <v>130.38</v>
      </c>
      <c r="I250">
        <v>1998</v>
      </c>
      <c r="J250">
        <v>2588</v>
      </c>
      <c r="K250">
        <f>VLOOKUP(D250,nodes!$A$1:$K$167,2)</f>
        <v>165</v>
      </c>
      <c r="L250">
        <f>VLOOKUP(E250,nodes!$A$1:$K$167,2)</f>
        <v>70</v>
      </c>
      <c r="M250">
        <f t="shared" si="12"/>
        <v>5.2151999999999997E-2</v>
      </c>
      <c r="N250" s="2">
        <f t="shared" si="13"/>
        <v>19.174720049087284</v>
      </c>
      <c r="O250">
        <f t="shared" si="14"/>
        <v>25.88</v>
      </c>
    </row>
    <row r="251" spans="1:15" x14ac:dyDescent="0.55000000000000004">
      <c r="A251">
        <v>252</v>
      </c>
      <c r="B251" t="s">
        <v>377</v>
      </c>
      <c r="C251">
        <v>1</v>
      </c>
      <c r="D251" t="s">
        <v>543</v>
      </c>
      <c r="E251" t="s">
        <v>447</v>
      </c>
      <c r="F251">
        <v>500</v>
      </c>
      <c r="G251">
        <v>330.07499999999999</v>
      </c>
      <c r="H251">
        <v>130.38</v>
      </c>
      <c r="I251">
        <v>1949</v>
      </c>
      <c r="J251">
        <v>2689</v>
      </c>
      <c r="K251">
        <f>VLOOKUP(D251,nodes!$A$1:$K$167,2)</f>
        <v>165</v>
      </c>
      <c r="L251">
        <f>VLOOKUP(E251,nodes!$A$1:$K$167,2)</f>
        <v>70</v>
      </c>
      <c r="M251">
        <f t="shared" si="12"/>
        <v>5.2151999999999997E-2</v>
      </c>
      <c r="N251" s="2">
        <f t="shared" si="13"/>
        <v>19.174720049087284</v>
      </c>
      <c r="O251">
        <f t="shared" si="14"/>
        <v>26.89</v>
      </c>
    </row>
    <row r="252" spans="1:15" x14ac:dyDescent="0.55000000000000004">
      <c r="A252">
        <v>253</v>
      </c>
      <c r="B252" t="s">
        <v>377</v>
      </c>
      <c r="C252">
        <v>1</v>
      </c>
      <c r="D252" t="s">
        <v>543</v>
      </c>
      <c r="E252" t="s">
        <v>447</v>
      </c>
      <c r="F252">
        <v>500</v>
      </c>
      <c r="G252">
        <v>330.13900000000001</v>
      </c>
      <c r="H252">
        <v>130.4</v>
      </c>
      <c r="I252">
        <v>2638</v>
      </c>
      <c r="J252">
        <v>3560</v>
      </c>
      <c r="K252">
        <f>VLOOKUP(D252,nodes!$A$1:$K$167,2)</f>
        <v>165</v>
      </c>
      <c r="L252">
        <f>VLOOKUP(E252,nodes!$A$1:$K$167,2)</f>
        <v>70</v>
      </c>
      <c r="M252">
        <f t="shared" si="12"/>
        <v>5.2160000000000005E-2</v>
      </c>
      <c r="N252" s="2">
        <f t="shared" si="13"/>
        <v>19.171779141104292</v>
      </c>
      <c r="O252">
        <f t="shared" si="14"/>
        <v>35.6</v>
      </c>
    </row>
    <row r="253" spans="1:15" x14ac:dyDescent="0.55000000000000004">
      <c r="A253">
        <v>254</v>
      </c>
      <c r="B253" t="s">
        <v>377</v>
      </c>
      <c r="C253">
        <v>1</v>
      </c>
      <c r="D253" t="s">
        <v>544</v>
      </c>
      <c r="E253" t="s">
        <v>400</v>
      </c>
      <c r="F253">
        <v>230</v>
      </c>
      <c r="G253">
        <v>25</v>
      </c>
      <c r="H253">
        <v>12</v>
      </c>
      <c r="I253">
        <v>402</v>
      </c>
      <c r="J253">
        <v>435</v>
      </c>
      <c r="K253">
        <f>VLOOKUP(D253,nodes!$A$1:$K$167,2)</f>
        <v>166</v>
      </c>
      <c r="L253">
        <f>VLOOKUP(E253,nodes!$A$1:$K$167,2)</f>
        <v>23</v>
      </c>
      <c r="M253">
        <f t="shared" si="12"/>
        <v>2.2684310018903593E-2</v>
      </c>
      <c r="N253" s="2">
        <f t="shared" si="13"/>
        <v>44.083333333333329</v>
      </c>
      <c r="O253">
        <f t="shared" si="14"/>
        <v>4.3499999999999996</v>
      </c>
    </row>
  </sheetData>
  <autoFilter ref="A1:O253" xr:uid="{BAC92143-5A41-4DF7-AF25-4DED262BD3CF}">
    <sortState xmlns:xlrd2="http://schemas.microsoft.com/office/spreadsheetml/2017/richdata2" ref="A2:O253">
      <sortCondition ref="D1:D2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CBC0-8CE4-4B09-9C68-55E7A641AD3C}">
  <dimension ref="A1:AY31"/>
  <sheetViews>
    <sheetView workbookViewId="0">
      <pane xSplit="1" topLeftCell="Q1" activePane="topRight" state="frozen"/>
      <selection pane="topRight" activeCell="V1" sqref="U1:V1048576"/>
    </sheetView>
  </sheetViews>
  <sheetFormatPr defaultRowHeight="14.4" x14ac:dyDescent="0.55000000000000004"/>
  <cols>
    <col min="1" max="1" width="13.62890625" bestFit="1" customWidth="1"/>
    <col min="2" max="2" width="14.26171875" bestFit="1" customWidth="1"/>
    <col min="3" max="3" width="14.41796875" bestFit="1" customWidth="1"/>
    <col min="4" max="4" width="21" bestFit="1" customWidth="1"/>
    <col min="5" max="5" width="33.62890625" bestFit="1" customWidth="1"/>
    <col min="6" max="6" width="24.5234375" bestFit="1" customWidth="1"/>
    <col min="7" max="7" width="31.1015625" bestFit="1" customWidth="1"/>
    <col min="8" max="8" width="21.89453125" bestFit="1" customWidth="1"/>
    <col min="9" max="9" width="26.5234375" bestFit="1" customWidth="1"/>
    <col min="10" max="10" width="12.3125" bestFit="1" customWidth="1"/>
    <col min="11" max="11" width="18.734375" bestFit="1" customWidth="1"/>
    <col min="12" max="12" width="9.7890625" bestFit="1" customWidth="1"/>
    <col min="13" max="13" width="16.3671875" bestFit="1" customWidth="1"/>
    <col min="14" max="14" width="35.47265625" bestFit="1" customWidth="1"/>
    <col min="15" max="15" width="13.3671875" bestFit="1" customWidth="1"/>
    <col min="16" max="16" width="16.26171875" bestFit="1" customWidth="1"/>
    <col min="17" max="17" width="15.578125" bestFit="1" customWidth="1"/>
    <col min="18" max="18" width="15.83984375" bestFit="1" customWidth="1"/>
    <col min="19" max="19" width="30.3125" bestFit="1" customWidth="1"/>
    <col min="20" max="20" width="36.89453125" bestFit="1" customWidth="1"/>
    <col min="21" max="21" width="16.1015625" bestFit="1" customWidth="1"/>
    <col min="22" max="22" width="8.3671875" bestFit="1" customWidth="1"/>
    <col min="23" max="23" width="14.7890625" bestFit="1" customWidth="1"/>
    <col min="24" max="24" width="8.47265625" bestFit="1" customWidth="1"/>
    <col min="25" max="25" width="14.9453125" bestFit="1" customWidth="1"/>
    <col min="26" max="26" width="13.62890625" bestFit="1" customWidth="1"/>
    <col min="27" max="27" width="20.20703125" bestFit="1" customWidth="1"/>
    <col min="28" max="28" width="17.41796875" bestFit="1" customWidth="1"/>
    <col min="29" max="29" width="24" bestFit="1" customWidth="1"/>
    <col min="30" max="30" width="17.68359375" bestFit="1" customWidth="1"/>
    <col min="31" max="31" width="24.26171875" bestFit="1" customWidth="1"/>
    <col min="32" max="32" width="18.1015625" bestFit="1" customWidth="1"/>
    <col min="33" max="33" width="24.68359375" bestFit="1" customWidth="1"/>
    <col min="34" max="34" width="17.05078125" bestFit="1" customWidth="1"/>
    <col min="35" max="35" width="23.62890625" bestFit="1" customWidth="1"/>
    <col min="36" max="36" width="19.41796875" bestFit="1" customWidth="1"/>
    <col min="37" max="37" width="26" bestFit="1" customWidth="1"/>
    <col min="38" max="38" width="23.89453125" bestFit="1" customWidth="1"/>
    <col min="39" max="39" width="30.3125" bestFit="1" customWidth="1"/>
    <col min="40" max="40" width="23.89453125" bestFit="1" customWidth="1"/>
    <col min="41" max="41" width="30.3125" bestFit="1" customWidth="1"/>
    <col min="42" max="42" width="16.5234375" bestFit="1" customWidth="1"/>
    <col min="43" max="43" width="22.9453125" bestFit="1" customWidth="1"/>
    <col min="44" max="44" width="18.1015625" bestFit="1" customWidth="1"/>
    <col min="45" max="45" width="24.68359375" bestFit="1" customWidth="1"/>
    <col min="46" max="46" width="10.83984375" bestFit="1" customWidth="1"/>
    <col min="47" max="47" width="17.41796875" bestFit="1" customWidth="1"/>
    <col min="48" max="48" width="13.20703125" bestFit="1" customWidth="1"/>
    <col min="49" max="49" width="19.7890625" bestFit="1" customWidth="1"/>
    <col min="50" max="50" width="76.26171875" bestFit="1" customWidth="1"/>
    <col min="51" max="51" width="11.62890625" bestFit="1" customWidth="1"/>
  </cols>
  <sheetData>
    <row r="1" spans="1:51" x14ac:dyDescent="0.55000000000000004">
      <c r="A1" t="s">
        <v>556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  <c r="H1" t="s">
        <v>582</v>
      </c>
      <c r="I1" t="s">
        <v>583</v>
      </c>
      <c r="J1" t="s">
        <v>584</v>
      </c>
      <c r="K1" t="s">
        <v>585</v>
      </c>
      <c r="L1" t="s">
        <v>586</v>
      </c>
      <c r="M1" t="s">
        <v>587</v>
      </c>
      <c r="N1" t="s">
        <v>588</v>
      </c>
      <c r="O1" t="s">
        <v>589</v>
      </c>
      <c r="P1" t="s">
        <v>590</v>
      </c>
      <c r="Q1" t="s">
        <v>591</v>
      </c>
      <c r="R1" t="s">
        <v>592</v>
      </c>
      <c r="S1" t="s">
        <v>593</v>
      </c>
      <c r="T1" t="s">
        <v>594</v>
      </c>
      <c r="U1" t="s">
        <v>595</v>
      </c>
      <c r="V1" t="s">
        <v>596</v>
      </c>
      <c r="W1" t="s">
        <v>597</v>
      </c>
      <c r="X1" t="s">
        <v>598</v>
      </c>
      <c r="Y1" t="s">
        <v>599</v>
      </c>
      <c r="Z1" t="s">
        <v>600</v>
      </c>
      <c r="AA1" t="s">
        <v>601</v>
      </c>
      <c r="AB1" t="s">
        <v>602</v>
      </c>
      <c r="AC1" t="s">
        <v>603</v>
      </c>
      <c r="AD1" t="s">
        <v>604</v>
      </c>
      <c r="AE1" t="s">
        <v>605</v>
      </c>
      <c r="AF1" t="s">
        <v>606</v>
      </c>
      <c r="AG1" t="s">
        <v>607</v>
      </c>
      <c r="AH1" t="s">
        <v>608</v>
      </c>
      <c r="AI1" t="s">
        <v>609</v>
      </c>
      <c r="AJ1" t="s">
        <v>610</v>
      </c>
      <c r="AK1" t="s">
        <v>611</v>
      </c>
      <c r="AL1" t="s">
        <v>612</v>
      </c>
      <c r="AM1" t="s">
        <v>613</v>
      </c>
      <c r="AN1" t="s">
        <v>614</v>
      </c>
      <c r="AO1" t="s">
        <v>615</v>
      </c>
      <c r="AP1" t="s">
        <v>616</v>
      </c>
      <c r="AQ1" t="s">
        <v>617</v>
      </c>
      <c r="AR1" t="s">
        <v>618</v>
      </c>
      <c r="AS1" t="s">
        <v>619</v>
      </c>
      <c r="AT1" t="s">
        <v>620</v>
      </c>
      <c r="AU1" t="s">
        <v>621</v>
      </c>
      <c r="AV1" t="s">
        <v>622</v>
      </c>
      <c r="AW1" t="s">
        <v>623</v>
      </c>
      <c r="AX1" t="s">
        <v>624</v>
      </c>
      <c r="AY1" t="s">
        <v>625</v>
      </c>
    </row>
    <row r="2" spans="1:51" x14ac:dyDescent="0.55000000000000004">
      <c r="A2" t="s">
        <v>566</v>
      </c>
      <c r="B2" t="s">
        <v>626</v>
      </c>
      <c r="C2" t="s">
        <v>557</v>
      </c>
      <c r="D2" t="s">
        <v>626</v>
      </c>
      <c r="E2" t="s">
        <v>566</v>
      </c>
      <c r="F2">
        <v>36</v>
      </c>
      <c r="G2">
        <v>51</v>
      </c>
      <c r="H2">
        <v>2442.96</v>
      </c>
      <c r="I2">
        <v>3016.27</v>
      </c>
      <c r="J2">
        <v>20</v>
      </c>
      <c r="K2">
        <v>20</v>
      </c>
      <c r="L2">
        <v>40</v>
      </c>
      <c r="M2" t="s">
        <v>627</v>
      </c>
      <c r="N2">
        <v>307.20999999999998</v>
      </c>
      <c r="O2">
        <v>31512</v>
      </c>
      <c r="P2">
        <v>9.7200000000000006</v>
      </c>
      <c r="Q2">
        <v>3</v>
      </c>
      <c r="S2">
        <v>3.03</v>
      </c>
      <c r="T2">
        <v>45</v>
      </c>
      <c r="U2">
        <v>0</v>
      </c>
      <c r="V2">
        <v>8.5129999999999999</v>
      </c>
      <c r="W2">
        <v>51</v>
      </c>
      <c r="X2">
        <v>0.40079999999999999</v>
      </c>
      <c r="Y2">
        <v>51</v>
      </c>
      <c r="Z2">
        <v>0.4</v>
      </c>
      <c r="AA2">
        <v>201</v>
      </c>
      <c r="AB2">
        <v>0.55000000000000004</v>
      </c>
      <c r="AC2">
        <v>48</v>
      </c>
      <c r="AD2">
        <v>0.7</v>
      </c>
      <c r="AE2">
        <v>48</v>
      </c>
      <c r="AF2">
        <v>60</v>
      </c>
      <c r="AG2">
        <v>46</v>
      </c>
      <c r="AH2">
        <v>8</v>
      </c>
      <c r="AI2" t="s">
        <v>627</v>
      </c>
      <c r="AJ2">
        <v>8</v>
      </c>
      <c r="AK2" t="s">
        <v>627</v>
      </c>
      <c r="AL2">
        <v>0.08</v>
      </c>
      <c r="AM2">
        <v>61</v>
      </c>
      <c r="AN2">
        <v>0</v>
      </c>
      <c r="AO2">
        <v>201</v>
      </c>
      <c r="AP2">
        <v>0.09</v>
      </c>
      <c r="AQ2" t="s">
        <v>627</v>
      </c>
      <c r="AR2">
        <v>0.08</v>
      </c>
      <c r="AS2" t="s">
        <v>627</v>
      </c>
      <c r="AT2">
        <v>8</v>
      </c>
      <c r="AU2">
        <v>243</v>
      </c>
      <c r="AV2">
        <v>0.08</v>
      </c>
      <c r="AW2">
        <v>243</v>
      </c>
      <c r="AX2" t="s">
        <v>628</v>
      </c>
      <c r="AY2">
        <v>51</v>
      </c>
    </row>
    <row r="3" spans="1:51" x14ac:dyDescent="0.55000000000000004">
      <c r="A3" t="s">
        <v>557</v>
      </c>
      <c r="B3" t="s">
        <v>626</v>
      </c>
      <c r="C3" t="s">
        <v>557</v>
      </c>
      <c r="D3" t="s">
        <v>626</v>
      </c>
      <c r="E3" t="s">
        <v>557</v>
      </c>
      <c r="F3">
        <v>50</v>
      </c>
      <c r="G3">
        <v>51</v>
      </c>
      <c r="H3">
        <v>6497.4</v>
      </c>
      <c r="I3">
        <v>8109.73</v>
      </c>
      <c r="J3">
        <v>30</v>
      </c>
      <c r="K3">
        <v>237</v>
      </c>
      <c r="L3">
        <v>45</v>
      </c>
      <c r="M3">
        <v>237</v>
      </c>
      <c r="N3">
        <v>720.37</v>
      </c>
      <c r="O3">
        <v>183950</v>
      </c>
      <c r="P3">
        <v>7.07</v>
      </c>
      <c r="Q3">
        <v>4</v>
      </c>
      <c r="R3">
        <v>6</v>
      </c>
      <c r="S3">
        <v>3.03</v>
      </c>
      <c r="T3">
        <v>45</v>
      </c>
      <c r="U3">
        <v>0</v>
      </c>
      <c r="V3">
        <v>13.5</v>
      </c>
      <c r="W3">
        <v>203</v>
      </c>
      <c r="X3">
        <v>0.25269999999999998</v>
      </c>
      <c r="Y3">
        <v>203</v>
      </c>
      <c r="Z3">
        <v>0.4</v>
      </c>
      <c r="AA3">
        <v>201</v>
      </c>
      <c r="AB3">
        <v>0.6</v>
      </c>
      <c r="AC3">
        <v>48</v>
      </c>
      <c r="AD3">
        <v>0.65</v>
      </c>
      <c r="AE3">
        <v>48</v>
      </c>
      <c r="AF3">
        <v>720</v>
      </c>
      <c r="AG3">
        <v>46</v>
      </c>
      <c r="AH3">
        <v>8</v>
      </c>
      <c r="AI3" t="s">
        <v>627</v>
      </c>
      <c r="AJ3">
        <v>8</v>
      </c>
      <c r="AK3" t="s">
        <v>627</v>
      </c>
      <c r="AL3">
        <v>0.08</v>
      </c>
      <c r="AM3">
        <v>61</v>
      </c>
      <c r="AN3">
        <v>0.06</v>
      </c>
      <c r="AO3">
        <v>201</v>
      </c>
      <c r="AP3">
        <v>0.09</v>
      </c>
      <c r="AQ3">
        <v>203</v>
      </c>
      <c r="AR3">
        <v>0.08</v>
      </c>
      <c r="AS3">
        <v>203</v>
      </c>
      <c r="AT3">
        <v>8</v>
      </c>
      <c r="AU3">
        <v>243</v>
      </c>
      <c r="AV3">
        <v>0.08</v>
      </c>
      <c r="AW3">
        <v>243</v>
      </c>
      <c r="AX3" t="s">
        <v>629</v>
      </c>
      <c r="AY3" t="s">
        <v>626</v>
      </c>
    </row>
    <row r="4" spans="1:51" x14ac:dyDescent="0.55000000000000004">
      <c r="A4" t="s">
        <v>630</v>
      </c>
      <c r="B4" t="s">
        <v>626</v>
      </c>
      <c r="C4" t="s">
        <v>557</v>
      </c>
      <c r="D4" t="s">
        <v>626</v>
      </c>
      <c r="E4" t="s">
        <v>631</v>
      </c>
      <c r="F4">
        <v>50</v>
      </c>
      <c r="G4">
        <v>51</v>
      </c>
      <c r="H4">
        <v>6497.4</v>
      </c>
      <c r="I4">
        <v>8109.73</v>
      </c>
      <c r="J4">
        <v>30</v>
      </c>
      <c r="K4">
        <v>237</v>
      </c>
      <c r="L4">
        <v>45</v>
      </c>
      <c r="M4">
        <v>237</v>
      </c>
      <c r="N4">
        <v>720.37</v>
      </c>
      <c r="O4">
        <v>183950</v>
      </c>
      <c r="P4">
        <v>7.07</v>
      </c>
      <c r="Q4">
        <v>4</v>
      </c>
      <c r="R4">
        <v>6</v>
      </c>
      <c r="S4">
        <v>3.03</v>
      </c>
      <c r="T4">
        <v>45</v>
      </c>
      <c r="U4">
        <v>0</v>
      </c>
      <c r="V4">
        <v>13.5</v>
      </c>
      <c r="W4">
        <v>203</v>
      </c>
      <c r="X4">
        <v>0.25269999999999998</v>
      </c>
      <c r="Y4">
        <v>203</v>
      </c>
      <c r="Z4">
        <v>0.4</v>
      </c>
      <c r="AA4">
        <v>201</v>
      </c>
      <c r="AB4">
        <v>0.6</v>
      </c>
      <c r="AC4">
        <v>48</v>
      </c>
      <c r="AD4">
        <v>0.65</v>
      </c>
      <c r="AE4">
        <v>48</v>
      </c>
      <c r="AF4">
        <v>720</v>
      </c>
      <c r="AG4">
        <v>46</v>
      </c>
      <c r="AH4">
        <v>8</v>
      </c>
      <c r="AI4" t="s">
        <v>627</v>
      </c>
      <c r="AJ4">
        <v>8</v>
      </c>
      <c r="AK4" t="s">
        <v>627</v>
      </c>
      <c r="AL4">
        <v>0.08</v>
      </c>
      <c r="AM4">
        <v>61</v>
      </c>
      <c r="AN4">
        <v>0.06</v>
      </c>
      <c r="AO4">
        <v>201</v>
      </c>
      <c r="AP4">
        <v>0.09</v>
      </c>
      <c r="AQ4">
        <v>203</v>
      </c>
      <c r="AR4">
        <v>0.08</v>
      </c>
      <c r="AS4">
        <v>203</v>
      </c>
      <c r="AT4">
        <v>8</v>
      </c>
      <c r="AU4">
        <v>243</v>
      </c>
      <c r="AV4">
        <v>0.08</v>
      </c>
      <c r="AW4">
        <v>243</v>
      </c>
      <c r="AX4" t="s">
        <v>632</v>
      </c>
      <c r="AY4" t="s">
        <v>626</v>
      </c>
    </row>
    <row r="5" spans="1:51" x14ac:dyDescent="0.55000000000000004">
      <c r="A5" t="s">
        <v>565</v>
      </c>
      <c r="B5" t="s">
        <v>626</v>
      </c>
      <c r="C5" t="s">
        <v>565</v>
      </c>
      <c r="D5" t="s">
        <v>626</v>
      </c>
      <c r="E5" t="s">
        <v>633</v>
      </c>
      <c r="F5">
        <v>650</v>
      </c>
      <c r="G5">
        <v>51</v>
      </c>
      <c r="H5">
        <v>5859.1</v>
      </c>
      <c r="I5">
        <v>7326.05</v>
      </c>
      <c r="J5">
        <v>30</v>
      </c>
      <c r="K5">
        <v>237</v>
      </c>
      <c r="L5">
        <v>45</v>
      </c>
      <c r="M5">
        <v>237</v>
      </c>
      <c r="N5">
        <v>650.75</v>
      </c>
      <c r="O5">
        <v>59384</v>
      </c>
      <c r="P5">
        <v>6.58</v>
      </c>
      <c r="Q5">
        <v>4</v>
      </c>
      <c r="R5">
        <v>6</v>
      </c>
      <c r="S5">
        <v>2.5</v>
      </c>
      <c r="T5">
        <v>50</v>
      </c>
      <c r="U5">
        <v>0.808917</v>
      </c>
      <c r="V5">
        <v>8.4700000000000006</v>
      </c>
      <c r="W5">
        <v>203</v>
      </c>
      <c r="X5">
        <v>0.40279999999999999</v>
      </c>
      <c r="Y5">
        <v>203</v>
      </c>
      <c r="Z5">
        <v>0.5</v>
      </c>
      <c r="AA5">
        <v>201</v>
      </c>
      <c r="AB5">
        <v>0.4</v>
      </c>
      <c r="AC5">
        <v>47</v>
      </c>
      <c r="AD5">
        <v>0.6</v>
      </c>
      <c r="AE5">
        <v>47</v>
      </c>
      <c r="AF5">
        <v>960</v>
      </c>
      <c r="AG5">
        <v>46</v>
      </c>
      <c r="AH5">
        <v>8</v>
      </c>
      <c r="AI5">
        <v>8</v>
      </c>
      <c r="AJ5">
        <v>8</v>
      </c>
      <c r="AK5">
        <v>8</v>
      </c>
      <c r="AL5">
        <v>0.06</v>
      </c>
      <c r="AM5">
        <v>61</v>
      </c>
      <c r="AN5">
        <v>0.5</v>
      </c>
      <c r="AO5">
        <v>201</v>
      </c>
      <c r="AP5">
        <v>0.06</v>
      </c>
      <c r="AQ5">
        <v>203</v>
      </c>
      <c r="AR5">
        <v>0.12</v>
      </c>
      <c r="AS5">
        <v>203</v>
      </c>
      <c r="AT5">
        <v>165</v>
      </c>
      <c r="AU5">
        <v>202</v>
      </c>
      <c r="AV5">
        <v>1.65</v>
      </c>
      <c r="AW5">
        <v>202</v>
      </c>
      <c r="AX5" t="s">
        <v>634</v>
      </c>
      <c r="AY5">
        <v>51</v>
      </c>
    </row>
    <row r="6" spans="1:51" x14ac:dyDescent="0.55000000000000004">
      <c r="A6" t="s">
        <v>574</v>
      </c>
      <c r="B6" t="s">
        <v>626</v>
      </c>
      <c r="C6" t="s">
        <v>635</v>
      </c>
      <c r="D6" t="s">
        <v>626</v>
      </c>
      <c r="E6" t="s">
        <v>636</v>
      </c>
      <c r="F6">
        <v>650</v>
      </c>
      <c r="G6">
        <v>51</v>
      </c>
      <c r="H6">
        <v>9514.7000000000007</v>
      </c>
      <c r="I6">
        <v>11803.62</v>
      </c>
      <c r="J6">
        <v>30</v>
      </c>
      <c r="K6">
        <v>237</v>
      </c>
      <c r="L6">
        <v>45</v>
      </c>
      <c r="M6">
        <v>237</v>
      </c>
      <c r="N6">
        <v>1048.49</v>
      </c>
      <c r="O6">
        <v>87126</v>
      </c>
      <c r="P6">
        <v>16.059999999999999</v>
      </c>
      <c r="Q6">
        <v>4</v>
      </c>
      <c r="R6">
        <v>6</v>
      </c>
      <c r="S6">
        <v>2.5</v>
      </c>
      <c r="T6">
        <v>50</v>
      </c>
      <c r="U6">
        <v>0.10345500000000001</v>
      </c>
      <c r="V6">
        <v>10.83</v>
      </c>
      <c r="W6">
        <v>203</v>
      </c>
      <c r="X6">
        <v>0.31509999999999999</v>
      </c>
      <c r="Y6">
        <v>203</v>
      </c>
      <c r="Z6">
        <v>0.5</v>
      </c>
      <c r="AA6">
        <v>201</v>
      </c>
      <c r="AB6">
        <v>0.4</v>
      </c>
      <c r="AC6">
        <v>47</v>
      </c>
      <c r="AD6">
        <v>0.6</v>
      </c>
      <c r="AE6">
        <v>47</v>
      </c>
      <c r="AF6">
        <v>960</v>
      </c>
      <c r="AG6">
        <v>46</v>
      </c>
      <c r="AH6">
        <v>8</v>
      </c>
      <c r="AI6">
        <v>8</v>
      </c>
      <c r="AJ6">
        <v>8</v>
      </c>
      <c r="AK6">
        <v>8</v>
      </c>
      <c r="AL6">
        <v>0.06</v>
      </c>
      <c r="AM6">
        <v>61</v>
      </c>
      <c r="AN6">
        <v>0.5</v>
      </c>
      <c r="AO6">
        <v>201</v>
      </c>
      <c r="AP6">
        <v>0.08</v>
      </c>
      <c r="AQ6">
        <v>203</v>
      </c>
      <c r="AR6">
        <v>0.12</v>
      </c>
      <c r="AS6">
        <v>203</v>
      </c>
      <c r="AT6">
        <v>165</v>
      </c>
      <c r="AU6">
        <v>202</v>
      </c>
      <c r="AV6">
        <v>1.65</v>
      </c>
      <c r="AW6">
        <v>202</v>
      </c>
      <c r="AX6" t="s">
        <v>637</v>
      </c>
      <c r="AY6">
        <v>51</v>
      </c>
    </row>
    <row r="7" spans="1:51" x14ac:dyDescent="0.55000000000000004">
      <c r="A7" t="s">
        <v>569</v>
      </c>
      <c r="B7" t="s">
        <v>626</v>
      </c>
      <c r="C7" t="s">
        <v>638</v>
      </c>
      <c r="D7" t="s">
        <v>626</v>
      </c>
      <c r="E7" t="s">
        <v>639</v>
      </c>
      <c r="F7">
        <v>21</v>
      </c>
      <c r="G7">
        <v>51</v>
      </c>
      <c r="H7">
        <v>2912</v>
      </c>
      <c r="I7">
        <v>3476.12</v>
      </c>
      <c r="J7">
        <v>30</v>
      </c>
      <c r="K7">
        <v>237</v>
      </c>
      <c r="L7">
        <v>45</v>
      </c>
      <c r="M7">
        <v>237</v>
      </c>
      <c r="N7">
        <v>308.77</v>
      </c>
      <c r="O7">
        <v>47853</v>
      </c>
      <c r="P7">
        <v>8.32</v>
      </c>
      <c r="Q7">
        <v>2</v>
      </c>
      <c r="R7">
        <v>3</v>
      </c>
      <c r="S7">
        <v>11.9</v>
      </c>
      <c r="T7">
        <v>50</v>
      </c>
      <c r="U7">
        <v>0.51546899999999996</v>
      </c>
      <c r="V7">
        <v>8.2949999999999999</v>
      </c>
      <c r="W7">
        <v>51</v>
      </c>
      <c r="X7">
        <v>0.4113</v>
      </c>
      <c r="Y7">
        <v>51</v>
      </c>
      <c r="Z7">
        <v>0.5</v>
      </c>
      <c r="AA7">
        <v>201</v>
      </c>
      <c r="AB7">
        <v>0.01</v>
      </c>
      <c r="AC7">
        <v>47</v>
      </c>
      <c r="AD7">
        <v>0.02</v>
      </c>
      <c r="AE7">
        <v>47</v>
      </c>
      <c r="AF7">
        <v>10</v>
      </c>
      <c r="AG7">
        <v>46</v>
      </c>
      <c r="AH7">
        <v>1</v>
      </c>
      <c r="AI7">
        <v>8</v>
      </c>
      <c r="AJ7">
        <v>1</v>
      </c>
      <c r="AK7">
        <v>8</v>
      </c>
      <c r="AL7">
        <v>0.2</v>
      </c>
      <c r="AM7">
        <v>61</v>
      </c>
      <c r="AN7">
        <v>0.15</v>
      </c>
      <c r="AO7">
        <v>201</v>
      </c>
      <c r="AP7">
        <v>0.09</v>
      </c>
      <c r="AQ7" t="s">
        <v>627</v>
      </c>
      <c r="AR7">
        <v>0.08</v>
      </c>
      <c r="AS7" t="s">
        <v>627</v>
      </c>
      <c r="AT7">
        <v>200</v>
      </c>
      <c r="AU7" t="s">
        <v>627</v>
      </c>
      <c r="AV7">
        <v>2</v>
      </c>
      <c r="AW7" t="s">
        <v>627</v>
      </c>
      <c r="AX7" t="s">
        <v>640</v>
      </c>
      <c r="AY7">
        <v>51</v>
      </c>
    </row>
    <row r="8" spans="1:51" x14ac:dyDescent="0.55000000000000004">
      <c r="A8" t="s">
        <v>641</v>
      </c>
      <c r="B8" t="s">
        <v>626</v>
      </c>
      <c r="C8" t="s">
        <v>638</v>
      </c>
      <c r="D8" t="s">
        <v>626</v>
      </c>
      <c r="E8" t="s">
        <v>642</v>
      </c>
      <c r="F8">
        <v>21</v>
      </c>
      <c r="G8">
        <v>51</v>
      </c>
      <c r="H8">
        <v>2912</v>
      </c>
      <c r="I8">
        <v>3476.12</v>
      </c>
      <c r="J8">
        <v>30</v>
      </c>
      <c r="K8">
        <v>237</v>
      </c>
      <c r="L8">
        <v>45</v>
      </c>
      <c r="M8">
        <v>237</v>
      </c>
      <c r="N8">
        <v>308.77</v>
      </c>
      <c r="O8">
        <v>47853</v>
      </c>
      <c r="P8">
        <v>8.32</v>
      </c>
      <c r="Q8">
        <v>2</v>
      </c>
      <c r="R8">
        <v>3</v>
      </c>
      <c r="S8">
        <v>11.9</v>
      </c>
      <c r="T8">
        <v>50</v>
      </c>
      <c r="U8">
        <v>0.51546899999999996</v>
      </c>
      <c r="V8">
        <v>8.2949999999999999</v>
      </c>
      <c r="W8">
        <v>51</v>
      </c>
      <c r="X8">
        <v>0.4113</v>
      </c>
      <c r="Y8">
        <v>51</v>
      </c>
      <c r="Z8">
        <v>0.5</v>
      </c>
      <c r="AA8">
        <v>201</v>
      </c>
      <c r="AB8">
        <v>0.12</v>
      </c>
      <c r="AC8">
        <v>47</v>
      </c>
      <c r="AD8">
        <v>0.15</v>
      </c>
      <c r="AE8">
        <v>47</v>
      </c>
      <c r="AF8">
        <v>960</v>
      </c>
      <c r="AG8">
        <v>46</v>
      </c>
      <c r="AH8">
        <v>4</v>
      </c>
      <c r="AI8">
        <v>8</v>
      </c>
      <c r="AJ8">
        <v>2</v>
      </c>
      <c r="AK8">
        <v>8</v>
      </c>
      <c r="AL8">
        <v>7.0000000000000007E-2</v>
      </c>
      <c r="AM8">
        <v>61</v>
      </c>
      <c r="AN8">
        <v>0.15</v>
      </c>
      <c r="AO8">
        <v>201</v>
      </c>
      <c r="AP8">
        <v>0.09</v>
      </c>
      <c r="AQ8" t="s">
        <v>627</v>
      </c>
      <c r="AR8">
        <v>0.08</v>
      </c>
      <c r="AS8" t="s">
        <v>627</v>
      </c>
      <c r="AT8">
        <v>200</v>
      </c>
      <c r="AU8" t="s">
        <v>627</v>
      </c>
      <c r="AV8">
        <v>2</v>
      </c>
      <c r="AW8" t="s">
        <v>627</v>
      </c>
      <c r="AX8" t="s">
        <v>640</v>
      </c>
      <c r="AY8">
        <v>51</v>
      </c>
    </row>
    <row r="9" spans="1:51" x14ac:dyDescent="0.55000000000000004">
      <c r="A9" t="s">
        <v>571</v>
      </c>
      <c r="B9" t="s">
        <v>626</v>
      </c>
      <c r="C9" t="s">
        <v>638</v>
      </c>
      <c r="D9" t="s">
        <v>626</v>
      </c>
      <c r="E9" t="s">
        <v>643</v>
      </c>
      <c r="F9">
        <v>21</v>
      </c>
      <c r="G9">
        <v>51</v>
      </c>
      <c r="H9">
        <v>2912</v>
      </c>
      <c r="I9">
        <v>3476.12</v>
      </c>
      <c r="J9">
        <v>30</v>
      </c>
      <c r="K9">
        <v>237</v>
      </c>
      <c r="L9">
        <v>45</v>
      </c>
      <c r="M9">
        <v>237</v>
      </c>
      <c r="N9">
        <v>308.77</v>
      </c>
      <c r="O9">
        <v>47853</v>
      </c>
      <c r="P9">
        <v>8.32</v>
      </c>
      <c r="Q9">
        <v>2</v>
      </c>
      <c r="R9">
        <v>3</v>
      </c>
      <c r="S9">
        <v>11.9</v>
      </c>
      <c r="T9">
        <v>50</v>
      </c>
      <c r="U9">
        <v>0.51546899999999996</v>
      </c>
      <c r="V9">
        <v>8.2949999999999999</v>
      </c>
      <c r="W9">
        <v>51</v>
      </c>
      <c r="X9">
        <v>0.4113</v>
      </c>
      <c r="Y9">
        <v>51</v>
      </c>
      <c r="Z9">
        <v>0.5</v>
      </c>
      <c r="AA9">
        <v>201</v>
      </c>
      <c r="AB9">
        <v>0.01</v>
      </c>
      <c r="AC9">
        <v>47</v>
      </c>
      <c r="AD9">
        <v>0.02</v>
      </c>
      <c r="AE9">
        <v>47</v>
      </c>
      <c r="AF9">
        <v>10</v>
      </c>
      <c r="AG9">
        <v>46</v>
      </c>
      <c r="AH9">
        <v>1</v>
      </c>
      <c r="AI9">
        <v>8</v>
      </c>
      <c r="AJ9">
        <v>1</v>
      </c>
      <c r="AK9">
        <v>8</v>
      </c>
      <c r="AL9">
        <v>0.2</v>
      </c>
      <c r="AM9">
        <v>61</v>
      </c>
      <c r="AN9">
        <v>0.15</v>
      </c>
      <c r="AO9">
        <v>201</v>
      </c>
      <c r="AP9">
        <v>0.09</v>
      </c>
      <c r="AQ9" t="s">
        <v>627</v>
      </c>
      <c r="AR9">
        <v>0.08</v>
      </c>
      <c r="AS9" t="s">
        <v>627</v>
      </c>
      <c r="AT9">
        <v>200</v>
      </c>
      <c r="AU9" t="s">
        <v>627</v>
      </c>
      <c r="AV9">
        <v>2</v>
      </c>
      <c r="AW9" t="s">
        <v>627</v>
      </c>
      <c r="AX9" t="s">
        <v>640</v>
      </c>
      <c r="AY9">
        <v>51</v>
      </c>
    </row>
    <row r="10" spans="1:51" x14ac:dyDescent="0.55000000000000004">
      <c r="A10" t="s">
        <v>644</v>
      </c>
      <c r="B10" t="s">
        <v>626</v>
      </c>
      <c r="C10" t="s">
        <v>644</v>
      </c>
      <c r="D10" t="s">
        <v>626</v>
      </c>
      <c r="E10" t="s">
        <v>645</v>
      </c>
      <c r="F10">
        <v>50</v>
      </c>
      <c r="G10">
        <v>51</v>
      </c>
      <c r="H10">
        <v>4423.8999999999996</v>
      </c>
      <c r="I10">
        <v>5559.93</v>
      </c>
      <c r="J10">
        <v>40</v>
      </c>
      <c r="K10">
        <v>20</v>
      </c>
      <c r="L10">
        <v>40</v>
      </c>
      <c r="M10">
        <v>20</v>
      </c>
      <c r="N10">
        <v>466.26</v>
      </c>
      <c r="O10">
        <v>200174</v>
      </c>
      <c r="P10">
        <v>1.7</v>
      </c>
      <c r="Q10">
        <v>4</v>
      </c>
      <c r="R10">
        <v>6</v>
      </c>
      <c r="S10">
        <v>0</v>
      </c>
      <c r="T10" t="s">
        <v>626</v>
      </c>
      <c r="U10">
        <v>0</v>
      </c>
      <c r="V10">
        <v>8.9459999999999997</v>
      </c>
      <c r="W10">
        <v>51</v>
      </c>
      <c r="X10">
        <v>0.38140000000000002</v>
      </c>
      <c r="Y10">
        <v>51</v>
      </c>
      <c r="Z10">
        <v>0.9</v>
      </c>
      <c r="AA10">
        <v>201</v>
      </c>
      <c r="AB10">
        <v>0.68</v>
      </c>
      <c r="AC10">
        <v>48</v>
      </c>
      <c r="AD10">
        <v>0.76</v>
      </c>
      <c r="AE10">
        <v>48</v>
      </c>
      <c r="AF10">
        <v>960</v>
      </c>
      <c r="AG10">
        <v>46</v>
      </c>
      <c r="AH10">
        <v>8</v>
      </c>
      <c r="AI10" t="s">
        <v>627</v>
      </c>
      <c r="AJ10">
        <v>8</v>
      </c>
      <c r="AK10" t="s">
        <v>627</v>
      </c>
      <c r="AL10">
        <v>0.05</v>
      </c>
      <c r="AM10">
        <v>61</v>
      </c>
      <c r="AN10">
        <v>0.15</v>
      </c>
      <c r="AO10">
        <v>201</v>
      </c>
      <c r="AP10">
        <v>0.05</v>
      </c>
      <c r="AQ10" t="s">
        <v>627</v>
      </c>
      <c r="AR10">
        <v>0.1</v>
      </c>
      <c r="AS10" t="s">
        <v>627</v>
      </c>
      <c r="AT10">
        <v>0</v>
      </c>
      <c r="AU10" t="s">
        <v>627</v>
      </c>
      <c r="AV10">
        <v>0</v>
      </c>
      <c r="AW10" t="s">
        <v>627</v>
      </c>
      <c r="AX10" t="s">
        <v>629</v>
      </c>
      <c r="AY10" t="s">
        <v>626</v>
      </c>
    </row>
    <row r="11" spans="1:51" x14ac:dyDescent="0.55000000000000004">
      <c r="A11" t="s">
        <v>646</v>
      </c>
      <c r="B11" t="s">
        <v>626</v>
      </c>
      <c r="C11" t="s">
        <v>646</v>
      </c>
      <c r="D11" t="s">
        <v>626</v>
      </c>
      <c r="E11" t="s">
        <v>647</v>
      </c>
      <c r="F11">
        <v>105</v>
      </c>
      <c r="G11">
        <v>9</v>
      </c>
      <c r="H11">
        <v>1856.4</v>
      </c>
      <c r="I11">
        <v>2239.19</v>
      </c>
      <c r="J11">
        <v>35</v>
      </c>
      <c r="K11">
        <v>205</v>
      </c>
      <c r="L11">
        <v>45</v>
      </c>
      <c r="M11" t="s">
        <v>626</v>
      </c>
      <c r="N11">
        <v>192.13</v>
      </c>
      <c r="O11">
        <v>60263</v>
      </c>
      <c r="P11">
        <v>4.87</v>
      </c>
      <c r="Q11">
        <v>2</v>
      </c>
      <c r="R11">
        <v>3</v>
      </c>
      <c r="S11">
        <v>17.100000000000001</v>
      </c>
      <c r="T11">
        <v>9</v>
      </c>
      <c r="U11">
        <v>2.9899999999999999E-2</v>
      </c>
      <c r="V11">
        <v>9.9</v>
      </c>
      <c r="W11">
        <v>9</v>
      </c>
      <c r="X11">
        <v>0.34460000000000002</v>
      </c>
      <c r="Y11">
        <v>9</v>
      </c>
      <c r="Z11">
        <v>0</v>
      </c>
      <c r="AA11">
        <v>201</v>
      </c>
      <c r="AB11">
        <v>0.08</v>
      </c>
      <c r="AC11">
        <v>47</v>
      </c>
      <c r="AD11">
        <v>0.15</v>
      </c>
      <c r="AE11">
        <v>47</v>
      </c>
      <c r="AF11">
        <v>10</v>
      </c>
      <c r="AG11">
        <v>46</v>
      </c>
      <c r="AH11">
        <v>1</v>
      </c>
      <c r="AI11" t="s">
        <v>627</v>
      </c>
      <c r="AJ11">
        <v>1</v>
      </c>
      <c r="AK11" t="s">
        <v>627</v>
      </c>
      <c r="AL11">
        <v>0.2</v>
      </c>
      <c r="AM11">
        <v>61</v>
      </c>
      <c r="AN11">
        <v>0.83</v>
      </c>
      <c r="AO11">
        <v>201</v>
      </c>
      <c r="AP11">
        <v>0.05</v>
      </c>
      <c r="AQ11">
        <v>203</v>
      </c>
      <c r="AR11">
        <v>7.0000000000000007E-2</v>
      </c>
      <c r="AS11">
        <v>203</v>
      </c>
      <c r="AT11">
        <v>90</v>
      </c>
      <c r="AU11">
        <v>202</v>
      </c>
      <c r="AV11">
        <v>0.9</v>
      </c>
      <c r="AW11">
        <v>202</v>
      </c>
      <c r="AX11" t="s">
        <v>648</v>
      </c>
      <c r="AY11" t="s">
        <v>626</v>
      </c>
    </row>
    <row r="12" spans="1:51" x14ac:dyDescent="0.55000000000000004">
      <c r="A12" t="s">
        <v>649</v>
      </c>
      <c r="B12" t="s">
        <v>626</v>
      </c>
      <c r="C12" t="s">
        <v>649</v>
      </c>
      <c r="D12" t="s">
        <v>626</v>
      </c>
      <c r="E12" t="s">
        <v>647</v>
      </c>
      <c r="F12">
        <v>105</v>
      </c>
      <c r="G12">
        <v>9</v>
      </c>
      <c r="H12">
        <v>1856.4</v>
      </c>
      <c r="I12">
        <v>2239.19</v>
      </c>
      <c r="J12">
        <v>35</v>
      </c>
      <c r="K12">
        <v>205</v>
      </c>
      <c r="L12">
        <v>45</v>
      </c>
      <c r="M12" t="s">
        <v>626</v>
      </c>
      <c r="N12">
        <v>192.13</v>
      </c>
      <c r="O12">
        <v>60263</v>
      </c>
      <c r="P12">
        <v>4.87</v>
      </c>
      <c r="Q12">
        <v>2</v>
      </c>
      <c r="R12">
        <v>3</v>
      </c>
      <c r="S12">
        <v>61.83</v>
      </c>
      <c r="T12">
        <v>9</v>
      </c>
      <c r="U12">
        <v>0</v>
      </c>
      <c r="V12">
        <v>9.9</v>
      </c>
      <c r="W12">
        <v>9</v>
      </c>
      <c r="X12">
        <v>0.34460000000000002</v>
      </c>
      <c r="Y12">
        <v>9</v>
      </c>
      <c r="Z12">
        <v>0</v>
      </c>
      <c r="AA12">
        <v>201</v>
      </c>
      <c r="AB12">
        <v>0.08</v>
      </c>
      <c r="AC12">
        <v>47</v>
      </c>
      <c r="AD12">
        <v>0.15</v>
      </c>
      <c r="AE12">
        <v>47</v>
      </c>
      <c r="AF12">
        <v>10</v>
      </c>
      <c r="AG12">
        <v>46</v>
      </c>
      <c r="AH12">
        <v>1</v>
      </c>
      <c r="AI12" t="s">
        <v>627</v>
      </c>
      <c r="AJ12">
        <v>1</v>
      </c>
      <c r="AK12" t="s">
        <v>627</v>
      </c>
      <c r="AL12">
        <v>0.2</v>
      </c>
      <c r="AM12">
        <v>61</v>
      </c>
      <c r="AN12">
        <v>0.83</v>
      </c>
      <c r="AO12">
        <v>201</v>
      </c>
      <c r="AP12">
        <v>0.05</v>
      </c>
      <c r="AQ12">
        <v>203</v>
      </c>
      <c r="AR12">
        <v>7.0000000000000007E-2</v>
      </c>
      <c r="AS12">
        <v>203</v>
      </c>
      <c r="AT12">
        <v>90</v>
      </c>
      <c r="AU12">
        <v>202</v>
      </c>
      <c r="AV12">
        <v>0.9</v>
      </c>
      <c r="AW12">
        <v>202</v>
      </c>
      <c r="AX12" t="s">
        <v>648</v>
      </c>
      <c r="AY12" t="s">
        <v>626</v>
      </c>
    </row>
    <row r="13" spans="1:51" x14ac:dyDescent="0.55000000000000004">
      <c r="A13" t="s">
        <v>561</v>
      </c>
      <c r="B13" t="s">
        <v>626</v>
      </c>
      <c r="C13" t="s">
        <v>561</v>
      </c>
      <c r="D13" t="s">
        <v>626</v>
      </c>
      <c r="E13" t="s">
        <v>650</v>
      </c>
      <c r="F13">
        <v>100</v>
      </c>
      <c r="G13">
        <v>51</v>
      </c>
      <c r="H13">
        <v>4447.3</v>
      </c>
      <c r="I13">
        <v>5588.78</v>
      </c>
      <c r="J13">
        <v>40</v>
      </c>
      <c r="K13">
        <v>20</v>
      </c>
      <c r="L13">
        <v>80</v>
      </c>
      <c r="M13" t="s">
        <v>627</v>
      </c>
      <c r="N13">
        <v>468.68</v>
      </c>
      <c r="O13">
        <v>115196</v>
      </c>
      <c r="P13">
        <v>5</v>
      </c>
      <c r="Q13">
        <v>4</v>
      </c>
      <c r="R13">
        <v>6</v>
      </c>
      <c r="S13">
        <v>0</v>
      </c>
      <c r="T13" t="s">
        <v>626</v>
      </c>
      <c r="U13">
        <v>0</v>
      </c>
      <c r="W13" t="s">
        <v>626</v>
      </c>
      <c r="Y13" t="s">
        <v>626</v>
      </c>
      <c r="AA13" t="s">
        <v>626</v>
      </c>
      <c r="AC13" t="s">
        <v>626</v>
      </c>
      <c r="AE13" t="s">
        <v>626</v>
      </c>
      <c r="AF13">
        <v>10</v>
      </c>
      <c r="AG13">
        <v>46</v>
      </c>
      <c r="AH13">
        <v>1</v>
      </c>
      <c r="AI13" t="s">
        <v>627</v>
      </c>
      <c r="AJ13">
        <v>1</v>
      </c>
      <c r="AK13" t="s">
        <v>627</v>
      </c>
      <c r="AL13">
        <v>0.15</v>
      </c>
      <c r="AM13">
        <v>61</v>
      </c>
      <c r="AN13">
        <v>0.1</v>
      </c>
      <c r="AO13">
        <v>41</v>
      </c>
      <c r="AP13">
        <v>0.05</v>
      </c>
      <c r="AQ13">
        <v>41</v>
      </c>
      <c r="AR13">
        <v>0.1</v>
      </c>
      <c r="AS13">
        <v>41</v>
      </c>
      <c r="AT13">
        <v>0</v>
      </c>
      <c r="AU13" t="s">
        <v>627</v>
      </c>
      <c r="AV13">
        <v>0</v>
      </c>
      <c r="AW13" t="s">
        <v>627</v>
      </c>
      <c r="AX13" t="s">
        <v>651</v>
      </c>
      <c r="AY13">
        <v>51</v>
      </c>
    </row>
    <row r="14" spans="1:51" x14ac:dyDescent="0.55000000000000004">
      <c r="A14" t="s">
        <v>567</v>
      </c>
      <c r="B14" t="s">
        <v>626</v>
      </c>
      <c r="C14" t="s">
        <v>567</v>
      </c>
      <c r="D14" t="s">
        <v>626</v>
      </c>
      <c r="E14" t="s">
        <v>652</v>
      </c>
      <c r="F14">
        <v>700</v>
      </c>
      <c r="G14" t="s">
        <v>626</v>
      </c>
      <c r="H14">
        <v>9750</v>
      </c>
      <c r="I14">
        <v>13677.91</v>
      </c>
      <c r="J14">
        <v>70</v>
      </c>
      <c r="K14">
        <v>20</v>
      </c>
      <c r="L14">
        <v>100</v>
      </c>
      <c r="M14" t="s">
        <v>627</v>
      </c>
      <c r="N14">
        <v>1099.26</v>
      </c>
      <c r="O14">
        <v>18305</v>
      </c>
      <c r="P14">
        <v>2</v>
      </c>
      <c r="Q14">
        <v>8</v>
      </c>
      <c r="R14">
        <v>12</v>
      </c>
      <c r="S14">
        <v>0</v>
      </c>
      <c r="T14" t="s">
        <v>626</v>
      </c>
      <c r="U14">
        <v>0</v>
      </c>
      <c r="W14" t="s">
        <v>626</v>
      </c>
      <c r="Y14" t="s">
        <v>626</v>
      </c>
      <c r="AA14" t="s">
        <v>626</v>
      </c>
      <c r="AC14" t="s">
        <v>626</v>
      </c>
      <c r="AE14" t="s">
        <v>626</v>
      </c>
      <c r="AF14">
        <v>10</v>
      </c>
      <c r="AG14">
        <v>46</v>
      </c>
      <c r="AH14">
        <v>1</v>
      </c>
      <c r="AI14" t="s">
        <v>627</v>
      </c>
      <c r="AJ14">
        <v>1</v>
      </c>
      <c r="AK14" t="s">
        <v>627</v>
      </c>
      <c r="AL14">
        <v>0.15</v>
      </c>
      <c r="AM14">
        <v>61</v>
      </c>
      <c r="AN14">
        <v>0.2</v>
      </c>
      <c r="AO14">
        <v>41</v>
      </c>
      <c r="AP14">
        <v>0.05</v>
      </c>
      <c r="AQ14">
        <v>41</v>
      </c>
      <c r="AR14">
        <v>0.1</v>
      </c>
      <c r="AS14">
        <v>41</v>
      </c>
      <c r="AT14">
        <v>0</v>
      </c>
      <c r="AU14" t="s">
        <v>627</v>
      </c>
      <c r="AV14">
        <v>0</v>
      </c>
      <c r="AW14" t="s">
        <v>627</v>
      </c>
      <c r="AX14" t="s">
        <v>653</v>
      </c>
      <c r="AY14" t="s">
        <v>626</v>
      </c>
    </row>
    <row r="15" spans="1:51" x14ac:dyDescent="0.55000000000000004">
      <c r="A15" t="s">
        <v>563</v>
      </c>
      <c r="B15" t="s">
        <v>626</v>
      </c>
      <c r="C15" t="s">
        <v>563</v>
      </c>
      <c r="D15" t="s">
        <v>626</v>
      </c>
      <c r="E15" t="s">
        <v>654</v>
      </c>
      <c r="F15">
        <v>65</v>
      </c>
      <c r="G15">
        <v>20</v>
      </c>
      <c r="H15">
        <v>3692</v>
      </c>
      <c r="I15">
        <v>4656.5200000000004</v>
      </c>
      <c r="J15">
        <v>40</v>
      </c>
      <c r="K15">
        <v>20</v>
      </c>
      <c r="L15">
        <v>80</v>
      </c>
      <c r="M15" t="s">
        <v>627</v>
      </c>
      <c r="N15">
        <v>390.5</v>
      </c>
      <c r="O15">
        <v>66563</v>
      </c>
      <c r="P15">
        <v>1</v>
      </c>
      <c r="Q15">
        <v>4</v>
      </c>
      <c r="R15">
        <v>6</v>
      </c>
      <c r="S15">
        <v>0</v>
      </c>
      <c r="T15" t="s">
        <v>626</v>
      </c>
      <c r="U15">
        <v>0</v>
      </c>
      <c r="W15" t="s">
        <v>626</v>
      </c>
      <c r="Y15" t="s">
        <v>626</v>
      </c>
      <c r="AA15" t="s">
        <v>626</v>
      </c>
      <c r="AC15" t="s">
        <v>626</v>
      </c>
      <c r="AE15" t="s">
        <v>626</v>
      </c>
      <c r="AF15">
        <v>10</v>
      </c>
      <c r="AG15">
        <v>46</v>
      </c>
      <c r="AH15">
        <v>1</v>
      </c>
      <c r="AI15" t="s">
        <v>627</v>
      </c>
      <c r="AJ15">
        <v>1</v>
      </c>
      <c r="AK15" t="s">
        <v>627</v>
      </c>
      <c r="AM15" t="s">
        <v>626</v>
      </c>
      <c r="AN15">
        <v>0</v>
      </c>
      <c r="AO15">
        <v>41</v>
      </c>
      <c r="AP15">
        <v>0.05</v>
      </c>
      <c r="AQ15">
        <v>41</v>
      </c>
      <c r="AR15">
        <v>0.1</v>
      </c>
      <c r="AS15">
        <v>41</v>
      </c>
      <c r="AT15">
        <v>0</v>
      </c>
      <c r="AU15" t="s">
        <v>627</v>
      </c>
      <c r="AV15">
        <v>0</v>
      </c>
      <c r="AW15" t="s">
        <v>627</v>
      </c>
      <c r="AX15" t="s">
        <v>655</v>
      </c>
      <c r="AY15" t="s">
        <v>626</v>
      </c>
    </row>
    <row r="16" spans="1:51" x14ac:dyDescent="0.55000000000000004">
      <c r="A16" t="s">
        <v>573</v>
      </c>
      <c r="B16" t="s">
        <v>626</v>
      </c>
      <c r="C16" t="s">
        <v>557</v>
      </c>
      <c r="D16" t="s">
        <v>626</v>
      </c>
      <c r="E16" t="s">
        <v>656</v>
      </c>
      <c r="F16">
        <v>50</v>
      </c>
      <c r="G16">
        <v>51</v>
      </c>
      <c r="H16">
        <v>7059</v>
      </c>
      <c r="I16">
        <v>8798.5</v>
      </c>
      <c r="J16">
        <v>30</v>
      </c>
      <c r="K16">
        <v>237</v>
      </c>
      <c r="L16">
        <v>45</v>
      </c>
      <c r="M16">
        <v>237</v>
      </c>
      <c r="N16">
        <v>781.55</v>
      </c>
      <c r="O16">
        <v>183950</v>
      </c>
      <c r="P16">
        <v>7.07</v>
      </c>
      <c r="Q16">
        <v>4</v>
      </c>
      <c r="R16">
        <v>6</v>
      </c>
      <c r="S16">
        <v>3.03</v>
      </c>
      <c r="T16">
        <v>45</v>
      </c>
      <c r="U16">
        <v>0</v>
      </c>
      <c r="V16">
        <v>13.5</v>
      </c>
      <c r="W16">
        <v>203</v>
      </c>
      <c r="X16">
        <v>0.25269999999999998</v>
      </c>
      <c r="Y16">
        <v>203</v>
      </c>
      <c r="Z16">
        <v>0.4</v>
      </c>
      <c r="AA16">
        <v>201</v>
      </c>
      <c r="AB16">
        <v>0.6</v>
      </c>
      <c r="AC16">
        <v>48</v>
      </c>
      <c r="AD16">
        <v>0.65</v>
      </c>
      <c r="AE16">
        <v>48</v>
      </c>
      <c r="AF16">
        <v>720</v>
      </c>
      <c r="AG16">
        <v>46</v>
      </c>
      <c r="AH16">
        <v>8</v>
      </c>
      <c r="AI16" t="s">
        <v>627</v>
      </c>
      <c r="AJ16">
        <v>8</v>
      </c>
      <c r="AK16" t="s">
        <v>627</v>
      </c>
      <c r="AL16">
        <v>0.08</v>
      </c>
      <c r="AM16">
        <v>61</v>
      </c>
      <c r="AN16">
        <v>0.06</v>
      </c>
      <c r="AO16">
        <v>201</v>
      </c>
      <c r="AP16">
        <v>0.09</v>
      </c>
      <c r="AQ16">
        <v>203</v>
      </c>
      <c r="AR16">
        <v>0.08</v>
      </c>
      <c r="AS16">
        <v>203</v>
      </c>
      <c r="AT16">
        <v>8</v>
      </c>
      <c r="AU16">
        <v>243</v>
      </c>
      <c r="AV16">
        <v>0.08</v>
      </c>
      <c r="AW16">
        <v>243</v>
      </c>
      <c r="AX16" t="s">
        <v>632</v>
      </c>
      <c r="AY16" t="s">
        <v>626</v>
      </c>
    </row>
    <row r="17" spans="1:51" x14ac:dyDescent="0.55000000000000004">
      <c r="A17" t="s">
        <v>564</v>
      </c>
      <c r="B17" t="s">
        <v>626</v>
      </c>
      <c r="C17" t="s">
        <v>564</v>
      </c>
      <c r="D17" t="s">
        <v>626</v>
      </c>
      <c r="E17" t="s">
        <v>657</v>
      </c>
      <c r="F17">
        <v>1083</v>
      </c>
      <c r="G17">
        <v>51</v>
      </c>
      <c r="H17">
        <v>1528.8</v>
      </c>
      <c r="I17">
        <v>1909.29</v>
      </c>
      <c r="J17">
        <v>30</v>
      </c>
      <c r="K17">
        <v>237</v>
      </c>
      <c r="L17">
        <v>45</v>
      </c>
      <c r="M17">
        <v>237</v>
      </c>
      <c r="N17">
        <v>169.6</v>
      </c>
      <c r="O17">
        <v>17849</v>
      </c>
      <c r="P17">
        <v>2.73</v>
      </c>
      <c r="Q17">
        <v>3</v>
      </c>
      <c r="R17">
        <v>5</v>
      </c>
      <c r="S17">
        <v>3.11</v>
      </c>
      <c r="T17">
        <v>50</v>
      </c>
      <c r="U17">
        <v>0.33752700000000002</v>
      </c>
      <c r="V17">
        <v>6.36</v>
      </c>
      <c r="W17">
        <v>203</v>
      </c>
      <c r="X17">
        <v>0.53649999999999998</v>
      </c>
      <c r="Y17">
        <v>203</v>
      </c>
      <c r="Z17">
        <v>0</v>
      </c>
      <c r="AA17">
        <v>201</v>
      </c>
      <c r="AB17">
        <v>0.45</v>
      </c>
      <c r="AC17">
        <v>47</v>
      </c>
      <c r="AD17">
        <v>0.57999999999999996</v>
      </c>
      <c r="AE17">
        <v>47</v>
      </c>
      <c r="AF17">
        <v>720</v>
      </c>
      <c r="AG17">
        <v>46</v>
      </c>
      <c r="AH17">
        <v>4</v>
      </c>
      <c r="AI17">
        <v>104</v>
      </c>
      <c r="AJ17">
        <v>2</v>
      </c>
      <c r="AK17">
        <v>104</v>
      </c>
      <c r="AL17">
        <v>0.08</v>
      </c>
      <c r="AM17">
        <v>61</v>
      </c>
      <c r="AN17">
        <v>0.5</v>
      </c>
      <c r="AO17">
        <v>201</v>
      </c>
      <c r="AP17">
        <v>0.05</v>
      </c>
      <c r="AQ17">
        <v>203</v>
      </c>
      <c r="AR17">
        <v>0.1</v>
      </c>
      <c r="AS17">
        <v>203</v>
      </c>
      <c r="AT17">
        <v>103</v>
      </c>
      <c r="AU17">
        <v>202</v>
      </c>
      <c r="AV17">
        <v>1.03</v>
      </c>
      <c r="AW17">
        <v>202</v>
      </c>
      <c r="AX17" t="s">
        <v>658</v>
      </c>
      <c r="AY17">
        <v>51</v>
      </c>
    </row>
    <row r="18" spans="1:51" x14ac:dyDescent="0.55000000000000004">
      <c r="A18" t="s">
        <v>659</v>
      </c>
      <c r="B18" t="s">
        <v>626</v>
      </c>
      <c r="C18" t="s">
        <v>659</v>
      </c>
      <c r="D18" t="s">
        <v>626</v>
      </c>
      <c r="E18" t="s">
        <v>660</v>
      </c>
      <c r="F18">
        <v>377</v>
      </c>
      <c r="G18">
        <v>51</v>
      </c>
      <c r="H18">
        <v>4082</v>
      </c>
      <c r="I18">
        <v>4985.71</v>
      </c>
      <c r="J18">
        <v>30</v>
      </c>
      <c r="K18">
        <v>237</v>
      </c>
      <c r="L18">
        <v>45</v>
      </c>
      <c r="M18">
        <v>237</v>
      </c>
      <c r="N18">
        <v>442.87</v>
      </c>
      <c r="O18">
        <v>40378</v>
      </c>
      <c r="P18">
        <v>8.5399999999999991</v>
      </c>
      <c r="Q18">
        <v>3</v>
      </c>
      <c r="R18">
        <v>5</v>
      </c>
      <c r="S18">
        <v>3.11</v>
      </c>
      <c r="T18">
        <v>50</v>
      </c>
      <c r="U18">
        <v>3.7997999999999997E-2</v>
      </c>
      <c r="V18">
        <v>7.16</v>
      </c>
      <c r="W18">
        <v>203</v>
      </c>
      <c r="X18">
        <v>0.47649999999999998</v>
      </c>
      <c r="Y18">
        <v>203</v>
      </c>
      <c r="Z18">
        <v>0</v>
      </c>
      <c r="AA18">
        <v>201</v>
      </c>
      <c r="AB18">
        <v>0.45</v>
      </c>
      <c r="AC18">
        <v>47</v>
      </c>
      <c r="AD18">
        <v>0.57999999999999996</v>
      </c>
      <c r="AE18">
        <v>47</v>
      </c>
      <c r="AF18">
        <v>720</v>
      </c>
      <c r="AG18">
        <v>46</v>
      </c>
      <c r="AH18">
        <v>4</v>
      </c>
      <c r="AI18">
        <v>104</v>
      </c>
      <c r="AJ18">
        <v>2</v>
      </c>
      <c r="AK18">
        <v>104</v>
      </c>
      <c r="AL18">
        <v>0.08</v>
      </c>
      <c r="AM18">
        <v>61</v>
      </c>
      <c r="AN18">
        <v>0.5</v>
      </c>
      <c r="AO18">
        <v>201</v>
      </c>
      <c r="AP18">
        <v>0.05</v>
      </c>
      <c r="AQ18">
        <v>203</v>
      </c>
      <c r="AR18">
        <v>0.1</v>
      </c>
      <c r="AS18">
        <v>203</v>
      </c>
      <c r="AT18">
        <v>103</v>
      </c>
      <c r="AU18">
        <v>202</v>
      </c>
      <c r="AV18">
        <v>1.03</v>
      </c>
      <c r="AW18">
        <v>202</v>
      </c>
      <c r="AX18" t="s">
        <v>661</v>
      </c>
      <c r="AY18">
        <v>51</v>
      </c>
    </row>
    <row r="19" spans="1:51" x14ac:dyDescent="0.55000000000000004">
      <c r="A19" t="s">
        <v>560</v>
      </c>
      <c r="B19" t="s">
        <v>626</v>
      </c>
      <c r="C19" t="s">
        <v>560</v>
      </c>
      <c r="D19" t="s">
        <v>626</v>
      </c>
      <c r="E19" t="s">
        <v>662</v>
      </c>
      <c r="F19">
        <v>1083</v>
      </c>
      <c r="G19">
        <v>51</v>
      </c>
      <c r="H19">
        <v>1528.8</v>
      </c>
      <c r="I19">
        <v>1909.29</v>
      </c>
      <c r="J19">
        <v>30</v>
      </c>
      <c r="K19">
        <v>237</v>
      </c>
      <c r="L19">
        <v>45</v>
      </c>
      <c r="M19">
        <v>237</v>
      </c>
      <c r="N19">
        <v>169.6</v>
      </c>
      <c r="O19">
        <v>17849</v>
      </c>
      <c r="P19">
        <v>2.73</v>
      </c>
      <c r="Q19">
        <v>3</v>
      </c>
      <c r="R19">
        <v>5</v>
      </c>
      <c r="S19">
        <v>3.11</v>
      </c>
      <c r="T19">
        <v>50</v>
      </c>
      <c r="U19">
        <v>0.33750000000000002</v>
      </c>
      <c r="V19">
        <v>7.16</v>
      </c>
      <c r="W19">
        <v>203</v>
      </c>
      <c r="X19">
        <v>0.47649999999999998</v>
      </c>
      <c r="Y19">
        <v>203</v>
      </c>
      <c r="Z19">
        <v>0</v>
      </c>
      <c r="AA19">
        <v>201</v>
      </c>
      <c r="AB19">
        <v>0.45</v>
      </c>
      <c r="AC19">
        <v>47</v>
      </c>
      <c r="AD19">
        <v>0.57999999999999996</v>
      </c>
      <c r="AE19">
        <v>47</v>
      </c>
      <c r="AF19">
        <v>720</v>
      </c>
      <c r="AG19">
        <v>46</v>
      </c>
      <c r="AH19">
        <v>4</v>
      </c>
      <c r="AI19">
        <v>104</v>
      </c>
      <c r="AJ19">
        <v>2</v>
      </c>
      <c r="AK19">
        <v>104</v>
      </c>
      <c r="AL19">
        <v>0.08</v>
      </c>
      <c r="AM19">
        <v>61</v>
      </c>
      <c r="AN19">
        <v>0.5</v>
      </c>
      <c r="AO19">
        <v>201</v>
      </c>
      <c r="AP19">
        <v>0.05</v>
      </c>
      <c r="AQ19">
        <v>203</v>
      </c>
      <c r="AR19">
        <v>0.1</v>
      </c>
      <c r="AS19">
        <v>203</v>
      </c>
      <c r="AT19">
        <v>103</v>
      </c>
      <c r="AU19">
        <v>202</v>
      </c>
      <c r="AV19">
        <v>1.03</v>
      </c>
      <c r="AW19">
        <v>202</v>
      </c>
      <c r="AX19" t="s">
        <v>663</v>
      </c>
      <c r="AY19" t="s">
        <v>626</v>
      </c>
    </row>
    <row r="20" spans="1:51" x14ac:dyDescent="0.55000000000000004">
      <c r="A20" t="s">
        <v>559</v>
      </c>
      <c r="B20" t="s">
        <v>626</v>
      </c>
      <c r="C20" t="s">
        <v>559</v>
      </c>
      <c r="D20" t="s">
        <v>626</v>
      </c>
      <c r="E20" t="s">
        <v>664</v>
      </c>
      <c r="F20">
        <v>105</v>
      </c>
      <c r="G20">
        <v>51</v>
      </c>
      <c r="H20">
        <v>1856.4</v>
      </c>
      <c r="I20">
        <v>2239.19</v>
      </c>
      <c r="J20">
        <v>30</v>
      </c>
      <c r="K20">
        <v>237</v>
      </c>
      <c r="L20">
        <v>45</v>
      </c>
      <c r="M20">
        <v>237</v>
      </c>
      <c r="N20">
        <v>198.9</v>
      </c>
      <c r="O20">
        <v>23855</v>
      </c>
      <c r="P20">
        <v>6.88</v>
      </c>
      <c r="Q20">
        <v>2</v>
      </c>
      <c r="R20">
        <v>3</v>
      </c>
      <c r="S20">
        <v>3.11</v>
      </c>
      <c r="T20">
        <v>50</v>
      </c>
      <c r="U20">
        <v>0.51584300000000005</v>
      </c>
      <c r="V20">
        <v>9.7200000000000006</v>
      </c>
      <c r="W20">
        <v>203</v>
      </c>
      <c r="X20">
        <v>0.35099999999999998</v>
      </c>
      <c r="Y20">
        <v>203</v>
      </c>
      <c r="Z20">
        <v>0</v>
      </c>
      <c r="AA20">
        <v>201</v>
      </c>
      <c r="AB20">
        <v>0.08</v>
      </c>
      <c r="AC20">
        <v>47</v>
      </c>
      <c r="AD20">
        <v>0.15</v>
      </c>
      <c r="AE20">
        <v>47</v>
      </c>
      <c r="AF20">
        <v>10</v>
      </c>
      <c r="AG20">
        <v>46</v>
      </c>
      <c r="AH20">
        <v>1</v>
      </c>
      <c r="AI20">
        <v>104</v>
      </c>
      <c r="AJ20">
        <v>1</v>
      </c>
      <c r="AK20">
        <v>104</v>
      </c>
      <c r="AL20">
        <v>0.2</v>
      </c>
      <c r="AM20">
        <v>61</v>
      </c>
      <c r="AN20">
        <v>0.83</v>
      </c>
      <c r="AO20">
        <v>201</v>
      </c>
      <c r="AP20">
        <v>0.05</v>
      </c>
      <c r="AQ20">
        <v>203</v>
      </c>
      <c r="AR20">
        <v>7.0000000000000007E-2</v>
      </c>
      <c r="AS20">
        <v>203</v>
      </c>
      <c r="AT20">
        <v>90</v>
      </c>
      <c r="AU20">
        <v>202</v>
      </c>
      <c r="AV20">
        <v>0.9</v>
      </c>
      <c r="AW20">
        <v>202</v>
      </c>
      <c r="AX20" t="s">
        <v>665</v>
      </c>
      <c r="AY20">
        <v>51</v>
      </c>
    </row>
    <row r="21" spans="1:51" x14ac:dyDescent="0.55000000000000004">
      <c r="A21" t="s">
        <v>570</v>
      </c>
      <c r="B21" t="s">
        <v>626</v>
      </c>
      <c r="C21" t="s">
        <v>570</v>
      </c>
      <c r="D21" t="s">
        <v>626</v>
      </c>
      <c r="E21" t="s">
        <v>666</v>
      </c>
      <c r="F21">
        <v>2156</v>
      </c>
      <c r="G21">
        <v>51</v>
      </c>
      <c r="H21">
        <v>10110.1</v>
      </c>
      <c r="I21">
        <v>13320.33</v>
      </c>
      <c r="J21">
        <v>30</v>
      </c>
      <c r="K21">
        <v>237</v>
      </c>
      <c r="L21">
        <v>60</v>
      </c>
      <c r="M21">
        <v>237</v>
      </c>
      <c r="N21">
        <v>1183.21</v>
      </c>
      <c r="O21">
        <v>177983</v>
      </c>
      <c r="P21">
        <v>3.47</v>
      </c>
      <c r="Q21">
        <v>6</v>
      </c>
      <c r="R21">
        <v>10</v>
      </c>
      <c r="S21">
        <v>0.86</v>
      </c>
      <c r="T21">
        <v>49</v>
      </c>
      <c r="U21">
        <v>0</v>
      </c>
      <c r="V21">
        <v>10.44</v>
      </c>
      <c r="W21">
        <v>203</v>
      </c>
      <c r="X21">
        <v>0.32679999999999998</v>
      </c>
      <c r="Y21">
        <v>203</v>
      </c>
      <c r="Z21">
        <v>1</v>
      </c>
      <c r="AA21">
        <v>201</v>
      </c>
      <c r="AB21">
        <v>0.86</v>
      </c>
      <c r="AC21">
        <v>48</v>
      </c>
      <c r="AD21">
        <v>0.94</v>
      </c>
      <c r="AE21">
        <v>48</v>
      </c>
      <c r="AF21">
        <v>960</v>
      </c>
      <c r="AG21">
        <v>46</v>
      </c>
      <c r="AH21">
        <v>24</v>
      </c>
      <c r="AI21" t="s">
        <v>627</v>
      </c>
      <c r="AJ21">
        <v>24</v>
      </c>
      <c r="AK21" t="s">
        <v>627</v>
      </c>
      <c r="AL21">
        <v>0.02</v>
      </c>
      <c r="AM21">
        <v>61</v>
      </c>
      <c r="AN21">
        <v>0.1</v>
      </c>
      <c r="AO21">
        <v>201</v>
      </c>
      <c r="AP21">
        <v>0.03</v>
      </c>
      <c r="AQ21">
        <v>203</v>
      </c>
      <c r="AR21">
        <v>0.06</v>
      </c>
      <c r="AS21">
        <v>203</v>
      </c>
      <c r="AT21">
        <v>0</v>
      </c>
      <c r="AU21">
        <v>202</v>
      </c>
      <c r="AV21">
        <v>0</v>
      </c>
      <c r="AW21">
        <v>202</v>
      </c>
      <c r="AX21" t="s">
        <v>629</v>
      </c>
      <c r="AY21" t="s">
        <v>626</v>
      </c>
    </row>
    <row r="22" spans="1:51" x14ac:dyDescent="0.55000000000000004">
      <c r="A22" t="s">
        <v>667</v>
      </c>
      <c r="B22" t="s">
        <v>626</v>
      </c>
      <c r="C22" t="s">
        <v>667</v>
      </c>
      <c r="D22" t="s">
        <v>626</v>
      </c>
      <c r="E22" t="s">
        <v>668</v>
      </c>
      <c r="F22">
        <v>600</v>
      </c>
      <c r="G22">
        <v>51</v>
      </c>
      <c r="H22">
        <v>10853.7</v>
      </c>
      <c r="I22">
        <v>14285.21</v>
      </c>
      <c r="J22">
        <v>30</v>
      </c>
      <c r="K22">
        <v>237</v>
      </c>
      <c r="L22">
        <v>60</v>
      </c>
      <c r="M22">
        <v>237</v>
      </c>
      <c r="N22">
        <v>1268.92</v>
      </c>
      <c r="O22">
        <v>138996</v>
      </c>
      <c r="P22">
        <v>4.3899999999999997</v>
      </c>
      <c r="Q22">
        <v>6</v>
      </c>
      <c r="R22">
        <v>10</v>
      </c>
      <c r="S22">
        <v>0.86</v>
      </c>
      <c r="T22">
        <v>49</v>
      </c>
      <c r="U22">
        <v>0</v>
      </c>
      <c r="V22">
        <v>10.44</v>
      </c>
      <c r="W22">
        <v>203</v>
      </c>
      <c r="X22">
        <v>0.32679999999999998</v>
      </c>
      <c r="Y22">
        <v>203</v>
      </c>
      <c r="Z22">
        <v>1</v>
      </c>
      <c r="AA22">
        <v>201</v>
      </c>
      <c r="AB22">
        <v>0.86</v>
      </c>
      <c r="AC22">
        <v>48</v>
      </c>
      <c r="AD22">
        <v>0.94</v>
      </c>
      <c r="AE22">
        <v>48</v>
      </c>
      <c r="AF22">
        <v>960</v>
      </c>
      <c r="AG22">
        <v>46</v>
      </c>
      <c r="AH22">
        <v>24</v>
      </c>
      <c r="AI22" t="s">
        <v>627</v>
      </c>
      <c r="AJ22">
        <v>24</v>
      </c>
      <c r="AK22" t="s">
        <v>627</v>
      </c>
      <c r="AL22">
        <v>0.02</v>
      </c>
      <c r="AM22">
        <v>61</v>
      </c>
      <c r="AN22">
        <v>0.1</v>
      </c>
      <c r="AO22">
        <v>201</v>
      </c>
      <c r="AP22">
        <v>0.03</v>
      </c>
      <c r="AQ22">
        <v>203</v>
      </c>
      <c r="AR22">
        <v>0.06</v>
      </c>
      <c r="AS22">
        <v>203</v>
      </c>
      <c r="AT22">
        <v>0</v>
      </c>
      <c r="AU22">
        <v>202</v>
      </c>
      <c r="AV22">
        <v>0</v>
      </c>
      <c r="AW22">
        <v>202</v>
      </c>
      <c r="AX22" t="s">
        <v>669</v>
      </c>
      <c r="AY22" t="s">
        <v>626</v>
      </c>
    </row>
    <row r="23" spans="1:51" x14ac:dyDescent="0.55000000000000004">
      <c r="A23" t="s">
        <v>572</v>
      </c>
      <c r="B23" t="s">
        <v>626</v>
      </c>
      <c r="C23" t="s">
        <v>638</v>
      </c>
      <c r="D23" t="s">
        <v>626</v>
      </c>
      <c r="E23" t="s">
        <v>670</v>
      </c>
      <c r="F23">
        <v>21</v>
      </c>
      <c r="G23">
        <v>51</v>
      </c>
      <c r="H23">
        <v>2912</v>
      </c>
      <c r="I23">
        <v>3476.12</v>
      </c>
      <c r="J23">
        <v>30</v>
      </c>
      <c r="K23">
        <v>237</v>
      </c>
      <c r="L23">
        <v>45</v>
      </c>
      <c r="M23">
        <v>237</v>
      </c>
      <c r="N23">
        <v>308.77</v>
      </c>
      <c r="O23">
        <v>51441</v>
      </c>
      <c r="P23">
        <v>8.32</v>
      </c>
      <c r="Q23">
        <v>2</v>
      </c>
      <c r="R23">
        <v>3</v>
      </c>
      <c r="S23">
        <v>11.9</v>
      </c>
      <c r="T23">
        <v>50</v>
      </c>
      <c r="U23">
        <v>0.51546899999999996</v>
      </c>
      <c r="V23">
        <v>8.2949999999999999</v>
      </c>
      <c r="W23">
        <v>51</v>
      </c>
      <c r="X23">
        <v>0.4113</v>
      </c>
      <c r="Y23">
        <v>51</v>
      </c>
      <c r="Z23">
        <v>0.5</v>
      </c>
      <c r="AA23">
        <v>201</v>
      </c>
      <c r="AB23">
        <v>0.01</v>
      </c>
      <c r="AC23">
        <v>47</v>
      </c>
      <c r="AD23">
        <v>0.02</v>
      </c>
      <c r="AE23">
        <v>47</v>
      </c>
      <c r="AF23">
        <v>10</v>
      </c>
      <c r="AG23">
        <v>46</v>
      </c>
      <c r="AH23">
        <v>1</v>
      </c>
      <c r="AI23">
        <v>8</v>
      </c>
      <c r="AJ23">
        <v>1</v>
      </c>
      <c r="AK23">
        <v>8</v>
      </c>
      <c r="AL23">
        <v>0.2</v>
      </c>
      <c r="AM23">
        <v>61</v>
      </c>
      <c r="AN23">
        <v>0.15</v>
      </c>
      <c r="AO23">
        <v>201</v>
      </c>
      <c r="AP23">
        <v>0.09</v>
      </c>
      <c r="AQ23" t="s">
        <v>627</v>
      </c>
      <c r="AR23">
        <v>0.08</v>
      </c>
      <c r="AS23" t="s">
        <v>627</v>
      </c>
      <c r="AT23">
        <v>200</v>
      </c>
      <c r="AU23" t="s">
        <v>627</v>
      </c>
      <c r="AV23">
        <v>2</v>
      </c>
      <c r="AW23" t="s">
        <v>627</v>
      </c>
      <c r="AX23" t="s">
        <v>640</v>
      </c>
      <c r="AY23">
        <v>51</v>
      </c>
    </row>
    <row r="24" spans="1:51" x14ac:dyDescent="0.55000000000000004">
      <c r="A24" t="s">
        <v>568</v>
      </c>
      <c r="B24" t="s">
        <v>626</v>
      </c>
      <c r="C24" t="s">
        <v>638</v>
      </c>
      <c r="D24" t="s">
        <v>626</v>
      </c>
      <c r="E24" t="s">
        <v>671</v>
      </c>
      <c r="F24">
        <v>21</v>
      </c>
      <c r="G24">
        <v>51</v>
      </c>
      <c r="H24">
        <v>2912</v>
      </c>
      <c r="I24">
        <v>3476.12</v>
      </c>
      <c r="J24">
        <v>30</v>
      </c>
      <c r="K24">
        <v>237</v>
      </c>
      <c r="L24">
        <v>45</v>
      </c>
      <c r="M24">
        <v>237</v>
      </c>
      <c r="N24">
        <v>308.77</v>
      </c>
      <c r="O24">
        <v>51441</v>
      </c>
      <c r="P24">
        <v>8.32</v>
      </c>
      <c r="Q24">
        <v>2</v>
      </c>
      <c r="R24">
        <v>3</v>
      </c>
      <c r="S24">
        <v>11.9</v>
      </c>
      <c r="T24">
        <v>50</v>
      </c>
      <c r="U24">
        <v>0.51546899999999996</v>
      </c>
      <c r="V24">
        <v>8.2949999999999999</v>
      </c>
      <c r="W24">
        <v>51</v>
      </c>
      <c r="X24">
        <v>0.4113</v>
      </c>
      <c r="Y24">
        <v>51</v>
      </c>
      <c r="Z24">
        <v>0.5</v>
      </c>
      <c r="AA24">
        <v>201</v>
      </c>
      <c r="AB24">
        <v>0.12</v>
      </c>
      <c r="AC24">
        <v>47</v>
      </c>
      <c r="AD24">
        <v>0.15</v>
      </c>
      <c r="AE24">
        <v>47</v>
      </c>
      <c r="AF24">
        <v>960</v>
      </c>
      <c r="AG24">
        <v>46</v>
      </c>
      <c r="AH24">
        <v>4</v>
      </c>
      <c r="AI24">
        <v>8</v>
      </c>
      <c r="AJ24">
        <v>2</v>
      </c>
      <c r="AK24">
        <v>8</v>
      </c>
      <c r="AL24">
        <v>7.0000000000000007E-2</v>
      </c>
      <c r="AM24">
        <v>61</v>
      </c>
      <c r="AN24">
        <v>0.15</v>
      </c>
      <c r="AO24">
        <v>201</v>
      </c>
      <c r="AP24">
        <v>0.09</v>
      </c>
      <c r="AQ24" t="s">
        <v>627</v>
      </c>
      <c r="AR24">
        <v>0.08</v>
      </c>
      <c r="AS24" t="s">
        <v>627</v>
      </c>
      <c r="AT24">
        <v>200</v>
      </c>
      <c r="AU24" t="s">
        <v>627</v>
      </c>
      <c r="AV24">
        <v>2</v>
      </c>
      <c r="AW24" t="s">
        <v>627</v>
      </c>
      <c r="AX24" t="s">
        <v>640</v>
      </c>
      <c r="AY24">
        <v>51</v>
      </c>
    </row>
    <row r="25" spans="1:51" x14ac:dyDescent="0.55000000000000004">
      <c r="A25" t="s">
        <v>562</v>
      </c>
      <c r="B25" t="s">
        <v>626</v>
      </c>
      <c r="C25" t="s">
        <v>672</v>
      </c>
      <c r="D25" t="s">
        <v>626</v>
      </c>
      <c r="E25" t="s">
        <v>673</v>
      </c>
      <c r="F25">
        <v>150</v>
      </c>
      <c r="G25">
        <v>51</v>
      </c>
      <c r="H25">
        <v>1882.4</v>
      </c>
      <c r="I25">
        <v>2269.77</v>
      </c>
      <c r="J25">
        <v>30</v>
      </c>
      <c r="K25">
        <v>203</v>
      </c>
      <c r="L25">
        <v>30</v>
      </c>
      <c r="M25">
        <v>203</v>
      </c>
      <c r="N25">
        <v>201.62</v>
      </c>
      <c r="O25">
        <v>22308</v>
      </c>
      <c r="P25">
        <v>0</v>
      </c>
      <c r="Q25">
        <v>2</v>
      </c>
      <c r="R25">
        <v>3</v>
      </c>
      <c r="S25">
        <v>0</v>
      </c>
      <c r="T25" t="s">
        <v>626</v>
      </c>
      <c r="U25">
        <v>0</v>
      </c>
      <c r="W25" t="s">
        <v>626</v>
      </c>
      <c r="Y25" t="s">
        <v>626</v>
      </c>
      <c r="Z25">
        <v>0</v>
      </c>
      <c r="AA25">
        <v>201</v>
      </c>
      <c r="AC25" t="s">
        <v>626</v>
      </c>
      <c r="AE25" t="s">
        <v>626</v>
      </c>
      <c r="AG25" t="s">
        <v>626</v>
      </c>
      <c r="AI25" t="s">
        <v>626</v>
      </c>
      <c r="AK25" t="s">
        <v>626</v>
      </c>
      <c r="AM25" t="s">
        <v>626</v>
      </c>
      <c r="AN25">
        <v>0</v>
      </c>
      <c r="AO25">
        <v>201</v>
      </c>
      <c r="AP25">
        <v>0</v>
      </c>
      <c r="AQ25" t="s">
        <v>627</v>
      </c>
      <c r="AR25">
        <v>0</v>
      </c>
      <c r="AS25" t="s">
        <v>627</v>
      </c>
      <c r="AT25">
        <v>0</v>
      </c>
      <c r="AU25" t="s">
        <v>627</v>
      </c>
      <c r="AV25">
        <v>0</v>
      </c>
      <c r="AW25" t="s">
        <v>627</v>
      </c>
      <c r="AX25" t="s">
        <v>674</v>
      </c>
      <c r="AY25">
        <v>51</v>
      </c>
    </row>
    <row r="26" spans="1:51" x14ac:dyDescent="0.55000000000000004">
      <c r="A26" t="s">
        <v>675</v>
      </c>
      <c r="B26" t="s">
        <v>626</v>
      </c>
      <c r="C26" t="s">
        <v>675</v>
      </c>
      <c r="D26" t="s">
        <v>626</v>
      </c>
      <c r="E26" t="s">
        <v>676</v>
      </c>
      <c r="F26">
        <v>150</v>
      </c>
      <c r="G26">
        <v>51</v>
      </c>
      <c r="H26">
        <v>1505.92</v>
      </c>
      <c r="I26">
        <v>1772.95</v>
      </c>
      <c r="J26">
        <v>30</v>
      </c>
      <c r="K26">
        <v>203</v>
      </c>
      <c r="L26">
        <v>30</v>
      </c>
      <c r="M26">
        <v>203</v>
      </c>
      <c r="N26">
        <v>157.49</v>
      </c>
      <c r="O26">
        <v>22308</v>
      </c>
      <c r="P26">
        <v>0</v>
      </c>
      <c r="Q26">
        <v>1</v>
      </c>
      <c r="R26">
        <v>2</v>
      </c>
      <c r="S26">
        <v>0</v>
      </c>
      <c r="T26" t="s">
        <v>626</v>
      </c>
      <c r="U26">
        <v>0</v>
      </c>
      <c r="W26" t="s">
        <v>626</v>
      </c>
      <c r="Y26" t="s">
        <v>626</v>
      </c>
      <c r="Z26">
        <v>0</v>
      </c>
      <c r="AA26">
        <v>201</v>
      </c>
      <c r="AC26" t="s">
        <v>626</v>
      </c>
      <c r="AE26" t="s">
        <v>626</v>
      </c>
      <c r="AG26" t="s">
        <v>626</v>
      </c>
      <c r="AI26" t="s">
        <v>626</v>
      </c>
      <c r="AK26" t="s">
        <v>626</v>
      </c>
      <c r="AM26" t="s">
        <v>626</v>
      </c>
      <c r="AN26">
        <v>0</v>
      </c>
      <c r="AO26">
        <v>201</v>
      </c>
      <c r="AP26">
        <v>0</v>
      </c>
      <c r="AQ26" t="s">
        <v>627</v>
      </c>
      <c r="AR26">
        <v>0</v>
      </c>
      <c r="AS26" t="s">
        <v>627</v>
      </c>
      <c r="AT26">
        <v>0</v>
      </c>
      <c r="AU26" t="s">
        <v>627</v>
      </c>
      <c r="AV26">
        <v>0</v>
      </c>
      <c r="AW26" t="s">
        <v>627</v>
      </c>
      <c r="AX26" t="s">
        <v>677</v>
      </c>
      <c r="AY26" t="s">
        <v>626</v>
      </c>
    </row>
    <row r="27" spans="1:51" x14ac:dyDescent="0.55000000000000004">
      <c r="A27" t="s">
        <v>678</v>
      </c>
      <c r="B27" t="s">
        <v>626</v>
      </c>
      <c r="C27" t="s">
        <v>679</v>
      </c>
      <c r="D27" t="s">
        <v>626</v>
      </c>
      <c r="E27" t="s">
        <v>680</v>
      </c>
      <c r="F27">
        <v>50</v>
      </c>
      <c r="G27">
        <v>51</v>
      </c>
      <c r="H27">
        <v>1651</v>
      </c>
      <c r="I27">
        <v>1939.13</v>
      </c>
      <c r="J27">
        <v>15</v>
      </c>
      <c r="K27">
        <v>203</v>
      </c>
      <c r="L27">
        <v>15</v>
      </c>
      <c r="M27">
        <v>203</v>
      </c>
      <c r="N27">
        <v>226.55</v>
      </c>
      <c r="O27">
        <v>59488</v>
      </c>
      <c r="P27">
        <v>0</v>
      </c>
      <c r="Q27">
        <v>1</v>
      </c>
      <c r="R27">
        <v>1</v>
      </c>
      <c r="S27">
        <v>0</v>
      </c>
      <c r="T27" t="s">
        <v>626</v>
      </c>
      <c r="U27">
        <v>0</v>
      </c>
      <c r="W27" t="s">
        <v>626</v>
      </c>
      <c r="Y27" t="s">
        <v>626</v>
      </c>
      <c r="Z27">
        <v>0</v>
      </c>
      <c r="AA27">
        <v>201</v>
      </c>
      <c r="AB27">
        <v>0</v>
      </c>
      <c r="AC27">
        <v>205</v>
      </c>
      <c r="AD27">
        <v>0.16669999999999999</v>
      </c>
      <c r="AE27">
        <v>205</v>
      </c>
      <c r="AF27">
        <v>10</v>
      </c>
      <c r="AG27">
        <v>46</v>
      </c>
      <c r="AH27">
        <v>1</v>
      </c>
      <c r="AI27" t="s">
        <v>627</v>
      </c>
      <c r="AJ27">
        <v>1</v>
      </c>
      <c r="AK27" t="s">
        <v>627</v>
      </c>
      <c r="AL27">
        <v>1</v>
      </c>
      <c r="AM27">
        <v>61</v>
      </c>
      <c r="AN27">
        <v>0.5</v>
      </c>
      <c r="AO27" t="s">
        <v>627</v>
      </c>
      <c r="AP27">
        <v>0.05</v>
      </c>
      <c r="AQ27" t="s">
        <v>627</v>
      </c>
      <c r="AR27">
        <v>0.1</v>
      </c>
      <c r="AS27" t="s">
        <v>627</v>
      </c>
      <c r="AT27">
        <v>0</v>
      </c>
      <c r="AU27" t="s">
        <v>627</v>
      </c>
      <c r="AV27">
        <v>0</v>
      </c>
      <c r="AW27" t="s">
        <v>627</v>
      </c>
      <c r="AX27" t="s">
        <v>681</v>
      </c>
      <c r="AY27">
        <v>51</v>
      </c>
    </row>
    <row r="28" spans="1:51" x14ac:dyDescent="0.55000000000000004">
      <c r="A28" t="s">
        <v>682</v>
      </c>
      <c r="B28" t="s">
        <v>626</v>
      </c>
      <c r="C28" t="s">
        <v>683</v>
      </c>
      <c r="D28" t="s">
        <v>626</v>
      </c>
      <c r="E28" t="s">
        <v>684</v>
      </c>
      <c r="F28">
        <v>1000</v>
      </c>
      <c r="G28">
        <v>28</v>
      </c>
      <c r="H28">
        <v>4290</v>
      </c>
      <c r="I28">
        <v>5734.68</v>
      </c>
      <c r="J28">
        <v>70</v>
      </c>
      <c r="K28">
        <v>20</v>
      </c>
      <c r="L28">
        <v>100</v>
      </c>
      <c r="M28" t="s">
        <v>627</v>
      </c>
      <c r="N28">
        <v>460.88</v>
      </c>
      <c r="O28">
        <v>15844</v>
      </c>
      <c r="P28">
        <v>1</v>
      </c>
      <c r="Q28">
        <v>6</v>
      </c>
      <c r="R28">
        <v>8</v>
      </c>
      <c r="S28">
        <v>0</v>
      </c>
      <c r="T28" t="s">
        <v>626</v>
      </c>
      <c r="U28">
        <v>0</v>
      </c>
      <c r="W28" t="s">
        <v>626</v>
      </c>
      <c r="Y28" t="s">
        <v>626</v>
      </c>
      <c r="AA28" t="s">
        <v>626</v>
      </c>
      <c r="AB28">
        <v>0</v>
      </c>
      <c r="AC28" t="s">
        <v>627</v>
      </c>
      <c r="AD28">
        <v>0.3</v>
      </c>
      <c r="AE28" t="s">
        <v>627</v>
      </c>
      <c r="AF28">
        <v>10</v>
      </c>
      <c r="AG28">
        <v>46</v>
      </c>
      <c r="AH28">
        <v>1</v>
      </c>
      <c r="AI28" t="s">
        <v>627</v>
      </c>
      <c r="AJ28">
        <v>1</v>
      </c>
      <c r="AK28" t="s">
        <v>627</v>
      </c>
      <c r="AL28">
        <v>0.15</v>
      </c>
      <c r="AM28">
        <v>61</v>
      </c>
      <c r="AN28">
        <v>0.5</v>
      </c>
      <c r="AO28" t="s">
        <v>627</v>
      </c>
      <c r="AP28">
        <v>0.05</v>
      </c>
      <c r="AQ28">
        <v>41</v>
      </c>
      <c r="AR28">
        <v>0.1</v>
      </c>
      <c r="AS28">
        <v>41</v>
      </c>
      <c r="AT28">
        <v>0</v>
      </c>
      <c r="AU28" t="s">
        <v>627</v>
      </c>
      <c r="AV28">
        <v>0</v>
      </c>
      <c r="AW28" t="s">
        <v>627</v>
      </c>
      <c r="AX28" t="s">
        <v>685</v>
      </c>
      <c r="AY28" t="s">
        <v>626</v>
      </c>
    </row>
    <row r="29" spans="1:51" x14ac:dyDescent="0.55000000000000004">
      <c r="A29" t="s">
        <v>686</v>
      </c>
      <c r="B29" t="s">
        <v>626</v>
      </c>
      <c r="C29" t="s">
        <v>687</v>
      </c>
      <c r="D29" t="s">
        <v>626</v>
      </c>
      <c r="E29" t="s">
        <v>688</v>
      </c>
      <c r="F29">
        <v>400</v>
      </c>
      <c r="G29">
        <v>51</v>
      </c>
      <c r="H29">
        <v>8673.6</v>
      </c>
      <c r="I29">
        <v>10775.41</v>
      </c>
      <c r="J29">
        <v>30</v>
      </c>
      <c r="K29">
        <v>203</v>
      </c>
      <c r="L29">
        <v>30</v>
      </c>
      <c r="M29">
        <v>203</v>
      </c>
      <c r="N29">
        <v>957.15</v>
      </c>
      <c r="O29">
        <v>160953</v>
      </c>
      <c r="P29">
        <v>0</v>
      </c>
      <c r="Q29">
        <v>4</v>
      </c>
      <c r="R29">
        <v>6</v>
      </c>
      <c r="S29">
        <v>0</v>
      </c>
      <c r="T29" t="s">
        <v>626</v>
      </c>
      <c r="U29">
        <v>0</v>
      </c>
      <c r="W29" t="s">
        <v>626</v>
      </c>
      <c r="Y29" t="s">
        <v>626</v>
      </c>
      <c r="Z29">
        <v>0</v>
      </c>
      <c r="AA29">
        <v>201</v>
      </c>
      <c r="AC29" t="s">
        <v>626</v>
      </c>
      <c r="AE29" t="s">
        <v>626</v>
      </c>
      <c r="AG29" t="s">
        <v>626</v>
      </c>
      <c r="AI29" t="s">
        <v>626</v>
      </c>
      <c r="AK29" t="s">
        <v>626</v>
      </c>
      <c r="AM29" t="s">
        <v>626</v>
      </c>
      <c r="AN29">
        <v>0</v>
      </c>
      <c r="AO29">
        <v>201</v>
      </c>
      <c r="AP29">
        <v>0.01</v>
      </c>
      <c r="AQ29" t="s">
        <v>627</v>
      </c>
      <c r="AR29">
        <v>0.01</v>
      </c>
      <c r="AS29" t="s">
        <v>627</v>
      </c>
      <c r="AT29">
        <v>0</v>
      </c>
      <c r="AU29" t="s">
        <v>627</v>
      </c>
      <c r="AV29">
        <v>0</v>
      </c>
      <c r="AW29" t="s">
        <v>627</v>
      </c>
      <c r="AX29" t="s">
        <v>689</v>
      </c>
      <c r="AY29" t="s">
        <v>626</v>
      </c>
    </row>
    <row r="30" spans="1:51" x14ac:dyDescent="0.55000000000000004">
      <c r="A30" t="s">
        <v>690</v>
      </c>
      <c r="B30" t="s">
        <v>626</v>
      </c>
      <c r="C30" t="s">
        <v>558</v>
      </c>
      <c r="D30" t="s">
        <v>626</v>
      </c>
      <c r="E30" t="s">
        <v>691</v>
      </c>
      <c r="F30">
        <v>200</v>
      </c>
      <c r="G30">
        <v>51</v>
      </c>
      <c r="H30">
        <v>2727.4</v>
      </c>
      <c r="I30">
        <v>3359.17</v>
      </c>
      <c r="J30">
        <v>30</v>
      </c>
      <c r="K30">
        <v>203</v>
      </c>
      <c r="L30">
        <v>30</v>
      </c>
      <c r="M30">
        <v>203</v>
      </c>
      <c r="N30">
        <v>298.39</v>
      </c>
      <c r="O30">
        <v>38532</v>
      </c>
      <c r="P30">
        <v>0</v>
      </c>
      <c r="Q30">
        <v>3</v>
      </c>
      <c r="R30">
        <v>5</v>
      </c>
      <c r="S30">
        <v>0</v>
      </c>
      <c r="T30" t="s">
        <v>626</v>
      </c>
      <c r="U30">
        <v>0</v>
      </c>
      <c r="W30" t="s">
        <v>626</v>
      </c>
      <c r="Y30" t="s">
        <v>626</v>
      </c>
      <c r="Z30">
        <v>0</v>
      </c>
      <c r="AA30">
        <v>201</v>
      </c>
      <c r="AC30" t="s">
        <v>626</v>
      </c>
      <c r="AE30" t="s">
        <v>626</v>
      </c>
      <c r="AG30" t="s">
        <v>626</v>
      </c>
      <c r="AI30" t="s">
        <v>626</v>
      </c>
      <c r="AK30" t="s">
        <v>626</v>
      </c>
      <c r="AM30" t="s">
        <v>626</v>
      </c>
      <c r="AN30">
        <v>0</v>
      </c>
      <c r="AO30">
        <v>201</v>
      </c>
      <c r="AP30">
        <v>0.01</v>
      </c>
      <c r="AQ30" t="s">
        <v>627</v>
      </c>
      <c r="AR30">
        <v>0.01</v>
      </c>
      <c r="AS30" t="s">
        <v>627</v>
      </c>
      <c r="AT30">
        <v>0</v>
      </c>
      <c r="AU30" t="s">
        <v>627</v>
      </c>
      <c r="AV30">
        <v>0</v>
      </c>
      <c r="AW30" t="s">
        <v>627</v>
      </c>
      <c r="AX30" t="s">
        <v>689</v>
      </c>
      <c r="AY30" t="s">
        <v>626</v>
      </c>
    </row>
    <row r="31" spans="1:51" x14ac:dyDescent="0.55000000000000004">
      <c r="A31" t="s">
        <v>692</v>
      </c>
      <c r="B31" t="s">
        <v>626</v>
      </c>
      <c r="C31" t="s">
        <v>692</v>
      </c>
      <c r="D31" t="s">
        <v>626</v>
      </c>
      <c r="E31" t="s">
        <v>693</v>
      </c>
      <c r="F31">
        <v>200</v>
      </c>
      <c r="G31">
        <v>51</v>
      </c>
      <c r="H31">
        <v>2181.92</v>
      </c>
      <c r="I31">
        <v>2621.61</v>
      </c>
      <c r="J31">
        <v>30</v>
      </c>
      <c r="K31">
        <v>203</v>
      </c>
      <c r="L31">
        <v>30</v>
      </c>
      <c r="M31">
        <v>203</v>
      </c>
      <c r="N31">
        <v>232.87</v>
      </c>
      <c r="O31">
        <v>38532</v>
      </c>
      <c r="P31">
        <v>0</v>
      </c>
      <c r="Q31">
        <v>2</v>
      </c>
      <c r="R31">
        <v>4</v>
      </c>
      <c r="S31">
        <v>0</v>
      </c>
      <c r="T31" t="s">
        <v>626</v>
      </c>
      <c r="U31">
        <v>0</v>
      </c>
      <c r="W31" t="s">
        <v>626</v>
      </c>
      <c r="Y31" t="s">
        <v>626</v>
      </c>
      <c r="Z31">
        <v>0</v>
      </c>
      <c r="AA31">
        <v>201</v>
      </c>
      <c r="AC31" t="s">
        <v>626</v>
      </c>
      <c r="AE31" t="s">
        <v>626</v>
      </c>
      <c r="AG31" t="s">
        <v>626</v>
      </c>
      <c r="AI31" t="s">
        <v>626</v>
      </c>
      <c r="AK31" t="s">
        <v>626</v>
      </c>
      <c r="AM31" t="s">
        <v>626</v>
      </c>
      <c r="AN31">
        <v>0</v>
      </c>
      <c r="AO31">
        <v>201</v>
      </c>
      <c r="AP31">
        <v>0.01</v>
      </c>
      <c r="AQ31" t="s">
        <v>627</v>
      </c>
      <c r="AR31">
        <v>0.01</v>
      </c>
      <c r="AS31" t="s">
        <v>627</v>
      </c>
      <c r="AT31">
        <v>0</v>
      </c>
      <c r="AU31" t="s">
        <v>627</v>
      </c>
      <c r="AV31">
        <v>0</v>
      </c>
      <c r="AW31" t="s">
        <v>627</v>
      </c>
      <c r="AX31" t="s">
        <v>694</v>
      </c>
      <c r="AY31" t="s">
        <v>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359E-1A2D-4672-B6D6-30C1E767833F}">
  <dimension ref="A1:AY7"/>
  <sheetViews>
    <sheetView workbookViewId="0">
      <selection activeCell="F19" sqref="F19"/>
    </sheetView>
  </sheetViews>
  <sheetFormatPr defaultRowHeight="14.4" x14ac:dyDescent="0.55000000000000004"/>
  <cols>
    <col min="2" max="2" width="9.7890625" bestFit="1" customWidth="1"/>
  </cols>
  <sheetData>
    <row r="1" spans="1:51" x14ac:dyDescent="0.55000000000000004">
      <c r="A1" t="s">
        <v>14</v>
      </c>
      <c r="B1" t="s">
        <v>711</v>
      </c>
      <c r="C1" t="s">
        <v>13</v>
      </c>
      <c r="D1" t="s">
        <v>15</v>
      </c>
      <c r="E1" t="s">
        <v>16</v>
      </c>
      <c r="F1" t="s">
        <v>23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</row>
    <row r="2" spans="1:51" x14ac:dyDescent="0.55000000000000004">
      <c r="A2">
        <v>1</v>
      </c>
      <c r="B2">
        <v>70.489999999999995</v>
      </c>
      <c r="C2">
        <v>0.2</v>
      </c>
      <c r="D2">
        <f>factors!C26</f>
        <v>59</v>
      </c>
      <c r="E2">
        <f>factors!D26</f>
        <v>87</v>
      </c>
      <c r="F2">
        <f>factors!E26</f>
        <v>111</v>
      </c>
      <c r="G2">
        <f>factors!F26</f>
        <v>158</v>
      </c>
      <c r="H2">
        <f>factors!G26</f>
        <v>4</v>
      </c>
      <c r="I2">
        <f>factors!H26</f>
        <v>324</v>
      </c>
      <c r="J2">
        <f>factors!I26</f>
        <v>328</v>
      </c>
      <c r="K2">
        <f>factors!J26</f>
        <v>332</v>
      </c>
      <c r="L2">
        <f>factors!K26</f>
        <v>371</v>
      </c>
      <c r="M2">
        <f>factors!L26</f>
        <v>99</v>
      </c>
      <c r="N2">
        <f>factors!M26</f>
        <v>336</v>
      </c>
      <c r="O2">
        <f>factors!N26</f>
        <v>79</v>
      </c>
      <c r="P2">
        <f>factors!O26</f>
        <v>51</v>
      </c>
      <c r="Q2">
        <f>factors!P26</f>
        <v>87</v>
      </c>
      <c r="R2">
        <f>factors!Q26</f>
        <v>281</v>
      </c>
      <c r="S2">
        <f>factors!R26</f>
        <v>158</v>
      </c>
      <c r="T2">
        <f>factors!S26</f>
        <v>126</v>
      </c>
      <c r="U2">
        <f>factors!T26</f>
        <v>332</v>
      </c>
      <c r="V2">
        <f>factors!U26</f>
        <v>348</v>
      </c>
      <c r="W2">
        <f>factors!V26</f>
        <v>12</v>
      </c>
      <c r="X2">
        <f>factors!W26</f>
        <v>67</v>
      </c>
      <c r="Y2">
        <f>factors!X26</f>
        <v>51</v>
      </c>
      <c r="Z2">
        <f>factors!Y26</f>
        <v>126</v>
      </c>
      <c r="AA2">
        <f>factors!Z26</f>
        <v>391</v>
      </c>
      <c r="AB2">
        <f>factors!AA26</f>
        <v>178</v>
      </c>
      <c r="AC2">
        <f>factors!AB26</f>
        <v>312</v>
      </c>
      <c r="AD2">
        <f>factors!AC26</f>
        <v>40</v>
      </c>
      <c r="AE2">
        <f>factors!AD26</f>
        <v>67</v>
      </c>
      <c r="AF2">
        <f>factors!AE26</f>
        <v>340</v>
      </c>
      <c r="AG2">
        <f>factors!AF26</f>
        <v>103</v>
      </c>
      <c r="AH2">
        <f>factors!AG26</f>
        <v>379</v>
      </c>
      <c r="AI2">
        <f>factors!AH26</f>
        <v>79</v>
      </c>
      <c r="AJ2">
        <f>factors!AI26</f>
        <v>288</v>
      </c>
      <c r="AK2">
        <f>factors!AJ26</f>
        <v>4</v>
      </c>
      <c r="AL2">
        <f>factors!AK26</f>
        <v>182</v>
      </c>
      <c r="AM2">
        <f>factors!AL26</f>
        <v>225</v>
      </c>
      <c r="AN2">
        <f>factors!AM26</f>
        <v>186</v>
      </c>
      <c r="AO2">
        <f>factors!AN26</f>
        <v>47</v>
      </c>
      <c r="AP2">
        <f>factors!AO26</f>
        <v>166</v>
      </c>
      <c r="AQ2">
        <f>factors!AP26</f>
        <v>186</v>
      </c>
      <c r="AR2">
        <f>factors!AQ26</f>
        <v>316</v>
      </c>
      <c r="AS2">
        <f>factors!AR26</f>
        <v>328</v>
      </c>
      <c r="AT2">
        <f>factors!AS26</f>
        <v>4</v>
      </c>
      <c r="AU2">
        <f>factors!AT26</f>
        <v>202</v>
      </c>
      <c r="AV2">
        <f>factors!AU26</f>
        <v>24</v>
      </c>
      <c r="AW2">
        <f>factors!AV26</f>
        <v>344</v>
      </c>
      <c r="AX2">
        <f>factors!AW26</f>
        <v>221</v>
      </c>
      <c r="AY2">
        <f>factors!AX26</f>
        <v>221</v>
      </c>
    </row>
    <row r="3" spans="1:51" x14ac:dyDescent="0.55000000000000004">
      <c r="A3">
        <v>2</v>
      </c>
      <c r="B3">
        <v>126.14</v>
      </c>
      <c r="C3">
        <v>0.18000000000000005</v>
      </c>
      <c r="D3">
        <f>factors!C27</f>
        <v>251</v>
      </c>
      <c r="E3">
        <f>factors!D27</f>
        <v>328</v>
      </c>
      <c r="F3">
        <f>factors!E27</f>
        <v>80</v>
      </c>
      <c r="G3">
        <f>factors!F27</f>
        <v>101</v>
      </c>
      <c r="H3">
        <f>factors!G27</f>
        <v>84</v>
      </c>
      <c r="I3">
        <f>factors!H27</f>
        <v>91</v>
      </c>
      <c r="J3">
        <f>factors!I27</f>
        <v>154</v>
      </c>
      <c r="K3">
        <f>factors!J27</f>
        <v>136</v>
      </c>
      <c r="L3">
        <f>factors!K27</f>
        <v>251</v>
      </c>
      <c r="M3">
        <f>factors!L27</f>
        <v>10</v>
      </c>
      <c r="N3">
        <f>factors!M27</f>
        <v>87</v>
      </c>
      <c r="O3">
        <f>factors!N27</f>
        <v>255</v>
      </c>
      <c r="P3">
        <f>factors!O27</f>
        <v>244</v>
      </c>
      <c r="Q3">
        <f>factors!P27</f>
        <v>272</v>
      </c>
      <c r="R3">
        <f>factors!Q27</f>
        <v>258</v>
      </c>
      <c r="S3">
        <f>factors!R27</f>
        <v>227</v>
      </c>
      <c r="T3">
        <f>factors!S27</f>
        <v>160</v>
      </c>
      <c r="U3">
        <f>factors!T27</f>
        <v>258</v>
      </c>
      <c r="V3">
        <f>factors!U27</f>
        <v>227</v>
      </c>
      <c r="W3">
        <f>factors!V27</f>
        <v>335</v>
      </c>
      <c r="X3">
        <f>factors!W27</f>
        <v>276</v>
      </c>
      <c r="Y3">
        <f>factors!X27</f>
        <v>265</v>
      </c>
      <c r="Z3">
        <f>factors!Y27</f>
        <v>126</v>
      </c>
      <c r="AA3">
        <f>factors!Z27</f>
        <v>164</v>
      </c>
      <c r="AB3">
        <f>factors!AA27</f>
        <v>199</v>
      </c>
      <c r="AC3">
        <f>factors!AB27</f>
        <v>262</v>
      </c>
      <c r="AD3">
        <f>factors!AC27</f>
        <v>143</v>
      </c>
      <c r="AE3">
        <f>factors!AD27</f>
        <v>164</v>
      </c>
      <c r="AF3">
        <f>factors!AE27</f>
        <v>171</v>
      </c>
      <c r="AG3">
        <f>factors!AF27</f>
        <v>7</v>
      </c>
      <c r="AH3">
        <f>factors!AG27</f>
        <v>283</v>
      </c>
      <c r="AI3">
        <f>factors!AH27</f>
        <v>77</v>
      </c>
      <c r="AJ3">
        <f>factors!AI27</f>
        <v>321</v>
      </c>
      <c r="AK3">
        <f>factors!AJ27</f>
        <v>164</v>
      </c>
      <c r="AL3">
        <f>factors!AK27</f>
        <v>150</v>
      </c>
      <c r="AM3">
        <f>factors!AL27</f>
        <v>150</v>
      </c>
      <c r="AN3">
        <f>factors!AM27</f>
        <v>7</v>
      </c>
      <c r="AO3">
        <f>factors!AN27</f>
        <v>195</v>
      </c>
      <c r="AP3">
        <f>factors!AO27</f>
        <v>7</v>
      </c>
      <c r="AQ3">
        <f>factors!AP27</f>
        <v>283</v>
      </c>
      <c r="AR3">
        <f>factors!AQ27</f>
        <v>220</v>
      </c>
      <c r="AS3">
        <f>factors!AR27</f>
        <v>80</v>
      </c>
      <c r="AT3">
        <f>factors!AS27</f>
        <v>73</v>
      </c>
      <c r="AU3">
        <f>factors!AT27</f>
        <v>140</v>
      </c>
      <c r="AV3">
        <f>factors!AU27</f>
        <v>304</v>
      </c>
      <c r="AW3">
        <f>factors!AV27</f>
        <v>248</v>
      </c>
      <c r="AX3">
        <f>factors!AW27</f>
        <v>133</v>
      </c>
      <c r="AY3">
        <f>factors!AX27</f>
        <v>339</v>
      </c>
    </row>
    <row r="4" spans="1:51" x14ac:dyDescent="0.55000000000000004">
      <c r="A4">
        <v>3</v>
      </c>
      <c r="B4">
        <v>126.14</v>
      </c>
      <c r="C4">
        <v>0.17000000000000004</v>
      </c>
      <c r="D4">
        <f>factors!C28</f>
        <v>366</v>
      </c>
      <c r="E4">
        <f>factors!D28</f>
        <v>290</v>
      </c>
      <c r="F4">
        <f>factors!E28</f>
        <v>362</v>
      </c>
      <c r="G4">
        <f>factors!F28</f>
        <v>137</v>
      </c>
      <c r="H4">
        <f>factors!G28</f>
        <v>125</v>
      </c>
      <c r="I4">
        <f>factors!H28</f>
        <v>48</v>
      </c>
      <c r="J4">
        <f>factors!I28</f>
        <v>258</v>
      </c>
      <c r="K4">
        <f>factors!J28</f>
        <v>76</v>
      </c>
      <c r="L4">
        <f>factors!K28</f>
        <v>24</v>
      </c>
      <c r="M4">
        <f>factors!L28</f>
        <v>221</v>
      </c>
      <c r="N4">
        <f>factors!M28</f>
        <v>93</v>
      </c>
      <c r="O4">
        <f>factors!N28</f>
        <v>181</v>
      </c>
      <c r="P4">
        <f>factors!O28</f>
        <v>217</v>
      </c>
      <c r="Q4">
        <f>factors!P28</f>
        <v>205</v>
      </c>
      <c r="R4">
        <f>factors!Q28</f>
        <v>229</v>
      </c>
      <c r="S4">
        <f>factors!R28</f>
        <v>52</v>
      </c>
      <c r="T4">
        <f>factors!S28</f>
        <v>149</v>
      </c>
      <c r="U4">
        <f>factors!T28</f>
        <v>374</v>
      </c>
      <c r="V4">
        <f>factors!U28</f>
        <v>8</v>
      </c>
      <c r="W4">
        <f>factors!V28</f>
        <v>241</v>
      </c>
      <c r="X4">
        <f>factors!W28</f>
        <v>366</v>
      </c>
      <c r="Y4">
        <f>factors!X28</f>
        <v>201</v>
      </c>
      <c r="Z4">
        <f>factors!Y28</f>
        <v>346</v>
      </c>
      <c r="AA4">
        <f>factors!Z28</f>
        <v>28</v>
      </c>
      <c r="AB4">
        <f>factors!AA28</f>
        <v>60</v>
      </c>
      <c r="AC4">
        <f>factors!AB28</f>
        <v>185</v>
      </c>
      <c r="AD4">
        <f>factors!AC28</f>
        <v>318</v>
      </c>
      <c r="AE4">
        <f>factors!AD28</f>
        <v>258</v>
      </c>
      <c r="AF4">
        <f>factors!AE28</f>
        <v>342</v>
      </c>
      <c r="AG4">
        <f>factors!AF28</f>
        <v>12</v>
      </c>
      <c r="AH4">
        <f>factors!AG28</f>
        <v>40</v>
      </c>
      <c r="AI4">
        <f>factors!AH28</f>
        <v>366</v>
      </c>
      <c r="AJ4">
        <f>factors!AI28</f>
        <v>149</v>
      </c>
      <c r="AK4">
        <f>factors!AJ28</f>
        <v>64</v>
      </c>
      <c r="AL4">
        <f>factors!AK28</f>
        <v>157</v>
      </c>
      <c r="AM4">
        <f>factors!AL28</f>
        <v>48</v>
      </c>
      <c r="AN4">
        <f>factors!AM28</f>
        <v>32</v>
      </c>
      <c r="AO4">
        <f>factors!AN28</f>
        <v>125</v>
      </c>
      <c r="AP4">
        <f>factors!AO28</f>
        <v>209</v>
      </c>
      <c r="AQ4">
        <f>factors!AP28</f>
        <v>390</v>
      </c>
      <c r="AR4">
        <f>factors!AQ28</f>
        <v>318</v>
      </c>
      <c r="AS4">
        <f>factors!AR28</f>
        <v>270</v>
      </c>
      <c r="AT4">
        <f>factors!AS28</f>
        <v>101</v>
      </c>
      <c r="AU4">
        <f>factors!AT28</f>
        <v>133</v>
      </c>
      <c r="AV4">
        <f>factors!AU28</f>
        <v>185</v>
      </c>
      <c r="AW4">
        <f>factors!AV28</f>
        <v>169</v>
      </c>
      <c r="AX4">
        <f>factors!AW28</f>
        <v>225</v>
      </c>
      <c r="AY4">
        <f>factors!AX28</f>
        <v>7</v>
      </c>
    </row>
    <row r="5" spans="1:51" x14ac:dyDescent="0.55000000000000004">
      <c r="A5">
        <v>4</v>
      </c>
      <c r="B5">
        <v>126.14</v>
      </c>
      <c r="C5">
        <v>0.16000000000000003</v>
      </c>
      <c r="D5">
        <f>factors!C29</f>
        <v>82</v>
      </c>
      <c r="E5">
        <f>factors!D29</f>
        <v>225</v>
      </c>
      <c r="F5">
        <f>factors!E29</f>
        <v>108</v>
      </c>
      <c r="G5">
        <f>factors!F29</f>
        <v>216</v>
      </c>
      <c r="H5">
        <f>factors!G29</f>
        <v>163</v>
      </c>
      <c r="I5">
        <f>factors!H29</f>
        <v>225</v>
      </c>
      <c r="J5">
        <f>factors!I29</f>
        <v>320</v>
      </c>
      <c r="K5">
        <f>factors!J29</f>
        <v>265</v>
      </c>
      <c r="L5">
        <f>factors!K29</f>
        <v>72</v>
      </c>
      <c r="M5">
        <f>factors!L29</f>
        <v>33</v>
      </c>
      <c r="N5">
        <f>factors!M29</f>
        <v>310</v>
      </c>
      <c r="O5">
        <f>factors!N29</f>
        <v>72</v>
      </c>
      <c r="P5">
        <f>factors!O29</f>
        <v>62</v>
      </c>
      <c r="Q5">
        <f>factors!P29</f>
        <v>314</v>
      </c>
      <c r="R5">
        <f>factors!Q29</f>
        <v>193</v>
      </c>
      <c r="S5">
        <f>factors!R29</f>
        <v>82</v>
      </c>
      <c r="T5">
        <f>factors!S29</f>
        <v>196</v>
      </c>
      <c r="U5">
        <f>factors!T29</f>
        <v>209</v>
      </c>
      <c r="V5">
        <f>factors!U29</f>
        <v>271</v>
      </c>
      <c r="W5">
        <f>factors!V29</f>
        <v>216</v>
      </c>
      <c r="X5">
        <f>factors!W29</f>
        <v>127</v>
      </c>
      <c r="Y5">
        <f>factors!X29</f>
        <v>274</v>
      </c>
      <c r="Z5">
        <f>factors!Y29</f>
        <v>147</v>
      </c>
      <c r="AA5">
        <f>factors!Z29</f>
        <v>304</v>
      </c>
      <c r="AB5">
        <f>factors!AA29</f>
        <v>320</v>
      </c>
      <c r="AC5">
        <f>factors!AB29</f>
        <v>301</v>
      </c>
      <c r="AD5">
        <f>factors!AC29</f>
        <v>42</v>
      </c>
      <c r="AE5">
        <f>factors!AD29</f>
        <v>323</v>
      </c>
      <c r="AF5">
        <f>factors!AE29</f>
        <v>268</v>
      </c>
      <c r="AG5">
        <f>factors!AF29</f>
        <v>323</v>
      </c>
      <c r="AH5">
        <f>factors!AG29</f>
        <v>124</v>
      </c>
      <c r="AI5">
        <f>factors!AH29</f>
        <v>13</v>
      </c>
      <c r="AJ5">
        <f>factors!AI29</f>
        <v>140</v>
      </c>
      <c r="AK5">
        <f>factors!AJ29</f>
        <v>134</v>
      </c>
      <c r="AL5">
        <f>factors!AK29</f>
        <v>265</v>
      </c>
      <c r="AM5">
        <f>factors!AL29</f>
        <v>7</v>
      </c>
      <c r="AN5">
        <f>factors!AM29</f>
        <v>101</v>
      </c>
      <c r="AO5">
        <f>factors!AN29</f>
        <v>199</v>
      </c>
      <c r="AP5">
        <f>factors!AO29</f>
        <v>268</v>
      </c>
      <c r="AQ5">
        <f>factors!AP29</f>
        <v>131</v>
      </c>
      <c r="AR5">
        <f>factors!AQ29</f>
        <v>75</v>
      </c>
      <c r="AS5">
        <f>factors!AR29</f>
        <v>88</v>
      </c>
      <c r="AT5">
        <f>factors!AS29</f>
        <v>160</v>
      </c>
      <c r="AU5">
        <f>factors!AT29</f>
        <v>239</v>
      </c>
      <c r="AV5">
        <f>factors!AU29</f>
        <v>160</v>
      </c>
      <c r="AW5">
        <f>factors!AV29</f>
        <v>288</v>
      </c>
      <c r="AX5">
        <f>factors!AW29</f>
        <v>16</v>
      </c>
      <c r="AY5">
        <f>factors!AX29</f>
        <v>289</v>
      </c>
    </row>
    <row r="6" spans="1:51" x14ac:dyDescent="0.55000000000000004">
      <c r="A6">
        <v>5</v>
      </c>
      <c r="B6">
        <v>126.14</v>
      </c>
      <c r="C6">
        <v>0.15000000000000002</v>
      </c>
      <c r="D6">
        <f>factors!C30</f>
        <v>18</v>
      </c>
      <c r="E6">
        <f>factors!D30</f>
        <v>290</v>
      </c>
      <c r="F6">
        <f>factors!E30</f>
        <v>147</v>
      </c>
      <c r="G6">
        <f>factors!F30</f>
        <v>66</v>
      </c>
      <c r="H6">
        <f>factors!G30</f>
        <v>346</v>
      </c>
      <c r="I6">
        <f>factors!H30</f>
        <v>221</v>
      </c>
      <c r="J6">
        <f>factors!I30</f>
        <v>48</v>
      </c>
      <c r="K6">
        <f>factors!J30</f>
        <v>143</v>
      </c>
      <c r="L6">
        <f>factors!K30</f>
        <v>206</v>
      </c>
      <c r="M6">
        <f>factors!L30</f>
        <v>165</v>
      </c>
      <c r="N6">
        <f>factors!M30</f>
        <v>202</v>
      </c>
      <c r="O6">
        <f>factors!N30</f>
        <v>342</v>
      </c>
      <c r="P6">
        <f>factors!O30</f>
        <v>48</v>
      </c>
      <c r="Q6">
        <f>factors!P30</f>
        <v>232</v>
      </c>
      <c r="R6">
        <f>factors!Q30</f>
        <v>309</v>
      </c>
      <c r="S6">
        <f>factors!R30</f>
        <v>191</v>
      </c>
      <c r="T6">
        <f>factors!S30</f>
        <v>74</v>
      </c>
      <c r="U6">
        <f>factors!T30</f>
        <v>70</v>
      </c>
      <c r="V6">
        <f>factors!U30</f>
        <v>18</v>
      </c>
      <c r="W6">
        <f>factors!V30</f>
        <v>129</v>
      </c>
      <c r="X6">
        <f>factors!W30</f>
        <v>191</v>
      </c>
      <c r="Y6">
        <f>factors!X30</f>
        <v>154</v>
      </c>
      <c r="Z6">
        <f>factors!Y30</f>
        <v>158</v>
      </c>
      <c r="AA6">
        <f>factors!Z30</f>
        <v>327</v>
      </c>
      <c r="AB6">
        <f>factors!AA30</f>
        <v>154</v>
      </c>
      <c r="AC6">
        <f>factors!AB30</f>
        <v>15</v>
      </c>
      <c r="AD6">
        <f>factors!AC30</f>
        <v>298</v>
      </c>
      <c r="AE6">
        <f>factors!AD30</f>
        <v>103</v>
      </c>
      <c r="AF6">
        <f>factors!AE30</f>
        <v>129</v>
      </c>
      <c r="AG6">
        <f>factors!AF30</f>
        <v>136</v>
      </c>
      <c r="AH6">
        <f>factors!AG30</f>
        <v>331</v>
      </c>
      <c r="AI6">
        <f>factors!AH30</f>
        <v>357</v>
      </c>
      <c r="AJ6">
        <f>factors!AI30</f>
        <v>44</v>
      </c>
      <c r="AK6">
        <f>factors!AJ30</f>
        <v>169</v>
      </c>
      <c r="AL6">
        <f>factors!AK30</f>
        <v>4</v>
      </c>
      <c r="AM6">
        <f>factors!AL30</f>
        <v>213</v>
      </c>
      <c r="AN6">
        <f>factors!AM30</f>
        <v>232</v>
      </c>
      <c r="AO6">
        <f>factors!AN30</f>
        <v>143</v>
      </c>
      <c r="AP6">
        <f>factors!AO30</f>
        <v>239</v>
      </c>
      <c r="AQ6">
        <f>factors!AP30</f>
        <v>287</v>
      </c>
      <c r="AR6">
        <f>factors!AQ30</f>
        <v>176</v>
      </c>
      <c r="AS6">
        <f>factors!AR30</f>
        <v>283</v>
      </c>
      <c r="AT6">
        <f>factors!AS30</f>
        <v>257</v>
      </c>
      <c r="AU6">
        <f>factors!AT30</f>
        <v>206</v>
      </c>
      <c r="AV6">
        <f>factors!AU30</f>
        <v>335</v>
      </c>
      <c r="AW6">
        <f>factors!AV30</f>
        <v>184</v>
      </c>
      <c r="AX6">
        <f>factors!AW30</f>
        <v>221</v>
      </c>
      <c r="AY6">
        <f>factors!AX30</f>
        <v>149</v>
      </c>
    </row>
    <row r="7" spans="1:51" x14ac:dyDescent="0.55000000000000004">
      <c r="A7">
        <v>6</v>
      </c>
      <c r="B7">
        <v>126.14</v>
      </c>
      <c r="C7">
        <v>0.14000000000000001</v>
      </c>
      <c r="D7">
        <f>factors!C31</f>
        <v>249</v>
      </c>
      <c r="E7">
        <f>factors!D31</f>
        <v>25</v>
      </c>
      <c r="F7">
        <f>factors!E31</f>
        <v>287</v>
      </c>
      <c r="G7">
        <f>factors!F31</f>
        <v>38</v>
      </c>
      <c r="H7">
        <f>factors!G31</f>
        <v>28</v>
      </c>
      <c r="I7">
        <f>factors!H31</f>
        <v>88</v>
      </c>
      <c r="J7">
        <f>factors!I31</f>
        <v>148</v>
      </c>
      <c r="K7">
        <f>factors!J31</f>
        <v>54</v>
      </c>
      <c r="L7">
        <f>factors!K31</f>
        <v>161</v>
      </c>
      <c r="M7">
        <f>factors!L31</f>
        <v>249</v>
      </c>
      <c r="N7">
        <f>factors!M31</f>
        <v>28</v>
      </c>
      <c r="O7">
        <f>factors!N31</f>
        <v>309</v>
      </c>
      <c r="P7">
        <f>factors!O31</f>
        <v>142</v>
      </c>
      <c r="Q7">
        <f>factors!P31</f>
        <v>312</v>
      </c>
      <c r="R7">
        <f>factors!Q31</f>
        <v>211</v>
      </c>
      <c r="S7">
        <f>factors!R31</f>
        <v>199</v>
      </c>
      <c r="T7">
        <f>factors!S31</f>
        <v>158</v>
      </c>
      <c r="U7">
        <f>factors!T31</f>
        <v>233</v>
      </c>
      <c r="V7">
        <f>factors!U31</f>
        <v>101</v>
      </c>
      <c r="W7">
        <f>factors!V31</f>
        <v>95</v>
      </c>
      <c r="X7">
        <f>factors!W31</f>
        <v>290</v>
      </c>
      <c r="Y7">
        <f>factors!X31</f>
        <v>293</v>
      </c>
      <c r="Z7">
        <f>factors!Y31</f>
        <v>129</v>
      </c>
      <c r="AA7">
        <f>factors!Z31</f>
        <v>240</v>
      </c>
      <c r="AB7">
        <f>factors!AA31</f>
        <v>44</v>
      </c>
      <c r="AC7">
        <f>factors!AB31</f>
        <v>161</v>
      </c>
      <c r="AD7">
        <f>factors!AC31</f>
        <v>274</v>
      </c>
      <c r="AE7">
        <f>factors!AD31</f>
        <v>142</v>
      </c>
      <c r="AF7">
        <f>factors!AE31</f>
        <v>309</v>
      </c>
      <c r="AG7">
        <f>factors!AF31</f>
        <v>32</v>
      </c>
      <c r="AH7">
        <f>factors!AG31</f>
        <v>240</v>
      </c>
      <c r="AI7">
        <f>factors!AH31</f>
        <v>180</v>
      </c>
      <c r="AJ7">
        <f>factors!AI31</f>
        <v>117</v>
      </c>
      <c r="AK7">
        <f>factors!AJ31</f>
        <v>306</v>
      </c>
      <c r="AL7">
        <f>factors!AK31</f>
        <v>57</v>
      </c>
      <c r="AM7">
        <f>factors!AL31</f>
        <v>303</v>
      </c>
      <c r="AN7">
        <f>factors!AM31</f>
        <v>252</v>
      </c>
      <c r="AO7">
        <f>factors!AN31</f>
        <v>189</v>
      </c>
      <c r="AP7">
        <f>factors!AO31</f>
        <v>145</v>
      </c>
      <c r="AQ7">
        <f>factors!AP31</f>
        <v>287</v>
      </c>
      <c r="AR7">
        <f>factors!AQ31</f>
        <v>167</v>
      </c>
      <c r="AS7">
        <f>factors!AR31</f>
        <v>85</v>
      </c>
      <c r="AT7">
        <f>factors!AS31</f>
        <v>303</v>
      </c>
      <c r="AU7">
        <f>factors!AT31</f>
        <v>9</v>
      </c>
      <c r="AV7">
        <f>factors!AU31</f>
        <v>306</v>
      </c>
      <c r="AW7">
        <f>factors!AV31</f>
        <v>233</v>
      </c>
      <c r="AX7">
        <f>factors!AW31</f>
        <v>287</v>
      </c>
      <c r="AY7">
        <f>factors!AX31</f>
        <v>265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7225-FF00-46AF-9A5A-D05CF10EA1EE}">
  <dimension ref="A1:KI167"/>
  <sheetViews>
    <sheetView zoomScaleNormal="100" workbookViewId="0">
      <selection activeCell="B1" sqref="B1"/>
    </sheetView>
  </sheetViews>
  <sheetFormatPr defaultRowHeight="14.4" x14ac:dyDescent="0.55000000000000004"/>
  <cols>
    <col min="1" max="1" width="13.1015625" customWidth="1"/>
    <col min="2" max="2" width="4.7890625" bestFit="1" customWidth="1"/>
    <col min="3" max="3" width="8.89453125" bestFit="1" customWidth="1"/>
    <col min="4" max="4" width="10.05078125" bestFit="1" customWidth="1"/>
    <col min="5" max="5" width="15.47265625" bestFit="1" customWidth="1"/>
    <col min="6" max="6" width="7.41796875" bestFit="1" customWidth="1"/>
    <col min="7" max="7" width="14.26171875" bestFit="1" customWidth="1"/>
    <col min="8" max="16" width="12.05078125" bestFit="1" customWidth="1"/>
    <col min="17" max="55" width="12.9453125" bestFit="1" customWidth="1"/>
    <col min="56" max="64" width="12.05078125" bestFit="1" customWidth="1"/>
    <col min="65" max="103" width="12.9453125" bestFit="1" customWidth="1"/>
    <col min="104" max="112" width="12.05078125" bestFit="1" customWidth="1"/>
    <col min="113" max="151" width="12.9453125" bestFit="1" customWidth="1"/>
    <col min="152" max="160" width="12.05078125" bestFit="1" customWidth="1"/>
    <col min="161" max="199" width="12.9453125" bestFit="1" customWidth="1"/>
    <col min="200" max="208" width="12.05078125" bestFit="1" customWidth="1"/>
    <col min="209" max="247" width="12.9453125" bestFit="1" customWidth="1"/>
    <col min="248" max="256" width="12.05078125" bestFit="1" customWidth="1"/>
    <col min="257" max="295" width="12.9453125" bestFit="1" customWidth="1"/>
  </cols>
  <sheetData>
    <row r="1" spans="1:295" x14ac:dyDescent="0.55000000000000004">
      <c r="A1" t="s">
        <v>361</v>
      </c>
      <c r="B1" t="s">
        <v>0</v>
      </c>
      <c r="C1" t="s">
        <v>362</v>
      </c>
      <c r="D1" t="s">
        <v>363</v>
      </c>
      <c r="E1" t="s">
        <v>368</v>
      </c>
      <c r="F1" t="s">
        <v>1</v>
      </c>
      <c r="G1" t="s">
        <v>709</v>
      </c>
      <c r="H1" t="s">
        <v>17</v>
      </c>
      <c r="I1" t="s">
        <v>18</v>
      </c>
      <c r="J1" t="s">
        <v>21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  <c r="AR1" t="s">
        <v>121</v>
      </c>
      <c r="AS1" t="s">
        <v>122</v>
      </c>
      <c r="AT1" t="s">
        <v>123</v>
      </c>
      <c r="AU1" t="s">
        <v>124</v>
      </c>
      <c r="AV1" t="s">
        <v>125</v>
      </c>
      <c r="AW1" t="s">
        <v>126</v>
      </c>
      <c r="AX1" t="s">
        <v>127</v>
      </c>
      <c r="AY1" t="s">
        <v>128</v>
      </c>
      <c r="AZ1" t="s">
        <v>129</v>
      </c>
      <c r="BA1" t="s">
        <v>130</v>
      </c>
      <c r="BB1" t="s">
        <v>131</v>
      </c>
      <c r="BC1" t="s">
        <v>132</v>
      </c>
      <c r="BD1" t="s">
        <v>19</v>
      </c>
      <c r="BE1" t="s">
        <v>20</v>
      </c>
      <c r="BF1" t="s">
        <v>22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133</v>
      </c>
      <c r="BY1" t="s">
        <v>134</v>
      </c>
      <c r="BZ1" t="s">
        <v>135</v>
      </c>
      <c r="CA1" t="s">
        <v>136</v>
      </c>
      <c r="CB1" t="s">
        <v>137</v>
      </c>
      <c r="CC1" t="s">
        <v>138</v>
      </c>
      <c r="CD1" t="s">
        <v>139</v>
      </c>
      <c r="CE1" t="s">
        <v>140</v>
      </c>
      <c r="CF1" t="s">
        <v>141</v>
      </c>
      <c r="CG1" t="s">
        <v>142</v>
      </c>
      <c r="CH1" t="s">
        <v>143</v>
      </c>
      <c r="CI1" t="s">
        <v>144</v>
      </c>
      <c r="CJ1" t="s">
        <v>145</v>
      </c>
      <c r="CK1" t="s">
        <v>146</v>
      </c>
      <c r="CL1" t="s">
        <v>147</v>
      </c>
      <c r="CM1" t="s">
        <v>148</v>
      </c>
      <c r="CN1" t="s">
        <v>149</v>
      </c>
      <c r="CO1" t="s">
        <v>150</v>
      </c>
      <c r="CP1" t="s">
        <v>151</v>
      </c>
      <c r="CQ1" t="s">
        <v>152</v>
      </c>
      <c r="CR1" t="s">
        <v>153</v>
      </c>
      <c r="CS1" t="s">
        <v>154</v>
      </c>
      <c r="CT1" t="s">
        <v>155</v>
      </c>
      <c r="CU1" t="s">
        <v>156</v>
      </c>
      <c r="CV1" t="s">
        <v>157</v>
      </c>
      <c r="CW1" t="s">
        <v>158</v>
      </c>
      <c r="CX1" t="s">
        <v>159</v>
      </c>
      <c r="CY1" t="s">
        <v>160</v>
      </c>
      <c r="CZ1" t="s">
        <v>161</v>
      </c>
      <c r="DA1" t="s">
        <v>162</v>
      </c>
      <c r="DB1" t="s">
        <v>163</v>
      </c>
      <c r="DC1" t="s">
        <v>164</v>
      </c>
      <c r="DD1" t="s">
        <v>165</v>
      </c>
      <c r="DE1" t="s">
        <v>166</v>
      </c>
      <c r="DF1" t="s">
        <v>167</v>
      </c>
      <c r="DG1" t="s">
        <v>168</v>
      </c>
      <c r="DH1" t="s">
        <v>169</v>
      </c>
      <c r="DI1" t="s">
        <v>170</v>
      </c>
      <c r="DJ1" t="s">
        <v>171</v>
      </c>
      <c r="DK1" t="s">
        <v>172</v>
      </c>
      <c r="DL1" t="s">
        <v>173</v>
      </c>
      <c r="DM1" t="s">
        <v>174</v>
      </c>
      <c r="DN1" t="s">
        <v>175</v>
      </c>
      <c r="DO1" t="s">
        <v>176</v>
      </c>
      <c r="DP1" t="s">
        <v>177</v>
      </c>
      <c r="DQ1" t="s">
        <v>178</v>
      </c>
      <c r="DR1" t="s">
        <v>179</v>
      </c>
      <c r="DS1" t="s">
        <v>180</v>
      </c>
      <c r="DT1" t="s">
        <v>181</v>
      </c>
      <c r="DU1" t="s">
        <v>182</v>
      </c>
      <c r="DV1" t="s">
        <v>183</v>
      </c>
      <c r="DW1" t="s">
        <v>184</v>
      </c>
      <c r="DX1" t="s">
        <v>185</v>
      </c>
      <c r="DY1" t="s">
        <v>186</v>
      </c>
      <c r="DZ1" t="s">
        <v>187</v>
      </c>
      <c r="EA1" t="s">
        <v>188</v>
      </c>
      <c r="EB1" t="s">
        <v>189</v>
      </c>
      <c r="EC1" t="s">
        <v>190</v>
      </c>
      <c r="ED1" t="s">
        <v>191</v>
      </c>
      <c r="EE1" t="s">
        <v>192</v>
      </c>
      <c r="EF1" t="s">
        <v>193</v>
      </c>
      <c r="EG1" t="s">
        <v>194</v>
      </c>
      <c r="EH1" t="s">
        <v>195</v>
      </c>
      <c r="EI1" t="s">
        <v>196</v>
      </c>
      <c r="EJ1" t="s">
        <v>197</v>
      </c>
      <c r="EK1" t="s">
        <v>198</v>
      </c>
      <c r="EL1" t="s">
        <v>199</v>
      </c>
      <c r="EM1" t="s">
        <v>200</v>
      </c>
      <c r="EN1" t="s">
        <v>201</v>
      </c>
      <c r="EO1" t="s">
        <v>202</v>
      </c>
      <c r="EP1" t="s">
        <v>203</v>
      </c>
      <c r="EQ1" t="s">
        <v>204</v>
      </c>
      <c r="ER1" t="s">
        <v>205</v>
      </c>
      <c r="ES1" t="s">
        <v>206</v>
      </c>
      <c r="ET1" t="s">
        <v>207</v>
      </c>
      <c r="EU1" t="s">
        <v>208</v>
      </c>
      <c r="EV1" t="s">
        <v>209</v>
      </c>
      <c r="EW1" t="s">
        <v>210</v>
      </c>
      <c r="EX1" t="s">
        <v>211</v>
      </c>
      <c r="EY1" t="s">
        <v>212</v>
      </c>
      <c r="EZ1" t="s">
        <v>213</v>
      </c>
      <c r="FA1" t="s">
        <v>214</v>
      </c>
      <c r="FB1" t="s">
        <v>215</v>
      </c>
      <c r="FC1" t="s">
        <v>216</v>
      </c>
      <c r="FD1" t="s">
        <v>217</v>
      </c>
      <c r="FE1" t="s">
        <v>218</v>
      </c>
      <c r="FF1" t="s">
        <v>219</v>
      </c>
      <c r="FG1" t="s">
        <v>220</v>
      </c>
      <c r="FH1" t="s">
        <v>221</v>
      </c>
      <c r="FI1" t="s">
        <v>222</v>
      </c>
      <c r="FJ1" t="s">
        <v>223</v>
      </c>
      <c r="FK1" t="s">
        <v>224</v>
      </c>
      <c r="FL1" t="s">
        <v>225</v>
      </c>
      <c r="FM1" t="s">
        <v>226</v>
      </c>
      <c r="FN1" t="s">
        <v>227</v>
      </c>
      <c r="FO1" t="s">
        <v>228</v>
      </c>
      <c r="FP1" t="s">
        <v>229</v>
      </c>
      <c r="FQ1" t="s">
        <v>230</v>
      </c>
      <c r="FR1" t="s">
        <v>231</v>
      </c>
      <c r="FS1" t="s">
        <v>232</v>
      </c>
      <c r="FT1" t="s">
        <v>233</v>
      </c>
      <c r="FU1" t="s">
        <v>234</v>
      </c>
      <c r="FV1" t="s">
        <v>235</v>
      </c>
      <c r="FW1" t="s">
        <v>236</v>
      </c>
      <c r="FX1" t="s">
        <v>237</v>
      </c>
      <c r="FY1" t="s">
        <v>238</v>
      </c>
      <c r="FZ1" t="s">
        <v>239</v>
      </c>
      <c r="GA1" t="s">
        <v>240</v>
      </c>
      <c r="GB1" t="s">
        <v>241</v>
      </c>
      <c r="GC1" t="s">
        <v>242</v>
      </c>
      <c r="GD1" t="s">
        <v>243</v>
      </c>
      <c r="GE1" t="s">
        <v>244</v>
      </c>
      <c r="GF1" t="s">
        <v>245</v>
      </c>
      <c r="GG1" t="s">
        <v>246</v>
      </c>
      <c r="GH1" t="s">
        <v>247</v>
      </c>
      <c r="GI1" t="s">
        <v>248</v>
      </c>
      <c r="GJ1" t="s">
        <v>249</v>
      </c>
      <c r="GK1" t="s">
        <v>250</v>
      </c>
      <c r="GL1" t="s">
        <v>251</v>
      </c>
      <c r="GM1" t="s">
        <v>252</v>
      </c>
      <c r="GN1" t="s">
        <v>253</v>
      </c>
      <c r="GO1" t="s">
        <v>254</v>
      </c>
      <c r="GP1" t="s">
        <v>255</v>
      </c>
      <c r="GQ1" t="s">
        <v>256</v>
      </c>
      <c r="GR1" t="s">
        <v>257</v>
      </c>
      <c r="GS1" t="s">
        <v>258</v>
      </c>
      <c r="GT1" t="s">
        <v>259</v>
      </c>
      <c r="GU1" t="s">
        <v>260</v>
      </c>
      <c r="GV1" t="s">
        <v>261</v>
      </c>
      <c r="GW1" t="s">
        <v>262</v>
      </c>
      <c r="GX1" t="s">
        <v>263</v>
      </c>
      <c r="GY1" t="s">
        <v>264</v>
      </c>
      <c r="GZ1" t="s">
        <v>265</v>
      </c>
      <c r="HA1" t="s">
        <v>266</v>
      </c>
      <c r="HB1" t="s">
        <v>267</v>
      </c>
      <c r="HC1" t="s">
        <v>268</v>
      </c>
      <c r="HD1" t="s">
        <v>269</v>
      </c>
      <c r="HE1" t="s">
        <v>270</v>
      </c>
      <c r="HF1" t="s">
        <v>271</v>
      </c>
      <c r="HG1" t="s">
        <v>272</v>
      </c>
      <c r="HH1" t="s">
        <v>273</v>
      </c>
      <c r="HI1" t="s">
        <v>274</v>
      </c>
      <c r="HJ1" t="s">
        <v>275</v>
      </c>
      <c r="HK1" t="s">
        <v>276</v>
      </c>
      <c r="HL1" t="s">
        <v>277</v>
      </c>
      <c r="HM1" t="s">
        <v>278</v>
      </c>
      <c r="HN1" t="s">
        <v>279</v>
      </c>
      <c r="HO1" t="s">
        <v>280</v>
      </c>
      <c r="HP1" t="s">
        <v>281</v>
      </c>
      <c r="HQ1" t="s">
        <v>282</v>
      </c>
      <c r="HR1" t="s">
        <v>283</v>
      </c>
      <c r="HS1" t="s">
        <v>284</v>
      </c>
      <c r="HT1" t="s">
        <v>285</v>
      </c>
      <c r="HU1" t="s">
        <v>286</v>
      </c>
      <c r="HV1" t="s">
        <v>287</v>
      </c>
      <c r="HW1" t="s">
        <v>288</v>
      </c>
      <c r="HX1" t="s">
        <v>289</v>
      </c>
      <c r="HY1" t="s">
        <v>290</v>
      </c>
      <c r="HZ1" t="s">
        <v>291</v>
      </c>
      <c r="IA1" t="s">
        <v>292</v>
      </c>
      <c r="IB1" t="s">
        <v>293</v>
      </c>
      <c r="IC1" t="s">
        <v>294</v>
      </c>
      <c r="ID1" t="s">
        <v>295</v>
      </c>
      <c r="IE1" t="s">
        <v>296</v>
      </c>
      <c r="IF1" t="s">
        <v>297</v>
      </c>
      <c r="IG1" t="s">
        <v>298</v>
      </c>
      <c r="IH1" t="s">
        <v>299</v>
      </c>
      <c r="II1" t="s">
        <v>300</v>
      </c>
      <c r="IJ1" t="s">
        <v>301</v>
      </c>
      <c r="IK1" t="s">
        <v>302</v>
      </c>
      <c r="IL1" t="s">
        <v>303</v>
      </c>
      <c r="IM1" t="s">
        <v>304</v>
      </c>
      <c r="IN1" t="s">
        <v>305</v>
      </c>
      <c r="IO1" t="s">
        <v>306</v>
      </c>
      <c r="IP1" t="s">
        <v>307</v>
      </c>
      <c r="IQ1" t="s">
        <v>308</v>
      </c>
      <c r="IR1" t="s">
        <v>309</v>
      </c>
      <c r="IS1" t="s">
        <v>310</v>
      </c>
      <c r="IT1" t="s">
        <v>311</v>
      </c>
      <c r="IU1" t="s">
        <v>312</v>
      </c>
      <c r="IV1" t="s">
        <v>313</v>
      </c>
      <c r="IW1" t="s">
        <v>314</v>
      </c>
      <c r="IX1" t="s">
        <v>315</v>
      </c>
      <c r="IY1" t="s">
        <v>316</v>
      </c>
      <c r="IZ1" t="s">
        <v>317</v>
      </c>
      <c r="JA1" t="s">
        <v>318</v>
      </c>
      <c r="JB1" t="s">
        <v>319</v>
      </c>
      <c r="JC1" t="s">
        <v>320</v>
      </c>
      <c r="JD1" t="s">
        <v>321</v>
      </c>
      <c r="JE1" t="s">
        <v>322</v>
      </c>
      <c r="JF1" t="s">
        <v>323</v>
      </c>
      <c r="JG1" t="s">
        <v>324</v>
      </c>
      <c r="JH1" t="s">
        <v>325</v>
      </c>
      <c r="JI1" t="s">
        <v>326</v>
      </c>
      <c r="JJ1" t="s">
        <v>327</v>
      </c>
      <c r="JK1" t="s">
        <v>328</v>
      </c>
      <c r="JL1" t="s">
        <v>329</v>
      </c>
      <c r="JM1" t="s">
        <v>330</v>
      </c>
      <c r="JN1" t="s">
        <v>331</v>
      </c>
      <c r="JO1" t="s">
        <v>332</v>
      </c>
      <c r="JP1" t="s">
        <v>333</v>
      </c>
      <c r="JQ1" t="s">
        <v>334</v>
      </c>
      <c r="JR1" t="s">
        <v>335</v>
      </c>
      <c r="JS1" t="s">
        <v>336</v>
      </c>
      <c r="JT1" t="s">
        <v>337</v>
      </c>
      <c r="JU1" t="s">
        <v>338</v>
      </c>
      <c r="JV1" t="s">
        <v>339</v>
      </c>
      <c r="JW1" t="s">
        <v>340</v>
      </c>
      <c r="JX1" t="s">
        <v>341</v>
      </c>
      <c r="JY1" t="s">
        <v>342</v>
      </c>
      <c r="JZ1" t="s">
        <v>343</v>
      </c>
      <c r="KA1" t="s">
        <v>344</v>
      </c>
      <c r="KB1" t="s">
        <v>345</v>
      </c>
      <c r="KC1" t="s">
        <v>346</v>
      </c>
      <c r="KD1" t="s">
        <v>347</v>
      </c>
      <c r="KE1" t="s">
        <v>348</v>
      </c>
      <c r="KF1" t="s">
        <v>349</v>
      </c>
      <c r="KG1" t="s">
        <v>350</v>
      </c>
      <c r="KH1" t="s">
        <v>351</v>
      </c>
      <c r="KI1" t="s">
        <v>352</v>
      </c>
    </row>
    <row r="2" spans="1:295" x14ac:dyDescent="0.55000000000000004">
      <c r="A2" t="s">
        <v>376</v>
      </c>
      <c r="B2">
        <v>1</v>
      </c>
      <c r="C2">
        <v>230</v>
      </c>
      <c r="D2" t="s">
        <v>377</v>
      </c>
      <c r="E2">
        <v>3.3630000000000001E-3</v>
      </c>
      <c r="F2">
        <v>1</v>
      </c>
      <c r="G2">
        <f>VLOOKUP(D2,demand_forecasted!$A$2:$G$11,2)</f>
        <v>11098</v>
      </c>
      <c r="H2" s="3">
        <f t="shared" ref="H2:H23" si="0">G2*E2/100</f>
        <v>0.37322574000000003</v>
      </c>
      <c r="I2" s="3">
        <f>$H2*factors!C$3</f>
        <v>0.41316089418000002</v>
      </c>
      <c r="J2" s="3">
        <f>$H2*factors!D$3</f>
        <v>0.39824679360960002</v>
      </c>
      <c r="K2" s="3">
        <f>$H2*factors!E$3</f>
        <v>0.39139436902320007</v>
      </c>
      <c r="L2" s="3">
        <f>$H2*factors!F$3</f>
        <v>0.3901851176256001</v>
      </c>
      <c r="M2" s="3">
        <f>$H2*factors!G$3</f>
        <v>0.38978203382640003</v>
      </c>
      <c r="N2" s="3">
        <f>$H2*factors!H$3</f>
        <v>0.40106838020400004</v>
      </c>
      <c r="O2" s="3">
        <f>$H2*factors!I$3</f>
        <v>0.40993622378640004</v>
      </c>
      <c r="P2" s="3">
        <f>$H2*factors!J$3</f>
        <v>0.41477322937680006</v>
      </c>
      <c r="Q2" s="3">
        <f>$H2*factors!K$3</f>
        <v>0.38937895002720002</v>
      </c>
      <c r="R2" s="3">
        <f>$H2*factors!L$3</f>
        <v>0.38292960924000002</v>
      </c>
      <c r="S2" s="3">
        <f>$H2*factors!M$3</f>
        <v>0.39864987740880004</v>
      </c>
      <c r="T2" s="3">
        <f>$H2*factors!N$3</f>
        <v>0.41235472658160005</v>
      </c>
      <c r="U2" s="3">
        <f>$H2*factors!O$3</f>
        <v>0.39058820142480005</v>
      </c>
      <c r="V2" s="3">
        <f>$H2*factors!P$3</f>
        <v>0.40630846959360006</v>
      </c>
      <c r="W2" s="3">
        <f>$H2*factors!Q$3</f>
        <v>0.40993622378640004</v>
      </c>
      <c r="X2" s="3">
        <f>$H2*factors!R$3</f>
        <v>0.39220053662160004</v>
      </c>
      <c r="Y2" s="3">
        <f>$H2*factors!S$3</f>
        <v>0.38857278242880006</v>
      </c>
      <c r="Z2" s="3">
        <f>$H2*factors!T$3</f>
        <v>0.41920715116800011</v>
      </c>
      <c r="AA2" s="3">
        <f>$H2*factors!U$3</f>
        <v>0.39582829081440002</v>
      </c>
      <c r="AB2" s="3">
        <f>$H2*factors!V$3</f>
        <v>0.39623137461360008</v>
      </c>
      <c r="AC2" s="3">
        <f>$H2*factors!W$3</f>
        <v>0.39663445841280009</v>
      </c>
      <c r="AD2" s="3">
        <f>$H2*factors!X$3</f>
        <v>0.38816969862960005</v>
      </c>
      <c r="AE2" s="3">
        <f>$H2*factors!Y$3</f>
        <v>0.39139436902320007</v>
      </c>
      <c r="AF2" s="3">
        <f>$H2*factors!Z$3</f>
        <v>0.39945604500720006</v>
      </c>
      <c r="AG2" s="3">
        <f>$H2*factors!AA$3</f>
        <v>0.38937895002720002</v>
      </c>
      <c r="AH2" s="3">
        <f>$H2*factors!AB$3</f>
        <v>0.38776661483040009</v>
      </c>
      <c r="AI2" s="3">
        <f>$H2*factors!AC$3</f>
        <v>0.40026221260560008</v>
      </c>
      <c r="AJ2" s="3">
        <f>$H2*factors!AD$3</f>
        <v>0.41557939697520002</v>
      </c>
      <c r="AK2" s="3">
        <f>$H2*factors!AE$3</f>
        <v>0.39985912880640007</v>
      </c>
      <c r="AL2" s="3">
        <f>$H2*factors!AF$3</f>
        <v>0.3841388606376</v>
      </c>
      <c r="AM2" s="3">
        <f>$H2*factors!AG$3</f>
        <v>0.39502212321600005</v>
      </c>
      <c r="AN2" s="3">
        <f>$H2*factors!AH$3</f>
        <v>0.38857278242880006</v>
      </c>
      <c r="AO2" s="3">
        <f>$H2*factors!AI$3</f>
        <v>0.40711463719200003</v>
      </c>
      <c r="AP2" s="3">
        <f>$H2*factors!AJ$3</f>
        <v>0.3901851176256001</v>
      </c>
      <c r="AQ2" s="3">
        <f>$H2*factors!AK$3</f>
        <v>0.40268071540080008</v>
      </c>
      <c r="AR2" s="3">
        <f>$H2*factors!AL$3</f>
        <v>0.39381287181840008</v>
      </c>
      <c r="AS2" s="3">
        <f>$H2*factors!AM$3</f>
        <v>0.3841388606376</v>
      </c>
      <c r="AT2" s="3">
        <f>$H2*factors!AN$3</f>
        <v>0.39623137461360008</v>
      </c>
      <c r="AU2" s="3">
        <f>$H2*factors!AO$3</f>
        <v>0.41961023496720001</v>
      </c>
      <c r="AV2" s="3">
        <f>$H2*factors!AP$3</f>
        <v>0.39663445841280009</v>
      </c>
      <c r="AW2" s="3">
        <f>$H2*factors!AQ$3</f>
        <v>0.39260362042079999</v>
      </c>
      <c r="AX2" s="3">
        <f>$H2*factors!AR$3</f>
        <v>0.41517631317600007</v>
      </c>
      <c r="AY2" s="3">
        <f>$H2*factors!AS$3</f>
        <v>0.38292960924000002</v>
      </c>
      <c r="AZ2" s="3">
        <f>$H2*factors!AT$3</f>
        <v>0.41033930758560011</v>
      </c>
      <c r="BA2" s="3">
        <f>$H2*factors!AU$3</f>
        <v>0.4014714640032</v>
      </c>
      <c r="BB2" s="3">
        <f>$H2*factors!AV$3</f>
        <v>0.39623137461360008</v>
      </c>
      <c r="BC2" s="3">
        <f>$H2*factors!AW$3</f>
        <v>0.41920715116800011</v>
      </c>
      <c r="BD2" s="3">
        <f>$H2*factors!AX$3</f>
        <v>0.38696044723200002</v>
      </c>
      <c r="BE2" s="3">
        <f>$H2*factors!AY$3</f>
        <v>0.45493978351559999</v>
      </c>
      <c r="BF2" s="3">
        <f>$H2*factors!AZ$3</f>
        <v>0.42367093101840003</v>
      </c>
      <c r="BG2" s="3">
        <f>$H2*factors!BA$3</f>
        <v>0.42983662024319996</v>
      </c>
      <c r="BH2" s="3">
        <f>$H2*factors!BB$3</f>
        <v>0.43556190309480003</v>
      </c>
      <c r="BI2" s="3">
        <f>$H2*factors!BC$3</f>
        <v>0.45141653252999997</v>
      </c>
      <c r="BJ2" s="3">
        <f>$H2*factors!BD$3</f>
        <v>0.4311578393628</v>
      </c>
      <c r="BK2" s="3">
        <f>$H2*factors!BE$3</f>
        <v>0.43203865210919995</v>
      </c>
      <c r="BL2" s="3">
        <f>$H2*factors!BF$3</f>
        <v>0.42719418200399994</v>
      </c>
      <c r="BM2" s="3">
        <f>$H2*factors!BG$3</f>
        <v>0.45626100263520003</v>
      </c>
      <c r="BN2" s="3">
        <f>$H2*factors!BH$3</f>
        <v>0.45053571978359996</v>
      </c>
      <c r="BO2" s="3">
        <f>$H2*factors!BI$3</f>
        <v>0.42367093101840003</v>
      </c>
      <c r="BP2" s="3">
        <f>$H2*factors!BJ$3</f>
        <v>0.4223497118988</v>
      </c>
      <c r="BQ2" s="3">
        <f>$H2*factors!BK$3</f>
        <v>0.42939621386999999</v>
      </c>
      <c r="BR2" s="3">
        <f>$H2*factors!BL$3</f>
        <v>0.44481043693200001</v>
      </c>
      <c r="BS2" s="3">
        <f>$H2*factors!BM$3</f>
        <v>0.4518569389032</v>
      </c>
      <c r="BT2" s="3">
        <f>$H2*factors!BN$3</f>
        <v>0.45317815802279998</v>
      </c>
      <c r="BU2" s="3">
        <f>$H2*factors!BO$3</f>
        <v>0.46066506636720006</v>
      </c>
      <c r="BV2" s="3">
        <f>$H2*factors!BP$3</f>
        <v>0.42851540112359998</v>
      </c>
      <c r="BW2" s="3">
        <f>$H2*factors!BQ$3</f>
        <v>0.43820434133399999</v>
      </c>
      <c r="BX2" s="3">
        <f>$H2*factors!BR$3</f>
        <v>0.42983662024319996</v>
      </c>
      <c r="BY2" s="3">
        <f>$H2*factors!BS$3</f>
        <v>0.44965490703719996</v>
      </c>
      <c r="BZ2" s="3">
        <f>$H2*factors!BT$3</f>
        <v>0.44128718594639998</v>
      </c>
      <c r="CA2" s="3">
        <f>$H2*factors!BU$3</f>
        <v>0.43556190309480003</v>
      </c>
      <c r="CB2" s="3">
        <f>$H2*factors!BV$3</f>
        <v>0.42146889915239999</v>
      </c>
      <c r="CC2" s="3">
        <f>$H2*factors!BW$3</f>
        <v>0.43380027760200002</v>
      </c>
      <c r="CD2" s="3">
        <f>$H2*factors!BX$3</f>
        <v>0.43512149672160005</v>
      </c>
      <c r="CE2" s="3">
        <f>$H2*factors!BY$3</f>
        <v>0.44128718594639998</v>
      </c>
      <c r="CF2" s="3">
        <f>$H2*factors!BZ$3</f>
        <v>0.43468109034840002</v>
      </c>
      <c r="CG2" s="3">
        <f>$H2*factors!CA$3</f>
        <v>0.42014768003279995</v>
      </c>
      <c r="CH2" s="3">
        <f>$H2*factors!CB$3</f>
        <v>0.42058808640599993</v>
      </c>
      <c r="CI2" s="3">
        <f>$H2*factors!CC$3</f>
        <v>0.41838605454000005</v>
      </c>
      <c r="CJ2" s="3">
        <f>$H2*factors!CD$3</f>
        <v>0.43556190309480003</v>
      </c>
      <c r="CK2" s="3">
        <f>$H2*factors!CE$3</f>
        <v>0.45493978351559999</v>
      </c>
      <c r="CL2" s="3">
        <f>$H2*factors!CF$3</f>
        <v>0.42631336925759999</v>
      </c>
      <c r="CM2" s="3">
        <f>$H2*factors!CG$3</f>
        <v>0.43644271584119998</v>
      </c>
      <c r="CN2" s="3">
        <f>$H2*factors!CH$3</f>
        <v>0.42190930552559996</v>
      </c>
      <c r="CO2" s="3">
        <f>$H2*factors!CI$3</f>
        <v>0.42499215013799996</v>
      </c>
      <c r="CP2" s="3">
        <f>$H2*factors!CJ$3</f>
        <v>0.44525084330519993</v>
      </c>
      <c r="CQ2" s="3">
        <f>$H2*factors!CK$3</f>
        <v>0.43203865210919995</v>
      </c>
      <c r="CR2" s="3">
        <f>$H2*factors!CL$3</f>
        <v>0.44569124967840001</v>
      </c>
      <c r="CS2" s="3">
        <f>$H2*factors!CM$3</f>
        <v>0.4597842536208</v>
      </c>
      <c r="CT2" s="3">
        <f>$H2*factors!CN$3</f>
        <v>0.45449937714240002</v>
      </c>
      <c r="CU2" s="3">
        <f>$H2*factors!CO$3</f>
        <v>0.44437003055879998</v>
      </c>
      <c r="CV2" s="3">
        <f>$H2*factors!CP$3</f>
        <v>0.46242669186000002</v>
      </c>
      <c r="CW2" s="3">
        <f>$H2*factors!CQ$3</f>
        <v>0.43732352858760004</v>
      </c>
      <c r="CX2" s="3">
        <f>$H2*factors!CR$3</f>
        <v>0.43071743298960002</v>
      </c>
      <c r="CY2" s="3">
        <f>$H2*factors!CS$3</f>
        <v>0.42675377563079997</v>
      </c>
      <c r="CZ2" s="3">
        <f>$H2*factors!CT$3</f>
        <v>0.42058808640599993</v>
      </c>
      <c r="DA2" s="3">
        <f>$H2*factors!CU$3</f>
        <v>0.43667411579999998</v>
      </c>
      <c r="DB2" s="3">
        <f>$H2*factors!CV$3</f>
        <v>0.46488998174400004</v>
      </c>
      <c r="DC2" s="3">
        <f>$H2*factors!CW$3</f>
        <v>0.44518366267199999</v>
      </c>
      <c r="DD2" s="3">
        <f>$H2*factors!CX$3</f>
        <v>0.44204856645599999</v>
      </c>
      <c r="DE2" s="3">
        <f>$H2*factors!CY$3</f>
        <v>0.45503682220800007</v>
      </c>
      <c r="DF2" s="3">
        <f>$H2*factors!CZ$3</f>
        <v>0.45414108043199997</v>
      </c>
      <c r="DG2" s="3">
        <f>$H2*factors!DA$3</f>
        <v>0.45234959688000004</v>
      </c>
      <c r="DH2" s="3">
        <f>$H2*factors!DB$3</f>
        <v>0.45234959688000004</v>
      </c>
      <c r="DI2" s="3">
        <f>$H2*factors!DC$3</f>
        <v>0.43533050313599997</v>
      </c>
      <c r="DJ2" s="3">
        <f>$H2*factors!DD$3</f>
        <v>0.46130701464000001</v>
      </c>
      <c r="DK2" s="3">
        <f>$H2*factors!DE$3</f>
        <v>0.46130701464000001</v>
      </c>
      <c r="DL2" s="3">
        <f>$H2*factors!DF$3</f>
        <v>0.45593256398400006</v>
      </c>
      <c r="DM2" s="3">
        <f>$H2*factors!DG$3</f>
        <v>0.42950818159199999</v>
      </c>
      <c r="DN2" s="3">
        <f>$H2*factors!DH$3</f>
        <v>0.45055811332800005</v>
      </c>
      <c r="DO2" s="3">
        <f>$H2*factors!DI$3</f>
        <v>0.465337852632</v>
      </c>
      <c r="DP2" s="3">
        <f>$H2*factors!DJ$3</f>
        <v>0.46130701464000001</v>
      </c>
      <c r="DQ2" s="3">
        <f>$H2*factors!DK$3</f>
        <v>0.43980921201599998</v>
      </c>
      <c r="DR2" s="3">
        <f>$H2*factors!DL$3</f>
        <v>0.43488263224800006</v>
      </c>
      <c r="DS2" s="3">
        <f>$H2*factors!DM$3</f>
        <v>0.46981656151200002</v>
      </c>
      <c r="DT2" s="3">
        <f>$H2*factors!DN$3</f>
        <v>0.44160069556800002</v>
      </c>
      <c r="DU2" s="3">
        <f>$H2*factors!DO$3</f>
        <v>0.462202756416</v>
      </c>
      <c r="DV2" s="3">
        <f>$H2*factors!DP$3</f>
        <v>0.45145385510400005</v>
      </c>
      <c r="DW2" s="3">
        <f>$H2*factors!DQ$3</f>
        <v>0.43085179425600001</v>
      </c>
      <c r="DX2" s="3">
        <f>$H2*factors!DR$3</f>
        <v>0.45638043487199997</v>
      </c>
      <c r="DY2" s="3">
        <f>$H2*factors!DS$3</f>
        <v>0.43309114869599996</v>
      </c>
      <c r="DZ2" s="3">
        <f>$H2*factors!DT$3</f>
        <v>0.463098498192</v>
      </c>
      <c r="EA2" s="3">
        <f>$H2*factors!DU$3</f>
        <v>0.43622624491199996</v>
      </c>
      <c r="EB2" s="3">
        <f>$H2*factors!DV$3</f>
        <v>0.4254773436</v>
      </c>
      <c r="EC2" s="3">
        <f>$H2*factors!DW$3</f>
        <v>0.45772404753599999</v>
      </c>
      <c r="ED2" s="3">
        <f>$H2*factors!DX$3</f>
        <v>0.42950818159199999</v>
      </c>
      <c r="EE2" s="3">
        <f>$H2*factors!DY$3</f>
        <v>0.43309114869599996</v>
      </c>
      <c r="EF2" s="3">
        <f>$H2*factors!DZ$3</f>
        <v>0.46981656151200002</v>
      </c>
      <c r="EG2" s="3">
        <f>$H2*factors!EA$3</f>
        <v>0.43891347023999999</v>
      </c>
      <c r="EH2" s="3">
        <f>$H2*factors!EB$3</f>
        <v>0.44025708290400001</v>
      </c>
      <c r="EI2" s="3">
        <f>$H2*factors!EC$3</f>
        <v>0.43936134112800002</v>
      </c>
      <c r="EJ2" s="3">
        <f>$H2*factors!ED$3</f>
        <v>0.42816456892800003</v>
      </c>
      <c r="EK2" s="3">
        <f>$H2*factors!EE$3</f>
        <v>0.45772404753599999</v>
      </c>
      <c r="EL2" s="3">
        <f>$H2*factors!EF$3</f>
        <v>0.43533050313599997</v>
      </c>
      <c r="EM2" s="3">
        <f>$H2*factors!EG$3</f>
        <v>0.45279746776799995</v>
      </c>
      <c r="EN2" s="3">
        <f>$H2*factors!EH$3</f>
        <v>0.4254773436</v>
      </c>
      <c r="EO2" s="3">
        <f>$H2*factors!EI$3</f>
        <v>0.43174753603199995</v>
      </c>
      <c r="EP2" s="3">
        <f>$H2*factors!EJ$3</f>
        <v>0.45548469309599998</v>
      </c>
      <c r="EQ2" s="3">
        <f>$H2*factors!EK$3</f>
        <v>0.44294430823199998</v>
      </c>
      <c r="ER2" s="3">
        <f>$H2*factors!EL$3</f>
        <v>0.46130701464000001</v>
      </c>
      <c r="ES2" s="3">
        <f>$H2*factors!EM$3</f>
        <v>0.45548469309599998</v>
      </c>
      <c r="ET2" s="3">
        <f>$H2*factors!EN$3</f>
        <v>0.46578572352000003</v>
      </c>
      <c r="EU2" s="3">
        <f>$H2*factors!EO$3</f>
        <v>0.47026443240000004</v>
      </c>
      <c r="EV2" s="3">
        <f>$H2*factors!EP$3</f>
        <v>0.44070495379199998</v>
      </c>
      <c r="EW2" s="3">
        <f>$H2*factors!EQ$3</f>
        <v>0.48472692982499999</v>
      </c>
      <c r="EX2" s="3">
        <f>$H2*factors!ER$3</f>
        <v>0.47959507590000011</v>
      </c>
      <c r="EY2" s="3">
        <f>$H2*factors!ES$3</f>
        <v>0.48939225157499994</v>
      </c>
      <c r="EZ2" s="3">
        <f>$H2*factors!ET$3</f>
        <v>0.48472692982499999</v>
      </c>
      <c r="FA2" s="3">
        <f>$H2*factors!EU$3</f>
        <v>0.44553822712499996</v>
      </c>
      <c r="FB2" s="3">
        <f>$H2*factors!EV$3</f>
        <v>0.46559911065000004</v>
      </c>
      <c r="FC2" s="3">
        <f>$H2*factors!EW$3</f>
        <v>0.47866201155000004</v>
      </c>
      <c r="FD2" s="3">
        <f>$H2*factors!EX$3</f>
        <v>0.46186685325000004</v>
      </c>
      <c r="FE2" s="3">
        <f>$H2*factors!EY$3</f>
        <v>0.48659305852500001</v>
      </c>
      <c r="FF2" s="3">
        <f>$H2*factors!EZ$3</f>
        <v>0.4870595907000001</v>
      </c>
      <c r="FG2" s="3">
        <f>$H2*factors!FA$3</f>
        <v>0.44553822712499996</v>
      </c>
      <c r="FH2" s="3">
        <f>$H2*factors!FB$3</f>
        <v>0.468864835875</v>
      </c>
      <c r="FI2" s="3">
        <f>$H2*factors!FC$3</f>
        <v>0.48845918722499998</v>
      </c>
      <c r="FJ2" s="3">
        <f>$H2*factors!FD$3</f>
        <v>0.468864835875</v>
      </c>
      <c r="FK2" s="3">
        <f>$H2*factors!FE$3</f>
        <v>0.47679588285000007</v>
      </c>
      <c r="FL2" s="3">
        <f>$H2*factors!FF$3</f>
        <v>0.47819547937500001</v>
      </c>
      <c r="FM2" s="3">
        <f>$H2*factors!FG$3</f>
        <v>0.48332733329999999</v>
      </c>
      <c r="FN2" s="3">
        <f>$H2*factors!FH$3</f>
        <v>0.452069677575</v>
      </c>
      <c r="FO2" s="3">
        <f>$H2*factors!FI$3</f>
        <v>0.48006160807499998</v>
      </c>
      <c r="FP2" s="3">
        <f>$H2*factors!FJ$3</f>
        <v>0.46653217500000005</v>
      </c>
      <c r="FQ2" s="3">
        <f>$H2*factors!FK$3</f>
        <v>0.46186685325000004</v>
      </c>
      <c r="FR2" s="3">
        <f>$H2*factors!FL$3</f>
        <v>0.47119749675</v>
      </c>
      <c r="FS2" s="3">
        <f>$H2*factors!FM$3</f>
        <v>0.46839830370000002</v>
      </c>
      <c r="FT2" s="3">
        <f>$H2*factors!FN$3</f>
        <v>0.47866201155000004</v>
      </c>
      <c r="FU2" s="3">
        <f>$H2*factors!FO$3</f>
        <v>0.46000072455000002</v>
      </c>
      <c r="FV2" s="3">
        <f>$H2*factors!FP$3</f>
        <v>0.45626846715000002</v>
      </c>
      <c r="FW2" s="3">
        <f>$H2*factors!FQ$3</f>
        <v>0.48845918722499998</v>
      </c>
      <c r="FX2" s="3">
        <f>$H2*factors!FR$3</f>
        <v>0.47959507590000011</v>
      </c>
      <c r="FY2" s="3">
        <f>$H2*factors!FS$3</f>
        <v>0.46979790022499995</v>
      </c>
      <c r="FZ2" s="3">
        <f>$H2*factors!FT$3</f>
        <v>0.44647129147500003</v>
      </c>
      <c r="GA2" s="3">
        <f>$H2*factors!FU$3</f>
        <v>0.46979790022499995</v>
      </c>
      <c r="GB2" s="3">
        <f>$H2*factors!FV$3</f>
        <v>0.4870595907000001</v>
      </c>
      <c r="GC2" s="3">
        <f>$H2*factors!FW$3</f>
        <v>0.45626846715000002</v>
      </c>
      <c r="GD2" s="3">
        <f>$H2*factors!FX$3</f>
        <v>0.46419951412499999</v>
      </c>
      <c r="GE2" s="3">
        <f>$H2*factors!FY$3</f>
        <v>0.46419951412499999</v>
      </c>
      <c r="GF2" s="3">
        <f>$H2*factors!FZ$3</f>
        <v>0.46279991760000005</v>
      </c>
      <c r="GG2" s="3">
        <f>$H2*factors!GA$3</f>
        <v>0.44460516277500001</v>
      </c>
      <c r="GH2" s="3">
        <f>$H2*factors!GB$3</f>
        <v>0.47306362545000008</v>
      </c>
      <c r="GI2" s="3">
        <f>$H2*factors!GC$3</f>
        <v>0.44367209842500005</v>
      </c>
      <c r="GJ2" s="3">
        <f>$H2*factors!GD$3</f>
        <v>0.44460516277500001</v>
      </c>
      <c r="GK2" s="3">
        <f>$H2*factors!GE$3</f>
        <v>0.45580193497499999</v>
      </c>
      <c r="GL2" s="3">
        <f>$H2*factors!GF$3</f>
        <v>0.48286080112500002</v>
      </c>
      <c r="GM2" s="3">
        <f>$H2*factors!GG$3</f>
        <v>0.45766806367500007</v>
      </c>
      <c r="GN2" s="3">
        <f>$H2*factors!GH$3</f>
        <v>0.47213056110000007</v>
      </c>
      <c r="GO2" s="3">
        <f>$H2*factors!GI$3</f>
        <v>0.4460047593</v>
      </c>
      <c r="GP2" s="3">
        <f>$H2*factors!GJ$3</f>
        <v>0.47819547937500001</v>
      </c>
      <c r="GQ2" s="3">
        <f>$H2*factors!GK$3</f>
        <v>0.48799265505000006</v>
      </c>
      <c r="GR2" s="3">
        <f>$H2*factors!GL$3</f>
        <v>0.47866201155000004</v>
      </c>
      <c r="GS2" s="3">
        <f>$H2*factors!GM$3</f>
        <v>0.45266683875900005</v>
      </c>
      <c r="GT2" s="3">
        <f>$H2*factors!GN$3</f>
        <v>0.46309476593460008</v>
      </c>
      <c r="GU2" s="3">
        <f>$H2*factors!GO$3</f>
        <v>0.47399668980000004</v>
      </c>
      <c r="GV2" s="3">
        <f>$H2*factors!GP$3</f>
        <v>0.45503682220800007</v>
      </c>
      <c r="GW2" s="3">
        <f>$H2*factors!GQ$3</f>
        <v>0.47115270966120004</v>
      </c>
      <c r="GX2" s="3">
        <f>$H2*factors!GR$3</f>
        <v>0.4635687626244</v>
      </c>
      <c r="GY2" s="3">
        <f>$H2*factors!GS$3</f>
        <v>0.46119877917540009</v>
      </c>
      <c r="GZ2" s="3">
        <f>$H2*factors!GT$3</f>
        <v>0.4782626600082</v>
      </c>
      <c r="HA2" s="3">
        <f>$H2*factors!GU$3</f>
        <v>0.4626207692448</v>
      </c>
      <c r="HB2" s="3">
        <f>$H2*factors!GV$3</f>
        <v>0.4782626600082</v>
      </c>
      <c r="HC2" s="3">
        <f>$H2*factors!GW$3</f>
        <v>0.46641274276319999</v>
      </c>
      <c r="HD2" s="3">
        <f>$H2*factors!GX$3</f>
        <v>0.48015864676739994</v>
      </c>
      <c r="HE2" s="3">
        <f>$H2*factors!GY$3</f>
        <v>0.47399668980000004</v>
      </c>
      <c r="HF2" s="3">
        <f>$H2*factors!GZ$3</f>
        <v>0.48869058718379998</v>
      </c>
      <c r="HG2" s="3">
        <f>$H2*factors!HA$3</f>
        <v>0.46973071959180002</v>
      </c>
      <c r="HH2" s="3">
        <f>$H2*factors!HB$3</f>
        <v>0.4635687626244</v>
      </c>
      <c r="HI2" s="3">
        <f>$H2*factors!HC$3</f>
        <v>0.45788080234680006</v>
      </c>
      <c r="HJ2" s="3">
        <f>$H2*factors!HD$3</f>
        <v>0.45266683875900005</v>
      </c>
      <c r="HK2" s="3">
        <f>$H2*factors!HE$3</f>
        <v>0.47873665669800003</v>
      </c>
      <c r="HL2" s="3">
        <f>$H2*factors!HF$3</f>
        <v>0.45124484868960002</v>
      </c>
      <c r="HM2" s="3">
        <f>$H2*factors!HG$3</f>
        <v>0.45598481558760007</v>
      </c>
      <c r="HN2" s="3">
        <f>$H2*factors!HH$3</f>
        <v>0.48632060373480007</v>
      </c>
      <c r="HO2" s="3">
        <f>$H2*factors!HI$3</f>
        <v>0.46641274276319999</v>
      </c>
      <c r="HP2" s="3">
        <f>$H2*factors!HJ$3</f>
        <v>0.49769652429000011</v>
      </c>
      <c r="HQ2" s="3">
        <f>$H2*factors!HK$3</f>
        <v>0.45503682220800007</v>
      </c>
      <c r="HR2" s="3">
        <f>$H2*factors!HL$3</f>
        <v>0.48252863021640008</v>
      </c>
      <c r="HS2" s="3">
        <f>$H2*factors!HM$3</f>
        <v>0.49106057063280006</v>
      </c>
      <c r="HT2" s="3">
        <f>$H2*factors!HN$3</f>
        <v>0.45788080234680006</v>
      </c>
      <c r="HU2" s="3">
        <f>$H2*factors!HO$3</f>
        <v>0.4626207692448</v>
      </c>
      <c r="HV2" s="3">
        <f>$H2*factors!HP$3</f>
        <v>0.46830872952240005</v>
      </c>
      <c r="HW2" s="3">
        <f>$H2*factors!HQ$3</f>
        <v>0.47494468317960004</v>
      </c>
      <c r="HX2" s="3">
        <f>$H2*factors!HR$3</f>
        <v>0.49437854746139998</v>
      </c>
      <c r="HY2" s="3">
        <f>$H2*factors!HS$3</f>
        <v>0.46973071959180002</v>
      </c>
      <c r="HZ2" s="3">
        <f>$H2*factors!HT$3</f>
        <v>0.48774259380419999</v>
      </c>
      <c r="IA2" s="3">
        <f>$H2*factors!HU$3</f>
        <v>0.46404275931420003</v>
      </c>
      <c r="IB2" s="3">
        <f>$H2*factors!HV$3</f>
        <v>0.48015864676739994</v>
      </c>
      <c r="IC2" s="3">
        <f>$H2*factors!HW$3</f>
        <v>0.48489861366540005</v>
      </c>
      <c r="ID2" s="3">
        <f>$H2*factors!HX$3</f>
        <v>0.45029685531000002</v>
      </c>
      <c r="IE2" s="3">
        <f>$H2*factors!HY$3</f>
        <v>0.4782626600082</v>
      </c>
      <c r="IF2" s="3">
        <f>$H2*factors!HZ$3</f>
        <v>0.47541867986940001</v>
      </c>
      <c r="IG2" s="3">
        <f>$H2*factors!IA$3</f>
        <v>0.47115270966120004</v>
      </c>
      <c r="IH2" s="3">
        <f>$H2*factors!IB$3</f>
        <v>0.48869058718379998</v>
      </c>
      <c r="II2" s="3">
        <f>$H2*factors!IC$3</f>
        <v>0.46783473283260002</v>
      </c>
      <c r="IJ2" s="3">
        <f>$H2*factors!ID$3</f>
        <v>0.47210070304080004</v>
      </c>
      <c r="IK2" s="3">
        <f>$H2*factors!IE$3</f>
        <v>0.48916458387360007</v>
      </c>
      <c r="IL2" s="3">
        <f>$H2*factors!IF$3</f>
        <v>0.46830872952240005</v>
      </c>
      <c r="IM2" s="3">
        <f>$H2*factors!IG$3</f>
        <v>0.46404275931420003</v>
      </c>
      <c r="IN2" s="3">
        <f>$H2*factors!IH$3</f>
        <v>0.46688673945300002</v>
      </c>
      <c r="IO2" s="3">
        <f>$H2*factors!II$3</f>
        <v>0.47162670635100001</v>
      </c>
      <c r="IP2" s="3">
        <f>$H2*factors!IJ$3</f>
        <v>0.45598481558760007</v>
      </c>
      <c r="IQ2" s="3">
        <f>$H2*factors!IK$3</f>
        <v>0.45456282551820004</v>
      </c>
      <c r="IR2" s="3">
        <f>$H2*factors!IL$3</f>
        <v>0.46783473283260002</v>
      </c>
      <c r="IS2" s="3">
        <f>$H2*factors!IM$3</f>
        <v>0.47162670635100001</v>
      </c>
      <c r="IT2" s="3">
        <f>$H2*factors!IN$3</f>
        <v>0.47494468317960004</v>
      </c>
      <c r="IU2" s="3">
        <f>$H2*factors!IO$3</f>
        <v>0.48537261035520007</v>
      </c>
      <c r="IV2" s="3">
        <f>$H2*factors!IP$3</f>
        <v>0.49153456732259998</v>
      </c>
      <c r="IW2" s="3">
        <f>$H2*factors!IQ$3</f>
        <v>0.464516756004</v>
      </c>
      <c r="IX2" s="3">
        <f>$H2*factors!IR$3</f>
        <v>0.48537261035520007</v>
      </c>
      <c r="IY2" s="3">
        <f>$H2*factors!IS$3</f>
        <v>0.4782626600082</v>
      </c>
      <c r="IZ2" s="3">
        <f>$H2*factors!IT$3</f>
        <v>0.48632060373480007</v>
      </c>
      <c r="JA2" s="3">
        <f>$H2*factors!IU$3</f>
        <v>0.45930279241619998</v>
      </c>
      <c r="JB2" s="3">
        <f>$H2*factors!IV$3</f>
        <v>0.46783473283260002</v>
      </c>
      <c r="JC2" s="3">
        <f>$H2*factors!IW$3</f>
        <v>0.45693280896720007</v>
      </c>
      <c r="JD2" s="3">
        <f>$H2*factors!IX$3</f>
        <v>0.49769652429000011</v>
      </c>
      <c r="JE2" s="3">
        <f>$H2*factors!IY$3</f>
        <v>0.45835479903659998</v>
      </c>
      <c r="JF2" s="3">
        <f>$H2*factors!IZ$3</f>
        <v>0.48110664014699994</v>
      </c>
      <c r="JG2" s="3">
        <f>$H2*factors!JA$3</f>
        <v>0.47257469973060001</v>
      </c>
      <c r="JH2" s="3">
        <f>$H2*factors!JB$3</f>
        <v>0.48158063683680008</v>
      </c>
      <c r="JI2" s="3">
        <f>$H2*factors!JC$3</f>
        <v>0.45077085199980005</v>
      </c>
      <c r="JJ2" s="3">
        <f>$H2*factors!JD$3</f>
        <v>0.48537261035520007</v>
      </c>
      <c r="JK2" s="3">
        <f>$H2*factors!JE$3</f>
        <v>0.46973071959180002</v>
      </c>
      <c r="JL2" s="3">
        <f>$H2*factors!JF$3</f>
        <v>0.48869058718379998</v>
      </c>
      <c r="JM2" s="3">
        <f>$H2*factors!JG$3</f>
        <v>0.45598481558760007</v>
      </c>
      <c r="JN2" s="3">
        <f>$H2*factors!JH$3</f>
        <v>0.45598481558760007</v>
      </c>
      <c r="JO2" s="3">
        <f>$H2*factors!JI$3</f>
        <v>0.45029685531000002</v>
      </c>
      <c r="JP2" s="3">
        <f>$H2*factors!JJ$3</f>
        <v>0.48679460042460004</v>
      </c>
      <c r="JQ2" s="3">
        <f>$H2*factors!JK$3</f>
        <v>0.47447068648980001</v>
      </c>
      <c r="JR2" s="3">
        <f>$H2*factors!JL$3</f>
        <v>0.49295655739200001</v>
      </c>
      <c r="JS2" s="3">
        <f>$H2*factors!JM$3</f>
        <v>0.45029685531000002</v>
      </c>
      <c r="JT2" s="3">
        <f>$H2*factors!JN$3</f>
        <v>0.47304869642040004</v>
      </c>
      <c r="JU2" s="3">
        <f>$H2*factors!JO$3</f>
        <v>0.45740680565699998</v>
      </c>
      <c r="JV2" s="3">
        <f>$H2*factors!JP$3</f>
        <v>0.46499075269380002</v>
      </c>
      <c r="JW2" s="3">
        <f>$H2*factors!JQ$3</f>
        <v>0.49674853091040011</v>
      </c>
      <c r="JX2" s="3">
        <f>$H2*factors!JR$3</f>
        <v>0.49200856401240001</v>
      </c>
      <c r="JY2" s="3">
        <f>$H2*factors!JS$3</f>
        <v>0.46309476593460008</v>
      </c>
      <c r="JZ2" s="3">
        <f>$H2*factors!JT$3</f>
        <v>0.46830872952240005</v>
      </c>
      <c r="KA2" s="3">
        <f>$H2*factors!JU$3</f>
        <v>0.47020471628160004</v>
      </c>
      <c r="KB2" s="3">
        <f>$H2*factors!JV$3</f>
        <v>0.45456282551820004</v>
      </c>
      <c r="KC2" s="3">
        <f>$H2*factors!JW$3</f>
        <v>0.45693280896720007</v>
      </c>
      <c r="KD2" s="3">
        <f>$H2*factors!JX$3</f>
        <v>0.45740680565699998</v>
      </c>
      <c r="KE2" s="3">
        <f>$H2*factors!JY$3</f>
        <v>0.48679460042460004</v>
      </c>
      <c r="KF2" s="3">
        <f>$H2*factors!JZ$3</f>
        <v>0.49248256070219998</v>
      </c>
      <c r="KG2" s="3">
        <f>$H2*factors!KA$3</f>
        <v>0.47494468317960004</v>
      </c>
      <c r="KH2" s="3">
        <f>$H2*factors!KB$3</f>
        <v>0.464516756004</v>
      </c>
      <c r="KI2" s="3">
        <f>$H2*factors!KC$3</f>
        <v>0.46025078579579998</v>
      </c>
    </row>
    <row r="3" spans="1:295" x14ac:dyDescent="0.55000000000000004">
      <c r="A3" t="s">
        <v>378</v>
      </c>
      <c r="B3">
        <v>2</v>
      </c>
      <c r="C3">
        <v>230</v>
      </c>
      <c r="D3" t="s">
        <v>377</v>
      </c>
      <c r="E3">
        <v>3.9179999999999996E-3</v>
      </c>
      <c r="F3">
        <v>2</v>
      </c>
      <c r="G3">
        <f>VLOOKUP(D3,demand_forecasted!$A$2:$G$11,2)</f>
        <v>11098</v>
      </c>
      <c r="H3" s="3">
        <f t="shared" si="0"/>
        <v>0.43481963999999995</v>
      </c>
      <c r="I3" s="3">
        <f>$H3*factors!C$3</f>
        <v>0.48134534147999997</v>
      </c>
      <c r="J3" s="3">
        <f>$H3*factors!D$3</f>
        <v>0.46396994866559993</v>
      </c>
      <c r="K3" s="3">
        <f>$H3*factors!E$3</f>
        <v>0.4559866600752</v>
      </c>
      <c r="L3" s="3">
        <f>$H3*factors!F$3</f>
        <v>0.45457784444159999</v>
      </c>
      <c r="M3" s="3">
        <f>$H3*factors!G$3</f>
        <v>0.45410823923039995</v>
      </c>
      <c r="N3" s="3">
        <f>$H3*factors!H$3</f>
        <v>0.46725718514399994</v>
      </c>
      <c r="O3" s="3">
        <f>$H3*factors!I$3</f>
        <v>0.47758849979039997</v>
      </c>
      <c r="P3" s="3">
        <f>$H3*factors!J$3</f>
        <v>0.48322376232479997</v>
      </c>
      <c r="Q3" s="3">
        <f>$H3*factors!K$3</f>
        <v>0.45363863401919996</v>
      </c>
      <c r="R3" s="3">
        <f>$H3*factors!L$3</f>
        <v>0.44612495063999996</v>
      </c>
      <c r="S3" s="3">
        <f>$H3*factors!M$3</f>
        <v>0.46443955387679992</v>
      </c>
      <c r="T3" s="3">
        <f>$H3*factors!N$3</f>
        <v>0.48040613105759994</v>
      </c>
      <c r="U3" s="3">
        <f>$H3*factors!O$3</f>
        <v>0.45504744965279997</v>
      </c>
      <c r="V3" s="3">
        <f>$H3*factors!P$3</f>
        <v>0.47336205288959998</v>
      </c>
      <c r="W3" s="3">
        <f>$H3*factors!Q$3</f>
        <v>0.47758849979039997</v>
      </c>
      <c r="X3" s="3">
        <f>$H3*factors!R$3</f>
        <v>0.45692587049759997</v>
      </c>
      <c r="Y3" s="3">
        <f>$H3*factors!S$3</f>
        <v>0.45269942359679999</v>
      </c>
      <c r="Z3" s="3">
        <f>$H3*factors!T$3</f>
        <v>0.48838941964800003</v>
      </c>
      <c r="AA3" s="3">
        <f>$H3*factors!U$3</f>
        <v>0.4611523173983999</v>
      </c>
      <c r="AB3" s="3">
        <f>$H3*factors!V$3</f>
        <v>0.4616219226096</v>
      </c>
      <c r="AC3" s="3">
        <f>$H3*factors!W$3</f>
        <v>0.46209152782079999</v>
      </c>
      <c r="AD3" s="3">
        <f>$H3*factors!X$3</f>
        <v>0.4522298183856</v>
      </c>
      <c r="AE3" s="3">
        <f>$H3*factors!Y$3</f>
        <v>0.4559866600752</v>
      </c>
      <c r="AF3" s="3">
        <f>$H3*factors!Z$3</f>
        <v>0.4653787642992</v>
      </c>
      <c r="AG3" s="3">
        <f>$H3*factors!AA$3</f>
        <v>0.45363863401919996</v>
      </c>
      <c r="AH3" s="3">
        <f>$H3*factors!AB$3</f>
        <v>0.45176021317440002</v>
      </c>
      <c r="AI3" s="3">
        <f>$H3*factors!AC$3</f>
        <v>0.46631797472159997</v>
      </c>
      <c r="AJ3" s="3">
        <f>$H3*factors!AD$3</f>
        <v>0.48416297274719994</v>
      </c>
      <c r="AK3" s="3">
        <f>$H3*factors!AE$3</f>
        <v>0.46584836951039998</v>
      </c>
      <c r="AL3" s="3">
        <f>$H3*factors!AF$3</f>
        <v>0.44753376627359992</v>
      </c>
      <c r="AM3" s="3">
        <f>$H3*factors!AG$3</f>
        <v>0.46021310697599993</v>
      </c>
      <c r="AN3" s="3">
        <f>$H3*factors!AH$3</f>
        <v>0.45269942359679999</v>
      </c>
      <c r="AO3" s="3">
        <f>$H3*factors!AI$3</f>
        <v>0.47430126331199995</v>
      </c>
      <c r="AP3" s="3">
        <f>$H3*factors!AJ$3</f>
        <v>0.45457784444159999</v>
      </c>
      <c r="AQ3" s="3">
        <f>$H3*factors!AK$3</f>
        <v>0.4691356059888</v>
      </c>
      <c r="AR3" s="3">
        <f>$H3*factors!AL$3</f>
        <v>0.45880429134239997</v>
      </c>
      <c r="AS3" s="3">
        <f>$H3*factors!AM$3</f>
        <v>0.44753376627359992</v>
      </c>
      <c r="AT3" s="3">
        <f>$H3*factors!AN$3</f>
        <v>0.4616219226096</v>
      </c>
      <c r="AU3" s="3">
        <f>$H3*factors!AO$3</f>
        <v>0.48885902485919991</v>
      </c>
      <c r="AV3" s="3">
        <f>$H3*factors!AP$3</f>
        <v>0.46209152782079999</v>
      </c>
      <c r="AW3" s="3">
        <f>$H3*factors!AQ$3</f>
        <v>0.45739547570879996</v>
      </c>
      <c r="AX3" s="3">
        <f>$H3*factors!AR$3</f>
        <v>0.48369336753599995</v>
      </c>
      <c r="AY3" s="3">
        <f>$H3*factors!AS$3</f>
        <v>0.44612495063999996</v>
      </c>
      <c r="AZ3" s="3">
        <f>$H3*factors!AT$3</f>
        <v>0.47805810500160001</v>
      </c>
      <c r="BA3" s="3">
        <f>$H3*factors!AU$3</f>
        <v>0.46772679035519993</v>
      </c>
      <c r="BB3" s="3">
        <f>$H3*factors!AV$3</f>
        <v>0.4616219226096</v>
      </c>
      <c r="BC3" s="3">
        <f>$H3*factors!AW$3</f>
        <v>0.48838941964800003</v>
      </c>
      <c r="BD3" s="3">
        <f>$H3*factors!AX$3</f>
        <v>0.45082100275199993</v>
      </c>
      <c r="BE3" s="3">
        <f>$H3*factors!AY$3</f>
        <v>0.53001905198159993</v>
      </c>
      <c r="BF3" s="3">
        <f>$H3*factors!AZ$3</f>
        <v>0.49358986254239995</v>
      </c>
      <c r="BG3" s="3">
        <f>$H3*factors!BA$3</f>
        <v>0.50077308299519985</v>
      </c>
      <c r="BH3" s="3">
        <f>$H3*factors!BB$3</f>
        <v>0.50744321627279987</v>
      </c>
      <c r="BI3" s="3">
        <f>$H3*factors!BC$3</f>
        <v>0.5259143545799998</v>
      </c>
      <c r="BJ3" s="3">
        <f>$H3*factors!BD$3</f>
        <v>0.50231234452079987</v>
      </c>
      <c r="BK3" s="3">
        <f>$H3*factors!BE$3</f>
        <v>0.50333851887119985</v>
      </c>
      <c r="BL3" s="3">
        <f>$H3*factors!BF$3</f>
        <v>0.49769455994399986</v>
      </c>
      <c r="BM3" s="3">
        <f>$H3*factors!BG$3</f>
        <v>0.53155831350719995</v>
      </c>
      <c r="BN3" s="3">
        <f>$H3*factors!BH$3</f>
        <v>0.52488818022959993</v>
      </c>
      <c r="BO3" s="3">
        <f>$H3*factors!BI$3</f>
        <v>0.49358986254239995</v>
      </c>
      <c r="BP3" s="3">
        <f>$H3*factors!BJ$3</f>
        <v>0.49205060101679987</v>
      </c>
      <c r="BQ3" s="3">
        <f>$H3*factors!BK$3</f>
        <v>0.50025999581999991</v>
      </c>
      <c r="BR3" s="3">
        <f>$H3*factors!BL$3</f>
        <v>0.51821804695199991</v>
      </c>
      <c r="BS3" s="3">
        <f>$H3*factors!BM$3</f>
        <v>0.52642744175519995</v>
      </c>
      <c r="BT3" s="3">
        <f>$H3*factors!BN$3</f>
        <v>0.52796670328079987</v>
      </c>
      <c r="BU3" s="3">
        <f>$H3*factors!BO$3</f>
        <v>0.53668918525919995</v>
      </c>
      <c r="BV3" s="3">
        <f>$H3*factors!BP$3</f>
        <v>0.49923382146959994</v>
      </c>
      <c r="BW3" s="3">
        <f>$H3*factors!BQ$3</f>
        <v>0.51052173932399991</v>
      </c>
      <c r="BX3" s="3">
        <f>$H3*factors!BR$3</f>
        <v>0.50077308299519985</v>
      </c>
      <c r="BY3" s="3">
        <f>$H3*factors!BS$3</f>
        <v>0.52386200587919984</v>
      </c>
      <c r="BZ3" s="3">
        <f>$H3*factors!BT$3</f>
        <v>0.51411334955039989</v>
      </c>
      <c r="CA3" s="3">
        <f>$H3*factors!BU$3</f>
        <v>0.50744321627279987</v>
      </c>
      <c r="CB3" s="3">
        <f>$H3*factors!BV$3</f>
        <v>0.49102442666639989</v>
      </c>
      <c r="CC3" s="3">
        <f>$H3*factors!BW$3</f>
        <v>0.50539086757199991</v>
      </c>
      <c r="CD3" s="3">
        <f>$H3*factors!BX$3</f>
        <v>0.50693012909759994</v>
      </c>
      <c r="CE3" s="3">
        <f>$H3*factors!BY$3</f>
        <v>0.51411334955039989</v>
      </c>
      <c r="CF3" s="3">
        <f>$H3*factors!BZ$3</f>
        <v>0.5064170419224</v>
      </c>
      <c r="CG3" s="3">
        <f>$H3*factors!CA$3</f>
        <v>0.48948516514079987</v>
      </c>
      <c r="CH3" s="3">
        <f>$H3*factors!CB$3</f>
        <v>0.48999825231599986</v>
      </c>
      <c r="CI3" s="3">
        <f>$H3*factors!CC$3</f>
        <v>0.48743281643999997</v>
      </c>
      <c r="CJ3" s="3">
        <f>$H3*factors!CD$3</f>
        <v>0.50744321627279987</v>
      </c>
      <c r="CK3" s="3">
        <f>$H3*factors!CE$3</f>
        <v>0.53001905198159993</v>
      </c>
      <c r="CL3" s="3">
        <f>$H3*factors!CF$3</f>
        <v>0.49666838559359994</v>
      </c>
      <c r="CM3" s="3">
        <f>$H3*factors!CG$3</f>
        <v>0.50846939062319985</v>
      </c>
      <c r="CN3" s="3">
        <f>$H3*factors!CH$3</f>
        <v>0.49153751384159988</v>
      </c>
      <c r="CO3" s="3">
        <f>$H3*factors!CI$3</f>
        <v>0.49512912406799986</v>
      </c>
      <c r="CP3" s="3">
        <f>$H3*factors!CJ$3</f>
        <v>0.51873113412719984</v>
      </c>
      <c r="CQ3" s="3">
        <f>$H3*factors!CK$3</f>
        <v>0.50333851887119985</v>
      </c>
      <c r="CR3" s="3">
        <f>$H3*factors!CL$3</f>
        <v>0.51924422130239989</v>
      </c>
      <c r="CS3" s="3">
        <f>$H3*factors!CM$3</f>
        <v>0.53566301090879986</v>
      </c>
      <c r="CT3" s="3">
        <f>$H3*factors!CN$3</f>
        <v>0.52950596480639989</v>
      </c>
      <c r="CU3" s="3">
        <f>$H3*factors!CO$3</f>
        <v>0.51770495977679987</v>
      </c>
      <c r="CV3" s="3">
        <f>$H3*factors!CP$3</f>
        <v>0.53874153395999991</v>
      </c>
      <c r="CW3" s="3">
        <f>$H3*factors!CQ$3</f>
        <v>0.50949556497359993</v>
      </c>
      <c r="CX3" s="3">
        <f>$H3*factors!CR$3</f>
        <v>0.50179925734559994</v>
      </c>
      <c r="CY3" s="3">
        <f>$H3*factors!CS$3</f>
        <v>0.49718147276879987</v>
      </c>
      <c r="CZ3" s="3">
        <f>$H3*factors!CT$3</f>
        <v>0.48999825231599986</v>
      </c>
      <c r="DA3" s="3">
        <f>$H3*factors!CU$3</f>
        <v>0.50873897879999996</v>
      </c>
      <c r="DB3" s="3">
        <f>$H3*factors!CV$3</f>
        <v>0.54161134358399998</v>
      </c>
      <c r="DC3" s="3">
        <f>$H3*factors!CW$3</f>
        <v>0.51865286659199983</v>
      </c>
      <c r="DD3" s="3">
        <f>$H3*factors!CX$3</f>
        <v>0.51500038161599992</v>
      </c>
      <c r="DE3" s="3">
        <f>$H3*factors!CY$3</f>
        <v>0.53013210508800002</v>
      </c>
      <c r="DF3" s="3">
        <f>$H3*factors!CZ$3</f>
        <v>0.52908853795199984</v>
      </c>
      <c r="DG3" s="3">
        <f>$H3*factors!DA$3</f>
        <v>0.52700140367999992</v>
      </c>
      <c r="DH3" s="3">
        <f>$H3*factors!DB$3</f>
        <v>0.52700140367999992</v>
      </c>
      <c r="DI3" s="3">
        <f>$H3*factors!DC$3</f>
        <v>0.50717362809599986</v>
      </c>
      <c r="DJ3" s="3">
        <f>$H3*factors!DD$3</f>
        <v>0.53743707503999993</v>
      </c>
      <c r="DK3" s="3">
        <f>$H3*factors!DE$3</f>
        <v>0.53743707503999993</v>
      </c>
      <c r="DL3" s="3">
        <f>$H3*factors!DF$3</f>
        <v>0.53117567222399997</v>
      </c>
      <c r="DM3" s="3">
        <f>$H3*factors!DG$3</f>
        <v>0.50039044171199987</v>
      </c>
      <c r="DN3" s="3">
        <f>$H3*factors!DH$3</f>
        <v>0.52491426940800001</v>
      </c>
      <c r="DO3" s="3">
        <f>$H3*factors!DI$3</f>
        <v>0.54213312715199991</v>
      </c>
      <c r="DP3" s="3">
        <f>$H3*factors!DJ$3</f>
        <v>0.53743707503999993</v>
      </c>
      <c r="DQ3" s="3">
        <f>$H3*factors!DK$3</f>
        <v>0.51239146377599987</v>
      </c>
      <c r="DR3" s="3">
        <f>$H3*factors!DL$3</f>
        <v>0.50665184452799994</v>
      </c>
      <c r="DS3" s="3">
        <f>$H3*factors!DM$3</f>
        <v>0.54735096283199991</v>
      </c>
      <c r="DT3" s="3">
        <f>$H3*factors!DN$3</f>
        <v>0.514478598048</v>
      </c>
      <c r="DU3" s="3">
        <f>$H3*factors!DO$3</f>
        <v>0.53848064217599989</v>
      </c>
      <c r="DV3" s="3">
        <f>$H3*factors!DP$3</f>
        <v>0.52595783654399997</v>
      </c>
      <c r="DW3" s="3">
        <f>$H3*factors!DQ$3</f>
        <v>0.50195579241599986</v>
      </c>
      <c r="DX3" s="3">
        <f>$H3*factors!DR$3</f>
        <v>0.5316974557919999</v>
      </c>
      <c r="DY3" s="3">
        <f>$H3*factors!DS$3</f>
        <v>0.50456471025599992</v>
      </c>
      <c r="DZ3" s="3">
        <f>$H3*factors!DT$3</f>
        <v>0.53952420931199985</v>
      </c>
      <c r="EA3" s="3">
        <f>$H3*factors!DU$3</f>
        <v>0.50821719523199982</v>
      </c>
      <c r="EB3" s="3">
        <f>$H3*factors!DV$3</f>
        <v>0.4956943895999999</v>
      </c>
      <c r="EC3" s="3">
        <f>$H3*factors!DW$3</f>
        <v>0.53326280649599989</v>
      </c>
      <c r="ED3" s="3">
        <f>$H3*factors!DX$3</f>
        <v>0.50039044171199987</v>
      </c>
      <c r="EE3" s="3">
        <f>$H3*factors!DY$3</f>
        <v>0.50456471025599992</v>
      </c>
      <c r="EF3" s="3">
        <f>$H3*factors!DZ$3</f>
        <v>0.54735096283199991</v>
      </c>
      <c r="EG3" s="3">
        <f>$H3*factors!EA$3</f>
        <v>0.51134789663999991</v>
      </c>
      <c r="EH3" s="3">
        <f>$H3*factors!EB$3</f>
        <v>0.5129132473439999</v>
      </c>
      <c r="EI3" s="3">
        <f>$H3*factors!EC$3</f>
        <v>0.51186968020799994</v>
      </c>
      <c r="EJ3" s="3">
        <f>$H3*factors!ED$3</f>
        <v>0.49882509100799993</v>
      </c>
      <c r="EK3" s="3">
        <f>$H3*factors!EE$3</f>
        <v>0.53326280649599989</v>
      </c>
      <c r="EL3" s="3">
        <f>$H3*factors!EF$3</f>
        <v>0.50717362809599986</v>
      </c>
      <c r="EM3" s="3">
        <f>$H3*factors!EG$3</f>
        <v>0.52752318724799985</v>
      </c>
      <c r="EN3" s="3">
        <f>$H3*factors!EH$3</f>
        <v>0.4956943895999999</v>
      </c>
      <c r="EO3" s="3">
        <f>$H3*factors!EI$3</f>
        <v>0.50299935955199992</v>
      </c>
      <c r="EP3" s="3">
        <f>$H3*factors!EJ$3</f>
        <v>0.53065388865599994</v>
      </c>
      <c r="EQ3" s="3">
        <f>$H3*factors!EK$3</f>
        <v>0.51604394875199988</v>
      </c>
      <c r="ER3" s="3">
        <f>$H3*factors!EL$3</f>
        <v>0.53743707503999993</v>
      </c>
      <c r="ES3" s="3">
        <f>$H3*factors!EM$3</f>
        <v>0.53065388865599994</v>
      </c>
      <c r="ET3" s="3">
        <f>$H3*factors!EN$3</f>
        <v>0.54265491071999994</v>
      </c>
      <c r="EU3" s="3">
        <f>$H3*factors!EO$3</f>
        <v>0.54787274639999994</v>
      </c>
      <c r="EV3" s="3">
        <f>$H3*factors!EP$3</f>
        <v>0.51343503091199982</v>
      </c>
      <c r="EW3" s="3">
        <f>$H3*factors!EQ$3</f>
        <v>0.5647220074499999</v>
      </c>
      <c r="EX3" s="3">
        <f>$H3*factors!ER$3</f>
        <v>0.55874323739999998</v>
      </c>
      <c r="EY3" s="3">
        <f>$H3*factors!ES$3</f>
        <v>0.57015725294999986</v>
      </c>
      <c r="EZ3" s="3">
        <f>$H3*factors!ET$3</f>
        <v>0.5647220074499999</v>
      </c>
      <c r="FA3" s="3">
        <f>$H3*factors!EU$3</f>
        <v>0.51906594524999994</v>
      </c>
      <c r="FB3" s="3">
        <f>$H3*factors!EV$3</f>
        <v>0.54243750089999998</v>
      </c>
      <c r="FC3" s="3">
        <f>$H3*factors!EW$3</f>
        <v>0.55765618829999997</v>
      </c>
      <c r="FD3" s="3">
        <f>$H3*factors!EX$3</f>
        <v>0.53808930449999992</v>
      </c>
      <c r="FE3" s="3">
        <f>$H3*factors!EY$3</f>
        <v>0.56689610564999993</v>
      </c>
      <c r="FF3" s="3">
        <f>$H3*factors!EZ$3</f>
        <v>0.56743963019999999</v>
      </c>
      <c r="FG3" s="3">
        <f>$H3*factors!FA$3</f>
        <v>0.51906594524999994</v>
      </c>
      <c r="FH3" s="3">
        <f>$H3*factors!FB$3</f>
        <v>0.54624217274999987</v>
      </c>
      <c r="FI3" s="3">
        <f>$H3*factors!FC$3</f>
        <v>0.56907020384999984</v>
      </c>
      <c r="FJ3" s="3">
        <f>$H3*factors!FD$3</f>
        <v>0.54624217274999987</v>
      </c>
      <c r="FK3" s="3">
        <f>$H3*factors!FE$3</f>
        <v>0.55548209009999994</v>
      </c>
      <c r="FL3" s="3">
        <f>$H3*factors!FF$3</f>
        <v>0.5571126637499999</v>
      </c>
      <c r="FM3" s="3">
        <f>$H3*factors!FG$3</f>
        <v>0.56309143379999993</v>
      </c>
      <c r="FN3" s="3">
        <f>$H3*factors!FH$3</f>
        <v>0.52667528894999993</v>
      </c>
      <c r="FO3" s="3">
        <f>$H3*factors!FI$3</f>
        <v>0.55928676194999993</v>
      </c>
      <c r="FP3" s="3">
        <f>$H3*factors!FJ$3</f>
        <v>0.54352454999999988</v>
      </c>
      <c r="FQ3" s="3">
        <f>$H3*factors!FK$3</f>
        <v>0.53808930449999992</v>
      </c>
      <c r="FR3" s="3">
        <f>$H3*factors!FL$3</f>
        <v>0.54895979549999996</v>
      </c>
      <c r="FS3" s="3">
        <f>$H3*factors!FM$3</f>
        <v>0.54569864819999991</v>
      </c>
      <c r="FT3" s="3">
        <f>$H3*factors!FN$3</f>
        <v>0.55765618829999997</v>
      </c>
      <c r="FU3" s="3">
        <f>$H3*factors!FO$3</f>
        <v>0.53591520629999989</v>
      </c>
      <c r="FV3" s="3">
        <f>$H3*factors!FP$3</f>
        <v>0.53156700989999994</v>
      </c>
      <c r="FW3" s="3">
        <f>$H3*factors!FQ$3</f>
        <v>0.56907020384999984</v>
      </c>
      <c r="FX3" s="3">
        <f>$H3*factors!FR$3</f>
        <v>0.55874323739999998</v>
      </c>
      <c r="FY3" s="3">
        <f>$H3*factors!FS$3</f>
        <v>0.54732922184999988</v>
      </c>
      <c r="FZ3" s="3">
        <f>$H3*factors!FT$3</f>
        <v>0.52015299434999995</v>
      </c>
      <c r="GA3" s="3">
        <f>$H3*factors!FU$3</f>
        <v>0.54732922184999988</v>
      </c>
      <c r="GB3" s="3">
        <f>$H3*factors!FV$3</f>
        <v>0.56743963019999999</v>
      </c>
      <c r="GC3" s="3">
        <f>$H3*factors!FW$3</f>
        <v>0.53156700989999994</v>
      </c>
      <c r="GD3" s="3">
        <f>$H3*factors!FX$3</f>
        <v>0.5408069272499999</v>
      </c>
      <c r="GE3" s="3">
        <f>$H3*factors!FY$3</f>
        <v>0.5408069272499999</v>
      </c>
      <c r="GF3" s="3">
        <f>$H3*factors!FZ$3</f>
        <v>0.53917635359999994</v>
      </c>
      <c r="GG3" s="3">
        <f>$H3*factors!GA$3</f>
        <v>0.51797889614999992</v>
      </c>
      <c r="GH3" s="3">
        <f>$H3*factors!GB$3</f>
        <v>0.55113389369999999</v>
      </c>
      <c r="GI3" s="3">
        <f>$H3*factors!GC$3</f>
        <v>0.51689184704999991</v>
      </c>
      <c r="GJ3" s="3">
        <f>$H3*factors!GD$3</f>
        <v>0.51797889614999992</v>
      </c>
      <c r="GK3" s="3">
        <f>$H3*factors!GE$3</f>
        <v>0.53102348534999988</v>
      </c>
      <c r="GL3" s="3">
        <f>$H3*factors!GF$3</f>
        <v>0.56254790924999987</v>
      </c>
      <c r="GM3" s="3">
        <f>$H3*factors!GG$3</f>
        <v>0.53319758355000002</v>
      </c>
      <c r="GN3" s="3">
        <f>$H3*factors!GH$3</f>
        <v>0.55004684459999997</v>
      </c>
      <c r="GO3" s="3">
        <f>$H3*factors!GI$3</f>
        <v>0.51960946979999989</v>
      </c>
      <c r="GP3" s="3">
        <f>$H3*factors!GJ$3</f>
        <v>0.5571126637499999</v>
      </c>
      <c r="GQ3" s="3">
        <f>$H3*factors!GK$3</f>
        <v>0.5685266793</v>
      </c>
      <c r="GR3" s="3">
        <f>$H3*factors!GL$3</f>
        <v>0.55765618829999997</v>
      </c>
      <c r="GS3" s="3">
        <f>$H3*factors!GM$3</f>
        <v>0.52737100037399998</v>
      </c>
      <c r="GT3" s="3">
        <f>$H3*factors!GN$3</f>
        <v>0.53951986111560002</v>
      </c>
      <c r="GU3" s="3">
        <f>$H3*factors!GO$3</f>
        <v>0.55222094279999989</v>
      </c>
      <c r="GV3" s="3">
        <f>$H3*factors!GP$3</f>
        <v>0.53013210508800002</v>
      </c>
      <c r="GW3" s="3">
        <f>$H3*factors!GQ$3</f>
        <v>0.54890761714319991</v>
      </c>
      <c r="GX3" s="3">
        <f>$H3*factors!GR$3</f>
        <v>0.54007208205839996</v>
      </c>
      <c r="GY3" s="3">
        <f>$H3*factors!GS$3</f>
        <v>0.53731097734440003</v>
      </c>
      <c r="GZ3" s="3">
        <f>$H3*factors!GT$3</f>
        <v>0.55719093128519992</v>
      </c>
      <c r="HA3" s="3">
        <f>$H3*factors!GU$3</f>
        <v>0.53896764017279997</v>
      </c>
      <c r="HB3" s="3">
        <f>$H3*factors!GV$3</f>
        <v>0.55719093128519992</v>
      </c>
      <c r="HC3" s="3">
        <f>$H3*factors!GW$3</f>
        <v>0.54338540771519994</v>
      </c>
      <c r="HD3" s="3">
        <f>$H3*factors!GX$3</f>
        <v>0.55939981505639991</v>
      </c>
      <c r="HE3" s="3">
        <f>$H3*factors!GY$3</f>
        <v>0.55222094279999989</v>
      </c>
      <c r="HF3" s="3">
        <f>$H3*factors!GZ$3</f>
        <v>0.56933979202679985</v>
      </c>
      <c r="HG3" s="3">
        <f>$H3*factors!HA$3</f>
        <v>0.54725095431479998</v>
      </c>
      <c r="HH3" s="3">
        <f>$H3*factors!HB$3</f>
        <v>0.54007208205839996</v>
      </c>
      <c r="HI3" s="3">
        <f>$H3*factors!HC$3</f>
        <v>0.5334454307448</v>
      </c>
      <c r="HJ3" s="3">
        <f>$H3*factors!HD$3</f>
        <v>0.52737100037399998</v>
      </c>
      <c r="HK3" s="3">
        <f>$H3*factors!HE$3</f>
        <v>0.55774315222799997</v>
      </c>
      <c r="HL3" s="3">
        <f>$H3*factors!HF$3</f>
        <v>0.52571433754559993</v>
      </c>
      <c r="HM3" s="3">
        <f>$H3*factors!HG$3</f>
        <v>0.53123654697360001</v>
      </c>
      <c r="HN3" s="3">
        <f>$H3*factors!HH$3</f>
        <v>0.56657868731279992</v>
      </c>
      <c r="HO3" s="3">
        <f>$H3*factors!HI$3</f>
        <v>0.54338540771519994</v>
      </c>
      <c r="HP3" s="3">
        <f>$H3*factors!HJ$3</f>
        <v>0.57983198993999996</v>
      </c>
      <c r="HQ3" s="3">
        <f>$H3*factors!HK$3</f>
        <v>0.53013210508800002</v>
      </c>
      <c r="HR3" s="3">
        <f>$H3*factors!HL$3</f>
        <v>0.56216091977039995</v>
      </c>
      <c r="HS3" s="3">
        <f>$H3*factors!HM$3</f>
        <v>0.57210089674079989</v>
      </c>
      <c r="HT3" s="3">
        <f>$H3*factors!HN$3</f>
        <v>0.5334454307448</v>
      </c>
      <c r="HU3" s="3">
        <f>$H3*factors!HO$3</f>
        <v>0.53896764017279997</v>
      </c>
      <c r="HV3" s="3">
        <f>$H3*factors!HP$3</f>
        <v>0.54559429148639993</v>
      </c>
      <c r="HW3" s="3">
        <f>$H3*factors!HQ$3</f>
        <v>0.55332538468559989</v>
      </c>
      <c r="HX3" s="3">
        <f>$H3*factors!HR$3</f>
        <v>0.57596644334039981</v>
      </c>
      <c r="HY3" s="3">
        <f>$H3*factors!HS$3</f>
        <v>0.54725095431479998</v>
      </c>
      <c r="HZ3" s="3">
        <f>$H3*factors!HT$3</f>
        <v>0.56823535014119986</v>
      </c>
      <c r="IA3" s="3">
        <f>$H3*factors!HU$3</f>
        <v>0.54062430300120001</v>
      </c>
      <c r="IB3" s="3">
        <f>$H3*factors!HV$3</f>
        <v>0.55939981505639991</v>
      </c>
      <c r="IC3" s="3">
        <f>$H3*factors!HW$3</f>
        <v>0.56492202448439988</v>
      </c>
      <c r="ID3" s="3">
        <f>$H3*factors!HX$3</f>
        <v>0.52460989565999994</v>
      </c>
      <c r="IE3" s="3">
        <f>$H3*factors!HY$3</f>
        <v>0.55719093128519992</v>
      </c>
      <c r="IF3" s="3">
        <f>$H3*factors!HZ$3</f>
        <v>0.55387760562839994</v>
      </c>
      <c r="IG3" s="3">
        <f>$H3*factors!IA$3</f>
        <v>0.54890761714319991</v>
      </c>
      <c r="IH3" s="3">
        <f>$H3*factors!IB$3</f>
        <v>0.56933979202679985</v>
      </c>
      <c r="II3" s="3">
        <f>$H3*factors!IC$3</f>
        <v>0.54504207054359999</v>
      </c>
      <c r="IJ3" s="3">
        <f>$H3*factors!ID$3</f>
        <v>0.5500120590287999</v>
      </c>
      <c r="IK3" s="3">
        <f>$H3*factors!IE$3</f>
        <v>0.5698920129695999</v>
      </c>
      <c r="IL3" s="3">
        <f>$H3*factors!IF$3</f>
        <v>0.54559429148639993</v>
      </c>
      <c r="IM3" s="3">
        <f>$H3*factors!IG$3</f>
        <v>0.54062430300120001</v>
      </c>
      <c r="IN3" s="3">
        <f>$H3*factors!IH$3</f>
        <v>0.54393762865799999</v>
      </c>
      <c r="IO3" s="3">
        <f>$H3*factors!II$3</f>
        <v>0.54945983808599996</v>
      </c>
      <c r="IP3" s="3">
        <f>$H3*factors!IJ$3</f>
        <v>0.53123654697360001</v>
      </c>
      <c r="IQ3" s="3">
        <f>$H3*factors!IK$3</f>
        <v>0.52957988414519996</v>
      </c>
      <c r="IR3" s="3">
        <f>$H3*factors!IL$3</f>
        <v>0.54504207054359999</v>
      </c>
      <c r="IS3" s="3">
        <f>$H3*factors!IM$3</f>
        <v>0.54945983808599996</v>
      </c>
      <c r="IT3" s="3">
        <f>$H3*factors!IN$3</f>
        <v>0.55332538468559989</v>
      </c>
      <c r="IU3" s="3">
        <f>$H3*factors!IO$3</f>
        <v>0.56547424542719993</v>
      </c>
      <c r="IV3" s="3">
        <f>$H3*factors!IP$3</f>
        <v>0.57265311768359983</v>
      </c>
      <c r="IW3" s="3">
        <f>$H3*factors!IQ$3</f>
        <v>0.54117652394399995</v>
      </c>
      <c r="IX3" s="3">
        <f>$H3*factors!IR$3</f>
        <v>0.56547424542719993</v>
      </c>
      <c r="IY3" s="3">
        <f>$H3*factors!IS$3</f>
        <v>0.55719093128519992</v>
      </c>
      <c r="IZ3" s="3">
        <f>$H3*factors!IT$3</f>
        <v>0.56657868731279992</v>
      </c>
      <c r="JA3" s="3">
        <f>$H3*factors!IU$3</f>
        <v>0.53510209357319993</v>
      </c>
      <c r="JB3" s="3">
        <f>$H3*factors!IV$3</f>
        <v>0.54504207054359999</v>
      </c>
      <c r="JC3" s="3">
        <f>$H3*factors!IW$3</f>
        <v>0.5323409888592</v>
      </c>
      <c r="JD3" s="3">
        <f>$H3*factors!IX$3</f>
        <v>0.57983198993999996</v>
      </c>
      <c r="JE3" s="3">
        <f>$H3*factors!IY$3</f>
        <v>0.53399765168759994</v>
      </c>
      <c r="JF3" s="3">
        <f>$H3*factors!IZ$3</f>
        <v>0.5605042569419999</v>
      </c>
      <c r="JG3" s="3">
        <f>$H3*factors!JA$3</f>
        <v>0.55056427997159996</v>
      </c>
      <c r="JH3" s="3">
        <f>$H3*factors!JB$3</f>
        <v>0.56105647788479995</v>
      </c>
      <c r="JI3" s="3">
        <f>$H3*factors!JC$3</f>
        <v>0.52516211660279999</v>
      </c>
      <c r="JJ3" s="3">
        <f>$H3*factors!JD$3</f>
        <v>0.56547424542719993</v>
      </c>
      <c r="JK3" s="3">
        <f>$H3*factors!JE$3</f>
        <v>0.54725095431479998</v>
      </c>
      <c r="JL3" s="3">
        <f>$H3*factors!JF$3</f>
        <v>0.56933979202679985</v>
      </c>
      <c r="JM3" s="3">
        <f>$H3*factors!JG$3</f>
        <v>0.53123654697360001</v>
      </c>
      <c r="JN3" s="3">
        <f>$H3*factors!JH$3</f>
        <v>0.53123654697360001</v>
      </c>
      <c r="JO3" s="3">
        <f>$H3*factors!JI$3</f>
        <v>0.52460989565999994</v>
      </c>
      <c r="JP3" s="3">
        <f>$H3*factors!JJ$3</f>
        <v>0.56713090825559986</v>
      </c>
      <c r="JQ3" s="3">
        <f>$H3*factors!JK$3</f>
        <v>0.55277316374279994</v>
      </c>
      <c r="JR3" s="3">
        <f>$H3*factors!JL$3</f>
        <v>0.57430978051199988</v>
      </c>
      <c r="JS3" s="3">
        <f>$H3*factors!JM$3</f>
        <v>0.52460989565999994</v>
      </c>
      <c r="JT3" s="3">
        <f>$H3*factors!JN$3</f>
        <v>0.5511165009143999</v>
      </c>
      <c r="JU3" s="3">
        <f>$H3*factors!JO$3</f>
        <v>0.53289320980199995</v>
      </c>
      <c r="JV3" s="3">
        <f>$H3*factors!JP$3</f>
        <v>0.54172874488680001</v>
      </c>
      <c r="JW3" s="3">
        <f>$H3*factors!JQ$3</f>
        <v>0.57872754805439997</v>
      </c>
      <c r="JX3" s="3">
        <f>$H3*factors!JR$3</f>
        <v>0.57320533862639989</v>
      </c>
      <c r="JY3" s="3">
        <f>$H3*factors!JS$3</f>
        <v>0.53951986111560002</v>
      </c>
      <c r="JZ3" s="3">
        <f>$H3*factors!JT$3</f>
        <v>0.54559429148639993</v>
      </c>
      <c r="KA3" s="3">
        <f>$H3*factors!JU$3</f>
        <v>0.54780317525759992</v>
      </c>
      <c r="KB3" s="3">
        <f>$H3*factors!JV$3</f>
        <v>0.52957988414519996</v>
      </c>
      <c r="KC3" s="3">
        <f>$H3*factors!JW$3</f>
        <v>0.5323409888592</v>
      </c>
      <c r="KD3" s="3">
        <f>$H3*factors!JX$3</f>
        <v>0.53289320980199995</v>
      </c>
      <c r="KE3" s="3">
        <f>$H3*factors!JY$3</f>
        <v>0.56713090825559986</v>
      </c>
      <c r="KF3" s="3">
        <f>$H3*factors!JZ$3</f>
        <v>0.57375755956919983</v>
      </c>
      <c r="KG3" s="3">
        <f>$H3*factors!KA$3</f>
        <v>0.55332538468559989</v>
      </c>
      <c r="KH3" s="3">
        <f>$H3*factors!KB$3</f>
        <v>0.54117652394399995</v>
      </c>
      <c r="KI3" s="3">
        <f>$H3*factors!KC$3</f>
        <v>0.53620653545879993</v>
      </c>
    </row>
    <row r="4" spans="1:295" x14ac:dyDescent="0.55000000000000004">
      <c r="A4" t="s">
        <v>379</v>
      </c>
      <c r="B4">
        <v>3</v>
      </c>
      <c r="C4">
        <v>230</v>
      </c>
      <c r="D4" t="s">
        <v>377</v>
      </c>
      <c r="E4">
        <v>3.3630000000000001E-3</v>
      </c>
      <c r="F4">
        <v>3</v>
      </c>
      <c r="G4">
        <f>VLOOKUP(D4,demand_forecasted!$A$2:$G$11,2)</f>
        <v>11098</v>
      </c>
      <c r="H4" s="3">
        <f t="shared" si="0"/>
        <v>0.37322574000000003</v>
      </c>
      <c r="I4" s="3">
        <f>$H4*factors!C$3</f>
        <v>0.41316089418000002</v>
      </c>
      <c r="J4" s="3">
        <f>$H4*factors!D$3</f>
        <v>0.39824679360960002</v>
      </c>
      <c r="K4" s="3">
        <f>$H4*factors!E$3</f>
        <v>0.39139436902320007</v>
      </c>
      <c r="L4" s="3">
        <f>$H4*factors!F$3</f>
        <v>0.3901851176256001</v>
      </c>
      <c r="M4" s="3">
        <f>$H4*factors!G$3</f>
        <v>0.38978203382640003</v>
      </c>
      <c r="N4" s="3">
        <f>$H4*factors!H$3</f>
        <v>0.40106838020400004</v>
      </c>
      <c r="O4" s="3">
        <f>$H4*factors!I$3</f>
        <v>0.40993622378640004</v>
      </c>
      <c r="P4" s="3">
        <f>$H4*factors!J$3</f>
        <v>0.41477322937680006</v>
      </c>
      <c r="Q4" s="3">
        <f>$H4*factors!K$3</f>
        <v>0.38937895002720002</v>
      </c>
      <c r="R4" s="3">
        <f>$H4*factors!L$3</f>
        <v>0.38292960924000002</v>
      </c>
      <c r="S4" s="3">
        <f>$H4*factors!M$3</f>
        <v>0.39864987740880004</v>
      </c>
      <c r="T4" s="3">
        <f>$H4*factors!N$3</f>
        <v>0.41235472658160005</v>
      </c>
      <c r="U4" s="3">
        <f>$H4*factors!O$3</f>
        <v>0.39058820142480005</v>
      </c>
      <c r="V4" s="3">
        <f>$H4*factors!P$3</f>
        <v>0.40630846959360006</v>
      </c>
      <c r="W4" s="3">
        <f>$H4*factors!Q$3</f>
        <v>0.40993622378640004</v>
      </c>
      <c r="X4" s="3">
        <f>$H4*factors!R$3</f>
        <v>0.39220053662160004</v>
      </c>
      <c r="Y4" s="3">
        <f>$H4*factors!S$3</f>
        <v>0.38857278242880006</v>
      </c>
      <c r="Z4" s="3">
        <f>$H4*factors!T$3</f>
        <v>0.41920715116800011</v>
      </c>
      <c r="AA4" s="3">
        <f>$H4*factors!U$3</f>
        <v>0.39582829081440002</v>
      </c>
      <c r="AB4" s="3">
        <f>$H4*factors!V$3</f>
        <v>0.39623137461360008</v>
      </c>
      <c r="AC4" s="3">
        <f>$H4*factors!W$3</f>
        <v>0.39663445841280009</v>
      </c>
      <c r="AD4" s="3">
        <f>$H4*factors!X$3</f>
        <v>0.38816969862960005</v>
      </c>
      <c r="AE4" s="3">
        <f>$H4*factors!Y$3</f>
        <v>0.39139436902320007</v>
      </c>
      <c r="AF4" s="3">
        <f>$H4*factors!Z$3</f>
        <v>0.39945604500720006</v>
      </c>
      <c r="AG4" s="3">
        <f>$H4*factors!AA$3</f>
        <v>0.38937895002720002</v>
      </c>
      <c r="AH4" s="3">
        <f>$H4*factors!AB$3</f>
        <v>0.38776661483040009</v>
      </c>
      <c r="AI4" s="3">
        <f>$H4*factors!AC$3</f>
        <v>0.40026221260560008</v>
      </c>
      <c r="AJ4" s="3">
        <f>$H4*factors!AD$3</f>
        <v>0.41557939697520002</v>
      </c>
      <c r="AK4" s="3">
        <f>$H4*factors!AE$3</f>
        <v>0.39985912880640007</v>
      </c>
      <c r="AL4" s="3">
        <f>$H4*factors!AF$3</f>
        <v>0.3841388606376</v>
      </c>
      <c r="AM4" s="3">
        <f>$H4*factors!AG$3</f>
        <v>0.39502212321600005</v>
      </c>
      <c r="AN4" s="3">
        <f>$H4*factors!AH$3</f>
        <v>0.38857278242880006</v>
      </c>
      <c r="AO4" s="3">
        <f>$H4*factors!AI$3</f>
        <v>0.40711463719200003</v>
      </c>
      <c r="AP4" s="3">
        <f>$H4*factors!AJ$3</f>
        <v>0.3901851176256001</v>
      </c>
      <c r="AQ4" s="3">
        <f>$H4*factors!AK$3</f>
        <v>0.40268071540080008</v>
      </c>
      <c r="AR4" s="3">
        <f>$H4*factors!AL$3</f>
        <v>0.39381287181840008</v>
      </c>
      <c r="AS4" s="3">
        <f>$H4*factors!AM$3</f>
        <v>0.3841388606376</v>
      </c>
      <c r="AT4" s="3">
        <f>$H4*factors!AN$3</f>
        <v>0.39623137461360008</v>
      </c>
      <c r="AU4" s="3">
        <f>$H4*factors!AO$3</f>
        <v>0.41961023496720001</v>
      </c>
      <c r="AV4" s="3">
        <f>$H4*factors!AP$3</f>
        <v>0.39663445841280009</v>
      </c>
      <c r="AW4" s="3">
        <f>$H4*factors!AQ$3</f>
        <v>0.39260362042079999</v>
      </c>
      <c r="AX4" s="3">
        <f>$H4*factors!AR$3</f>
        <v>0.41517631317600007</v>
      </c>
      <c r="AY4" s="3">
        <f>$H4*factors!AS$3</f>
        <v>0.38292960924000002</v>
      </c>
      <c r="AZ4" s="3">
        <f>$H4*factors!AT$3</f>
        <v>0.41033930758560011</v>
      </c>
      <c r="BA4" s="3">
        <f>$H4*factors!AU$3</f>
        <v>0.4014714640032</v>
      </c>
      <c r="BB4" s="3">
        <f>$H4*factors!AV$3</f>
        <v>0.39623137461360008</v>
      </c>
      <c r="BC4" s="3">
        <f>$H4*factors!AW$3</f>
        <v>0.41920715116800011</v>
      </c>
      <c r="BD4" s="3">
        <f>$H4*factors!AX$3</f>
        <v>0.38696044723200002</v>
      </c>
      <c r="BE4" s="3">
        <f>$H4*factors!AY$3</f>
        <v>0.45493978351559999</v>
      </c>
      <c r="BF4" s="3">
        <f>$H4*factors!AZ$3</f>
        <v>0.42367093101840003</v>
      </c>
      <c r="BG4" s="3">
        <f>$H4*factors!BA$3</f>
        <v>0.42983662024319996</v>
      </c>
      <c r="BH4" s="3">
        <f>$H4*factors!BB$3</f>
        <v>0.43556190309480003</v>
      </c>
      <c r="BI4" s="3">
        <f>$H4*factors!BC$3</f>
        <v>0.45141653252999997</v>
      </c>
      <c r="BJ4" s="3">
        <f>$H4*factors!BD$3</f>
        <v>0.4311578393628</v>
      </c>
      <c r="BK4" s="3">
        <f>$H4*factors!BE$3</f>
        <v>0.43203865210919995</v>
      </c>
      <c r="BL4" s="3">
        <f>$H4*factors!BF$3</f>
        <v>0.42719418200399994</v>
      </c>
      <c r="BM4" s="3">
        <f>$H4*factors!BG$3</f>
        <v>0.45626100263520003</v>
      </c>
      <c r="BN4" s="3">
        <f>$H4*factors!BH$3</f>
        <v>0.45053571978359996</v>
      </c>
      <c r="BO4" s="3">
        <f>$H4*factors!BI$3</f>
        <v>0.42367093101840003</v>
      </c>
      <c r="BP4" s="3">
        <f>$H4*factors!BJ$3</f>
        <v>0.4223497118988</v>
      </c>
      <c r="BQ4" s="3">
        <f>$H4*factors!BK$3</f>
        <v>0.42939621386999999</v>
      </c>
      <c r="BR4" s="3">
        <f>$H4*factors!BL$3</f>
        <v>0.44481043693200001</v>
      </c>
      <c r="BS4" s="3">
        <f>$H4*factors!BM$3</f>
        <v>0.4518569389032</v>
      </c>
      <c r="BT4" s="3">
        <f>$H4*factors!BN$3</f>
        <v>0.45317815802279998</v>
      </c>
      <c r="BU4" s="3">
        <f>$H4*factors!BO$3</f>
        <v>0.46066506636720006</v>
      </c>
      <c r="BV4" s="3">
        <f>$H4*factors!BP$3</f>
        <v>0.42851540112359998</v>
      </c>
      <c r="BW4" s="3">
        <f>$H4*factors!BQ$3</f>
        <v>0.43820434133399999</v>
      </c>
      <c r="BX4" s="3">
        <f>$H4*factors!BR$3</f>
        <v>0.42983662024319996</v>
      </c>
      <c r="BY4" s="3">
        <f>$H4*factors!BS$3</f>
        <v>0.44965490703719996</v>
      </c>
      <c r="BZ4" s="3">
        <f>$H4*factors!BT$3</f>
        <v>0.44128718594639998</v>
      </c>
      <c r="CA4" s="3">
        <f>$H4*factors!BU$3</f>
        <v>0.43556190309480003</v>
      </c>
      <c r="CB4" s="3">
        <f>$H4*factors!BV$3</f>
        <v>0.42146889915239999</v>
      </c>
      <c r="CC4" s="3">
        <f>$H4*factors!BW$3</f>
        <v>0.43380027760200002</v>
      </c>
      <c r="CD4" s="3">
        <f>$H4*factors!BX$3</f>
        <v>0.43512149672160005</v>
      </c>
      <c r="CE4" s="3">
        <f>$H4*factors!BY$3</f>
        <v>0.44128718594639998</v>
      </c>
      <c r="CF4" s="3">
        <f>$H4*factors!BZ$3</f>
        <v>0.43468109034840002</v>
      </c>
      <c r="CG4" s="3">
        <f>$H4*factors!CA$3</f>
        <v>0.42014768003279995</v>
      </c>
      <c r="CH4" s="3">
        <f>$H4*factors!CB$3</f>
        <v>0.42058808640599993</v>
      </c>
      <c r="CI4" s="3">
        <f>$H4*factors!CC$3</f>
        <v>0.41838605454000005</v>
      </c>
      <c r="CJ4" s="3">
        <f>$H4*factors!CD$3</f>
        <v>0.43556190309480003</v>
      </c>
      <c r="CK4" s="3">
        <f>$H4*factors!CE$3</f>
        <v>0.45493978351559999</v>
      </c>
      <c r="CL4" s="3">
        <f>$H4*factors!CF$3</f>
        <v>0.42631336925759999</v>
      </c>
      <c r="CM4" s="3">
        <f>$H4*factors!CG$3</f>
        <v>0.43644271584119998</v>
      </c>
      <c r="CN4" s="3">
        <f>$H4*factors!CH$3</f>
        <v>0.42190930552559996</v>
      </c>
      <c r="CO4" s="3">
        <f>$H4*factors!CI$3</f>
        <v>0.42499215013799996</v>
      </c>
      <c r="CP4" s="3">
        <f>$H4*factors!CJ$3</f>
        <v>0.44525084330519993</v>
      </c>
      <c r="CQ4" s="3">
        <f>$H4*factors!CK$3</f>
        <v>0.43203865210919995</v>
      </c>
      <c r="CR4" s="3">
        <f>$H4*factors!CL$3</f>
        <v>0.44569124967840001</v>
      </c>
      <c r="CS4" s="3">
        <f>$H4*factors!CM$3</f>
        <v>0.4597842536208</v>
      </c>
      <c r="CT4" s="3">
        <f>$H4*factors!CN$3</f>
        <v>0.45449937714240002</v>
      </c>
      <c r="CU4" s="3">
        <f>$H4*factors!CO$3</f>
        <v>0.44437003055879998</v>
      </c>
      <c r="CV4" s="3">
        <f>$H4*factors!CP$3</f>
        <v>0.46242669186000002</v>
      </c>
      <c r="CW4" s="3">
        <f>$H4*factors!CQ$3</f>
        <v>0.43732352858760004</v>
      </c>
      <c r="CX4" s="3">
        <f>$H4*factors!CR$3</f>
        <v>0.43071743298960002</v>
      </c>
      <c r="CY4" s="3">
        <f>$H4*factors!CS$3</f>
        <v>0.42675377563079997</v>
      </c>
      <c r="CZ4" s="3">
        <f>$H4*factors!CT$3</f>
        <v>0.42058808640599993</v>
      </c>
      <c r="DA4" s="3">
        <f>$H4*factors!CU$3</f>
        <v>0.43667411579999998</v>
      </c>
      <c r="DB4" s="3">
        <f>$H4*factors!CV$3</f>
        <v>0.46488998174400004</v>
      </c>
      <c r="DC4" s="3">
        <f>$H4*factors!CW$3</f>
        <v>0.44518366267199999</v>
      </c>
      <c r="DD4" s="3">
        <f>$H4*factors!CX$3</f>
        <v>0.44204856645599999</v>
      </c>
      <c r="DE4" s="3">
        <f>$H4*factors!CY$3</f>
        <v>0.45503682220800007</v>
      </c>
      <c r="DF4" s="3">
        <f>$H4*factors!CZ$3</f>
        <v>0.45414108043199997</v>
      </c>
      <c r="DG4" s="3">
        <f>$H4*factors!DA$3</f>
        <v>0.45234959688000004</v>
      </c>
      <c r="DH4" s="3">
        <f>$H4*factors!DB$3</f>
        <v>0.45234959688000004</v>
      </c>
      <c r="DI4" s="3">
        <f>$H4*factors!DC$3</f>
        <v>0.43533050313599997</v>
      </c>
      <c r="DJ4" s="3">
        <f>$H4*factors!DD$3</f>
        <v>0.46130701464000001</v>
      </c>
      <c r="DK4" s="3">
        <f>$H4*factors!DE$3</f>
        <v>0.46130701464000001</v>
      </c>
      <c r="DL4" s="3">
        <f>$H4*factors!DF$3</f>
        <v>0.45593256398400006</v>
      </c>
      <c r="DM4" s="3">
        <f>$H4*factors!DG$3</f>
        <v>0.42950818159199999</v>
      </c>
      <c r="DN4" s="3">
        <f>$H4*factors!DH$3</f>
        <v>0.45055811332800005</v>
      </c>
      <c r="DO4" s="3">
        <f>$H4*factors!DI$3</f>
        <v>0.465337852632</v>
      </c>
      <c r="DP4" s="3">
        <f>$H4*factors!DJ$3</f>
        <v>0.46130701464000001</v>
      </c>
      <c r="DQ4" s="3">
        <f>$H4*factors!DK$3</f>
        <v>0.43980921201599998</v>
      </c>
      <c r="DR4" s="3">
        <f>$H4*factors!DL$3</f>
        <v>0.43488263224800006</v>
      </c>
      <c r="DS4" s="3">
        <f>$H4*factors!DM$3</f>
        <v>0.46981656151200002</v>
      </c>
      <c r="DT4" s="3">
        <f>$H4*factors!DN$3</f>
        <v>0.44160069556800002</v>
      </c>
      <c r="DU4" s="3">
        <f>$H4*factors!DO$3</f>
        <v>0.462202756416</v>
      </c>
      <c r="DV4" s="3">
        <f>$H4*factors!DP$3</f>
        <v>0.45145385510400005</v>
      </c>
      <c r="DW4" s="3">
        <f>$H4*factors!DQ$3</f>
        <v>0.43085179425600001</v>
      </c>
      <c r="DX4" s="3">
        <f>$H4*factors!DR$3</f>
        <v>0.45638043487199997</v>
      </c>
      <c r="DY4" s="3">
        <f>$H4*factors!DS$3</f>
        <v>0.43309114869599996</v>
      </c>
      <c r="DZ4" s="3">
        <f>$H4*factors!DT$3</f>
        <v>0.463098498192</v>
      </c>
      <c r="EA4" s="3">
        <f>$H4*factors!DU$3</f>
        <v>0.43622624491199996</v>
      </c>
      <c r="EB4" s="3">
        <f>$H4*factors!DV$3</f>
        <v>0.4254773436</v>
      </c>
      <c r="EC4" s="3">
        <f>$H4*factors!DW$3</f>
        <v>0.45772404753599999</v>
      </c>
      <c r="ED4" s="3">
        <f>$H4*factors!DX$3</f>
        <v>0.42950818159199999</v>
      </c>
      <c r="EE4" s="3">
        <f>$H4*factors!DY$3</f>
        <v>0.43309114869599996</v>
      </c>
      <c r="EF4" s="3">
        <f>$H4*factors!DZ$3</f>
        <v>0.46981656151200002</v>
      </c>
      <c r="EG4" s="3">
        <f>$H4*factors!EA$3</f>
        <v>0.43891347023999999</v>
      </c>
      <c r="EH4" s="3">
        <f>$H4*factors!EB$3</f>
        <v>0.44025708290400001</v>
      </c>
      <c r="EI4" s="3">
        <f>$H4*factors!EC$3</f>
        <v>0.43936134112800002</v>
      </c>
      <c r="EJ4" s="3">
        <f>$H4*factors!ED$3</f>
        <v>0.42816456892800003</v>
      </c>
      <c r="EK4" s="3">
        <f>$H4*factors!EE$3</f>
        <v>0.45772404753599999</v>
      </c>
      <c r="EL4" s="3">
        <f>$H4*factors!EF$3</f>
        <v>0.43533050313599997</v>
      </c>
      <c r="EM4" s="3">
        <f>$H4*factors!EG$3</f>
        <v>0.45279746776799995</v>
      </c>
      <c r="EN4" s="3">
        <f>$H4*factors!EH$3</f>
        <v>0.4254773436</v>
      </c>
      <c r="EO4" s="3">
        <f>$H4*factors!EI$3</f>
        <v>0.43174753603199995</v>
      </c>
      <c r="EP4" s="3">
        <f>$H4*factors!EJ$3</f>
        <v>0.45548469309599998</v>
      </c>
      <c r="EQ4" s="3">
        <f>$H4*factors!EK$3</f>
        <v>0.44294430823199998</v>
      </c>
      <c r="ER4" s="3">
        <f>$H4*factors!EL$3</f>
        <v>0.46130701464000001</v>
      </c>
      <c r="ES4" s="3">
        <f>$H4*factors!EM$3</f>
        <v>0.45548469309599998</v>
      </c>
      <c r="ET4" s="3">
        <f>$H4*factors!EN$3</f>
        <v>0.46578572352000003</v>
      </c>
      <c r="EU4" s="3">
        <f>$H4*factors!EO$3</f>
        <v>0.47026443240000004</v>
      </c>
      <c r="EV4" s="3">
        <f>$H4*factors!EP$3</f>
        <v>0.44070495379199998</v>
      </c>
      <c r="EW4" s="3">
        <f>$H4*factors!EQ$3</f>
        <v>0.48472692982499999</v>
      </c>
      <c r="EX4" s="3">
        <f>$H4*factors!ER$3</f>
        <v>0.47959507590000011</v>
      </c>
      <c r="EY4" s="3">
        <f>$H4*factors!ES$3</f>
        <v>0.48939225157499994</v>
      </c>
      <c r="EZ4" s="3">
        <f>$H4*factors!ET$3</f>
        <v>0.48472692982499999</v>
      </c>
      <c r="FA4" s="3">
        <f>$H4*factors!EU$3</f>
        <v>0.44553822712499996</v>
      </c>
      <c r="FB4" s="3">
        <f>$H4*factors!EV$3</f>
        <v>0.46559911065000004</v>
      </c>
      <c r="FC4" s="3">
        <f>$H4*factors!EW$3</f>
        <v>0.47866201155000004</v>
      </c>
      <c r="FD4" s="3">
        <f>$H4*factors!EX$3</f>
        <v>0.46186685325000004</v>
      </c>
      <c r="FE4" s="3">
        <f>$H4*factors!EY$3</f>
        <v>0.48659305852500001</v>
      </c>
      <c r="FF4" s="3">
        <f>$H4*factors!EZ$3</f>
        <v>0.4870595907000001</v>
      </c>
      <c r="FG4" s="3">
        <f>$H4*factors!FA$3</f>
        <v>0.44553822712499996</v>
      </c>
      <c r="FH4" s="3">
        <f>$H4*factors!FB$3</f>
        <v>0.468864835875</v>
      </c>
      <c r="FI4" s="3">
        <f>$H4*factors!FC$3</f>
        <v>0.48845918722499998</v>
      </c>
      <c r="FJ4" s="3">
        <f>$H4*factors!FD$3</f>
        <v>0.468864835875</v>
      </c>
      <c r="FK4" s="3">
        <f>$H4*factors!FE$3</f>
        <v>0.47679588285000007</v>
      </c>
      <c r="FL4" s="3">
        <f>$H4*factors!FF$3</f>
        <v>0.47819547937500001</v>
      </c>
      <c r="FM4" s="3">
        <f>$H4*factors!FG$3</f>
        <v>0.48332733329999999</v>
      </c>
      <c r="FN4" s="3">
        <f>$H4*factors!FH$3</f>
        <v>0.452069677575</v>
      </c>
      <c r="FO4" s="3">
        <f>$H4*factors!FI$3</f>
        <v>0.48006160807499998</v>
      </c>
      <c r="FP4" s="3">
        <f>$H4*factors!FJ$3</f>
        <v>0.46653217500000005</v>
      </c>
      <c r="FQ4" s="3">
        <f>$H4*factors!FK$3</f>
        <v>0.46186685325000004</v>
      </c>
      <c r="FR4" s="3">
        <f>$H4*factors!FL$3</f>
        <v>0.47119749675</v>
      </c>
      <c r="FS4" s="3">
        <f>$H4*factors!FM$3</f>
        <v>0.46839830370000002</v>
      </c>
      <c r="FT4" s="3">
        <f>$H4*factors!FN$3</f>
        <v>0.47866201155000004</v>
      </c>
      <c r="FU4" s="3">
        <f>$H4*factors!FO$3</f>
        <v>0.46000072455000002</v>
      </c>
      <c r="FV4" s="3">
        <f>$H4*factors!FP$3</f>
        <v>0.45626846715000002</v>
      </c>
      <c r="FW4" s="3">
        <f>$H4*factors!FQ$3</f>
        <v>0.48845918722499998</v>
      </c>
      <c r="FX4" s="3">
        <f>$H4*factors!FR$3</f>
        <v>0.47959507590000011</v>
      </c>
      <c r="FY4" s="3">
        <f>$H4*factors!FS$3</f>
        <v>0.46979790022499995</v>
      </c>
      <c r="FZ4" s="3">
        <f>$H4*factors!FT$3</f>
        <v>0.44647129147500003</v>
      </c>
      <c r="GA4" s="3">
        <f>$H4*factors!FU$3</f>
        <v>0.46979790022499995</v>
      </c>
      <c r="GB4" s="3">
        <f>$H4*factors!FV$3</f>
        <v>0.4870595907000001</v>
      </c>
      <c r="GC4" s="3">
        <f>$H4*factors!FW$3</f>
        <v>0.45626846715000002</v>
      </c>
      <c r="GD4" s="3">
        <f>$H4*factors!FX$3</f>
        <v>0.46419951412499999</v>
      </c>
      <c r="GE4" s="3">
        <f>$H4*factors!FY$3</f>
        <v>0.46419951412499999</v>
      </c>
      <c r="GF4" s="3">
        <f>$H4*factors!FZ$3</f>
        <v>0.46279991760000005</v>
      </c>
      <c r="GG4" s="3">
        <f>$H4*factors!GA$3</f>
        <v>0.44460516277500001</v>
      </c>
      <c r="GH4" s="3">
        <f>$H4*factors!GB$3</f>
        <v>0.47306362545000008</v>
      </c>
      <c r="GI4" s="3">
        <f>$H4*factors!GC$3</f>
        <v>0.44367209842500005</v>
      </c>
      <c r="GJ4" s="3">
        <f>$H4*factors!GD$3</f>
        <v>0.44460516277500001</v>
      </c>
      <c r="GK4" s="3">
        <f>$H4*factors!GE$3</f>
        <v>0.45580193497499999</v>
      </c>
      <c r="GL4" s="3">
        <f>$H4*factors!GF$3</f>
        <v>0.48286080112500002</v>
      </c>
      <c r="GM4" s="3">
        <f>$H4*factors!GG$3</f>
        <v>0.45766806367500007</v>
      </c>
      <c r="GN4" s="3">
        <f>$H4*factors!GH$3</f>
        <v>0.47213056110000007</v>
      </c>
      <c r="GO4" s="3">
        <f>$H4*factors!GI$3</f>
        <v>0.4460047593</v>
      </c>
      <c r="GP4" s="3">
        <f>$H4*factors!GJ$3</f>
        <v>0.47819547937500001</v>
      </c>
      <c r="GQ4" s="3">
        <f>$H4*factors!GK$3</f>
        <v>0.48799265505000006</v>
      </c>
      <c r="GR4" s="3">
        <f>$H4*factors!GL$3</f>
        <v>0.47866201155000004</v>
      </c>
      <c r="GS4" s="3">
        <f>$H4*factors!GM$3</f>
        <v>0.45266683875900005</v>
      </c>
      <c r="GT4" s="3">
        <f>$H4*factors!GN$3</f>
        <v>0.46309476593460008</v>
      </c>
      <c r="GU4" s="3">
        <f>$H4*factors!GO$3</f>
        <v>0.47399668980000004</v>
      </c>
      <c r="GV4" s="3">
        <f>$H4*factors!GP$3</f>
        <v>0.45503682220800007</v>
      </c>
      <c r="GW4" s="3">
        <f>$H4*factors!GQ$3</f>
        <v>0.47115270966120004</v>
      </c>
      <c r="GX4" s="3">
        <f>$H4*factors!GR$3</f>
        <v>0.4635687626244</v>
      </c>
      <c r="GY4" s="3">
        <f>$H4*factors!GS$3</f>
        <v>0.46119877917540009</v>
      </c>
      <c r="GZ4" s="3">
        <f>$H4*factors!GT$3</f>
        <v>0.4782626600082</v>
      </c>
      <c r="HA4" s="3">
        <f>$H4*factors!GU$3</f>
        <v>0.4626207692448</v>
      </c>
      <c r="HB4" s="3">
        <f>$H4*factors!GV$3</f>
        <v>0.4782626600082</v>
      </c>
      <c r="HC4" s="3">
        <f>$H4*factors!GW$3</f>
        <v>0.46641274276319999</v>
      </c>
      <c r="HD4" s="3">
        <f>$H4*factors!GX$3</f>
        <v>0.48015864676739994</v>
      </c>
      <c r="HE4" s="3">
        <f>$H4*factors!GY$3</f>
        <v>0.47399668980000004</v>
      </c>
      <c r="HF4" s="3">
        <f>$H4*factors!GZ$3</f>
        <v>0.48869058718379998</v>
      </c>
      <c r="HG4" s="3">
        <f>$H4*factors!HA$3</f>
        <v>0.46973071959180002</v>
      </c>
      <c r="HH4" s="3">
        <f>$H4*factors!HB$3</f>
        <v>0.4635687626244</v>
      </c>
      <c r="HI4" s="3">
        <f>$H4*factors!HC$3</f>
        <v>0.45788080234680006</v>
      </c>
      <c r="HJ4" s="3">
        <f>$H4*factors!HD$3</f>
        <v>0.45266683875900005</v>
      </c>
      <c r="HK4" s="3">
        <f>$H4*factors!HE$3</f>
        <v>0.47873665669800003</v>
      </c>
      <c r="HL4" s="3">
        <f>$H4*factors!HF$3</f>
        <v>0.45124484868960002</v>
      </c>
      <c r="HM4" s="3">
        <f>$H4*factors!HG$3</f>
        <v>0.45598481558760007</v>
      </c>
      <c r="HN4" s="3">
        <f>$H4*factors!HH$3</f>
        <v>0.48632060373480007</v>
      </c>
      <c r="HO4" s="3">
        <f>$H4*factors!HI$3</f>
        <v>0.46641274276319999</v>
      </c>
      <c r="HP4" s="3">
        <f>$H4*factors!HJ$3</f>
        <v>0.49769652429000011</v>
      </c>
      <c r="HQ4" s="3">
        <f>$H4*factors!HK$3</f>
        <v>0.45503682220800007</v>
      </c>
      <c r="HR4" s="3">
        <f>$H4*factors!HL$3</f>
        <v>0.48252863021640008</v>
      </c>
      <c r="HS4" s="3">
        <f>$H4*factors!HM$3</f>
        <v>0.49106057063280006</v>
      </c>
      <c r="HT4" s="3">
        <f>$H4*factors!HN$3</f>
        <v>0.45788080234680006</v>
      </c>
      <c r="HU4" s="3">
        <f>$H4*factors!HO$3</f>
        <v>0.4626207692448</v>
      </c>
      <c r="HV4" s="3">
        <f>$H4*factors!HP$3</f>
        <v>0.46830872952240005</v>
      </c>
      <c r="HW4" s="3">
        <f>$H4*factors!HQ$3</f>
        <v>0.47494468317960004</v>
      </c>
      <c r="HX4" s="3">
        <f>$H4*factors!HR$3</f>
        <v>0.49437854746139998</v>
      </c>
      <c r="HY4" s="3">
        <f>$H4*factors!HS$3</f>
        <v>0.46973071959180002</v>
      </c>
      <c r="HZ4" s="3">
        <f>$H4*factors!HT$3</f>
        <v>0.48774259380419999</v>
      </c>
      <c r="IA4" s="3">
        <f>$H4*factors!HU$3</f>
        <v>0.46404275931420003</v>
      </c>
      <c r="IB4" s="3">
        <f>$H4*factors!HV$3</f>
        <v>0.48015864676739994</v>
      </c>
      <c r="IC4" s="3">
        <f>$H4*factors!HW$3</f>
        <v>0.48489861366540005</v>
      </c>
      <c r="ID4" s="3">
        <f>$H4*factors!HX$3</f>
        <v>0.45029685531000002</v>
      </c>
      <c r="IE4" s="3">
        <f>$H4*factors!HY$3</f>
        <v>0.4782626600082</v>
      </c>
      <c r="IF4" s="3">
        <f>$H4*factors!HZ$3</f>
        <v>0.47541867986940001</v>
      </c>
      <c r="IG4" s="3">
        <f>$H4*factors!IA$3</f>
        <v>0.47115270966120004</v>
      </c>
      <c r="IH4" s="3">
        <f>$H4*factors!IB$3</f>
        <v>0.48869058718379998</v>
      </c>
      <c r="II4" s="3">
        <f>$H4*factors!IC$3</f>
        <v>0.46783473283260002</v>
      </c>
      <c r="IJ4" s="3">
        <f>$H4*factors!ID$3</f>
        <v>0.47210070304080004</v>
      </c>
      <c r="IK4" s="3">
        <f>$H4*factors!IE$3</f>
        <v>0.48916458387360007</v>
      </c>
      <c r="IL4" s="3">
        <f>$H4*factors!IF$3</f>
        <v>0.46830872952240005</v>
      </c>
      <c r="IM4" s="3">
        <f>$H4*factors!IG$3</f>
        <v>0.46404275931420003</v>
      </c>
      <c r="IN4" s="3">
        <f>$H4*factors!IH$3</f>
        <v>0.46688673945300002</v>
      </c>
      <c r="IO4" s="3">
        <f>$H4*factors!II$3</f>
        <v>0.47162670635100001</v>
      </c>
      <c r="IP4" s="3">
        <f>$H4*factors!IJ$3</f>
        <v>0.45598481558760007</v>
      </c>
      <c r="IQ4" s="3">
        <f>$H4*factors!IK$3</f>
        <v>0.45456282551820004</v>
      </c>
      <c r="IR4" s="3">
        <f>$H4*factors!IL$3</f>
        <v>0.46783473283260002</v>
      </c>
      <c r="IS4" s="3">
        <f>$H4*factors!IM$3</f>
        <v>0.47162670635100001</v>
      </c>
      <c r="IT4" s="3">
        <f>$H4*factors!IN$3</f>
        <v>0.47494468317960004</v>
      </c>
      <c r="IU4" s="3">
        <f>$H4*factors!IO$3</f>
        <v>0.48537261035520007</v>
      </c>
      <c r="IV4" s="3">
        <f>$H4*factors!IP$3</f>
        <v>0.49153456732259998</v>
      </c>
      <c r="IW4" s="3">
        <f>$H4*factors!IQ$3</f>
        <v>0.464516756004</v>
      </c>
      <c r="IX4" s="3">
        <f>$H4*factors!IR$3</f>
        <v>0.48537261035520007</v>
      </c>
      <c r="IY4" s="3">
        <f>$H4*factors!IS$3</f>
        <v>0.4782626600082</v>
      </c>
      <c r="IZ4" s="3">
        <f>$H4*factors!IT$3</f>
        <v>0.48632060373480007</v>
      </c>
      <c r="JA4" s="3">
        <f>$H4*factors!IU$3</f>
        <v>0.45930279241619998</v>
      </c>
      <c r="JB4" s="3">
        <f>$H4*factors!IV$3</f>
        <v>0.46783473283260002</v>
      </c>
      <c r="JC4" s="3">
        <f>$H4*factors!IW$3</f>
        <v>0.45693280896720007</v>
      </c>
      <c r="JD4" s="3">
        <f>$H4*factors!IX$3</f>
        <v>0.49769652429000011</v>
      </c>
      <c r="JE4" s="3">
        <f>$H4*factors!IY$3</f>
        <v>0.45835479903659998</v>
      </c>
      <c r="JF4" s="3">
        <f>$H4*factors!IZ$3</f>
        <v>0.48110664014699994</v>
      </c>
      <c r="JG4" s="3">
        <f>$H4*factors!JA$3</f>
        <v>0.47257469973060001</v>
      </c>
      <c r="JH4" s="3">
        <f>$H4*factors!JB$3</f>
        <v>0.48158063683680008</v>
      </c>
      <c r="JI4" s="3">
        <f>$H4*factors!JC$3</f>
        <v>0.45077085199980005</v>
      </c>
      <c r="JJ4" s="3">
        <f>$H4*factors!JD$3</f>
        <v>0.48537261035520007</v>
      </c>
      <c r="JK4" s="3">
        <f>$H4*factors!JE$3</f>
        <v>0.46973071959180002</v>
      </c>
      <c r="JL4" s="3">
        <f>$H4*factors!JF$3</f>
        <v>0.48869058718379998</v>
      </c>
      <c r="JM4" s="3">
        <f>$H4*factors!JG$3</f>
        <v>0.45598481558760007</v>
      </c>
      <c r="JN4" s="3">
        <f>$H4*factors!JH$3</f>
        <v>0.45598481558760007</v>
      </c>
      <c r="JO4" s="3">
        <f>$H4*factors!JI$3</f>
        <v>0.45029685531000002</v>
      </c>
      <c r="JP4" s="3">
        <f>$H4*factors!JJ$3</f>
        <v>0.48679460042460004</v>
      </c>
      <c r="JQ4" s="3">
        <f>$H4*factors!JK$3</f>
        <v>0.47447068648980001</v>
      </c>
      <c r="JR4" s="3">
        <f>$H4*factors!JL$3</f>
        <v>0.49295655739200001</v>
      </c>
      <c r="JS4" s="3">
        <f>$H4*factors!JM$3</f>
        <v>0.45029685531000002</v>
      </c>
      <c r="JT4" s="3">
        <f>$H4*factors!JN$3</f>
        <v>0.47304869642040004</v>
      </c>
      <c r="JU4" s="3">
        <f>$H4*factors!JO$3</f>
        <v>0.45740680565699998</v>
      </c>
      <c r="JV4" s="3">
        <f>$H4*factors!JP$3</f>
        <v>0.46499075269380002</v>
      </c>
      <c r="JW4" s="3">
        <f>$H4*factors!JQ$3</f>
        <v>0.49674853091040011</v>
      </c>
      <c r="JX4" s="3">
        <f>$H4*factors!JR$3</f>
        <v>0.49200856401240001</v>
      </c>
      <c r="JY4" s="3">
        <f>$H4*factors!JS$3</f>
        <v>0.46309476593460008</v>
      </c>
      <c r="JZ4" s="3">
        <f>$H4*factors!JT$3</f>
        <v>0.46830872952240005</v>
      </c>
      <c r="KA4" s="3">
        <f>$H4*factors!JU$3</f>
        <v>0.47020471628160004</v>
      </c>
      <c r="KB4" s="3">
        <f>$H4*factors!JV$3</f>
        <v>0.45456282551820004</v>
      </c>
      <c r="KC4" s="3">
        <f>$H4*factors!JW$3</f>
        <v>0.45693280896720007</v>
      </c>
      <c r="KD4" s="3">
        <f>$H4*factors!JX$3</f>
        <v>0.45740680565699998</v>
      </c>
      <c r="KE4" s="3">
        <f>$H4*factors!JY$3</f>
        <v>0.48679460042460004</v>
      </c>
      <c r="KF4" s="3">
        <f>$H4*factors!JZ$3</f>
        <v>0.49248256070219998</v>
      </c>
      <c r="KG4" s="3">
        <f>$H4*factors!KA$3</f>
        <v>0.47494468317960004</v>
      </c>
      <c r="KH4" s="3">
        <f>$H4*factors!KB$3</f>
        <v>0.464516756004</v>
      </c>
      <c r="KI4" s="3">
        <f>$H4*factors!KC$3</f>
        <v>0.46025078579579998</v>
      </c>
    </row>
    <row r="5" spans="1:295" x14ac:dyDescent="0.55000000000000004">
      <c r="A5" t="s">
        <v>380</v>
      </c>
      <c r="B5">
        <v>4</v>
      </c>
      <c r="C5">
        <v>230</v>
      </c>
      <c r="D5" t="s">
        <v>377</v>
      </c>
      <c r="E5">
        <v>6.4939999999999998E-3</v>
      </c>
      <c r="F5">
        <v>4</v>
      </c>
      <c r="G5">
        <f>VLOOKUP(D5,demand_forecasted!$A$2:$G$11,2)</f>
        <v>11098</v>
      </c>
      <c r="H5" s="3">
        <f t="shared" si="0"/>
        <v>0.72070412000000006</v>
      </c>
      <c r="I5" s="3">
        <f>$H5*factors!C$3</f>
        <v>0.79781946084000011</v>
      </c>
      <c r="J5" s="3">
        <f>$H5*factors!D$3</f>
        <v>0.76902012420480004</v>
      </c>
      <c r="K5" s="3">
        <f>$H5*factors!E$3</f>
        <v>0.75578799656160012</v>
      </c>
      <c r="L5" s="3">
        <f>$H5*factors!F$3</f>
        <v>0.75345291521280022</v>
      </c>
      <c r="M5" s="3">
        <f>$H5*factors!G$3</f>
        <v>0.7526745547632</v>
      </c>
      <c r="N5" s="3">
        <f>$H5*factors!H$3</f>
        <v>0.77446864735200005</v>
      </c>
      <c r="O5" s="3">
        <f>$H5*factors!I$3</f>
        <v>0.79159257724320009</v>
      </c>
      <c r="P5" s="3">
        <f>$H5*factors!J$3</f>
        <v>0.80093290263840011</v>
      </c>
      <c r="Q5" s="3">
        <f>$H5*factors!K$3</f>
        <v>0.7518961943136</v>
      </c>
      <c r="R5" s="3">
        <f>$H5*factors!L$3</f>
        <v>0.73944242712000008</v>
      </c>
      <c r="S5" s="3">
        <f>$H5*factors!M$3</f>
        <v>0.76979848465440004</v>
      </c>
      <c r="T5" s="3">
        <f>$H5*factors!N$3</f>
        <v>0.7962627399408001</v>
      </c>
      <c r="U5" s="3">
        <f>$H5*factors!O$3</f>
        <v>0.75423127566240011</v>
      </c>
      <c r="V5" s="3">
        <f>$H5*factors!P$3</f>
        <v>0.78458733319680007</v>
      </c>
      <c r="W5" s="3">
        <f>$H5*factors!Q$3</f>
        <v>0.79159257724320009</v>
      </c>
      <c r="X5" s="3">
        <f>$H5*factors!R$3</f>
        <v>0.75734471746080001</v>
      </c>
      <c r="Y5" s="3">
        <f>$H5*factors!S$3</f>
        <v>0.7503394734144001</v>
      </c>
      <c r="Z5" s="3">
        <f>$H5*factors!T$3</f>
        <v>0.80949486758400024</v>
      </c>
      <c r="AA5" s="3">
        <f>$H5*factors!U$3</f>
        <v>0.76434996150720003</v>
      </c>
      <c r="AB5" s="3">
        <f>$H5*factors!V$3</f>
        <v>0.76512832195680014</v>
      </c>
      <c r="AC5" s="3">
        <f>$H5*factors!W$3</f>
        <v>0.76590668240640014</v>
      </c>
      <c r="AD5" s="3">
        <f>$H5*factors!X$3</f>
        <v>0.7495611129648001</v>
      </c>
      <c r="AE5" s="3">
        <f>$H5*factors!Y$3</f>
        <v>0.75578799656160012</v>
      </c>
      <c r="AF5" s="3">
        <f>$H5*factors!Z$3</f>
        <v>0.77135520555360015</v>
      </c>
      <c r="AG5" s="3">
        <f>$H5*factors!AA$3</f>
        <v>0.7518961943136</v>
      </c>
      <c r="AH5" s="3">
        <f>$H5*factors!AB$3</f>
        <v>0.7487827525152001</v>
      </c>
      <c r="AI5" s="3">
        <f>$H5*factors!AC$3</f>
        <v>0.77291192645280016</v>
      </c>
      <c r="AJ5" s="3">
        <f>$H5*factors!AD$3</f>
        <v>0.80248962353760012</v>
      </c>
      <c r="AK5" s="3">
        <f>$H5*factors!AE$3</f>
        <v>0.77213356600320016</v>
      </c>
      <c r="AL5" s="3">
        <f>$H5*factors!AF$3</f>
        <v>0.74177750846879997</v>
      </c>
      <c r="AM5" s="3">
        <f>$H5*factors!AG$3</f>
        <v>0.76279324060800002</v>
      </c>
      <c r="AN5" s="3">
        <f>$H5*factors!AH$3</f>
        <v>0.7503394734144001</v>
      </c>
      <c r="AO5" s="3">
        <f>$H5*factors!AI$3</f>
        <v>0.78614405409600008</v>
      </c>
      <c r="AP5" s="3">
        <f>$H5*factors!AJ$3</f>
        <v>0.75345291521280022</v>
      </c>
      <c r="AQ5" s="3">
        <f>$H5*factors!AK$3</f>
        <v>0.77758208915040017</v>
      </c>
      <c r="AR5" s="3">
        <f>$H5*factors!AL$3</f>
        <v>0.76045815925920013</v>
      </c>
      <c r="AS5" s="3">
        <f>$H5*factors!AM$3</f>
        <v>0.74177750846879997</v>
      </c>
      <c r="AT5" s="3">
        <f>$H5*factors!AN$3</f>
        <v>0.76512832195680014</v>
      </c>
      <c r="AU5" s="3">
        <f>$H5*factors!AO$3</f>
        <v>0.81027322803360002</v>
      </c>
      <c r="AV5" s="3">
        <f>$H5*factors!AP$3</f>
        <v>0.76590668240640014</v>
      </c>
      <c r="AW5" s="3">
        <f>$H5*factors!AQ$3</f>
        <v>0.75812307791040001</v>
      </c>
      <c r="AX5" s="3">
        <f>$H5*factors!AR$3</f>
        <v>0.80171126308800011</v>
      </c>
      <c r="AY5" s="3">
        <f>$H5*factors!AS$3</f>
        <v>0.73944242712000008</v>
      </c>
      <c r="AZ5" s="3">
        <f>$H5*factors!AT$3</f>
        <v>0.7923709376928002</v>
      </c>
      <c r="BA5" s="3">
        <f>$H5*factors!AU$3</f>
        <v>0.77524700780160005</v>
      </c>
      <c r="BB5" s="3">
        <f>$H5*factors!AV$3</f>
        <v>0.76512832195680014</v>
      </c>
      <c r="BC5" s="3">
        <f>$H5*factors!AW$3</f>
        <v>0.80949486758400024</v>
      </c>
      <c r="BD5" s="3">
        <f>$H5*factors!AX$3</f>
        <v>0.74722603161599999</v>
      </c>
      <c r="BE5" s="3">
        <f>$H5*factors!AY$3</f>
        <v>0.87849508003279997</v>
      </c>
      <c r="BF5" s="3">
        <f>$H5*factors!AZ$3</f>
        <v>0.81811448885920002</v>
      </c>
      <c r="BG5" s="3">
        <f>$H5*factors!BA$3</f>
        <v>0.83002052092159995</v>
      </c>
      <c r="BH5" s="3">
        <f>$H5*factors!BB$3</f>
        <v>0.84107612212240002</v>
      </c>
      <c r="BI5" s="3">
        <f>$H5*factors!BC$3</f>
        <v>0.87169163313999998</v>
      </c>
      <c r="BJ5" s="3">
        <f>$H5*factors!BD$3</f>
        <v>0.83257181350639997</v>
      </c>
      <c r="BK5" s="3">
        <f>$H5*factors!BE$3</f>
        <v>0.83427267522959991</v>
      </c>
      <c r="BL5" s="3">
        <f>$H5*factors!BF$3</f>
        <v>0.8249179357519999</v>
      </c>
      <c r="BM5" s="3">
        <f>$H5*factors!BG$3</f>
        <v>0.8810463726176001</v>
      </c>
      <c r="BN5" s="3">
        <f>$H5*factors!BH$3</f>
        <v>0.86999077141680003</v>
      </c>
      <c r="BO5" s="3">
        <f>$H5*factors!BI$3</f>
        <v>0.81811448885920002</v>
      </c>
      <c r="BP5" s="3">
        <f>$H5*factors!BJ$3</f>
        <v>0.81556319627439999</v>
      </c>
      <c r="BQ5" s="3">
        <f>$H5*factors!BK$3</f>
        <v>0.82917009005999998</v>
      </c>
      <c r="BR5" s="3">
        <f>$H5*factors!BL$3</f>
        <v>0.85893517021600008</v>
      </c>
      <c r="BS5" s="3">
        <f>$H5*factors!BM$3</f>
        <v>0.87254206400160006</v>
      </c>
      <c r="BT5" s="3">
        <f>$H5*factors!BN$3</f>
        <v>0.87509335658639997</v>
      </c>
      <c r="BU5" s="3">
        <f>$H5*factors!BO$3</f>
        <v>0.88955068123360015</v>
      </c>
      <c r="BV5" s="3">
        <f>$H5*factors!BP$3</f>
        <v>0.82746922833680003</v>
      </c>
      <c r="BW5" s="3">
        <f>$H5*factors!BQ$3</f>
        <v>0.84617870729200007</v>
      </c>
      <c r="BX5" s="3">
        <f>$H5*factors!BR$3</f>
        <v>0.83002052092159995</v>
      </c>
      <c r="BY5" s="3">
        <f>$H5*factors!BS$3</f>
        <v>0.86828990969359987</v>
      </c>
      <c r="BZ5" s="3">
        <f>$H5*factors!BT$3</f>
        <v>0.85213172332319997</v>
      </c>
      <c r="CA5" s="3">
        <f>$H5*factors!BU$3</f>
        <v>0.84107612212240002</v>
      </c>
      <c r="CB5" s="3">
        <f>$H5*factors!BV$3</f>
        <v>0.81386233455120005</v>
      </c>
      <c r="CC5" s="3">
        <f>$H5*factors!BW$3</f>
        <v>0.83767439867600002</v>
      </c>
      <c r="CD5" s="3">
        <f>$H5*factors!BX$3</f>
        <v>0.84022569126080004</v>
      </c>
      <c r="CE5" s="3">
        <f>$H5*factors!BY$3</f>
        <v>0.85213172332319997</v>
      </c>
      <c r="CF5" s="3">
        <f>$H5*factors!BZ$3</f>
        <v>0.83937526039920007</v>
      </c>
      <c r="CG5" s="3">
        <f>$H5*factors!CA$3</f>
        <v>0.81131104196639992</v>
      </c>
      <c r="CH5" s="3">
        <f>$H5*factors!CB$3</f>
        <v>0.81216147282799989</v>
      </c>
      <c r="CI5" s="3">
        <f>$H5*factors!CC$3</f>
        <v>0.80790931852000003</v>
      </c>
      <c r="CJ5" s="3">
        <f>$H5*factors!CD$3</f>
        <v>0.84107612212240002</v>
      </c>
      <c r="CK5" s="3">
        <f>$H5*factors!CE$3</f>
        <v>0.87849508003279997</v>
      </c>
      <c r="CL5" s="3">
        <f>$H5*factors!CF$3</f>
        <v>0.82321707402880007</v>
      </c>
      <c r="CM5" s="3">
        <f>$H5*factors!CG$3</f>
        <v>0.84277698384559996</v>
      </c>
      <c r="CN5" s="3">
        <f>$H5*factors!CH$3</f>
        <v>0.81471276541280002</v>
      </c>
      <c r="CO5" s="3">
        <f>$H5*factors!CI$3</f>
        <v>0.82066578144399993</v>
      </c>
      <c r="CP5" s="3">
        <f>$H5*factors!CJ$3</f>
        <v>0.85978560107759983</v>
      </c>
      <c r="CQ5" s="3">
        <f>$H5*factors!CK$3</f>
        <v>0.83427267522959991</v>
      </c>
      <c r="CR5" s="3">
        <f>$H5*factors!CL$3</f>
        <v>0.86063603193920002</v>
      </c>
      <c r="CS5" s="3">
        <f>$H5*factors!CM$3</f>
        <v>0.88784981951039998</v>
      </c>
      <c r="CT5" s="3">
        <f>$H5*factors!CN$3</f>
        <v>0.8776446491712</v>
      </c>
      <c r="CU5" s="3">
        <f>$H5*factors!CO$3</f>
        <v>0.85808473935439988</v>
      </c>
      <c r="CV5" s="3">
        <f>$H5*factors!CP$3</f>
        <v>0.89295240468000003</v>
      </c>
      <c r="CW5" s="3">
        <f>$H5*factors!CQ$3</f>
        <v>0.84447784556880012</v>
      </c>
      <c r="CX5" s="3">
        <f>$H5*factors!CR$3</f>
        <v>0.8317213826448</v>
      </c>
      <c r="CY5" s="3">
        <f>$H5*factors!CS$3</f>
        <v>0.82406750489039993</v>
      </c>
      <c r="CZ5" s="3">
        <f>$H5*factors!CT$3</f>
        <v>0.81216147282799989</v>
      </c>
      <c r="DA5" s="3">
        <f>$H5*factors!CU$3</f>
        <v>0.84322382039999999</v>
      </c>
      <c r="DB5" s="3">
        <f>$H5*factors!CV$3</f>
        <v>0.89770905187200012</v>
      </c>
      <c r="DC5" s="3">
        <f>$H5*factors!CW$3</f>
        <v>0.85965587433599999</v>
      </c>
      <c r="DD5" s="3">
        <f>$H5*factors!CX$3</f>
        <v>0.85360195972800001</v>
      </c>
      <c r="DE5" s="3">
        <f>$H5*factors!CY$3</f>
        <v>0.87868246310400011</v>
      </c>
      <c r="DF5" s="3">
        <f>$H5*factors!CZ$3</f>
        <v>0.87695277321599996</v>
      </c>
      <c r="DG5" s="3">
        <f>$H5*factors!DA$3</f>
        <v>0.8734933934400001</v>
      </c>
      <c r="DH5" s="3">
        <f>$H5*factors!DB$3</f>
        <v>0.8734933934400001</v>
      </c>
      <c r="DI5" s="3">
        <f>$H5*factors!DC$3</f>
        <v>0.84062928556799998</v>
      </c>
      <c r="DJ5" s="3">
        <f>$H5*factors!DD$3</f>
        <v>0.89079029232000007</v>
      </c>
      <c r="DK5" s="3">
        <f>$H5*factors!DE$3</f>
        <v>0.89079029232000007</v>
      </c>
      <c r="DL5" s="3">
        <f>$H5*factors!DF$3</f>
        <v>0.88041215299200004</v>
      </c>
      <c r="DM5" s="3">
        <f>$H5*factors!DG$3</f>
        <v>0.82938630129599999</v>
      </c>
      <c r="DN5" s="3">
        <f>$H5*factors!DH$3</f>
        <v>0.87003401366400013</v>
      </c>
      <c r="DO5" s="3">
        <f>$H5*factors!DI$3</f>
        <v>0.89857389681599997</v>
      </c>
      <c r="DP5" s="3">
        <f>$H5*factors!DJ$3</f>
        <v>0.89079029232000007</v>
      </c>
      <c r="DQ5" s="3">
        <f>$H5*factors!DK$3</f>
        <v>0.84927773500799997</v>
      </c>
      <c r="DR5" s="3">
        <f>$H5*factors!DL$3</f>
        <v>0.83976444062400013</v>
      </c>
      <c r="DS5" s="3">
        <f>$H5*factors!DM$3</f>
        <v>0.90722234625600007</v>
      </c>
      <c r="DT5" s="3">
        <f>$H5*factors!DN$3</f>
        <v>0.85273711478400005</v>
      </c>
      <c r="DU5" s="3">
        <f>$H5*factors!DO$3</f>
        <v>0.892519982208</v>
      </c>
      <c r="DV5" s="3">
        <f>$H5*factors!DP$3</f>
        <v>0.87176370355200006</v>
      </c>
      <c r="DW5" s="3">
        <f>$H5*factors!DQ$3</f>
        <v>0.831980836128</v>
      </c>
      <c r="DX5" s="3">
        <f>$H5*factors!DR$3</f>
        <v>0.88127699793600001</v>
      </c>
      <c r="DY5" s="3">
        <f>$H5*factors!DS$3</f>
        <v>0.83630506084799994</v>
      </c>
      <c r="DZ5" s="3">
        <f>$H5*factors!DT$3</f>
        <v>0.89424967209600004</v>
      </c>
      <c r="EA5" s="3">
        <f>$H5*factors!DU$3</f>
        <v>0.84235897545599991</v>
      </c>
      <c r="EB5" s="3">
        <f>$H5*factors!DV$3</f>
        <v>0.82160269679999998</v>
      </c>
      <c r="EC5" s="3">
        <f>$H5*factors!DW$3</f>
        <v>0.88387153276800001</v>
      </c>
      <c r="ED5" s="3">
        <f>$H5*factors!DX$3</f>
        <v>0.82938630129599999</v>
      </c>
      <c r="EE5" s="3">
        <f>$H5*factors!DY$3</f>
        <v>0.83630506084799994</v>
      </c>
      <c r="EF5" s="3">
        <f>$H5*factors!DZ$3</f>
        <v>0.90722234625600007</v>
      </c>
      <c r="EG5" s="3">
        <f>$H5*factors!EA$3</f>
        <v>0.84754804512000004</v>
      </c>
      <c r="EH5" s="3">
        <f>$H5*factors!EB$3</f>
        <v>0.85014257995200004</v>
      </c>
      <c r="EI5" s="3">
        <f>$H5*factors!EC$3</f>
        <v>0.84841289006400011</v>
      </c>
      <c r="EJ5" s="3">
        <f>$H5*factors!ED$3</f>
        <v>0.8267917664640001</v>
      </c>
      <c r="EK5" s="3">
        <f>$H5*factors!EE$3</f>
        <v>0.88387153276800001</v>
      </c>
      <c r="EL5" s="3">
        <f>$H5*factors!EF$3</f>
        <v>0.84062928556799998</v>
      </c>
      <c r="EM5" s="3">
        <f>$H5*factors!EG$3</f>
        <v>0.87435823838399995</v>
      </c>
      <c r="EN5" s="3">
        <f>$H5*factors!EH$3</f>
        <v>0.82160269679999998</v>
      </c>
      <c r="EO5" s="3">
        <f>$H5*factors!EI$3</f>
        <v>0.83371052601599993</v>
      </c>
      <c r="EP5" s="3">
        <f>$H5*factors!EJ$3</f>
        <v>0.87954730804800008</v>
      </c>
      <c r="EQ5" s="3">
        <f>$H5*factors!EK$3</f>
        <v>0.85533164961599994</v>
      </c>
      <c r="ER5" s="3">
        <f>$H5*factors!EL$3</f>
        <v>0.89079029232000007</v>
      </c>
      <c r="ES5" s="3">
        <f>$H5*factors!EM$3</f>
        <v>0.87954730804800008</v>
      </c>
      <c r="ET5" s="3">
        <f>$H5*factors!EN$3</f>
        <v>0.89943874176000005</v>
      </c>
      <c r="EU5" s="3">
        <f>$H5*factors!EO$3</f>
        <v>0.90808719120000003</v>
      </c>
      <c r="EV5" s="3">
        <f>$H5*factors!EP$3</f>
        <v>0.85100742489600001</v>
      </c>
      <c r="EW5" s="3">
        <f>$H5*factors!EQ$3</f>
        <v>0.93601447584999997</v>
      </c>
      <c r="EX5" s="3">
        <f>$H5*factors!ER$3</f>
        <v>0.92610479420000014</v>
      </c>
      <c r="EY5" s="3">
        <f>$H5*factors!ES$3</f>
        <v>0.94502327734999991</v>
      </c>
      <c r="EZ5" s="3">
        <f>$H5*factors!ET$3</f>
        <v>0.93601447584999997</v>
      </c>
      <c r="FA5" s="3">
        <f>$H5*factors!EU$3</f>
        <v>0.86034054324999998</v>
      </c>
      <c r="FB5" s="3">
        <f>$H5*factors!EV$3</f>
        <v>0.89907838970000009</v>
      </c>
      <c r="FC5" s="3">
        <f>$H5*factors!EW$3</f>
        <v>0.92430303390000002</v>
      </c>
      <c r="FD5" s="3">
        <f>$H5*factors!EX$3</f>
        <v>0.89187134850000016</v>
      </c>
      <c r="FE5" s="3">
        <f>$H5*factors!EY$3</f>
        <v>0.9396179964500001</v>
      </c>
      <c r="FF5" s="3">
        <f>$H5*factors!EZ$3</f>
        <v>0.94051887660000022</v>
      </c>
      <c r="FG5" s="3">
        <f>$H5*factors!FA$3</f>
        <v>0.86034054324999998</v>
      </c>
      <c r="FH5" s="3">
        <f>$H5*factors!FB$3</f>
        <v>0.90538455075000002</v>
      </c>
      <c r="FI5" s="3">
        <f>$H5*factors!FC$3</f>
        <v>0.94322151705000001</v>
      </c>
      <c r="FJ5" s="3">
        <f>$H5*factors!FD$3</f>
        <v>0.90538455075000002</v>
      </c>
      <c r="FK5" s="3">
        <f>$H5*factors!FE$3</f>
        <v>0.92069951330000011</v>
      </c>
      <c r="FL5" s="3">
        <f>$H5*factors!FF$3</f>
        <v>0.92340215375000012</v>
      </c>
      <c r="FM5" s="3">
        <f>$H5*factors!FG$3</f>
        <v>0.93331183540000007</v>
      </c>
      <c r="FN5" s="3">
        <f>$H5*factors!FH$3</f>
        <v>0.87295286535000005</v>
      </c>
      <c r="FO5" s="3">
        <f>$H5*factors!FI$3</f>
        <v>0.92700567435000003</v>
      </c>
      <c r="FP5" s="3">
        <f>$H5*factors!FJ$3</f>
        <v>0.9008801500000001</v>
      </c>
      <c r="FQ5" s="3">
        <f>$H5*factors!FK$3</f>
        <v>0.89187134850000016</v>
      </c>
      <c r="FR5" s="3">
        <f>$H5*factors!FL$3</f>
        <v>0.90988895150000004</v>
      </c>
      <c r="FS5" s="3">
        <f>$H5*factors!FM$3</f>
        <v>0.90448367060000001</v>
      </c>
      <c r="FT5" s="3">
        <f>$H5*factors!FN$3</f>
        <v>0.92430303390000002</v>
      </c>
      <c r="FU5" s="3">
        <f>$H5*factors!FO$3</f>
        <v>0.88826782790000003</v>
      </c>
      <c r="FV5" s="3">
        <f>$H5*factors!FP$3</f>
        <v>0.88106078669999999</v>
      </c>
      <c r="FW5" s="3">
        <f>$H5*factors!FQ$3</f>
        <v>0.94322151705000001</v>
      </c>
      <c r="FX5" s="3">
        <f>$H5*factors!FR$3</f>
        <v>0.92610479420000014</v>
      </c>
      <c r="FY5" s="3">
        <f>$H5*factors!FS$3</f>
        <v>0.90718631104999992</v>
      </c>
      <c r="FZ5" s="3">
        <f>$H5*factors!FT$3</f>
        <v>0.8621423035500001</v>
      </c>
      <c r="GA5" s="3">
        <f>$H5*factors!FU$3</f>
        <v>0.90718631104999992</v>
      </c>
      <c r="GB5" s="3">
        <f>$H5*factors!FV$3</f>
        <v>0.94051887660000022</v>
      </c>
      <c r="GC5" s="3">
        <f>$H5*factors!FW$3</f>
        <v>0.88106078669999999</v>
      </c>
      <c r="GD5" s="3">
        <f>$H5*factors!FX$3</f>
        <v>0.89637574924999996</v>
      </c>
      <c r="GE5" s="3">
        <f>$H5*factors!FY$3</f>
        <v>0.89637574924999996</v>
      </c>
      <c r="GF5" s="3">
        <f>$H5*factors!FZ$3</f>
        <v>0.89367310880000006</v>
      </c>
      <c r="GG5" s="3">
        <f>$H5*factors!GA$3</f>
        <v>0.85853878294999997</v>
      </c>
      <c r="GH5" s="3">
        <f>$H5*factors!GB$3</f>
        <v>0.91349247210000017</v>
      </c>
      <c r="GI5" s="3">
        <f>$H5*factors!GC$3</f>
        <v>0.85673702265000007</v>
      </c>
      <c r="GJ5" s="3">
        <f>$H5*factors!GD$3</f>
        <v>0.85853878294999997</v>
      </c>
      <c r="GK5" s="3">
        <f>$H5*factors!GE$3</f>
        <v>0.88015990654999998</v>
      </c>
      <c r="GL5" s="3">
        <f>$H5*factors!GF$3</f>
        <v>0.93241095525000006</v>
      </c>
      <c r="GM5" s="3">
        <f>$H5*factors!GG$3</f>
        <v>0.88376342715000011</v>
      </c>
      <c r="GN5" s="3">
        <f>$H5*factors!GH$3</f>
        <v>0.91169071180000016</v>
      </c>
      <c r="GO5" s="3">
        <f>$H5*factors!GI$3</f>
        <v>0.86124142339999998</v>
      </c>
      <c r="GP5" s="3">
        <f>$H5*factors!GJ$3</f>
        <v>0.92340215375000012</v>
      </c>
      <c r="GQ5" s="3">
        <f>$H5*factors!GK$3</f>
        <v>0.94232063690000012</v>
      </c>
      <c r="GR5" s="3">
        <f>$H5*factors!GL$3</f>
        <v>0.92430303390000002</v>
      </c>
      <c r="GS5" s="3">
        <f>$H5*factors!GM$3</f>
        <v>0.874105991942</v>
      </c>
      <c r="GT5" s="3">
        <f>$H5*factors!GN$3</f>
        <v>0.8942424650548001</v>
      </c>
      <c r="GU5" s="3">
        <f>$H5*factors!GO$3</f>
        <v>0.91529423240000007</v>
      </c>
      <c r="GV5" s="3">
        <f>$H5*factors!GP$3</f>
        <v>0.87868246310400011</v>
      </c>
      <c r="GW5" s="3">
        <f>$H5*factors!GQ$3</f>
        <v>0.90980246700560008</v>
      </c>
      <c r="GX5" s="3">
        <f>$H5*factors!GR$3</f>
        <v>0.89515775928719998</v>
      </c>
      <c r="GY5" s="3">
        <f>$H5*factors!GS$3</f>
        <v>0.8905812881252001</v>
      </c>
      <c r="GZ5" s="3">
        <f>$H5*factors!GT$3</f>
        <v>0.92353188049159995</v>
      </c>
      <c r="HA5" s="3">
        <f>$H5*factors!GU$3</f>
        <v>0.8933271708224001</v>
      </c>
      <c r="HB5" s="3">
        <f>$H5*factors!GV$3</f>
        <v>0.92353188049159995</v>
      </c>
      <c r="HC5" s="3">
        <f>$H5*factors!GW$3</f>
        <v>0.90064952468159998</v>
      </c>
      <c r="HD5" s="3">
        <f>$H5*factors!GX$3</f>
        <v>0.92719305742119995</v>
      </c>
      <c r="HE5" s="3">
        <f>$H5*factors!GY$3</f>
        <v>0.91529423240000007</v>
      </c>
      <c r="HF5" s="3">
        <f>$H5*factors!GZ$3</f>
        <v>0.94366835360440005</v>
      </c>
      <c r="HG5" s="3">
        <f>$H5*factors!HA$3</f>
        <v>0.90705658430840008</v>
      </c>
      <c r="HH5" s="3">
        <f>$H5*factors!HB$3</f>
        <v>0.89515775928719998</v>
      </c>
      <c r="HI5" s="3">
        <f>$H5*factors!HC$3</f>
        <v>0.88417422849840011</v>
      </c>
      <c r="HJ5" s="3">
        <f>$H5*factors!HD$3</f>
        <v>0.874105991942</v>
      </c>
      <c r="HK5" s="3">
        <f>$H5*factors!HE$3</f>
        <v>0.92444717472400006</v>
      </c>
      <c r="HL5" s="3">
        <f>$H5*factors!HF$3</f>
        <v>0.87136010924480001</v>
      </c>
      <c r="HM5" s="3">
        <f>$H5*factors!HG$3</f>
        <v>0.88051305156880011</v>
      </c>
      <c r="HN5" s="3">
        <f>$H5*factors!HH$3</f>
        <v>0.93909188244240016</v>
      </c>
      <c r="HO5" s="3">
        <f>$H5*factors!HI$3</f>
        <v>0.90064952468159998</v>
      </c>
      <c r="HP5" s="3">
        <f>$H5*factors!HJ$3</f>
        <v>0.96105894402000014</v>
      </c>
      <c r="HQ5" s="3">
        <f>$H5*factors!HK$3</f>
        <v>0.87868246310400011</v>
      </c>
      <c r="HR5" s="3">
        <f>$H5*factors!HL$3</f>
        <v>0.93176952858320017</v>
      </c>
      <c r="HS5" s="3">
        <f>$H5*factors!HM$3</f>
        <v>0.94824482476640004</v>
      </c>
      <c r="HT5" s="3">
        <f>$H5*factors!HN$3</f>
        <v>0.88417422849840011</v>
      </c>
      <c r="HU5" s="3">
        <f>$H5*factors!HO$3</f>
        <v>0.8933271708224001</v>
      </c>
      <c r="HV5" s="3">
        <f>$H5*factors!HP$3</f>
        <v>0.9043107016112002</v>
      </c>
      <c r="HW5" s="3">
        <f>$H5*factors!HQ$3</f>
        <v>0.91712482086480007</v>
      </c>
      <c r="HX5" s="3">
        <f>$H5*factors!HR$3</f>
        <v>0.95465188439319992</v>
      </c>
      <c r="HY5" s="3">
        <f>$H5*factors!HS$3</f>
        <v>0.90705658430840008</v>
      </c>
      <c r="HZ5" s="3">
        <f>$H5*factors!HT$3</f>
        <v>0.94183776513960005</v>
      </c>
      <c r="IA5" s="3">
        <f>$H5*factors!HU$3</f>
        <v>0.89607305351960009</v>
      </c>
      <c r="IB5" s="3">
        <f>$H5*factors!HV$3</f>
        <v>0.92719305742119995</v>
      </c>
      <c r="IC5" s="3">
        <f>$H5*factors!HW$3</f>
        <v>0.93634599974520005</v>
      </c>
      <c r="ID5" s="3">
        <f>$H5*factors!HX$3</f>
        <v>0.86952952078000001</v>
      </c>
      <c r="IE5" s="3">
        <f>$H5*factors!HY$3</f>
        <v>0.92353188049159995</v>
      </c>
      <c r="IF5" s="3">
        <f>$H5*factors!HZ$3</f>
        <v>0.91804011509719996</v>
      </c>
      <c r="IG5" s="3">
        <f>$H5*factors!IA$3</f>
        <v>0.90980246700560008</v>
      </c>
      <c r="IH5" s="3">
        <f>$H5*factors!IB$3</f>
        <v>0.94366835360440005</v>
      </c>
      <c r="II5" s="3">
        <f>$H5*factors!IC$3</f>
        <v>0.90339540737880009</v>
      </c>
      <c r="IJ5" s="3">
        <f>$H5*factors!ID$3</f>
        <v>0.91163305547040008</v>
      </c>
      <c r="IK5" s="3">
        <f>$H5*factors!IE$3</f>
        <v>0.94458364783680004</v>
      </c>
      <c r="IL5" s="3">
        <f>$H5*factors!IF$3</f>
        <v>0.9043107016112002</v>
      </c>
      <c r="IM5" s="3">
        <f>$H5*factors!IG$3</f>
        <v>0.89607305351960009</v>
      </c>
      <c r="IN5" s="3">
        <f>$H5*factors!IH$3</f>
        <v>0.90156481891400009</v>
      </c>
      <c r="IO5" s="3">
        <f>$H5*factors!II$3</f>
        <v>0.91071776123800008</v>
      </c>
      <c r="IP5" s="3">
        <f>$H5*factors!IJ$3</f>
        <v>0.88051305156880011</v>
      </c>
      <c r="IQ5" s="3">
        <f>$H5*factors!IK$3</f>
        <v>0.8777671688716</v>
      </c>
      <c r="IR5" s="3">
        <f>$H5*factors!IL$3</f>
        <v>0.90339540737880009</v>
      </c>
      <c r="IS5" s="3">
        <f>$H5*factors!IM$3</f>
        <v>0.91071776123800008</v>
      </c>
      <c r="IT5" s="3">
        <f>$H5*factors!IN$3</f>
        <v>0.91712482086480007</v>
      </c>
      <c r="IU5" s="3">
        <f>$H5*factors!IO$3</f>
        <v>0.93726129397760016</v>
      </c>
      <c r="IV5" s="3">
        <f>$H5*factors!IP$3</f>
        <v>0.94916011899880004</v>
      </c>
      <c r="IW5" s="3">
        <f>$H5*factors!IQ$3</f>
        <v>0.89698834775199998</v>
      </c>
      <c r="IX5" s="3">
        <f>$H5*factors!IR$3</f>
        <v>0.93726129397760016</v>
      </c>
      <c r="IY5" s="3">
        <f>$H5*factors!IS$3</f>
        <v>0.92353188049159995</v>
      </c>
      <c r="IZ5" s="3">
        <f>$H5*factors!IT$3</f>
        <v>0.93909188244240016</v>
      </c>
      <c r="JA5" s="3">
        <f>$H5*factors!IU$3</f>
        <v>0.88692011119559999</v>
      </c>
      <c r="JB5" s="3">
        <f>$H5*factors!IV$3</f>
        <v>0.90339540737880009</v>
      </c>
      <c r="JC5" s="3">
        <f>$H5*factors!IW$3</f>
        <v>0.88234364003360011</v>
      </c>
      <c r="JD5" s="3">
        <f>$H5*factors!IX$3</f>
        <v>0.96105894402000014</v>
      </c>
      <c r="JE5" s="3">
        <f>$H5*factors!IY$3</f>
        <v>0.88508952273079999</v>
      </c>
      <c r="JF5" s="3">
        <f>$H5*factors!IZ$3</f>
        <v>0.92902364588599995</v>
      </c>
      <c r="JG5" s="3">
        <f>$H5*factors!JA$3</f>
        <v>0.91254834970280008</v>
      </c>
      <c r="JH5" s="3">
        <f>$H5*factors!JB$3</f>
        <v>0.92993894011840017</v>
      </c>
      <c r="JI5" s="3">
        <f>$H5*factors!JC$3</f>
        <v>0.87044481501240012</v>
      </c>
      <c r="JJ5" s="3">
        <f>$H5*factors!JD$3</f>
        <v>0.93726129397760016</v>
      </c>
      <c r="JK5" s="3">
        <f>$H5*factors!JE$3</f>
        <v>0.90705658430840008</v>
      </c>
      <c r="JL5" s="3">
        <f>$H5*factors!JF$3</f>
        <v>0.94366835360440005</v>
      </c>
      <c r="JM5" s="3">
        <f>$H5*factors!JG$3</f>
        <v>0.88051305156880011</v>
      </c>
      <c r="JN5" s="3">
        <f>$H5*factors!JH$3</f>
        <v>0.88051305156880011</v>
      </c>
      <c r="JO5" s="3">
        <f>$H5*factors!JI$3</f>
        <v>0.86952952078000001</v>
      </c>
      <c r="JP5" s="3">
        <f>$H5*factors!JJ$3</f>
        <v>0.94000717667480005</v>
      </c>
      <c r="JQ5" s="3">
        <f>$H5*factors!JK$3</f>
        <v>0.91620952663239996</v>
      </c>
      <c r="JR5" s="3">
        <f>$H5*factors!JL$3</f>
        <v>0.95190600169600004</v>
      </c>
      <c r="JS5" s="3">
        <f>$H5*factors!JM$3</f>
        <v>0.86952952078000001</v>
      </c>
      <c r="JT5" s="3">
        <f>$H5*factors!JN$3</f>
        <v>0.91346364393520008</v>
      </c>
      <c r="JU5" s="3">
        <f>$H5*factors!JO$3</f>
        <v>0.883258934266</v>
      </c>
      <c r="JV5" s="3">
        <f>$H5*factors!JP$3</f>
        <v>0.89790364198440009</v>
      </c>
      <c r="JW5" s="3">
        <f>$H5*factors!JQ$3</f>
        <v>0.95922835555520014</v>
      </c>
      <c r="JX5" s="3">
        <f>$H5*factors!JR$3</f>
        <v>0.95007541323120004</v>
      </c>
      <c r="JY5" s="3">
        <f>$H5*factors!JS$3</f>
        <v>0.8942424650548001</v>
      </c>
      <c r="JZ5" s="3">
        <f>$H5*factors!JT$3</f>
        <v>0.9043107016112002</v>
      </c>
      <c r="KA5" s="3">
        <f>$H5*factors!JU$3</f>
        <v>0.90797187854080008</v>
      </c>
      <c r="KB5" s="3">
        <f>$H5*factors!JV$3</f>
        <v>0.8777671688716</v>
      </c>
      <c r="KC5" s="3">
        <f>$H5*factors!JW$3</f>
        <v>0.88234364003360011</v>
      </c>
      <c r="KD5" s="3">
        <f>$H5*factors!JX$3</f>
        <v>0.883258934266</v>
      </c>
      <c r="KE5" s="3">
        <f>$H5*factors!JY$3</f>
        <v>0.94000717667480005</v>
      </c>
      <c r="KF5" s="3">
        <f>$H5*factors!JZ$3</f>
        <v>0.95099070746360004</v>
      </c>
      <c r="KG5" s="3">
        <f>$H5*factors!KA$3</f>
        <v>0.91712482086480007</v>
      </c>
      <c r="KH5" s="3">
        <f>$H5*factors!KB$3</f>
        <v>0.89698834775199998</v>
      </c>
      <c r="KI5" s="3">
        <f>$H5*factors!KC$3</f>
        <v>0.88875069966039999</v>
      </c>
    </row>
    <row r="6" spans="1:295" x14ac:dyDescent="0.55000000000000004">
      <c r="A6" t="s">
        <v>381</v>
      </c>
      <c r="B6">
        <v>5</v>
      </c>
      <c r="C6">
        <v>230</v>
      </c>
      <c r="D6" t="s">
        <v>377</v>
      </c>
      <c r="E6">
        <v>1.5035E-2</v>
      </c>
      <c r="F6">
        <v>5</v>
      </c>
      <c r="G6">
        <f>VLOOKUP(D6,demand_forecasted!$A$2:$G$11,2)</f>
        <v>11098</v>
      </c>
      <c r="H6" s="3">
        <f t="shared" si="0"/>
        <v>1.6685843</v>
      </c>
      <c r="I6" s="3">
        <f>$H6*factors!C$3</f>
        <v>1.8471228201000001</v>
      </c>
      <c r="J6" s="3">
        <f>$H6*factors!D$3</f>
        <v>1.780446191472</v>
      </c>
      <c r="K6" s="3">
        <f>$H6*factors!E$3</f>
        <v>1.7498109837240001</v>
      </c>
      <c r="L6" s="3">
        <f>$H6*factors!F$3</f>
        <v>1.7444047705920003</v>
      </c>
      <c r="M6" s="3">
        <f>$H6*factors!G$3</f>
        <v>1.742602699548</v>
      </c>
      <c r="N6" s="3">
        <f>$H6*factors!H$3</f>
        <v>1.79306068878</v>
      </c>
      <c r="O6" s="3">
        <f>$H6*factors!I$3</f>
        <v>1.8327062517479999</v>
      </c>
      <c r="P6" s="3">
        <f>$H6*factors!J$3</f>
        <v>1.8543311042760002</v>
      </c>
      <c r="Q6" s="3">
        <f>$H6*factors!K$3</f>
        <v>1.7408006285040001</v>
      </c>
      <c r="R6" s="3">
        <f>$H6*factors!L$3</f>
        <v>1.7119674918000001</v>
      </c>
      <c r="S6" s="3">
        <f>$H6*factors!M$3</f>
        <v>1.7822482625159999</v>
      </c>
      <c r="T6" s="3">
        <f>$H6*factors!N$3</f>
        <v>1.8435186780120001</v>
      </c>
      <c r="U6" s="3">
        <f>$H6*factors!O$3</f>
        <v>1.7462068416360002</v>
      </c>
      <c r="V6" s="3">
        <f>$H6*factors!P$3</f>
        <v>1.8164876123520002</v>
      </c>
      <c r="W6" s="3">
        <f>$H6*factors!Q$3</f>
        <v>1.8327062517479999</v>
      </c>
      <c r="X6" s="3">
        <f>$H6*factors!R$3</f>
        <v>1.7534151258120001</v>
      </c>
      <c r="Y6" s="3">
        <f>$H6*factors!S$3</f>
        <v>1.7371964864160001</v>
      </c>
      <c r="Z6" s="3">
        <f>$H6*factors!T$3</f>
        <v>1.8741538857600004</v>
      </c>
      <c r="AA6" s="3">
        <f>$H6*factors!U$3</f>
        <v>1.7696337652079999</v>
      </c>
      <c r="AB6" s="3">
        <f>$H6*factors!V$3</f>
        <v>1.7714358362520002</v>
      </c>
      <c r="AC6" s="3">
        <f>$H6*factors!W$3</f>
        <v>1.7732379072960003</v>
      </c>
      <c r="AD6" s="3">
        <f>$H6*factors!X$3</f>
        <v>1.7353944153720002</v>
      </c>
      <c r="AE6" s="3">
        <f>$H6*factors!Y$3</f>
        <v>1.7498109837240001</v>
      </c>
      <c r="AF6" s="3">
        <f>$H6*factors!Z$3</f>
        <v>1.7858524046040003</v>
      </c>
      <c r="AG6" s="3">
        <f>$H6*factors!AA$3</f>
        <v>1.7408006285040001</v>
      </c>
      <c r="AH6" s="3">
        <f>$H6*factors!AB$3</f>
        <v>1.7335923443280001</v>
      </c>
      <c r="AI6" s="3">
        <f>$H6*factors!AC$3</f>
        <v>1.789456546692</v>
      </c>
      <c r="AJ6" s="3">
        <f>$H6*factors!AD$3</f>
        <v>1.857935246364</v>
      </c>
      <c r="AK6" s="3">
        <f>$H6*factors!AE$3</f>
        <v>1.7876544756480002</v>
      </c>
      <c r="AL6" s="3">
        <f>$H6*factors!AF$3</f>
        <v>1.7173737049319999</v>
      </c>
      <c r="AM6" s="3">
        <f>$H6*factors!AG$3</f>
        <v>1.7660296231200001</v>
      </c>
      <c r="AN6" s="3">
        <f>$H6*factors!AH$3</f>
        <v>1.7371964864160001</v>
      </c>
      <c r="AO6" s="3">
        <f>$H6*factors!AI$3</f>
        <v>1.8200917544399999</v>
      </c>
      <c r="AP6" s="3">
        <f>$H6*factors!AJ$3</f>
        <v>1.7444047705920003</v>
      </c>
      <c r="AQ6" s="3">
        <f>$H6*factors!AK$3</f>
        <v>1.8002689729560002</v>
      </c>
      <c r="AR6" s="3">
        <f>$H6*factors!AL$3</f>
        <v>1.7606234099880003</v>
      </c>
      <c r="AS6" s="3">
        <f>$H6*factors!AM$3</f>
        <v>1.7173737049319999</v>
      </c>
      <c r="AT6" s="3">
        <f>$H6*factors!AN$3</f>
        <v>1.7714358362520002</v>
      </c>
      <c r="AU6" s="3">
        <f>$H6*factors!AO$3</f>
        <v>1.8759559568039998</v>
      </c>
      <c r="AV6" s="3">
        <f>$H6*factors!AP$3</f>
        <v>1.7732379072960003</v>
      </c>
      <c r="AW6" s="3">
        <f>$H6*factors!AQ$3</f>
        <v>1.755217196856</v>
      </c>
      <c r="AX6" s="3">
        <f>$H6*factors!AR$3</f>
        <v>1.8561331753200001</v>
      </c>
      <c r="AY6" s="3">
        <f>$H6*factors!AS$3</f>
        <v>1.7119674918000001</v>
      </c>
      <c r="AZ6" s="3">
        <f>$H6*factors!AT$3</f>
        <v>1.8345083227920003</v>
      </c>
      <c r="BA6" s="3">
        <f>$H6*factors!AU$3</f>
        <v>1.7948627598239999</v>
      </c>
      <c r="BB6" s="3">
        <f>$H6*factors!AV$3</f>
        <v>1.7714358362520002</v>
      </c>
      <c r="BC6" s="3">
        <f>$H6*factors!AW$3</f>
        <v>1.8741538857600004</v>
      </c>
      <c r="BD6" s="3">
        <f>$H6*factors!AX$3</f>
        <v>1.7299882022399999</v>
      </c>
      <c r="BE6" s="3">
        <f>$H6*factors!AY$3</f>
        <v>2.033904146642</v>
      </c>
      <c r="BF6" s="3">
        <f>$H6*factors!AZ$3</f>
        <v>1.8941101539879999</v>
      </c>
      <c r="BG6" s="3">
        <f>$H6*factors!BA$3</f>
        <v>1.9216751666239997</v>
      </c>
      <c r="BH6" s="3">
        <f>$H6*factors!BB$3</f>
        <v>1.9472712497859999</v>
      </c>
      <c r="BI6" s="3">
        <f>$H6*factors!BC$3</f>
        <v>2.0181527108499995</v>
      </c>
      <c r="BJ6" s="3">
        <f>$H6*factors!BD$3</f>
        <v>1.9275819550459998</v>
      </c>
      <c r="BK6" s="3">
        <f>$H6*factors!BE$3</f>
        <v>1.9315198139939997</v>
      </c>
      <c r="BL6" s="3">
        <f>$H6*factors!BF$3</f>
        <v>1.9098615897799998</v>
      </c>
      <c r="BM6" s="3">
        <f>$H6*factors!BG$3</f>
        <v>2.0398109350640001</v>
      </c>
      <c r="BN6" s="3">
        <f>$H6*factors!BH$3</f>
        <v>2.014214851902</v>
      </c>
      <c r="BO6" s="3">
        <f>$H6*factors!BI$3</f>
        <v>1.8941101539879999</v>
      </c>
      <c r="BP6" s="3">
        <f>$H6*factors!BJ$3</f>
        <v>1.8882033655659998</v>
      </c>
      <c r="BQ6" s="3">
        <f>$H6*factors!BK$3</f>
        <v>1.9197062371499998</v>
      </c>
      <c r="BR6" s="3">
        <f>$H6*factors!BL$3</f>
        <v>1.9886187687399999</v>
      </c>
      <c r="BS6" s="3">
        <f>$H6*factors!BM$3</f>
        <v>2.0201216403240001</v>
      </c>
      <c r="BT6" s="3">
        <f>$H6*factors!BN$3</f>
        <v>2.0260284287459998</v>
      </c>
      <c r="BU6" s="3">
        <f>$H6*factors!BO$3</f>
        <v>2.0595002298040002</v>
      </c>
      <c r="BV6" s="3">
        <f>$H6*factors!BP$3</f>
        <v>1.9157683782019999</v>
      </c>
      <c r="BW6" s="3">
        <f>$H6*factors!BQ$3</f>
        <v>1.9590848266299998</v>
      </c>
      <c r="BX6" s="3">
        <f>$H6*factors!BR$3</f>
        <v>1.9216751666239997</v>
      </c>
      <c r="BY6" s="3">
        <f>$H6*factors!BS$3</f>
        <v>2.0102769929539996</v>
      </c>
      <c r="BZ6" s="3">
        <f>$H6*factors!BT$3</f>
        <v>1.9728673329479998</v>
      </c>
      <c r="CA6" s="3">
        <f>$H6*factors!BU$3</f>
        <v>1.9472712497859999</v>
      </c>
      <c r="CB6" s="3">
        <f>$H6*factors!BV$3</f>
        <v>1.8842655066179999</v>
      </c>
      <c r="CC6" s="3">
        <f>$H6*factors!BW$3</f>
        <v>1.9393955318899998</v>
      </c>
      <c r="CD6" s="3">
        <f>$H6*factors!BX$3</f>
        <v>1.9453023203119999</v>
      </c>
      <c r="CE6" s="3">
        <f>$H6*factors!BY$3</f>
        <v>1.9728673329479998</v>
      </c>
      <c r="CF6" s="3">
        <f>$H6*factors!BZ$3</f>
        <v>1.9433333908380002</v>
      </c>
      <c r="CG6" s="3">
        <f>$H6*factors!CA$3</f>
        <v>1.8783587181959998</v>
      </c>
      <c r="CH6" s="3">
        <f>$H6*factors!CB$3</f>
        <v>1.8803276476699997</v>
      </c>
      <c r="CI6" s="3">
        <f>$H6*factors!CC$3</f>
        <v>1.8704830002999999</v>
      </c>
      <c r="CJ6" s="3">
        <f>$H6*factors!CD$3</f>
        <v>1.9472712497859999</v>
      </c>
      <c r="CK6" s="3">
        <f>$H6*factors!CE$3</f>
        <v>2.033904146642</v>
      </c>
      <c r="CL6" s="3">
        <f>$H6*factors!CF$3</f>
        <v>1.9059237308319998</v>
      </c>
      <c r="CM6" s="3">
        <f>$H6*factors!CG$3</f>
        <v>1.9512091087339998</v>
      </c>
      <c r="CN6" s="3">
        <f>$H6*factors!CH$3</f>
        <v>1.8862344360919998</v>
      </c>
      <c r="CO6" s="3">
        <f>$H6*factors!CI$3</f>
        <v>1.9000169424099997</v>
      </c>
      <c r="CP6" s="3">
        <f>$H6*factors!CJ$3</f>
        <v>1.9905876982139996</v>
      </c>
      <c r="CQ6" s="3">
        <f>$H6*factors!CK$3</f>
        <v>1.9315198139939997</v>
      </c>
      <c r="CR6" s="3">
        <f>$H6*factors!CL$3</f>
        <v>1.9925566276879998</v>
      </c>
      <c r="CS6" s="3">
        <f>$H6*factors!CM$3</f>
        <v>2.0555623708559998</v>
      </c>
      <c r="CT6" s="3">
        <f>$H6*factors!CN$3</f>
        <v>2.0319352171679999</v>
      </c>
      <c r="CU6" s="3">
        <f>$H6*factors!CO$3</f>
        <v>1.9866498392659997</v>
      </c>
      <c r="CV6" s="3">
        <f>$H6*factors!CP$3</f>
        <v>2.0673759477</v>
      </c>
      <c r="CW6" s="3">
        <f>$H6*factors!CQ$3</f>
        <v>1.9551469676820001</v>
      </c>
      <c r="CX6" s="3">
        <f>$H6*factors!CR$3</f>
        <v>1.9256130255719999</v>
      </c>
      <c r="CY6" s="3">
        <f>$H6*factors!CS$3</f>
        <v>1.9078926603059998</v>
      </c>
      <c r="CZ6" s="3">
        <f>$H6*factors!CT$3</f>
        <v>1.8803276476699997</v>
      </c>
      <c r="DA6" s="3">
        <f>$H6*factors!CU$3</f>
        <v>1.952243631</v>
      </c>
      <c r="DB6" s="3">
        <f>$H6*factors!CV$3</f>
        <v>2.0783886040800001</v>
      </c>
      <c r="DC6" s="3">
        <f>$H6*factors!CW$3</f>
        <v>1.9902873530399998</v>
      </c>
      <c r="DD6" s="3">
        <f>$H6*factors!CX$3</f>
        <v>1.9762712449199999</v>
      </c>
      <c r="DE6" s="3">
        <f>$H6*factors!CY$3</f>
        <v>2.03433797856</v>
      </c>
      <c r="DF6" s="3">
        <f>$H6*factors!CZ$3</f>
        <v>2.0303333762399998</v>
      </c>
      <c r="DG6" s="3">
        <f>$H6*factors!DA$3</f>
        <v>2.0223241715999998</v>
      </c>
      <c r="DH6" s="3">
        <f>$H6*factors!DB$3</f>
        <v>2.0223241715999998</v>
      </c>
      <c r="DI6" s="3">
        <f>$H6*factors!DC$3</f>
        <v>1.9462367275199999</v>
      </c>
      <c r="DJ6" s="3">
        <f>$H6*factors!DD$3</f>
        <v>2.0623701948000002</v>
      </c>
      <c r="DK6" s="3">
        <f>$H6*factors!DE$3</f>
        <v>2.0623701948000002</v>
      </c>
      <c r="DL6" s="3">
        <f>$H6*factors!DF$3</f>
        <v>2.0383425808800002</v>
      </c>
      <c r="DM6" s="3">
        <f>$H6*factors!DG$3</f>
        <v>1.9202068124399998</v>
      </c>
      <c r="DN6" s="3">
        <f>$H6*factors!DH$3</f>
        <v>2.0143149669600002</v>
      </c>
      <c r="DO6" s="3">
        <f>$H6*factors!DI$3</f>
        <v>2.0803909052399998</v>
      </c>
      <c r="DP6" s="3">
        <f>$H6*factors!DJ$3</f>
        <v>2.0623701948000002</v>
      </c>
      <c r="DQ6" s="3">
        <f>$H6*factors!DK$3</f>
        <v>1.9662597391199998</v>
      </c>
      <c r="DR6" s="3">
        <f>$H6*factors!DL$3</f>
        <v>1.94423442636</v>
      </c>
      <c r="DS6" s="3">
        <f>$H6*factors!DM$3</f>
        <v>2.10041391684</v>
      </c>
      <c r="DT6" s="3">
        <f>$H6*factors!DN$3</f>
        <v>1.9742689437600001</v>
      </c>
      <c r="DU6" s="3">
        <f>$H6*factors!DO$3</f>
        <v>2.0663747971199999</v>
      </c>
      <c r="DV6" s="3">
        <f>$H6*factors!DP$3</f>
        <v>2.01831956928</v>
      </c>
      <c r="DW6" s="3">
        <f>$H6*factors!DQ$3</f>
        <v>1.9262137159199999</v>
      </c>
      <c r="DX6" s="3">
        <f>$H6*factors!DR$3</f>
        <v>2.0403448820399999</v>
      </c>
      <c r="DY6" s="3">
        <f>$H6*factors!DS$3</f>
        <v>1.9362252217199998</v>
      </c>
      <c r="DZ6" s="3">
        <f>$H6*factors!DT$3</f>
        <v>2.0703793994399997</v>
      </c>
      <c r="EA6" s="3">
        <f>$H6*factors!DU$3</f>
        <v>1.9502413298399996</v>
      </c>
      <c r="EB6" s="3">
        <f>$H6*factors!DV$3</f>
        <v>1.9021861019999999</v>
      </c>
      <c r="EC6" s="3">
        <f>$H6*factors!DW$3</f>
        <v>2.0463517855199997</v>
      </c>
      <c r="ED6" s="3">
        <f>$H6*factors!DX$3</f>
        <v>1.9202068124399998</v>
      </c>
      <c r="EE6" s="3">
        <f>$H6*factors!DY$3</f>
        <v>1.9362252217199998</v>
      </c>
      <c r="EF6" s="3">
        <f>$H6*factors!DZ$3</f>
        <v>2.10041391684</v>
      </c>
      <c r="EG6" s="3">
        <f>$H6*factors!EA$3</f>
        <v>1.9622551367999999</v>
      </c>
      <c r="EH6" s="3">
        <f>$H6*factors!EB$3</f>
        <v>1.96826204028</v>
      </c>
      <c r="EI6" s="3">
        <f>$H6*factors!EC$3</f>
        <v>1.96425743796</v>
      </c>
      <c r="EJ6" s="3">
        <f>$H6*factors!ED$3</f>
        <v>1.9141999089599999</v>
      </c>
      <c r="EK6" s="3">
        <f>$H6*factors!EE$3</f>
        <v>2.0463517855199997</v>
      </c>
      <c r="EL6" s="3">
        <f>$H6*factors!EF$3</f>
        <v>1.9462367275199999</v>
      </c>
      <c r="EM6" s="3">
        <f>$H6*factors!EG$3</f>
        <v>2.0243264727599999</v>
      </c>
      <c r="EN6" s="3">
        <f>$H6*factors!EH$3</f>
        <v>1.9021861019999999</v>
      </c>
      <c r="EO6" s="3">
        <f>$H6*factors!EI$3</f>
        <v>1.9302183182399997</v>
      </c>
      <c r="EP6" s="3">
        <f>$H6*factors!EJ$3</f>
        <v>2.0363402797200001</v>
      </c>
      <c r="EQ6" s="3">
        <f>$H6*factors!EK$3</f>
        <v>1.9802758472399997</v>
      </c>
      <c r="ER6" s="3">
        <f>$H6*factors!EL$3</f>
        <v>2.0623701948000002</v>
      </c>
      <c r="ES6" s="3">
        <f>$H6*factors!EM$3</f>
        <v>2.0363402797200001</v>
      </c>
      <c r="ET6" s="3">
        <f>$H6*factors!EN$3</f>
        <v>2.0823932063999999</v>
      </c>
      <c r="EU6" s="3">
        <f>$H6*factors!EO$3</f>
        <v>2.1024162180000001</v>
      </c>
      <c r="EV6" s="3">
        <f>$H6*factors!EP$3</f>
        <v>1.9702643414399998</v>
      </c>
      <c r="EW6" s="3">
        <f>$H6*factors!EQ$3</f>
        <v>2.1670738596249999</v>
      </c>
      <c r="EX6" s="3">
        <f>$H6*factors!ER$3</f>
        <v>2.1441308255000004</v>
      </c>
      <c r="EY6" s="3">
        <f>$H6*factors!ES$3</f>
        <v>2.1879311633749996</v>
      </c>
      <c r="EZ6" s="3">
        <f>$H6*factors!ET$3</f>
        <v>2.1670738596249999</v>
      </c>
      <c r="FA6" s="3">
        <f>$H6*factors!EU$3</f>
        <v>1.9918725081249997</v>
      </c>
      <c r="FB6" s="3">
        <f>$H6*factors!EV$3</f>
        <v>2.0815589142499999</v>
      </c>
      <c r="FC6" s="3">
        <f>$H6*factors!EW$3</f>
        <v>2.1399593647500001</v>
      </c>
      <c r="FD6" s="3">
        <f>$H6*factors!EX$3</f>
        <v>2.0648730712500001</v>
      </c>
      <c r="FE6" s="3">
        <f>$H6*factors!EY$3</f>
        <v>2.175416781125</v>
      </c>
      <c r="FF6" s="3">
        <f>$H6*factors!EZ$3</f>
        <v>2.1775025115000002</v>
      </c>
      <c r="FG6" s="3">
        <f>$H6*factors!FA$3</f>
        <v>1.9918725081249997</v>
      </c>
      <c r="FH6" s="3">
        <f>$H6*factors!FB$3</f>
        <v>2.0961590268749997</v>
      </c>
      <c r="FI6" s="3">
        <f>$H6*factors!FC$3</f>
        <v>2.1837597026249997</v>
      </c>
      <c r="FJ6" s="3">
        <f>$H6*factors!FD$3</f>
        <v>2.0961590268749997</v>
      </c>
      <c r="FK6" s="3">
        <f>$H6*factors!FE$3</f>
        <v>2.13161644325</v>
      </c>
      <c r="FL6" s="3">
        <f>$H6*factors!FF$3</f>
        <v>2.137873634375</v>
      </c>
      <c r="FM6" s="3">
        <f>$H6*factors!FG$3</f>
        <v>2.1608166684999999</v>
      </c>
      <c r="FN6" s="3">
        <f>$H6*factors!FH$3</f>
        <v>2.021072733375</v>
      </c>
      <c r="FO6" s="3">
        <f>$H6*factors!FI$3</f>
        <v>2.1462165558749997</v>
      </c>
      <c r="FP6" s="3">
        <f>$H6*factors!FJ$3</f>
        <v>2.0857303749999998</v>
      </c>
      <c r="FQ6" s="3">
        <f>$H6*factors!FK$3</f>
        <v>2.0648730712500001</v>
      </c>
      <c r="FR6" s="3">
        <f>$H6*factors!FL$3</f>
        <v>2.10658767875</v>
      </c>
      <c r="FS6" s="3">
        <f>$H6*factors!FM$3</f>
        <v>2.0940732965</v>
      </c>
      <c r="FT6" s="3">
        <f>$H6*factors!FN$3</f>
        <v>2.1399593647500001</v>
      </c>
      <c r="FU6" s="3">
        <f>$H6*factors!FO$3</f>
        <v>2.0565301497499999</v>
      </c>
      <c r="FV6" s="3">
        <f>$H6*factors!FP$3</f>
        <v>2.0398443067500001</v>
      </c>
      <c r="FW6" s="3">
        <f>$H6*factors!FQ$3</f>
        <v>2.1837597026249997</v>
      </c>
      <c r="FX6" s="3">
        <f>$H6*factors!FR$3</f>
        <v>2.1441308255000004</v>
      </c>
      <c r="FY6" s="3">
        <f>$H6*factors!FS$3</f>
        <v>2.1003304876249995</v>
      </c>
      <c r="FZ6" s="3">
        <f>$H6*factors!FT$3</f>
        <v>1.996043968875</v>
      </c>
      <c r="GA6" s="3">
        <f>$H6*factors!FU$3</f>
        <v>2.1003304876249995</v>
      </c>
      <c r="GB6" s="3">
        <f>$H6*factors!FV$3</f>
        <v>2.1775025115000002</v>
      </c>
      <c r="GC6" s="3">
        <f>$H6*factors!FW$3</f>
        <v>2.0398443067500001</v>
      </c>
      <c r="GD6" s="3">
        <f>$H6*factors!FX$3</f>
        <v>2.0753017231249999</v>
      </c>
      <c r="GE6" s="3">
        <f>$H6*factors!FY$3</f>
        <v>2.0753017231249999</v>
      </c>
      <c r="GF6" s="3">
        <f>$H6*factors!FZ$3</f>
        <v>2.0690445319999999</v>
      </c>
      <c r="GG6" s="3">
        <f>$H6*factors!GA$3</f>
        <v>1.9877010473749999</v>
      </c>
      <c r="GH6" s="3">
        <f>$H6*factors!GB$3</f>
        <v>2.1149306002500001</v>
      </c>
      <c r="GI6" s="3">
        <f>$H6*factors!GC$3</f>
        <v>1.983529586625</v>
      </c>
      <c r="GJ6" s="3">
        <f>$H6*factors!GD$3</f>
        <v>1.9877010473749999</v>
      </c>
      <c r="GK6" s="3">
        <f>$H6*factors!GE$3</f>
        <v>2.0377585763749999</v>
      </c>
      <c r="GL6" s="3">
        <f>$H6*factors!GF$3</f>
        <v>2.1587309381250002</v>
      </c>
      <c r="GM6" s="3">
        <f>$H6*factors!GG$3</f>
        <v>2.0461014978750001</v>
      </c>
      <c r="GN6" s="3">
        <f>$H6*factors!GH$3</f>
        <v>2.1107591395000003</v>
      </c>
      <c r="GO6" s="3">
        <f>$H6*factors!GI$3</f>
        <v>1.9939582384999996</v>
      </c>
      <c r="GP6" s="3">
        <f>$H6*factors!GJ$3</f>
        <v>2.137873634375</v>
      </c>
      <c r="GQ6" s="3">
        <f>$H6*factors!GK$3</f>
        <v>2.18167397225</v>
      </c>
      <c r="GR6" s="3">
        <f>$H6*factors!GL$3</f>
        <v>2.1399593647500001</v>
      </c>
      <c r="GS6" s="3">
        <f>$H6*factors!GM$3</f>
        <v>2.023742468255</v>
      </c>
      <c r="GT6" s="3">
        <f>$H6*factors!GN$3</f>
        <v>2.070362713597</v>
      </c>
      <c r="GU6" s="3">
        <f>$H6*factors!GO$3</f>
        <v>2.119102061</v>
      </c>
      <c r="GV6" s="3">
        <f>$H6*factors!GP$3</f>
        <v>2.03433797856</v>
      </c>
      <c r="GW6" s="3">
        <f>$H6*factors!GQ$3</f>
        <v>2.106387448634</v>
      </c>
      <c r="GX6" s="3">
        <f>$H6*factors!GR$3</f>
        <v>2.072481815658</v>
      </c>
      <c r="GY6" s="3">
        <f>$H6*factors!GS$3</f>
        <v>2.0618863053530001</v>
      </c>
      <c r="GZ6" s="3">
        <f>$H6*factors!GT$3</f>
        <v>2.1381739795489998</v>
      </c>
      <c r="HA6" s="3">
        <f>$H6*factors!GU$3</f>
        <v>2.0682436115359999</v>
      </c>
      <c r="HB6" s="3">
        <f>$H6*factors!GV$3</f>
        <v>2.1381739795489998</v>
      </c>
      <c r="HC6" s="3">
        <f>$H6*factors!GW$3</f>
        <v>2.0851964280240001</v>
      </c>
      <c r="HD6" s="3">
        <f>$H6*factors!GX$3</f>
        <v>2.1466503877929997</v>
      </c>
      <c r="HE6" s="3">
        <f>$H6*factors!GY$3</f>
        <v>2.119102061</v>
      </c>
      <c r="HF6" s="3">
        <f>$H6*factors!GZ$3</f>
        <v>2.1847942248909997</v>
      </c>
      <c r="HG6" s="3">
        <f>$H6*factors!HA$3</f>
        <v>2.1000301424510002</v>
      </c>
      <c r="HH6" s="3">
        <f>$H6*factors!HB$3</f>
        <v>2.072481815658</v>
      </c>
      <c r="HI6" s="3">
        <f>$H6*factors!HC$3</f>
        <v>2.047052590926</v>
      </c>
      <c r="HJ6" s="3">
        <f>$H6*factors!HD$3</f>
        <v>2.023742468255</v>
      </c>
      <c r="HK6" s="3">
        <f>$H6*factors!HE$3</f>
        <v>2.1402930816099999</v>
      </c>
      <c r="HL6" s="3">
        <f>$H6*factors!HF$3</f>
        <v>2.0173851620719998</v>
      </c>
      <c r="HM6" s="3">
        <f>$H6*factors!HG$3</f>
        <v>2.0385761826820001</v>
      </c>
      <c r="HN6" s="3">
        <f>$H6*factors!HH$3</f>
        <v>2.1741987145860002</v>
      </c>
      <c r="HO6" s="3">
        <f>$H6*factors!HI$3</f>
        <v>2.0851964280240001</v>
      </c>
      <c r="HP6" s="3">
        <f>$H6*factors!HJ$3</f>
        <v>2.2250571640500003</v>
      </c>
      <c r="HQ6" s="3">
        <f>$H6*factors!HK$3</f>
        <v>2.03433797856</v>
      </c>
      <c r="HR6" s="3">
        <f>$H6*factors!HL$3</f>
        <v>2.157245898098</v>
      </c>
      <c r="HS6" s="3">
        <f>$H6*factors!HM$3</f>
        <v>2.1953897351960001</v>
      </c>
      <c r="HT6" s="3">
        <f>$H6*factors!HN$3</f>
        <v>2.047052590926</v>
      </c>
      <c r="HU6" s="3">
        <f>$H6*factors!HO$3</f>
        <v>2.0682436115359999</v>
      </c>
      <c r="HV6" s="3">
        <f>$H6*factors!HP$3</f>
        <v>2.0936728362680004</v>
      </c>
      <c r="HW6" s="3">
        <f>$H6*factors!HQ$3</f>
        <v>2.1233402651220001</v>
      </c>
      <c r="HX6" s="3">
        <f>$H6*factors!HR$3</f>
        <v>2.2102234496229998</v>
      </c>
      <c r="HY6" s="3">
        <f>$H6*factors!HS$3</f>
        <v>2.1000301424510002</v>
      </c>
      <c r="HZ6" s="3">
        <f>$H6*factors!HT$3</f>
        <v>2.180556020769</v>
      </c>
      <c r="IA6" s="3">
        <f>$H6*factors!HU$3</f>
        <v>2.0746009177190001</v>
      </c>
      <c r="IB6" s="3">
        <f>$H6*factors!HV$3</f>
        <v>2.1466503877929997</v>
      </c>
      <c r="IC6" s="3">
        <f>$H6*factors!HW$3</f>
        <v>2.167841408403</v>
      </c>
      <c r="ID6" s="3">
        <f>$H6*factors!HX$3</f>
        <v>2.0131469579499996</v>
      </c>
      <c r="IE6" s="3">
        <f>$H6*factors!HY$3</f>
        <v>2.1381739795489998</v>
      </c>
      <c r="IF6" s="3">
        <f>$H6*factors!HZ$3</f>
        <v>2.1254593671829998</v>
      </c>
      <c r="IG6" s="3">
        <f>$H6*factors!IA$3</f>
        <v>2.106387448634</v>
      </c>
      <c r="IH6" s="3">
        <f>$H6*factors!IB$3</f>
        <v>2.1847942248909997</v>
      </c>
      <c r="II6" s="3">
        <f>$H6*factors!IC$3</f>
        <v>2.0915537342069999</v>
      </c>
      <c r="IJ6" s="3">
        <f>$H6*factors!ID$3</f>
        <v>2.1106256527560001</v>
      </c>
      <c r="IK6" s="3">
        <f>$H6*factors!IE$3</f>
        <v>2.1869133269520002</v>
      </c>
      <c r="IL6" s="3">
        <f>$H6*factors!IF$3</f>
        <v>2.0936728362680004</v>
      </c>
      <c r="IM6" s="3">
        <f>$H6*factors!IG$3</f>
        <v>2.0746009177190001</v>
      </c>
      <c r="IN6" s="3">
        <f>$H6*factors!IH$3</f>
        <v>2.0873155300850001</v>
      </c>
      <c r="IO6" s="3">
        <f>$H6*factors!II$3</f>
        <v>2.108506550695</v>
      </c>
      <c r="IP6" s="3">
        <f>$H6*factors!IJ$3</f>
        <v>2.0385761826820001</v>
      </c>
      <c r="IQ6" s="3">
        <f>$H6*factors!IK$3</f>
        <v>2.0322188764989999</v>
      </c>
      <c r="IR6" s="3">
        <f>$H6*factors!IL$3</f>
        <v>2.0915537342069999</v>
      </c>
      <c r="IS6" s="3">
        <f>$H6*factors!IM$3</f>
        <v>2.108506550695</v>
      </c>
      <c r="IT6" s="3">
        <f>$H6*factors!IN$3</f>
        <v>2.1233402651220001</v>
      </c>
      <c r="IU6" s="3">
        <f>$H6*factors!IO$3</f>
        <v>2.1699605104640001</v>
      </c>
      <c r="IV6" s="3">
        <f>$H6*factors!IP$3</f>
        <v>2.1975088372569997</v>
      </c>
      <c r="IW6" s="3">
        <f>$H6*factors!IQ$3</f>
        <v>2.0767200197799998</v>
      </c>
      <c r="IX6" s="3">
        <f>$H6*factors!IR$3</f>
        <v>2.1699605104640001</v>
      </c>
      <c r="IY6" s="3">
        <f>$H6*factors!IS$3</f>
        <v>2.1381739795489998</v>
      </c>
      <c r="IZ6" s="3">
        <f>$H6*factors!IT$3</f>
        <v>2.1741987145860002</v>
      </c>
      <c r="JA6" s="3">
        <f>$H6*factors!IU$3</f>
        <v>2.0534098971089998</v>
      </c>
      <c r="JB6" s="3">
        <f>$H6*factors!IV$3</f>
        <v>2.0915537342069999</v>
      </c>
      <c r="JC6" s="3">
        <f>$H6*factors!IW$3</f>
        <v>2.0428143868040003</v>
      </c>
      <c r="JD6" s="3">
        <f>$H6*factors!IX$3</f>
        <v>2.2250571640500003</v>
      </c>
      <c r="JE6" s="3">
        <f>$H6*factors!IY$3</f>
        <v>2.0491716929870001</v>
      </c>
      <c r="JF6" s="3">
        <f>$H6*factors!IZ$3</f>
        <v>2.1508885919149998</v>
      </c>
      <c r="JG6" s="3">
        <f>$H6*factors!JA$3</f>
        <v>2.1127447548169997</v>
      </c>
      <c r="JH6" s="3">
        <f>$H6*factors!JB$3</f>
        <v>2.1530076939760003</v>
      </c>
      <c r="JI6" s="3">
        <f>$H6*factors!JC$3</f>
        <v>2.0152660600110002</v>
      </c>
      <c r="JJ6" s="3">
        <f>$H6*factors!JD$3</f>
        <v>2.1699605104640001</v>
      </c>
      <c r="JK6" s="3">
        <f>$H6*factors!JE$3</f>
        <v>2.1000301424510002</v>
      </c>
      <c r="JL6" s="3">
        <f>$H6*factors!JF$3</f>
        <v>2.1847942248909997</v>
      </c>
      <c r="JM6" s="3">
        <f>$H6*factors!JG$3</f>
        <v>2.0385761826820001</v>
      </c>
      <c r="JN6" s="3">
        <f>$H6*factors!JH$3</f>
        <v>2.0385761826820001</v>
      </c>
      <c r="JO6" s="3">
        <f>$H6*factors!JI$3</f>
        <v>2.0131469579499996</v>
      </c>
      <c r="JP6" s="3">
        <f>$H6*factors!JJ$3</f>
        <v>2.1763178166469999</v>
      </c>
      <c r="JQ6" s="3">
        <f>$H6*factors!JK$3</f>
        <v>2.1212211630610001</v>
      </c>
      <c r="JR6" s="3">
        <f>$H6*factors!JL$3</f>
        <v>2.20386614344</v>
      </c>
      <c r="JS6" s="3">
        <f>$H6*factors!JM$3</f>
        <v>2.0131469579499996</v>
      </c>
      <c r="JT6" s="3">
        <f>$H6*factors!JN$3</f>
        <v>2.1148638568780003</v>
      </c>
      <c r="JU6" s="3">
        <f>$H6*factors!JO$3</f>
        <v>2.0449334888649999</v>
      </c>
      <c r="JV6" s="3">
        <f>$H6*factors!JP$3</f>
        <v>2.0788391218410003</v>
      </c>
      <c r="JW6" s="3">
        <f>$H6*factors!JQ$3</f>
        <v>2.2208189599280002</v>
      </c>
      <c r="JX6" s="3">
        <f>$H6*factors!JR$3</f>
        <v>2.1996279393179998</v>
      </c>
      <c r="JY6" s="3">
        <f>$H6*factors!JS$3</f>
        <v>2.070362713597</v>
      </c>
      <c r="JZ6" s="3">
        <f>$H6*factors!JT$3</f>
        <v>2.0936728362680004</v>
      </c>
      <c r="KA6" s="3">
        <f>$H6*factors!JU$3</f>
        <v>2.1021492445120002</v>
      </c>
      <c r="KB6" s="3">
        <f>$H6*factors!JV$3</f>
        <v>2.0322188764989999</v>
      </c>
      <c r="KC6" s="3">
        <f>$H6*factors!JW$3</f>
        <v>2.0428143868040003</v>
      </c>
      <c r="KD6" s="3">
        <f>$H6*factors!JX$3</f>
        <v>2.0449334888649999</v>
      </c>
      <c r="KE6" s="3">
        <f>$H6*factors!JY$3</f>
        <v>2.1763178166469999</v>
      </c>
      <c r="KF6" s="3">
        <f>$H6*factors!JZ$3</f>
        <v>2.2017470413789999</v>
      </c>
      <c r="KG6" s="3">
        <f>$H6*factors!KA$3</f>
        <v>2.1233402651220001</v>
      </c>
      <c r="KH6" s="3">
        <f>$H6*factors!KB$3</f>
        <v>2.0767200197799998</v>
      </c>
      <c r="KI6" s="3">
        <f>$H6*factors!KC$3</f>
        <v>2.0576481012309999</v>
      </c>
    </row>
    <row r="7" spans="1:295" x14ac:dyDescent="0.55000000000000004">
      <c r="A7" t="s">
        <v>382</v>
      </c>
      <c r="B7">
        <v>6</v>
      </c>
      <c r="C7">
        <v>230</v>
      </c>
      <c r="D7" t="s">
        <v>377</v>
      </c>
      <c r="E7">
        <v>3.0869999999999999E-3</v>
      </c>
      <c r="F7">
        <v>6</v>
      </c>
      <c r="G7">
        <f>VLOOKUP(D7,demand_forecasted!$A$2:$G$11,2)</f>
        <v>11098</v>
      </c>
      <c r="H7" s="3">
        <f t="shared" si="0"/>
        <v>0.34259526000000001</v>
      </c>
      <c r="I7" s="3">
        <f>$H7*factors!C$3</f>
        <v>0.37925295281999999</v>
      </c>
      <c r="J7" s="3">
        <f>$H7*factors!D$3</f>
        <v>0.36556284623040003</v>
      </c>
      <c r="K7" s="3">
        <f>$H7*factors!E$3</f>
        <v>0.35927279725680006</v>
      </c>
      <c r="L7" s="3">
        <f>$H7*factors!F$3</f>
        <v>0.35816278861440004</v>
      </c>
      <c r="M7" s="3">
        <f>$H7*factors!G$3</f>
        <v>0.35779278573360002</v>
      </c>
      <c r="N7" s="3">
        <f>$H7*factors!H$3</f>
        <v>0.36815286639600003</v>
      </c>
      <c r="O7" s="3">
        <f>$H7*factors!I$3</f>
        <v>0.37629292977360002</v>
      </c>
      <c r="P7" s="3">
        <f>$H7*factors!J$3</f>
        <v>0.38073296434320003</v>
      </c>
      <c r="Q7" s="3">
        <f>$H7*factors!K$3</f>
        <v>0.35742278285279999</v>
      </c>
      <c r="R7" s="3">
        <f>$H7*factors!L$3</f>
        <v>0.35150273676000005</v>
      </c>
      <c r="S7" s="3">
        <f>$H7*factors!M$3</f>
        <v>0.3659328491112</v>
      </c>
      <c r="T7" s="3">
        <f>$H7*factors!N$3</f>
        <v>0.37851294705840005</v>
      </c>
      <c r="U7" s="3">
        <f>$H7*factors!O$3</f>
        <v>0.35853279149520006</v>
      </c>
      <c r="V7" s="3">
        <f>$H7*factors!P$3</f>
        <v>0.37296290384640002</v>
      </c>
      <c r="W7" s="3">
        <f>$H7*factors!Q$3</f>
        <v>0.37629292977360002</v>
      </c>
      <c r="X7" s="3">
        <f>$H7*factors!R$3</f>
        <v>0.3600128030184</v>
      </c>
      <c r="Y7" s="3">
        <f>$H7*factors!S$3</f>
        <v>0.35668277709120005</v>
      </c>
      <c r="Z7" s="3">
        <f>$H7*factors!T$3</f>
        <v>0.38480299603200008</v>
      </c>
      <c r="AA7" s="3">
        <f>$H7*factors!U$3</f>
        <v>0.36334282894559999</v>
      </c>
      <c r="AB7" s="3">
        <f>$H7*factors!V$3</f>
        <v>0.36371283182640007</v>
      </c>
      <c r="AC7" s="3">
        <f>$H7*factors!W$3</f>
        <v>0.36408283470720004</v>
      </c>
      <c r="AD7" s="3">
        <f>$H7*factors!X$3</f>
        <v>0.35631277421040003</v>
      </c>
      <c r="AE7" s="3">
        <f>$H7*factors!Y$3</f>
        <v>0.35927279725680006</v>
      </c>
      <c r="AF7" s="3">
        <f>$H7*factors!Z$3</f>
        <v>0.36667285487280005</v>
      </c>
      <c r="AG7" s="3">
        <f>$H7*factors!AA$3</f>
        <v>0.35742278285279999</v>
      </c>
      <c r="AH7" s="3">
        <f>$H7*factors!AB$3</f>
        <v>0.35594277132960006</v>
      </c>
      <c r="AI7" s="3">
        <f>$H7*factors!AC$3</f>
        <v>0.36741286063440004</v>
      </c>
      <c r="AJ7" s="3">
        <f>$H7*factors!AD$3</f>
        <v>0.38147297010480002</v>
      </c>
      <c r="AK7" s="3">
        <f>$H7*factors!AE$3</f>
        <v>0.36704285775360007</v>
      </c>
      <c r="AL7" s="3">
        <f>$H7*factors!AF$3</f>
        <v>0.35261274540240001</v>
      </c>
      <c r="AM7" s="3">
        <f>$H7*factors!AG$3</f>
        <v>0.362602823184</v>
      </c>
      <c r="AN7" s="3">
        <f>$H7*factors!AH$3</f>
        <v>0.35668277709120005</v>
      </c>
      <c r="AO7" s="3">
        <f>$H7*factors!AI$3</f>
        <v>0.37370290960800001</v>
      </c>
      <c r="AP7" s="3">
        <f>$H7*factors!AJ$3</f>
        <v>0.35816278861440004</v>
      </c>
      <c r="AQ7" s="3">
        <f>$H7*factors!AK$3</f>
        <v>0.36963287791920008</v>
      </c>
      <c r="AR7" s="3">
        <f>$H7*factors!AL$3</f>
        <v>0.36149281454160004</v>
      </c>
      <c r="AS7" s="3">
        <f>$H7*factors!AM$3</f>
        <v>0.35261274540240001</v>
      </c>
      <c r="AT7" s="3">
        <f>$H7*factors!AN$3</f>
        <v>0.36371283182640007</v>
      </c>
      <c r="AU7" s="3">
        <f>$H7*factors!AO$3</f>
        <v>0.38517299891279999</v>
      </c>
      <c r="AV7" s="3">
        <f>$H7*factors!AP$3</f>
        <v>0.36408283470720004</v>
      </c>
      <c r="AW7" s="3">
        <f>$H7*factors!AQ$3</f>
        <v>0.36038280589920002</v>
      </c>
      <c r="AX7" s="3">
        <f>$H7*factors!AR$3</f>
        <v>0.38110296722400006</v>
      </c>
      <c r="AY7" s="3">
        <f>$H7*factors!AS$3</f>
        <v>0.35150273676000005</v>
      </c>
      <c r="AZ7" s="3">
        <f>$H7*factors!AT$3</f>
        <v>0.3766629326544001</v>
      </c>
      <c r="BA7" s="3">
        <f>$H7*factors!AU$3</f>
        <v>0.3685228692768</v>
      </c>
      <c r="BB7" s="3">
        <f>$H7*factors!AV$3</f>
        <v>0.36371283182640007</v>
      </c>
      <c r="BC7" s="3">
        <f>$H7*factors!AW$3</f>
        <v>0.38480299603200008</v>
      </c>
      <c r="BD7" s="3">
        <f>$H7*factors!AX$3</f>
        <v>0.35520276556800001</v>
      </c>
      <c r="BE7" s="3">
        <f>$H7*factors!AY$3</f>
        <v>0.41760306622439997</v>
      </c>
      <c r="BF7" s="3">
        <f>$H7*factors!AZ$3</f>
        <v>0.38890043534160001</v>
      </c>
      <c r="BG7" s="3">
        <f>$H7*factors!BA$3</f>
        <v>0.39456010903679994</v>
      </c>
      <c r="BH7" s="3">
        <f>$H7*factors!BB$3</f>
        <v>0.39981552032520001</v>
      </c>
      <c r="BI7" s="3">
        <f>$H7*factors!BC$3</f>
        <v>0.41436896696999992</v>
      </c>
      <c r="BJ7" s="3">
        <f>$H7*factors!BD$3</f>
        <v>0.39577289625719997</v>
      </c>
      <c r="BK7" s="3">
        <f>$H7*factors!BE$3</f>
        <v>0.39658142107079997</v>
      </c>
      <c r="BL7" s="3">
        <f>$H7*factors!BF$3</f>
        <v>0.39213453459599995</v>
      </c>
      <c r="BM7" s="3">
        <f>$H7*factors!BG$3</f>
        <v>0.41881585344480005</v>
      </c>
      <c r="BN7" s="3">
        <f>$H7*factors!BH$3</f>
        <v>0.41356044215639998</v>
      </c>
      <c r="BO7" s="3">
        <f>$H7*factors!BI$3</f>
        <v>0.38890043534160001</v>
      </c>
      <c r="BP7" s="3">
        <f>$H7*factors!BJ$3</f>
        <v>0.38768764812119993</v>
      </c>
      <c r="BQ7" s="3">
        <f>$H7*factors!BK$3</f>
        <v>0.39415584662999997</v>
      </c>
      <c r="BR7" s="3">
        <f>$H7*factors!BL$3</f>
        <v>0.40830503086800002</v>
      </c>
      <c r="BS7" s="3">
        <f>$H7*factors!BM$3</f>
        <v>0.4147732293768</v>
      </c>
      <c r="BT7" s="3">
        <f>$H7*factors!BN$3</f>
        <v>0.41598601659719997</v>
      </c>
      <c r="BU7" s="3">
        <f>$H7*factors!BO$3</f>
        <v>0.42285847751280004</v>
      </c>
      <c r="BV7" s="3">
        <f>$H7*factors!BP$3</f>
        <v>0.39334732181639998</v>
      </c>
      <c r="BW7" s="3">
        <f>$H7*factors!BQ$3</f>
        <v>0.40224109476600001</v>
      </c>
      <c r="BX7" s="3">
        <f>$H7*factors!BR$3</f>
        <v>0.39456010903679994</v>
      </c>
      <c r="BY7" s="3">
        <f>$H7*factors!BS$3</f>
        <v>0.41275191734279992</v>
      </c>
      <c r="BZ7" s="3">
        <f>$H7*factors!BT$3</f>
        <v>0.40507093161359997</v>
      </c>
      <c r="CA7" s="3">
        <f>$H7*factors!BU$3</f>
        <v>0.39981552032520001</v>
      </c>
      <c r="CB7" s="3">
        <f>$H7*factors!BV$3</f>
        <v>0.38687912330759999</v>
      </c>
      <c r="CC7" s="3">
        <f>$H7*factors!BW$3</f>
        <v>0.39819847069799996</v>
      </c>
      <c r="CD7" s="3">
        <f>$H7*factors!BX$3</f>
        <v>0.39941125791839999</v>
      </c>
      <c r="CE7" s="3">
        <f>$H7*factors!BY$3</f>
        <v>0.40507093161359997</v>
      </c>
      <c r="CF7" s="3">
        <f>$H7*factors!BZ$3</f>
        <v>0.39900699551160002</v>
      </c>
      <c r="CG7" s="3">
        <f>$H7*factors!CA$3</f>
        <v>0.38566633608719997</v>
      </c>
      <c r="CH7" s="3">
        <f>$H7*factors!CB$3</f>
        <v>0.38607059849399994</v>
      </c>
      <c r="CI7" s="3">
        <f>$H7*factors!CC$3</f>
        <v>0.38404928646000003</v>
      </c>
      <c r="CJ7" s="3">
        <f>$H7*factors!CD$3</f>
        <v>0.39981552032520001</v>
      </c>
      <c r="CK7" s="3">
        <f>$H7*factors!CE$3</f>
        <v>0.41760306622439997</v>
      </c>
      <c r="CL7" s="3">
        <f>$H7*factors!CF$3</f>
        <v>0.39132600978240001</v>
      </c>
      <c r="CM7" s="3">
        <f>$H7*factors!CG$3</f>
        <v>0.40062404513879996</v>
      </c>
      <c r="CN7" s="3">
        <f>$H7*factors!CH$3</f>
        <v>0.38728338571439996</v>
      </c>
      <c r="CO7" s="3">
        <f>$H7*factors!CI$3</f>
        <v>0.39011322256199993</v>
      </c>
      <c r="CP7" s="3">
        <f>$H7*factors!CJ$3</f>
        <v>0.40870929327479993</v>
      </c>
      <c r="CQ7" s="3">
        <f>$H7*factors!CK$3</f>
        <v>0.39658142107079997</v>
      </c>
      <c r="CR7" s="3">
        <f>$H7*factors!CL$3</f>
        <v>0.40911355568159996</v>
      </c>
      <c r="CS7" s="3">
        <f>$H7*factors!CM$3</f>
        <v>0.42204995269919998</v>
      </c>
      <c r="CT7" s="3">
        <f>$H7*factors!CN$3</f>
        <v>0.41719880381759999</v>
      </c>
      <c r="CU7" s="3">
        <f>$H7*factors!CO$3</f>
        <v>0.40790076846119994</v>
      </c>
      <c r="CV7" s="3">
        <f>$H7*factors!CP$3</f>
        <v>0.42447552713999998</v>
      </c>
      <c r="CW7" s="3">
        <f>$H7*factors!CQ$3</f>
        <v>0.40143256995240001</v>
      </c>
      <c r="CX7" s="3">
        <f>$H7*factors!CR$3</f>
        <v>0.3953686338504</v>
      </c>
      <c r="CY7" s="3">
        <f>$H7*factors!CS$3</f>
        <v>0.39173027218919998</v>
      </c>
      <c r="CZ7" s="3">
        <f>$H7*factors!CT$3</f>
        <v>0.38607059849399994</v>
      </c>
      <c r="DA7" s="3">
        <f>$H7*factors!CU$3</f>
        <v>0.40083645419999997</v>
      </c>
      <c r="DB7" s="3">
        <f>$H7*factors!CV$3</f>
        <v>0.42673665585600001</v>
      </c>
      <c r="DC7" s="3">
        <f>$H7*factors!CW$3</f>
        <v>0.40864762612799999</v>
      </c>
      <c r="DD7" s="3">
        <f>$H7*factors!CX$3</f>
        <v>0.40576982594399996</v>
      </c>
      <c r="DE7" s="3">
        <f>$H7*factors!CY$3</f>
        <v>0.41769214099200003</v>
      </c>
      <c r="DF7" s="3">
        <f>$H7*factors!CZ$3</f>
        <v>0.41686991236799997</v>
      </c>
      <c r="DG7" s="3">
        <f>$H7*factors!DA$3</f>
        <v>0.41522545512000003</v>
      </c>
      <c r="DH7" s="3">
        <f>$H7*factors!DB$3</f>
        <v>0.41522545512000003</v>
      </c>
      <c r="DI7" s="3">
        <f>$H7*factors!DC$3</f>
        <v>0.399603111264</v>
      </c>
      <c r="DJ7" s="3">
        <f>$H7*factors!DD$3</f>
        <v>0.42344774136000002</v>
      </c>
      <c r="DK7" s="3">
        <f>$H7*factors!DE$3</f>
        <v>0.42344774136000002</v>
      </c>
      <c r="DL7" s="3">
        <f>$H7*factors!DF$3</f>
        <v>0.41851436961600003</v>
      </c>
      <c r="DM7" s="3">
        <f>$H7*factors!DG$3</f>
        <v>0.39425862520799998</v>
      </c>
      <c r="DN7" s="3">
        <f>$H7*factors!DH$3</f>
        <v>0.41358099787200003</v>
      </c>
      <c r="DO7" s="3">
        <f>$H7*factors!DI$3</f>
        <v>0.42714777016799998</v>
      </c>
      <c r="DP7" s="3">
        <f>$H7*factors!DJ$3</f>
        <v>0.42344774136000002</v>
      </c>
      <c r="DQ7" s="3">
        <f>$H7*factors!DK$3</f>
        <v>0.40371425438399999</v>
      </c>
      <c r="DR7" s="3">
        <f>$H7*factors!DL$3</f>
        <v>0.39919199695200003</v>
      </c>
      <c r="DS7" s="3">
        <f>$H7*factors!DM$3</f>
        <v>0.43125891328799998</v>
      </c>
      <c r="DT7" s="3">
        <f>$H7*factors!DN$3</f>
        <v>0.40535871163200005</v>
      </c>
      <c r="DU7" s="3">
        <f>$H7*factors!DO$3</f>
        <v>0.42426996998400002</v>
      </c>
      <c r="DV7" s="3">
        <f>$H7*factors!DP$3</f>
        <v>0.41440322649600003</v>
      </c>
      <c r="DW7" s="3">
        <f>$H7*factors!DQ$3</f>
        <v>0.39549196814399995</v>
      </c>
      <c r="DX7" s="3">
        <f>$H7*factors!DR$3</f>
        <v>0.418925483928</v>
      </c>
      <c r="DY7" s="3">
        <f>$H7*factors!DS$3</f>
        <v>0.39754753970399997</v>
      </c>
      <c r="DZ7" s="3">
        <f>$H7*factors!DT$3</f>
        <v>0.42509219860799996</v>
      </c>
      <c r="EA7" s="3">
        <f>$H7*factors!DU$3</f>
        <v>0.40042533988799994</v>
      </c>
      <c r="EB7" s="3">
        <f>$H7*factors!DV$3</f>
        <v>0.39055859639999996</v>
      </c>
      <c r="EC7" s="3">
        <f>$H7*factors!DW$3</f>
        <v>0.42015882686399997</v>
      </c>
      <c r="ED7" s="3">
        <f>$H7*factors!DX$3</f>
        <v>0.39425862520799998</v>
      </c>
      <c r="EE7" s="3">
        <f>$H7*factors!DY$3</f>
        <v>0.39754753970399997</v>
      </c>
      <c r="EF7" s="3">
        <f>$H7*factors!DZ$3</f>
        <v>0.43125891328799998</v>
      </c>
      <c r="EG7" s="3">
        <f>$H7*factors!EA$3</f>
        <v>0.40289202575999999</v>
      </c>
      <c r="EH7" s="3">
        <f>$H7*factors!EB$3</f>
        <v>0.40412536869600002</v>
      </c>
      <c r="EI7" s="3">
        <f>$H7*factors!EC$3</f>
        <v>0.40330314007200002</v>
      </c>
      <c r="EJ7" s="3">
        <f>$H7*factors!ED$3</f>
        <v>0.39302528227200001</v>
      </c>
      <c r="EK7" s="3">
        <f>$H7*factors!EE$3</f>
        <v>0.42015882686399997</v>
      </c>
      <c r="EL7" s="3">
        <f>$H7*factors!EF$3</f>
        <v>0.399603111264</v>
      </c>
      <c r="EM7" s="3">
        <f>$H7*factors!EG$3</f>
        <v>0.41563656943199995</v>
      </c>
      <c r="EN7" s="3">
        <f>$H7*factors!EH$3</f>
        <v>0.39055859639999996</v>
      </c>
      <c r="EO7" s="3">
        <f>$H7*factors!EI$3</f>
        <v>0.39631419676799995</v>
      </c>
      <c r="EP7" s="3">
        <f>$H7*factors!EJ$3</f>
        <v>0.418103255304</v>
      </c>
      <c r="EQ7" s="3">
        <f>$H7*factors!EK$3</f>
        <v>0.40659205456799996</v>
      </c>
      <c r="ER7" s="3">
        <f>$H7*factors!EL$3</f>
        <v>0.42344774136000002</v>
      </c>
      <c r="ES7" s="3">
        <f>$H7*factors!EM$3</f>
        <v>0.418103255304</v>
      </c>
      <c r="ET7" s="3">
        <f>$H7*factors!EN$3</f>
        <v>0.42755888448000001</v>
      </c>
      <c r="EU7" s="3">
        <f>$H7*factors!EO$3</f>
        <v>0.43167002760000001</v>
      </c>
      <c r="EV7" s="3">
        <f>$H7*factors!EP$3</f>
        <v>0.40453648300799994</v>
      </c>
      <c r="EW7" s="3">
        <f>$H7*factors!EQ$3</f>
        <v>0.44494559392499994</v>
      </c>
      <c r="EX7" s="3">
        <f>$H7*factors!ER$3</f>
        <v>0.44023490910000007</v>
      </c>
      <c r="EY7" s="3">
        <f>$H7*factors!ES$3</f>
        <v>0.44922803467499994</v>
      </c>
      <c r="EZ7" s="3">
        <f>$H7*factors!ET$3</f>
        <v>0.44494559392499994</v>
      </c>
      <c r="FA7" s="3">
        <f>$H7*factors!EU$3</f>
        <v>0.40897309162499995</v>
      </c>
      <c r="FB7" s="3">
        <f>$H7*factors!EV$3</f>
        <v>0.42738758685000006</v>
      </c>
      <c r="FC7" s="3">
        <f>$H7*factors!EW$3</f>
        <v>0.43937842095000001</v>
      </c>
      <c r="FD7" s="3">
        <f>$H7*factors!EX$3</f>
        <v>0.42396163425000005</v>
      </c>
      <c r="FE7" s="3">
        <f>$H7*factors!EY$3</f>
        <v>0.446658570225</v>
      </c>
      <c r="FF7" s="3">
        <f>$H7*factors!EZ$3</f>
        <v>0.44708681430000008</v>
      </c>
      <c r="FG7" s="3">
        <f>$H7*factors!FA$3</f>
        <v>0.40897309162499995</v>
      </c>
      <c r="FH7" s="3">
        <f>$H7*factors!FB$3</f>
        <v>0.43038529537499998</v>
      </c>
      <c r="FI7" s="3">
        <f>$H7*factors!FC$3</f>
        <v>0.44837154652499994</v>
      </c>
      <c r="FJ7" s="3">
        <f>$H7*factors!FD$3</f>
        <v>0.43038529537499998</v>
      </c>
      <c r="FK7" s="3">
        <f>$H7*factors!FE$3</f>
        <v>0.43766544465000007</v>
      </c>
      <c r="FL7" s="3">
        <f>$H7*factors!FF$3</f>
        <v>0.43895017687500004</v>
      </c>
      <c r="FM7" s="3">
        <f>$H7*factors!FG$3</f>
        <v>0.44366086169999996</v>
      </c>
      <c r="FN7" s="3">
        <f>$H7*factors!FH$3</f>
        <v>0.41496850867500001</v>
      </c>
      <c r="FO7" s="3">
        <f>$H7*factors!FI$3</f>
        <v>0.44066315317499999</v>
      </c>
      <c r="FP7" s="3">
        <f>$H7*factors!FJ$3</f>
        <v>0.428244075</v>
      </c>
      <c r="FQ7" s="3">
        <f>$H7*factors!FK$3</f>
        <v>0.42396163425000005</v>
      </c>
      <c r="FR7" s="3">
        <f>$H7*factors!FL$3</f>
        <v>0.43252651575000001</v>
      </c>
      <c r="FS7" s="3">
        <f>$H7*factors!FM$3</f>
        <v>0.4299570513</v>
      </c>
      <c r="FT7" s="3">
        <f>$H7*factors!FN$3</f>
        <v>0.43937842095000001</v>
      </c>
      <c r="FU7" s="3">
        <f>$H7*factors!FO$3</f>
        <v>0.42224865794999999</v>
      </c>
      <c r="FV7" s="3">
        <f>$H7*factors!FP$3</f>
        <v>0.41882270534999999</v>
      </c>
      <c r="FW7" s="3">
        <f>$H7*factors!FQ$3</f>
        <v>0.44837154652499994</v>
      </c>
      <c r="FX7" s="3">
        <f>$H7*factors!FR$3</f>
        <v>0.44023490910000007</v>
      </c>
      <c r="FY7" s="3">
        <f>$H7*factors!FS$3</f>
        <v>0.43124178352499998</v>
      </c>
      <c r="FZ7" s="3">
        <f>$H7*factors!FT$3</f>
        <v>0.40982957977500001</v>
      </c>
      <c r="GA7" s="3">
        <f>$H7*factors!FU$3</f>
        <v>0.43124178352499998</v>
      </c>
      <c r="GB7" s="3">
        <f>$H7*factors!FV$3</f>
        <v>0.44708681430000008</v>
      </c>
      <c r="GC7" s="3">
        <f>$H7*factors!FW$3</f>
        <v>0.41882270534999999</v>
      </c>
      <c r="GD7" s="3">
        <f>$H7*factors!FX$3</f>
        <v>0.42610285462499997</v>
      </c>
      <c r="GE7" s="3">
        <f>$H7*factors!FY$3</f>
        <v>0.42610285462499997</v>
      </c>
      <c r="GF7" s="3">
        <f>$H7*factors!FZ$3</f>
        <v>0.4248181224</v>
      </c>
      <c r="GG7" s="3">
        <f>$H7*factors!GA$3</f>
        <v>0.40811660347500001</v>
      </c>
      <c r="GH7" s="3">
        <f>$H7*factors!GB$3</f>
        <v>0.43423949205000006</v>
      </c>
      <c r="GI7" s="3">
        <f>$H7*factors!GC$3</f>
        <v>0.40726011532500001</v>
      </c>
      <c r="GJ7" s="3">
        <f>$H7*factors!GD$3</f>
        <v>0.40811660347500001</v>
      </c>
      <c r="GK7" s="3">
        <f>$H7*factors!GE$3</f>
        <v>0.41839446127500002</v>
      </c>
      <c r="GL7" s="3">
        <f>$H7*factors!GF$3</f>
        <v>0.44323261762499999</v>
      </c>
      <c r="GM7" s="3">
        <f>$H7*factors!GG$3</f>
        <v>0.42010743757500002</v>
      </c>
      <c r="GN7" s="3">
        <f>$H7*factors!GH$3</f>
        <v>0.43338300390000006</v>
      </c>
      <c r="GO7" s="3">
        <f>$H7*factors!GI$3</f>
        <v>0.40940133569999998</v>
      </c>
      <c r="GP7" s="3">
        <f>$H7*factors!GJ$3</f>
        <v>0.43895017687500004</v>
      </c>
      <c r="GQ7" s="3">
        <f>$H7*factors!GK$3</f>
        <v>0.44794330245000008</v>
      </c>
      <c r="GR7" s="3">
        <f>$H7*factors!GL$3</f>
        <v>0.43937842095000001</v>
      </c>
      <c r="GS7" s="3">
        <f>$H7*factors!GM$3</f>
        <v>0.41551666109099999</v>
      </c>
      <c r="GT7" s="3">
        <f>$H7*factors!GN$3</f>
        <v>0.42508877265540002</v>
      </c>
      <c r="GU7" s="3">
        <f>$H7*factors!GO$3</f>
        <v>0.43509598020000001</v>
      </c>
      <c r="GV7" s="3">
        <f>$H7*factors!GP$3</f>
        <v>0.41769214099200003</v>
      </c>
      <c r="GW7" s="3">
        <f>$H7*factors!GQ$3</f>
        <v>0.43248540431880006</v>
      </c>
      <c r="GX7" s="3">
        <f>$H7*factors!GR$3</f>
        <v>0.42552386863559999</v>
      </c>
      <c r="GY7" s="3">
        <f>$H7*factors!GS$3</f>
        <v>0.42334838873460007</v>
      </c>
      <c r="GZ7" s="3">
        <f>$H7*factors!GT$3</f>
        <v>0.43901184402179999</v>
      </c>
      <c r="HA7" s="3">
        <f>$H7*factors!GU$3</f>
        <v>0.42465367667519999</v>
      </c>
      <c r="HB7" s="3">
        <f>$H7*factors!GV$3</f>
        <v>0.43901184402179999</v>
      </c>
      <c r="HC7" s="3">
        <f>$H7*factors!GW$3</f>
        <v>0.42813444451679999</v>
      </c>
      <c r="HD7" s="3">
        <f>$H7*factors!GX$3</f>
        <v>0.44075222794259994</v>
      </c>
      <c r="HE7" s="3">
        <f>$H7*factors!GY$3</f>
        <v>0.43509598020000001</v>
      </c>
      <c r="HF7" s="3">
        <f>$H7*factors!GZ$3</f>
        <v>0.44858395558620001</v>
      </c>
      <c r="HG7" s="3">
        <f>$H7*factors!HA$3</f>
        <v>0.43118011637820003</v>
      </c>
      <c r="HH7" s="3">
        <f>$H7*factors!HB$3</f>
        <v>0.42552386863559999</v>
      </c>
      <c r="HI7" s="3">
        <f>$H7*factors!HC$3</f>
        <v>0.42030271687320003</v>
      </c>
      <c r="HJ7" s="3">
        <f>$H7*factors!HD$3</f>
        <v>0.41551666109099999</v>
      </c>
      <c r="HK7" s="3">
        <f>$H7*factors!HE$3</f>
        <v>0.43944694000200002</v>
      </c>
      <c r="HL7" s="3">
        <f>$H7*factors!HF$3</f>
        <v>0.41421137315039996</v>
      </c>
      <c r="HM7" s="3">
        <f>$H7*factors!HG$3</f>
        <v>0.41856233295240003</v>
      </c>
      <c r="HN7" s="3">
        <f>$H7*factors!HH$3</f>
        <v>0.44640847568520003</v>
      </c>
      <c r="HO7" s="3">
        <f>$H7*factors!HI$3</f>
        <v>0.42813444451679999</v>
      </c>
      <c r="HP7" s="3">
        <f>$H7*factors!HJ$3</f>
        <v>0.45685077921000006</v>
      </c>
      <c r="HQ7" s="3">
        <f>$H7*factors!HK$3</f>
        <v>0.41769214099200003</v>
      </c>
      <c r="HR7" s="3">
        <f>$H7*factors!HL$3</f>
        <v>0.44292770784360008</v>
      </c>
      <c r="HS7" s="3">
        <f>$H7*factors!HM$3</f>
        <v>0.45075943548720004</v>
      </c>
      <c r="HT7" s="3">
        <f>$H7*factors!HN$3</f>
        <v>0.42030271687320003</v>
      </c>
      <c r="HU7" s="3">
        <f>$H7*factors!HO$3</f>
        <v>0.42465367667519999</v>
      </c>
      <c r="HV7" s="3">
        <f>$H7*factors!HP$3</f>
        <v>0.42987482843760005</v>
      </c>
      <c r="HW7" s="3">
        <f>$H7*factors!HQ$3</f>
        <v>0.43596617216040001</v>
      </c>
      <c r="HX7" s="3">
        <f>$H7*factors!HR$3</f>
        <v>0.45380510734859997</v>
      </c>
      <c r="HY7" s="3">
        <f>$H7*factors!HS$3</f>
        <v>0.43118011637820003</v>
      </c>
      <c r="HZ7" s="3">
        <f>$H7*factors!HT$3</f>
        <v>0.44771376362580001</v>
      </c>
      <c r="IA7" s="3">
        <f>$H7*factors!HU$3</f>
        <v>0.42595896461580002</v>
      </c>
      <c r="IB7" s="3">
        <f>$H7*factors!HV$3</f>
        <v>0.44075222794259994</v>
      </c>
      <c r="IC7" s="3">
        <f>$H7*factors!HW$3</f>
        <v>0.4451031877446</v>
      </c>
      <c r="ID7" s="3">
        <f>$H7*factors!HX$3</f>
        <v>0.41334118118999996</v>
      </c>
      <c r="IE7" s="3">
        <f>$H7*factors!HY$3</f>
        <v>0.43901184402179999</v>
      </c>
      <c r="IF7" s="3">
        <f>$H7*factors!HZ$3</f>
        <v>0.43640126814059998</v>
      </c>
      <c r="IG7" s="3">
        <f>$H7*factors!IA$3</f>
        <v>0.43248540431880006</v>
      </c>
      <c r="IH7" s="3">
        <f>$H7*factors!IB$3</f>
        <v>0.44858395558620001</v>
      </c>
      <c r="II7" s="3">
        <f>$H7*factors!IC$3</f>
        <v>0.42943973245740003</v>
      </c>
      <c r="IJ7" s="3">
        <f>$H7*factors!ID$3</f>
        <v>0.43335559627920001</v>
      </c>
      <c r="IK7" s="3">
        <f>$H7*factors!IE$3</f>
        <v>0.44901905156640004</v>
      </c>
      <c r="IL7" s="3">
        <f>$H7*factors!IF$3</f>
        <v>0.42987482843760005</v>
      </c>
      <c r="IM7" s="3">
        <f>$H7*factors!IG$3</f>
        <v>0.42595896461580002</v>
      </c>
      <c r="IN7" s="3">
        <f>$H7*factors!IH$3</f>
        <v>0.42856954049700002</v>
      </c>
      <c r="IO7" s="3">
        <f>$H7*factors!II$3</f>
        <v>0.43292050029899998</v>
      </c>
      <c r="IP7" s="3">
        <f>$H7*factors!IJ$3</f>
        <v>0.41856233295240003</v>
      </c>
      <c r="IQ7" s="3">
        <f>$H7*factors!IK$3</f>
        <v>0.4172570450118</v>
      </c>
      <c r="IR7" s="3">
        <f>$H7*factors!IL$3</f>
        <v>0.42943973245740003</v>
      </c>
      <c r="IS7" s="3">
        <f>$H7*factors!IM$3</f>
        <v>0.43292050029899998</v>
      </c>
      <c r="IT7" s="3">
        <f>$H7*factors!IN$3</f>
        <v>0.43596617216040001</v>
      </c>
      <c r="IU7" s="3">
        <f>$H7*factors!IO$3</f>
        <v>0.44553828372480003</v>
      </c>
      <c r="IV7" s="3">
        <f>$H7*factors!IP$3</f>
        <v>0.45119453146739996</v>
      </c>
      <c r="IW7" s="3">
        <f>$H7*factors!IQ$3</f>
        <v>0.42639406059599999</v>
      </c>
      <c r="IX7" s="3">
        <f>$H7*factors!IR$3</f>
        <v>0.44553828372480003</v>
      </c>
      <c r="IY7" s="3">
        <f>$H7*factors!IS$3</f>
        <v>0.43901184402179999</v>
      </c>
      <c r="IZ7" s="3">
        <f>$H7*factors!IT$3</f>
        <v>0.44640847568520003</v>
      </c>
      <c r="JA7" s="3">
        <f>$H7*factors!IU$3</f>
        <v>0.42160800481379995</v>
      </c>
      <c r="JB7" s="3">
        <f>$H7*factors!IV$3</f>
        <v>0.42943973245740003</v>
      </c>
      <c r="JC7" s="3">
        <f>$H7*factors!IW$3</f>
        <v>0.41943252491280003</v>
      </c>
      <c r="JD7" s="3">
        <f>$H7*factors!IX$3</f>
        <v>0.45685077921000006</v>
      </c>
      <c r="JE7" s="3">
        <f>$H7*factors!IY$3</f>
        <v>0.42073781285340001</v>
      </c>
      <c r="JF7" s="3">
        <f>$H7*factors!IZ$3</f>
        <v>0.44162241990299994</v>
      </c>
      <c r="JG7" s="3">
        <f>$H7*factors!JA$3</f>
        <v>0.43379069225939998</v>
      </c>
      <c r="JH7" s="3">
        <f>$H7*factors!JB$3</f>
        <v>0.44205751588320008</v>
      </c>
      <c r="JI7" s="3">
        <f>$H7*factors!JC$3</f>
        <v>0.41377627717020005</v>
      </c>
      <c r="JJ7" s="3">
        <f>$H7*factors!JD$3</f>
        <v>0.44553828372480003</v>
      </c>
      <c r="JK7" s="3">
        <f>$H7*factors!JE$3</f>
        <v>0.43118011637820003</v>
      </c>
      <c r="JL7" s="3">
        <f>$H7*factors!JF$3</f>
        <v>0.44858395558620001</v>
      </c>
      <c r="JM7" s="3">
        <f>$H7*factors!JG$3</f>
        <v>0.41856233295240003</v>
      </c>
      <c r="JN7" s="3">
        <f>$H7*factors!JH$3</f>
        <v>0.41856233295240003</v>
      </c>
      <c r="JO7" s="3">
        <f>$H7*factors!JI$3</f>
        <v>0.41334118118999996</v>
      </c>
      <c r="JP7" s="3">
        <f>$H7*factors!JJ$3</f>
        <v>0.44684357166540001</v>
      </c>
      <c r="JQ7" s="3">
        <f>$H7*factors!JK$3</f>
        <v>0.43553107618019998</v>
      </c>
      <c r="JR7" s="3">
        <f>$H7*factors!JL$3</f>
        <v>0.45249981940799999</v>
      </c>
      <c r="JS7" s="3">
        <f>$H7*factors!JM$3</f>
        <v>0.41334118118999996</v>
      </c>
      <c r="JT7" s="3">
        <f>$H7*factors!JN$3</f>
        <v>0.43422578823960001</v>
      </c>
      <c r="JU7" s="3">
        <f>$H7*factors!JO$3</f>
        <v>0.419867620893</v>
      </c>
      <c r="JV7" s="3">
        <f>$H7*factors!JP$3</f>
        <v>0.42682915657620002</v>
      </c>
      <c r="JW7" s="3">
        <f>$H7*factors!JQ$3</f>
        <v>0.45598058724960006</v>
      </c>
      <c r="JX7" s="3">
        <f>$H7*factors!JR$3</f>
        <v>0.45162962744759999</v>
      </c>
      <c r="JY7" s="3">
        <f>$H7*factors!JS$3</f>
        <v>0.42508877265540002</v>
      </c>
      <c r="JZ7" s="3">
        <f>$H7*factors!JT$3</f>
        <v>0.42987482843760005</v>
      </c>
      <c r="KA7" s="3">
        <f>$H7*factors!JU$3</f>
        <v>0.43161521235840006</v>
      </c>
      <c r="KB7" s="3">
        <f>$H7*factors!JV$3</f>
        <v>0.4172570450118</v>
      </c>
      <c r="KC7" s="3">
        <f>$H7*factors!JW$3</f>
        <v>0.41943252491280003</v>
      </c>
      <c r="KD7" s="3">
        <f>$H7*factors!JX$3</f>
        <v>0.419867620893</v>
      </c>
      <c r="KE7" s="3">
        <f>$H7*factors!JY$3</f>
        <v>0.44684357166540001</v>
      </c>
      <c r="KF7" s="3">
        <f>$H7*factors!JZ$3</f>
        <v>0.45206472342779996</v>
      </c>
      <c r="KG7" s="3">
        <f>$H7*factors!KA$3</f>
        <v>0.43596617216040001</v>
      </c>
      <c r="KH7" s="3">
        <f>$H7*factors!KB$3</f>
        <v>0.42639406059599999</v>
      </c>
      <c r="KI7" s="3">
        <f>$H7*factors!KC$3</f>
        <v>0.42247819677419995</v>
      </c>
    </row>
    <row r="8" spans="1:295" x14ac:dyDescent="0.55000000000000004">
      <c r="A8" t="s">
        <v>383</v>
      </c>
      <c r="B8">
        <v>7</v>
      </c>
      <c r="C8">
        <v>230</v>
      </c>
      <c r="D8" t="s">
        <v>377</v>
      </c>
      <c r="E8">
        <v>3.0869999999999999E-3</v>
      </c>
      <c r="F8">
        <v>7</v>
      </c>
      <c r="G8">
        <f>VLOOKUP(D8,demand_forecasted!$A$2:$G$11,2)</f>
        <v>11098</v>
      </c>
      <c r="H8" s="3">
        <f t="shared" si="0"/>
        <v>0.34259526000000001</v>
      </c>
      <c r="I8" s="3">
        <f>$H8*factors!C$3</f>
        <v>0.37925295281999999</v>
      </c>
      <c r="J8" s="3">
        <f>$H8*factors!D$3</f>
        <v>0.36556284623040003</v>
      </c>
      <c r="K8" s="3">
        <f>$H8*factors!E$3</f>
        <v>0.35927279725680006</v>
      </c>
      <c r="L8" s="3">
        <f>$H8*factors!F$3</f>
        <v>0.35816278861440004</v>
      </c>
      <c r="M8" s="3">
        <f>$H8*factors!G$3</f>
        <v>0.35779278573360002</v>
      </c>
      <c r="N8" s="3">
        <f>$H8*factors!H$3</f>
        <v>0.36815286639600003</v>
      </c>
      <c r="O8" s="3">
        <f>$H8*factors!I$3</f>
        <v>0.37629292977360002</v>
      </c>
      <c r="P8" s="3">
        <f>$H8*factors!J$3</f>
        <v>0.38073296434320003</v>
      </c>
      <c r="Q8" s="3">
        <f>$H8*factors!K$3</f>
        <v>0.35742278285279999</v>
      </c>
      <c r="R8" s="3">
        <f>$H8*factors!L$3</f>
        <v>0.35150273676000005</v>
      </c>
      <c r="S8" s="3">
        <f>$H8*factors!M$3</f>
        <v>0.3659328491112</v>
      </c>
      <c r="T8" s="3">
        <f>$H8*factors!N$3</f>
        <v>0.37851294705840005</v>
      </c>
      <c r="U8" s="3">
        <f>$H8*factors!O$3</f>
        <v>0.35853279149520006</v>
      </c>
      <c r="V8" s="3">
        <f>$H8*factors!P$3</f>
        <v>0.37296290384640002</v>
      </c>
      <c r="W8" s="3">
        <f>$H8*factors!Q$3</f>
        <v>0.37629292977360002</v>
      </c>
      <c r="X8" s="3">
        <f>$H8*factors!R$3</f>
        <v>0.3600128030184</v>
      </c>
      <c r="Y8" s="3">
        <f>$H8*factors!S$3</f>
        <v>0.35668277709120005</v>
      </c>
      <c r="Z8" s="3">
        <f>$H8*factors!T$3</f>
        <v>0.38480299603200008</v>
      </c>
      <c r="AA8" s="3">
        <f>$H8*factors!U$3</f>
        <v>0.36334282894559999</v>
      </c>
      <c r="AB8" s="3">
        <f>$H8*factors!V$3</f>
        <v>0.36371283182640007</v>
      </c>
      <c r="AC8" s="3">
        <f>$H8*factors!W$3</f>
        <v>0.36408283470720004</v>
      </c>
      <c r="AD8" s="3">
        <f>$H8*factors!X$3</f>
        <v>0.35631277421040003</v>
      </c>
      <c r="AE8" s="3">
        <f>$H8*factors!Y$3</f>
        <v>0.35927279725680006</v>
      </c>
      <c r="AF8" s="3">
        <f>$H8*factors!Z$3</f>
        <v>0.36667285487280005</v>
      </c>
      <c r="AG8" s="3">
        <f>$H8*factors!AA$3</f>
        <v>0.35742278285279999</v>
      </c>
      <c r="AH8" s="3">
        <f>$H8*factors!AB$3</f>
        <v>0.35594277132960006</v>
      </c>
      <c r="AI8" s="3">
        <f>$H8*factors!AC$3</f>
        <v>0.36741286063440004</v>
      </c>
      <c r="AJ8" s="3">
        <f>$H8*factors!AD$3</f>
        <v>0.38147297010480002</v>
      </c>
      <c r="AK8" s="3">
        <f>$H8*factors!AE$3</f>
        <v>0.36704285775360007</v>
      </c>
      <c r="AL8" s="3">
        <f>$H8*factors!AF$3</f>
        <v>0.35261274540240001</v>
      </c>
      <c r="AM8" s="3">
        <f>$H8*factors!AG$3</f>
        <v>0.362602823184</v>
      </c>
      <c r="AN8" s="3">
        <f>$H8*factors!AH$3</f>
        <v>0.35668277709120005</v>
      </c>
      <c r="AO8" s="3">
        <f>$H8*factors!AI$3</f>
        <v>0.37370290960800001</v>
      </c>
      <c r="AP8" s="3">
        <f>$H8*factors!AJ$3</f>
        <v>0.35816278861440004</v>
      </c>
      <c r="AQ8" s="3">
        <f>$H8*factors!AK$3</f>
        <v>0.36963287791920008</v>
      </c>
      <c r="AR8" s="3">
        <f>$H8*factors!AL$3</f>
        <v>0.36149281454160004</v>
      </c>
      <c r="AS8" s="3">
        <f>$H8*factors!AM$3</f>
        <v>0.35261274540240001</v>
      </c>
      <c r="AT8" s="3">
        <f>$H8*factors!AN$3</f>
        <v>0.36371283182640007</v>
      </c>
      <c r="AU8" s="3">
        <f>$H8*factors!AO$3</f>
        <v>0.38517299891279999</v>
      </c>
      <c r="AV8" s="3">
        <f>$H8*factors!AP$3</f>
        <v>0.36408283470720004</v>
      </c>
      <c r="AW8" s="3">
        <f>$H8*factors!AQ$3</f>
        <v>0.36038280589920002</v>
      </c>
      <c r="AX8" s="3">
        <f>$H8*factors!AR$3</f>
        <v>0.38110296722400006</v>
      </c>
      <c r="AY8" s="3">
        <f>$H8*factors!AS$3</f>
        <v>0.35150273676000005</v>
      </c>
      <c r="AZ8" s="3">
        <f>$H8*factors!AT$3</f>
        <v>0.3766629326544001</v>
      </c>
      <c r="BA8" s="3">
        <f>$H8*factors!AU$3</f>
        <v>0.3685228692768</v>
      </c>
      <c r="BB8" s="3">
        <f>$H8*factors!AV$3</f>
        <v>0.36371283182640007</v>
      </c>
      <c r="BC8" s="3">
        <f>$H8*factors!AW$3</f>
        <v>0.38480299603200008</v>
      </c>
      <c r="BD8" s="3">
        <f>$H8*factors!AX$3</f>
        <v>0.35520276556800001</v>
      </c>
      <c r="BE8" s="3">
        <f>$H8*factors!AY$3</f>
        <v>0.41760306622439997</v>
      </c>
      <c r="BF8" s="3">
        <f>$H8*factors!AZ$3</f>
        <v>0.38890043534160001</v>
      </c>
      <c r="BG8" s="3">
        <f>$H8*factors!BA$3</f>
        <v>0.39456010903679994</v>
      </c>
      <c r="BH8" s="3">
        <f>$H8*factors!BB$3</f>
        <v>0.39981552032520001</v>
      </c>
      <c r="BI8" s="3">
        <f>$H8*factors!BC$3</f>
        <v>0.41436896696999992</v>
      </c>
      <c r="BJ8" s="3">
        <f>$H8*factors!BD$3</f>
        <v>0.39577289625719997</v>
      </c>
      <c r="BK8" s="3">
        <f>$H8*factors!BE$3</f>
        <v>0.39658142107079997</v>
      </c>
      <c r="BL8" s="3">
        <f>$H8*factors!BF$3</f>
        <v>0.39213453459599995</v>
      </c>
      <c r="BM8" s="3">
        <f>$H8*factors!BG$3</f>
        <v>0.41881585344480005</v>
      </c>
      <c r="BN8" s="3">
        <f>$H8*factors!BH$3</f>
        <v>0.41356044215639998</v>
      </c>
      <c r="BO8" s="3">
        <f>$H8*factors!BI$3</f>
        <v>0.38890043534160001</v>
      </c>
      <c r="BP8" s="3">
        <f>$H8*factors!BJ$3</f>
        <v>0.38768764812119993</v>
      </c>
      <c r="BQ8" s="3">
        <f>$H8*factors!BK$3</f>
        <v>0.39415584662999997</v>
      </c>
      <c r="BR8" s="3">
        <f>$H8*factors!BL$3</f>
        <v>0.40830503086800002</v>
      </c>
      <c r="BS8" s="3">
        <f>$H8*factors!BM$3</f>
        <v>0.4147732293768</v>
      </c>
      <c r="BT8" s="3">
        <f>$H8*factors!BN$3</f>
        <v>0.41598601659719997</v>
      </c>
      <c r="BU8" s="3">
        <f>$H8*factors!BO$3</f>
        <v>0.42285847751280004</v>
      </c>
      <c r="BV8" s="3">
        <f>$H8*factors!BP$3</f>
        <v>0.39334732181639998</v>
      </c>
      <c r="BW8" s="3">
        <f>$H8*factors!BQ$3</f>
        <v>0.40224109476600001</v>
      </c>
      <c r="BX8" s="3">
        <f>$H8*factors!BR$3</f>
        <v>0.39456010903679994</v>
      </c>
      <c r="BY8" s="3">
        <f>$H8*factors!BS$3</f>
        <v>0.41275191734279992</v>
      </c>
      <c r="BZ8" s="3">
        <f>$H8*factors!BT$3</f>
        <v>0.40507093161359997</v>
      </c>
      <c r="CA8" s="3">
        <f>$H8*factors!BU$3</f>
        <v>0.39981552032520001</v>
      </c>
      <c r="CB8" s="3">
        <f>$H8*factors!BV$3</f>
        <v>0.38687912330759999</v>
      </c>
      <c r="CC8" s="3">
        <f>$H8*factors!BW$3</f>
        <v>0.39819847069799996</v>
      </c>
      <c r="CD8" s="3">
        <f>$H8*factors!BX$3</f>
        <v>0.39941125791839999</v>
      </c>
      <c r="CE8" s="3">
        <f>$H8*factors!BY$3</f>
        <v>0.40507093161359997</v>
      </c>
      <c r="CF8" s="3">
        <f>$H8*factors!BZ$3</f>
        <v>0.39900699551160002</v>
      </c>
      <c r="CG8" s="3">
        <f>$H8*factors!CA$3</f>
        <v>0.38566633608719997</v>
      </c>
      <c r="CH8" s="3">
        <f>$H8*factors!CB$3</f>
        <v>0.38607059849399994</v>
      </c>
      <c r="CI8" s="3">
        <f>$H8*factors!CC$3</f>
        <v>0.38404928646000003</v>
      </c>
      <c r="CJ8" s="3">
        <f>$H8*factors!CD$3</f>
        <v>0.39981552032520001</v>
      </c>
      <c r="CK8" s="3">
        <f>$H8*factors!CE$3</f>
        <v>0.41760306622439997</v>
      </c>
      <c r="CL8" s="3">
        <f>$H8*factors!CF$3</f>
        <v>0.39132600978240001</v>
      </c>
      <c r="CM8" s="3">
        <f>$H8*factors!CG$3</f>
        <v>0.40062404513879996</v>
      </c>
      <c r="CN8" s="3">
        <f>$H8*factors!CH$3</f>
        <v>0.38728338571439996</v>
      </c>
      <c r="CO8" s="3">
        <f>$H8*factors!CI$3</f>
        <v>0.39011322256199993</v>
      </c>
      <c r="CP8" s="3">
        <f>$H8*factors!CJ$3</f>
        <v>0.40870929327479993</v>
      </c>
      <c r="CQ8" s="3">
        <f>$H8*factors!CK$3</f>
        <v>0.39658142107079997</v>
      </c>
      <c r="CR8" s="3">
        <f>$H8*factors!CL$3</f>
        <v>0.40911355568159996</v>
      </c>
      <c r="CS8" s="3">
        <f>$H8*factors!CM$3</f>
        <v>0.42204995269919998</v>
      </c>
      <c r="CT8" s="3">
        <f>$H8*factors!CN$3</f>
        <v>0.41719880381759999</v>
      </c>
      <c r="CU8" s="3">
        <f>$H8*factors!CO$3</f>
        <v>0.40790076846119994</v>
      </c>
      <c r="CV8" s="3">
        <f>$H8*factors!CP$3</f>
        <v>0.42447552713999998</v>
      </c>
      <c r="CW8" s="3">
        <f>$H8*factors!CQ$3</f>
        <v>0.40143256995240001</v>
      </c>
      <c r="CX8" s="3">
        <f>$H8*factors!CR$3</f>
        <v>0.3953686338504</v>
      </c>
      <c r="CY8" s="3">
        <f>$H8*factors!CS$3</f>
        <v>0.39173027218919998</v>
      </c>
      <c r="CZ8" s="3">
        <f>$H8*factors!CT$3</f>
        <v>0.38607059849399994</v>
      </c>
      <c r="DA8" s="3">
        <f>$H8*factors!CU$3</f>
        <v>0.40083645419999997</v>
      </c>
      <c r="DB8" s="3">
        <f>$H8*factors!CV$3</f>
        <v>0.42673665585600001</v>
      </c>
      <c r="DC8" s="3">
        <f>$H8*factors!CW$3</f>
        <v>0.40864762612799999</v>
      </c>
      <c r="DD8" s="3">
        <f>$H8*factors!CX$3</f>
        <v>0.40576982594399996</v>
      </c>
      <c r="DE8" s="3">
        <f>$H8*factors!CY$3</f>
        <v>0.41769214099200003</v>
      </c>
      <c r="DF8" s="3">
        <f>$H8*factors!CZ$3</f>
        <v>0.41686991236799997</v>
      </c>
      <c r="DG8" s="3">
        <f>$H8*factors!DA$3</f>
        <v>0.41522545512000003</v>
      </c>
      <c r="DH8" s="3">
        <f>$H8*factors!DB$3</f>
        <v>0.41522545512000003</v>
      </c>
      <c r="DI8" s="3">
        <f>$H8*factors!DC$3</f>
        <v>0.399603111264</v>
      </c>
      <c r="DJ8" s="3">
        <f>$H8*factors!DD$3</f>
        <v>0.42344774136000002</v>
      </c>
      <c r="DK8" s="3">
        <f>$H8*factors!DE$3</f>
        <v>0.42344774136000002</v>
      </c>
      <c r="DL8" s="3">
        <f>$H8*factors!DF$3</f>
        <v>0.41851436961600003</v>
      </c>
      <c r="DM8" s="3">
        <f>$H8*factors!DG$3</f>
        <v>0.39425862520799998</v>
      </c>
      <c r="DN8" s="3">
        <f>$H8*factors!DH$3</f>
        <v>0.41358099787200003</v>
      </c>
      <c r="DO8" s="3">
        <f>$H8*factors!DI$3</f>
        <v>0.42714777016799998</v>
      </c>
      <c r="DP8" s="3">
        <f>$H8*factors!DJ$3</f>
        <v>0.42344774136000002</v>
      </c>
      <c r="DQ8" s="3">
        <f>$H8*factors!DK$3</f>
        <v>0.40371425438399999</v>
      </c>
      <c r="DR8" s="3">
        <f>$H8*factors!DL$3</f>
        <v>0.39919199695200003</v>
      </c>
      <c r="DS8" s="3">
        <f>$H8*factors!DM$3</f>
        <v>0.43125891328799998</v>
      </c>
      <c r="DT8" s="3">
        <f>$H8*factors!DN$3</f>
        <v>0.40535871163200005</v>
      </c>
      <c r="DU8" s="3">
        <f>$H8*factors!DO$3</f>
        <v>0.42426996998400002</v>
      </c>
      <c r="DV8" s="3">
        <f>$H8*factors!DP$3</f>
        <v>0.41440322649600003</v>
      </c>
      <c r="DW8" s="3">
        <f>$H8*factors!DQ$3</f>
        <v>0.39549196814399995</v>
      </c>
      <c r="DX8" s="3">
        <f>$H8*factors!DR$3</f>
        <v>0.418925483928</v>
      </c>
      <c r="DY8" s="3">
        <f>$H8*factors!DS$3</f>
        <v>0.39754753970399997</v>
      </c>
      <c r="DZ8" s="3">
        <f>$H8*factors!DT$3</f>
        <v>0.42509219860799996</v>
      </c>
      <c r="EA8" s="3">
        <f>$H8*factors!DU$3</f>
        <v>0.40042533988799994</v>
      </c>
      <c r="EB8" s="3">
        <f>$H8*factors!DV$3</f>
        <v>0.39055859639999996</v>
      </c>
      <c r="EC8" s="3">
        <f>$H8*factors!DW$3</f>
        <v>0.42015882686399997</v>
      </c>
      <c r="ED8" s="3">
        <f>$H8*factors!DX$3</f>
        <v>0.39425862520799998</v>
      </c>
      <c r="EE8" s="3">
        <f>$H8*factors!DY$3</f>
        <v>0.39754753970399997</v>
      </c>
      <c r="EF8" s="3">
        <f>$H8*factors!DZ$3</f>
        <v>0.43125891328799998</v>
      </c>
      <c r="EG8" s="3">
        <f>$H8*factors!EA$3</f>
        <v>0.40289202575999999</v>
      </c>
      <c r="EH8" s="3">
        <f>$H8*factors!EB$3</f>
        <v>0.40412536869600002</v>
      </c>
      <c r="EI8" s="3">
        <f>$H8*factors!EC$3</f>
        <v>0.40330314007200002</v>
      </c>
      <c r="EJ8" s="3">
        <f>$H8*factors!ED$3</f>
        <v>0.39302528227200001</v>
      </c>
      <c r="EK8" s="3">
        <f>$H8*factors!EE$3</f>
        <v>0.42015882686399997</v>
      </c>
      <c r="EL8" s="3">
        <f>$H8*factors!EF$3</f>
        <v>0.399603111264</v>
      </c>
      <c r="EM8" s="3">
        <f>$H8*factors!EG$3</f>
        <v>0.41563656943199995</v>
      </c>
      <c r="EN8" s="3">
        <f>$H8*factors!EH$3</f>
        <v>0.39055859639999996</v>
      </c>
      <c r="EO8" s="3">
        <f>$H8*factors!EI$3</f>
        <v>0.39631419676799995</v>
      </c>
      <c r="EP8" s="3">
        <f>$H8*factors!EJ$3</f>
        <v>0.418103255304</v>
      </c>
      <c r="EQ8" s="3">
        <f>$H8*factors!EK$3</f>
        <v>0.40659205456799996</v>
      </c>
      <c r="ER8" s="3">
        <f>$H8*factors!EL$3</f>
        <v>0.42344774136000002</v>
      </c>
      <c r="ES8" s="3">
        <f>$H8*factors!EM$3</f>
        <v>0.418103255304</v>
      </c>
      <c r="ET8" s="3">
        <f>$H8*factors!EN$3</f>
        <v>0.42755888448000001</v>
      </c>
      <c r="EU8" s="3">
        <f>$H8*factors!EO$3</f>
        <v>0.43167002760000001</v>
      </c>
      <c r="EV8" s="3">
        <f>$H8*factors!EP$3</f>
        <v>0.40453648300799994</v>
      </c>
      <c r="EW8" s="3">
        <f>$H8*factors!EQ$3</f>
        <v>0.44494559392499994</v>
      </c>
      <c r="EX8" s="3">
        <f>$H8*factors!ER$3</f>
        <v>0.44023490910000007</v>
      </c>
      <c r="EY8" s="3">
        <f>$H8*factors!ES$3</f>
        <v>0.44922803467499994</v>
      </c>
      <c r="EZ8" s="3">
        <f>$H8*factors!ET$3</f>
        <v>0.44494559392499994</v>
      </c>
      <c r="FA8" s="3">
        <f>$H8*factors!EU$3</f>
        <v>0.40897309162499995</v>
      </c>
      <c r="FB8" s="3">
        <f>$H8*factors!EV$3</f>
        <v>0.42738758685000006</v>
      </c>
      <c r="FC8" s="3">
        <f>$H8*factors!EW$3</f>
        <v>0.43937842095000001</v>
      </c>
      <c r="FD8" s="3">
        <f>$H8*factors!EX$3</f>
        <v>0.42396163425000005</v>
      </c>
      <c r="FE8" s="3">
        <f>$H8*factors!EY$3</f>
        <v>0.446658570225</v>
      </c>
      <c r="FF8" s="3">
        <f>$H8*factors!EZ$3</f>
        <v>0.44708681430000008</v>
      </c>
      <c r="FG8" s="3">
        <f>$H8*factors!FA$3</f>
        <v>0.40897309162499995</v>
      </c>
      <c r="FH8" s="3">
        <f>$H8*factors!FB$3</f>
        <v>0.43038529537499998</v>
      </c>
      <c r="FI8" s="3">
        <f>$H8*factors!FC$3</f>
        <v>0.44837154652499994</v>
      </c>
      <c r="FJ8" s="3">
        <f>$H8*factors!FD$3</f>
        <v>0.43038529537499998</v>
      </c>
      <c r="FK8" s="3">
        <f>$H8*factors!FE$3</f>
        <v>0.43766544465000007</v>
      </c>
      <c r="FL8" s="3">
        <f>$H8*factors!FF$3</f>
        <v>0.43895017687500004</v>
      </c>
      <c r="FM8" s="3">
        <f>$H8*factors!FG$3</f>
        <v>0.44366086169999996</v>
      </c>
      <c r="FN8" s="3">
        <f>$H8*factors!FH$3</f>
        <v>0.41496850867500001</v>
      </c>
      <c r="FO8" s="3">
        <f>$H8*factors!FI$3</f>
        <v>0.44066315317499999</v>
      </c>
      <c r="FP8" s="3">
        <f>$H8*factors!FJ$3</f>
        <v>0.428244075</v>
      </c>
      <c r="FQ8" s="3">
        <f>$H8*factors!FK$3</f>
        <v>0.42396163425000005</v>
      </c>
      <c r="FR8" s="3">
        <f>$H8*factors!FL$3</f>
        <v>0.43252651575000001</v>
      </c>
      <c r="FS8" s="3">
        <f>$H8*factors!FM$3</f>
        <v>0.4299570513</v>
      </c>
      <c r="FT8" s="3">
        <f>$H8*factors!FN$3</f>
        <v>0.43937842095000001</v>
      </c>
      <c r="FU8" s="3">
        <f>$H8*factors!FO$3</f>
        <v>0.42224865794999999</v>
      </c>
      <c r="FV8" s="3">
        <f>$H8*factors!FP$3</f>
        <v>0.41882270534999999</v>
      </c>
      <c r="FW8" s="3">
        <f>$H8*factors!FQ$3</f>
        <v>0.44837154652499994</v>
      </c>
      <c r="FX8" s="3">
        <f>$H8*factors!FR$3</f>
        <v>0.44023490910000007</v>
      </c>
      <c r="FY8" s="3">
        <f>$H8*factors!FS$3</f>
        <v>0.43124178352499998</v>
      </c>
      <c r="FZ8" s="3">
        <f>$H8*factors!FT$3</f>
        <v>0.40982957977500001</v>
      </c>
      <c r="GA8" s="3">
        <f>$H8*factors!FU$3</f>
        <v>0.43124178352499998</v>
      </c>
      <c r="GB8" s="3">
        <f>$H8*factors!FV$3</f>
        <v>0.44708681430000008</v>
      </c>
      <c r="GC8" s="3">
        <f>$H8*factors!FW$3</f>
        <v>0.41882270534999999</v>
      </c>
      <c r="GD8" s="3">
        <f>$H8*factors!FX$3</f>
        <v>0.42610285462499997</v>
      </c>
      <c r="GE8" s="3">
        <f>$H8*factors!FY$3</f>
        <v>0.42610285462499997</v>
      </c>
      <c r="GF8" s="3">
        <f>$H8*factors!FZ$3</f>
        <v>0.4248181224</v>
      </c>
      <c r="GG8" s="3">
        <f>$H8*factors!GA$3</f>
        <v>0.40811660347500001</v>
      </c>
      <c r="GH8" s="3">
        <f>$H8*factors!GB$3</f>
        <v>0.43423949205000006</v>
      </c>
      <c r="GI8" s="3">
        <f>$H8*factors!GC$3</f>
        <v>0.40726011532500001</v>
      </c>
      <c r="GJ8" s="3">
        <f>$H8*factors!GD$3</f>
        <v>0.40811660347500001</v>
      </c>
      <c r="GK8" s="3">
        <f>$H8*factors!GE$3</f>
        <v>0.41839446127500002</v>
      </c>
      <c r="GL8" s="3">
        <f>$H8*factors!GF$3</f>
        <v>0.44323261762499999</v>
      </c>
      <c r="GM8" s="3">
        <f>$H8*factors!GG$3</f>
        <v>0.42010743757500002</v>
      </c>
      <c r="GN8" s="3">
        <f>$H8*factors!GH$3</f>
        <v>0.43338300390000006</v>
      </c>
      <c r="GO8" s="3">
        <f>$H8*factors!GI$3</f>
        <v>0.40940133569999998</v>
      </c>
      <c r="GP8" s="3">
        <f>$H8*factors!GJ$3</f>
        <v>0.43895017687500004</v>
      </c>
      <c r="GQ8" s="3">
        <f>$H8*factors!GK$3</f>
        <v>0.44794330245000008</v>
      </c>
      <c r="GR8" s="3">
        <f>$H8*factors!GL$3</f>
        <v>0.43937842095000001</v>
      </c>
      <c r="GS8" s="3">
        <f>$H8*factors!GM$3</f>
        <v>0.41551666109099999</v>
      </c>
      <c r="GT8" s="3">
        <f>$H8*factors!GN$3</f>
        <v>0.42508877265540002</v>
      </c>
      <c r="GU8" s="3">
        <f>$H8*factors!GO$3</f>
        <v>0.43509598020000001</v>
      </c>
      <c r="GV8" s="3">
        <f>$H8*factors!GP$3</f>
        <v>0.41769214099200003</v>
      </c>
      <c r="GW8" s="3">
        <f>$H8*factors!GQ$3</f>
        <v>0.43248540431880006</v>
      </c>
      <c r="GX8" s="3">
        <f>$H8*factors!GR$3</f>
        <v>0.42552386863559999</v>
      </c>
      <c r="GY8" s="3">
        <f>$H8*factors!GS$3</f>
        <v>0.42334838873460007</v>
      </c>
      <c r="GZ8" s="3">
        <f>$H8*factors!GT$3</f>
        <v>0.43901184402179999</v>
      </c>
      <c r="HA8" s="3">
        <f>$H8*factors!GU$3</f>
        <v>0.42465367667519999</v>
      </c>
      <c r="HB8" s="3">
        <f>$H8*factors!GV$3</f>
        <v>0.43901184402179999</v>
      </c>
      <c r="HC8" s="3">
        <f>$H8*factors!GW$3</f>
        <v>0.42813444451679999</v>
      </c>
      <c r="HD8" s="3">
        <f>$H8*factors!GX$3</f>
        <v>0.44075222794259994</v>
      </c>
      <c r="HE8" s="3">
        <f>$H8*factors!GY$3</f>
        <v>0.43509598020000001</v>
      </c>
      <c r="HF8" s="3">
        <f>$H8*factors!GZ$3</f>
        <v>0.44858395558620001</v>
      </c>
      <c r="HG8" s="3">
        <f>$H8*factors!HA$3</f>
        <v>0.43118011637820003</v>
      </c>
      <c r="HH8" s="3">
        <f>$H8*factors!HB$3</f>
        <v>0.42552386863559999</v>
      </c>
      <c r="HI8" s="3">
        <f>$H8*factors!HC$3</f>
        <v>0.42030271687320003</v>
      </c>
      <c r="HJ8" s="3">
        <f>$H8*factors!HD$3</f>
        <v>0.41551666109099999</v>
      </c>
      <c r="HK8" s="3">
        <f>$H8*factors!HE$3</f>
        <v>0.43944694000200002</v>
      </c>
      <c r="HL8" s="3">
        <f>$H8*factors!HF$3</f>
        <v>0.41421137315039996</v>
      </c>
      <c r="HM8" s="3">
        <f>$H8*factors!HG$3</f>
        <v>0.41856233295240003</v>
      </c>
      <c r="HN8" s="3">
        <f>$H8*factors!HH$3</f>
        <v>0.44640847568520003</v>
      </c>
      <c r="HO8" s="3">
        <f>$H8*factors!HI$3</f>
        <v>0.42813444451679999</v>
      </c>
      <c r="HP8" s="3">
        <f>$H8*factors!HJ$3</f>
        <v>0.45685077921000006</v>
      </c>
      <c r="HQ8" s="3">
        <f>$H8*factors!HK$3</f>
        <v>0.41769214099200003</v>
      </c>
      <c r="HR8" s="3">
        <f>$H8*factors!HL$3</f>
        <v>0.44292770784360008</v>
      </c>
      <c r="HS8" s="3">
        <f>$H8*factors!HM$3</f>
        <v>0.45075943548720004</v>
      </c>
      <c r="HT8" s="3">
        <f>$H8*factors!HN$3</f>
        <v>0.42030271687320003</v>
      </c>
      <c r="HU8" s="3">
        <f>$H8*factors!HO$3</f>
        <v>0.42465367667519999</v>
      </c>
      <c r="HV8" s="3">
        <f>$H8*factors!HP$3</f>
        <v>0.42987482843760005</v>
      </c>
      <c r="HW8" s="3">
        <f>$H8*factors!HQ$3</f>
        <v>0.43596617216040001</v>
      </c>
      <c r="HX8" s="3">
        <f>$H8*factors!HR$3</f>
        <v>0.45380510734859997</v>
      </c>
      <c r="HY8" s="3">
        <f>$H8*factors!HS$3</f>
        <v>0.43118011637820003</v>
      </c>
      <c r="HZ8" s="3">
        <f>$H8*factors!HT$3</f>
        <v>0.44771376362580001</v>
      </c>
      <c r="IA8" s="3">
        <f>$H8*factors!HU$3</f>
        <v>0.42595896461580002</v>
      </c>
      <c r="IB8" s="3">
        <f>$H8*factors!HV$3</f>
        <v>0.44075222794259994</v>
      </c>
      <c r="IC8" s="3">
        <f>$H8*factors!HW$3</f>
        <v>0.4451031877446</v>
      </c>
      <c r="ID8" s="3">
        <f>$H8*factors!HX$3</f>
        <v>0.41334118118999996</v>
      </c>
      <c r="IE8" s="3">
        <f>$H8*factors!HY$3</f>
        <v>0.43901184402179999</v>
      </c>
      <c r="IF8" s="3">
        <f>$H8*factors!HZ$3</f>
        <v>0.43640126814059998</v>
      </c>
      <c r="IG8" s="3">
        <f>$H8*factors!IA$3</f>
        <v>0.43248540431880006</v>
      </c>
      <c r="IH8" s="3">
        <f>$H8*factors!IB$3</f>
        <v>0.44858395558620001</v>
      </c>
      <c r="II8" s="3">
        <f>$H8*factors!IC$3</f>
        <v>0.42943973245740003</v>
      </c>
      <c r="IJ8" s="3">
        <f>$H8*factors!ID$3</f>
        <v>0.43335559627920001</v>
      </c>
      <c r="IK8" s="3">
        <f>$H8*factors!IE$3</f>
        <v>0.44901905156640004</v>
      </c>
      <c r="IL8" s="3">
        <f>$H8*factors!IF$3</f>
        <v>0.42987482843760005</v>
      </c>
      <c r="IM8" s="3">
        <f>$H8*factors!IG$3</f>
        <v>0.42595896461580002</v>
      </c>
      <c r="IN8" s="3">
        <f>$H8*factors!IH$3</f>
        <v>0.42856954049700002</v>
      </c>
      <c r="IO8" s="3">
        <f>$H8*factors!II$3</f>
        <v>0.43292050029899998</v>
      </c>
      <c r="IP8" s="3">
        <f>$H8*factors!IJ$3</f>
        <v>0.41856233295240003</v>
      </c>
      <c r="IQ8" s="3">
        <f>$H8*factors!IK$3</f>
        <v>0.4172570450118</v>
      </c>
      <c r="IR8" s="3">
        <f>$H8*factors!IL$3</f>
        <v>0.42943973245740003</v>
      </c>
      <c r="IS8" s="3">
        <f>$H8*factors!IM$3</f>
        <v>0.43292050029899998</v>
      </c>
      <c r="IT8" s="3">
        <f>$H8*factors!IN$3</f>
        <v>0.43596617216040001</v>
      </c>
      <c r="IU8" s="3">
        <f>$H8*factors!IO$3</f>
        <v>0.44553828372480003</v>
      </c>
      <c r="IV8" s="3">
        <f>$H8*factors!IP$3</f>
        <v>0.45119453146739996</v>
      </c>
      <c r="IW8" s="3">
        <f>$H8*factors!IQ$3</f>
        <v>0.42639406059599999</v>
      </c>
      <c r="IX8" s="3">
        <f>$H8*factors!IR$3</f>
        <v>0.44553828372480003</v>
      </c>
      <c r="IY8" s="3">
        <f>$H8*factors!IS$3</f>
        <v>0.43901184402179999</v>
      </c>
      <c r="IZ8" s="3">
        <f>$H8*factors!IT$3</f>
        <v>0.44640847568520003</v>
      </c>
      <c r="JA8" s="3">
        <f>$H8*factors!IU$3</f>
        <v>0.42160800481379995</v>
      </c>
      <c r="JB8" s="3">
        <f>$H8*factors!IV$3</f>
        <v>0.42943973245740003</v>
      </c>
      <c r="JC8" s="3">
        <f>$H8*factors!IW$3</f>
        <v>0.41943252491280003</v>
      </c>
      <c r="JD8" s="3">
        <f>$H8*factors!IX$3</f>
        <v>0.45685077921000006</v>
      </c>
      <c r="JE8" s="3">
        <f>$H8*factors!IY$3</f>
        <v>0.42073781285340001</v>
      </c>
      <c r="JF8" s="3">
        <f>$H8*factors!IZ$3</f>
        <v>0.44162241990299994</v>
      </c>
      <c r="JG8" s="3">
        <f>$H8*factors!JA$3</f>
        <v>0.43379069225939998</v>
      </c>
      <c r="JH8" s="3">
        <f>$H8*factors!JB$3</f>
        <v>0.44205751588320008</v>
      </c>
      <c r="JI8" s="3">
        <f>$H8*factors!JC$3</f>
        <v>0.41377627717020005</v>
      </c>
      <c r="JJ8" s="3">
        <f>$H8*factors!JD$3</f>
        <v>0.44553828372480003</v>
      </c>
      <c r="JK8" s="3">
        <f>$H8*factors!JE$3</f>
        <v>0.43118011637820003</v>
      </c>
      <c r="JL8" s="3">
        <f>$H8*factors!JF$3</f>
        <v>0.44858395558620001</v>
      </c>
      <c r="JM8" s="3">
        <f>$H8*factors!JG$3</f>
        <v>0.41856233295240003</v>
      </c>
      <c r="JN8" s="3">
        <f>$H8*factors!JH$3</f>
        <v>0.41856233295240003</v>
      </c>
      <c r="JO8" s="3">
        <f>$H8*factors!JI$3</f>
        <v>0.41334118118999996</v>
      </c>
      <c r="JP8" s="3">
        <f>$H8*factors!JJ$3</f>
        <v>0.44684357166540001</v>
      </c>
      <c r="JQ8" s="3">
        <f>$H8*factors!JK$3</f>
        <v>0.43553107618019998</v>
      </c>
      <c r="JR8" s="3">
        <f>$H8*factors!JL$3</f>
        <v>0.45249981940799999</v>
      </c>
      <c r="JS8" s="3">
        <f>$H8*factors!JM$3</f>
        <v>0.41334118118999996</v>
      </c>
      <c r="JT8" s="3">
        <f>$H8*factors!JN$3</f>
        <v>0.43422578823960001</v>
      </c>
      <c r="JU8" s="3">
        <f>$H8*factors!JO$3</f>
        <v>0.419867620893</v>
      </c>
      <c r="JV8" s="3">
        <f>$H8*factors!JP$3</f>
        <v>0.42682915657620002</v>
      </c>
      <c r="JW8" s="3">
        <f>$H8*factors!JQ$3</f>
        <v>0.45598058724960006</v>
      </c>
      <c r="JX8" s="3">
        <f>$H8*factors!JR$3</f>
        <v>0.45162962744759999</v>
      </c>
      <c r="JY8" s="3">
        <f>$H8*factors!JS$3</f>
        <v>0.42508877265540002</v>
      </c>
      <c r="JZ8" s="3">
        <f>$H8*factors!JT$3</f>
        <v>0.42987482843760005</v>
      </c>
      <c r="KA8" s="3">
        <f>$H8*factors!JU$3</f>
        <v>0.43161521235840006</v>
      </c>
      <c r="KB8" s="3">
        <f>$H8*factors!JV$3</f>
        <v>0.4172570450118</v>
      </c>
      <c r="KC8" s="3">
        <f>$H8*factors!JW$3</f>
        <v>0.41943252491280003</v>
      </c>
      <c r="KD8" s="3">
        <f>$H8*factors!JX$3</f>
        <v>0.419867620893</v>
      </c>
      <c r="KE8" s="3">
        <f>$H8*factors!JY$3</f>
        <v>0.44684357166540001</v>
      </c>
      <c r="KF8" s="3">
        <f>$H8*factors!JZ$3</f>
        <v>0.45206472342779996</v>
      </c>
      <c r="KG8" s="3">
        <f>$H8*factors!KA$3</f>
        <v>0.43596617216040001</v>
      </c>
      <c r="KH8" s="3">
        <f>$H8*factors!KB$3</f>
        <v>0.42639406059599999</v>
      </c>
      <c r="KI8" s="3">
        <f>$H8*factors!KC$3</f>
        <v>0.42247819677419995</v>
      </c>
    </row>
    <row r="9" spans="1:295" x14ac:dyDescent="0.55000000000000004">
      <c r="A9" t="s">
        <v>384</v>
      </c>
      <c r="B9">
        <v>8</v>
      </c>
      <c r="C9">
        <v>230</v>
      </c>
      <c r="D9" t="s">
        <v>377</v>
      </c>
      <c r="E9">
        <v>3.3409999999999998E-3</v>
      </c>
      <c r="F9">
        <v>8</v>
      </c>
      <c r="G9">
        <f>VLOOKUP(D9,demand_forecasted!$A$2:$G$11,2)</f>
        <v>11098</v>
      </c>
      <c r="H9" s="3">
        <f t="shared" si="0"/>
        <v>0.37078418000000002</v>
      </c>
      <c r="I9" s="3">
        <f>$H9*factors!C$3</f>
        <v>0.41045808725999999</v>
      </c>
      <c r="J9" s="3">
        <f>$H9*factors!D$3</f>
        <v>0.39564155142720003</v>
      </c>
      <c r="K9" s="3">
        <f>$H9*factors!E$3</f>
        <v>0.38883395388240005</v>
      </c>
      <c r="L9" s="3">
        <f>$H9*factors!F$3</f>
        <v>0.38763261313920006</v>
      </c>
      <c r="M9" s="3">
        <f>$H9*factors!G$3</f>
        <v>0.3872321662248</v>
      </c>
      <c r="N9" s="3">
        <f>$H9*factors!H$3</f>
        <v>0.39844467982800003</v>
      </c>
      <c r="O9" s="3">
        <f>$H9*factors!I$3</f>
        <v>0.4072545119448</v>
      </c>
      <c r="P9" s="3">
        <f>$H9*factors!J$3</f>
        <v>0.41205987491760004</v>
      </c>
      <c r="Q9" s="3">
        <f>$H9*factors!K$3</f>
        <v>0.3868317193104</v>
      </c>
      <c r="R9" s="3">
        <f>$H9*factors!L$3</f>
        <v>0.38042456868000002</v>
      </c>
      <c r="S9" s="3">
        <f>$H9*factors!M$3</f>
        <v>0.39604199834160003</v>
      </c>
      <c r="T9" s="3">
        <f>$H9*factors!N$3</f>
        <v>0.40965719343120005</v>
      </c>
      <c r="U9" s="3">
        <f>$H9*factors!O$3</f>
        <v>0.38803306005360005</v>
      </c>
      <c r="V9" s="3">
        <f>$H9*factors!P$3</f>
        <v>0.40365048971520007</v>
      </c>
      <c r="W9" s="3">
        <f>$H9*factors!Q$3</f>
        <v>0.4072545119448</v>
      </c>
      <c r="X9" s="3">
        <f>$H9*factors!R$3</f>
        <v>0.38963484771119999</v>
      </c>
      <c r="Y9" s="3">
        <f>$H9*factors!S$3</f>
        <v>0.38603082548160006</v>
      </c>
      <c r="Z9" s="3">
        <f>$H9*factors!T$3</f>
        <v>0.41646479097600009</v>
      </c>
      <c r="AA9" s="3">
        <f>$H9*factors!U$3</f>
        <v>0.39323886994079998</v>
      </c>
      <c r="AB9" s="3">
        <f>$H9*factors!V$3</f>
        <v>0.39363931685520009</v>
      </c>
      <c r="AC9" s="3">
        <f>$H9*factors!W$3</f>
        <v>0.39403976376960004</v>
      </c>
      <c r="AD9" s="3">
        <f>$H9*factors!X$3</f>
        <v>0.38563037856720006</v>
      </c>
      <c r="AE9" s="3">
        <f>$H9*factors!Y$3</f>
        <v>0.38883395388240005</v>
      </c>
      <c r="AF9" s="3">
        <f>$H9*factors!Z$3</f>
        <v>0.39684289217040009</v>
      </c>
      <c r="AG9" s="3">
        <f>$H9*factors!AA$3</f>
        <v>0.3868317193104</v>
      </c>
      <c r="AH9" s="3">
        <f>$H9*factors!AB$3</f>
        <v>0.38522993165280006</v>
      </c>
      <c r="AI9" s="3">
        <f>$H9*factors!AC$3</f>
        <v>0.39764378599920003</v>
      </c>
      <c r="AJ9" s="3">
        <f>$H9*factors!AD$3</f>
        <v>0.41286076874640004</v>
      </c>
      <c r="AK9" s="3">
        <f>$H9*factors!AE$3</f>
        <v>0.39724333908480003</v>
      </c>
      <c r="AL9" s="3">
        <f>$H9*factors!AF$3</f>
        <v>0.38162590942320002</v>
      </c>
      <c r="AM9" s="3">
        <f>$H9*factors!AG$3</f>
        <v>0.39243797611200004</v>
      </c>
      <c r="AN9" s="3">
        <f>$H9*factors!AH$3</f>
        <v>0.38603082548160006</v>
      </c>
      <c r="AO9" s="3">
        <f>$H9*factors!AI$3</f>
        <v>0.40445138354400001</v>
      </c>
      <c r="AP9" s="3">
        <f>$H9*factors!AJ$3</f>
        <v>0.38763261313920006</v>
      </c>
      <c r="AQ9" s="3">
        <f>$H9*factors!AK$3</f>
        <v>0.40004646748560008</v>
      </c>
      <c r="AR9" s="3">
        <f>$H9*factors!AL$3</f>
        <v>0.39123663536880005</v>
      </c>
      <c r="AS9" s="3">
        <f>$H9*factors!AM$3</f>
        <v>0.38162590942320002</v>
      </c>
      <c r="AT9" s="3">
        <f>$H9*factors!AN$3</f>
        <v>0.39363931685520009</v>
      </c>
      <c r="AU9" s="3">
        <f>$H9*factors!AO$3</f>
        <v>0.41686523789039998</v>
      </c>
      <c r="AV9" s="3">
        <f>$H9*factors!AP$3</f>
        <v>0.39403976376960004</v>
      </c>
      <c r="AW9" s="3">
        <f>$H9*factors!AQ$3</f>
        <v>0.39003529462559999</v>
      </c>
      <c r="AX9" s="3">
        <f>$H9*factors!AR$3</f>
        <v>0.41246032183200004</v>
      </c>
      <c r="AY9" s="3">
        <f>$H9*factors!AS$3</f>
        <v>0.38042456868000002</v>
      </c>
      <c r="AZ9" s="3">
        <f>$H9*factors!AT$3</f>
        <v>0.40765495885920011</v>
      </c>
      <c r="BA9" s="3">
        <f>$H9*factors!AU$3</f>
        <v>0.39884512674240002</v>
      </c>
      <c r="BB9" s="3">
        <f>$H9*factors!AV$3</f>
        <v>0.39363931685520009</v>
      </c>
      <c r="BC9" s="3">
        <f>$H9*factors!AW$3</f>
        <v>0.41646479097600009</v>
      </c>
      <c r="BD9" s="3">
        <f>$H9*factors!AX$3</f>
        <v>0.38442903782400001</v>
      </c>
      <c r="BE9" s="3">
        <f>$H9*factors!AY$3</f>
        <v>0.45196366836919999</v>
      </c>
      <c r="BF9" s="3">
        <f>$H9*factors!AZ$3</f>
        <v>0.42089936976879999</v>
      </c>
      <c r="BG9" s="3">
        <f>$H9*factors!BA$3</f>
        <v>0.42702472442239997</v>
      </c>
      <c r="BH9" s="3">
        <f>$H9*factors!BB$3</f>
        <v>0.43271255374360001</v>
      </c>
      <c r="BI9" s="3">
        <f>$H9*factors!BC$3</f>
        <v>0.44846346570999995</v>
      </c>
      <c r="BJ9" s="3">
        <f>$H9*factors!BD$3</f>
        <v>0.4283373004196</v>
      </c>
      <c r="BK9" s="3">
        <f>$H9*factors!BE$3</f>
        <v>0.42921235108439998</v>
      </c>
      <c r="BL9" s="3">
        <f>$H9*factors!BF$3</f>
        <v>0.42439957242799997</v>
      </c>
      <c r="BM9" s="3">
        <f>$H9*factors!BG$3</f>
        <v>0.45327624436640002</v>
      </c>
      <c r="BN9" s="3">
        <f>$H9*factors!BH$3</f>
        <v>0.44758841504519997</v>
      </c>
      <c r="BO9" s="3">
        <f>$H9*factors!BI$3</f>
        <v>0.42089936976879999</v>
      </c>
      <c r="BP9" s="3">
        <f>$H9*factors!BJ$3</f>
        <v>0.41958679377159996</v>
      </c>
      <c r="BQ9" s="3">
        <f>$H9*factors!BK$3</f>
        <v>0.42658719908999998</v>
      </c>
      <c r="BR9" s="3">
        <f>$H9*factors!BL$3</f>
        <v>0.44190058572400004</v>
      </c>
      <c r="BS9" s="3">
        <f>$H9*factors!BM$3</f>
        <v>0.4489009910424</v>
      </c>
      <c r="BT9" s="3">
        <f>$H9*factors!BN$3</f>
        <v>0.45021356703959997</v>
      </c>
      <c r="BU9" s="3">
        <f>$H9*factors!BO$3</f>
        <v>0.45765149769040003</v>
      </c>
      <c r="BV9" s="3">
        <f>$H9*factors!BP$3</f>
        <v>0.4257121484252</v>
      </c>
      <c r="BW9" s="3">
        <f>$H9*factors!BQ$3</f>
        <v>0.43533770573800001</v>
      </c>
      <c r="BX9" s="3">
        <f>$H9*factors!BR$3</f>
        <v>0.42702472442239997</v>
      </c>
      <c r="BY9" s="3">
        <f>$H9*factors!BS$3</f>
        <v>0.44671336438039994</v>
      </c>
      <c r="BZ9" s="3">
        <f>$H9*factors!BT$3</f>
        <v>0.43840038306479995</v>
      </c>
      <c r="CA9" s="3">
        <f>$H9*factors!BU$3</f>
        <v>0.43271255374360001</v>
      </c>
      <c r="CB9" s="3">
        <f>$H9*factors!BV$3</f>
        <v>0.41871174310679998</v>
      </c>
      <c r="CC9" s="3">
        <f>$H9*factors!BW$3</f>
        <v>0.430962452414</v>
      </c>
      <c r="CD9" s="3">
        <f>$H9*factors!BX$3</f>
        <v>0.43227502841120002</v>
      </c>
      <c r="CE9" s="3">
        <f>$H9*factors!BY$3</f>
        <v>0.43840038306479995</v>
      </c>
      <c r="CF9" s="3">
        <f>$H9*factors!BZ$3</f>
        <v>0.43183750307880003</v>
      </c>
      <c r="CG9" s="3">
        <f>$H9*factors!CA$3</f>
        <v>0.41739916710959996</v>
      </c>
      <c r="CH9" s="3">
        <f>$H9*factors!CB$3</f>
        <v>0.41783669244199995</v>
      </c>
      <c r="CI9" s="3">
        <f>$H9*factors!CC$3</f>
        <v>0.41564906577999999</v>
      </c>
      <c r="CJ9" s="3">
        <f>$H9*factors!CD$3</f>
        <v>0.43271255374360001</v>
      </c>
      <c r="CK9" s="3">
        <f>$H9*factors!CE$3</f>
        <v>0.45196366836919999</v>
      </c>
      <c r="CL9" s="3">
        <f>$H9*factors!CF$3</f>
        <v>0.42352452176319999</v>
      </c>
      <c r="CM9" s="3">
        <f>$H9*factors!CG$3</f>
        <v>0.4335876044084</v>
      </c>
      <c r="CN9" s="3">
        <f>$H9*factors!CH$3</f>
        <v>0.41914926843919997</v>
      </c>
      <c r="CO9" s="3">
        <f>$H9*factors!CI$3</f>
        <v>0.42221194576599996</v>
      </c>
      <c r="CP9" s="3">
        <f>$H9*factors!CJ$3</f>
        <v>0.44233811105639992</v>
      </c>
      <c r="CQ9" s="3">
        <f>$H9*factors!CK$3</f>
        <v>0.42921235108439998</v>
      </c>
      <c r="CR9" s="3">
        <f>$H9*factors!CL$3</f>
        <v>0.44277563638879996</v>
      </c>
      <c r="CS9" s="3">
        <f>$H9*factors!CM$3</f>
        <v>0.4567764470256</v>
      </c>
      <c r="CT9" s="3">
        <f>$H9*factors!CN$3</f>
        <v>0.4515261430368</v>
      </c>
      <c r="CU9" s="3">
        <f>$H9*factors!CO$3</f>
        <v>0.44146306039159994</v>
      </c>
      <c r="CV9" s="3">
        <f>$H9*factors!CP$3</f>
        <v>0.45940159902</v>
      </c>
      <c r="CW9" s="3">
        <f>$H9*factors!CQ$3</f>
        <v>0.43446265507320003</v>
      </c>
      <c r="CX9" s="3">
        <f>$H9*factors!CR$3</f>
        <v>0.42789977508720001</v>
      </c>
      <c r="CY9" s="3">
        <f>$H9*factors!CS$3</f>
        <v>0.42396204709559998</v>
      </c>
      <c r="CZ9" s="3">
        <f>$H9*factors!CT$3</f>
        <v>0.41783669244199995</v>
      </c>
      <c r="DA9" s="3">
        <f>$H9*factors!CU$3</f>
        <v>0.43381749060000002</v>
      </c>
      <c r="DB9" s="3">
        <f>$H9*factors!CV$3</f>
        <v>0.46184877460800006</v>
      </c>
      <c r="DC9" s="3">
        <f>$H9*factors!CW$3</f>
        <v>0.44227136990399996</v>
      </c>
      <c r="DD9" s="3">
        <f>$H9*factors!CX$3</f>
        <v>0.43915678279199999</v>
      </c>
      <c r="DE9" s="3">
        <f>$H9*factors!CY$3</f>
        <v>0.45206007225600003</v>
      </c>
      <c r="DF9" s="3">
        <f>$H9*factors!CZ$3</f>
        <v>0.45117019022399996</v>
      </c>
      <c r="DG9" s="3">
        <f>$H9*factors!DA$3</f>
        <v>0.44939042616000002</v>
      </c>
      <c r="DH9" s="3">
        <f>$H9*factors!DB$3</f>
        <v>0.44939042616000002</v>
      </c>
      <c r="DI9" s="3">
        <f>$H9*factors!DC$3</f>
        <v>0.43248266755199999</v>
      </c>
      <c r="DJ9" s="3">
        <f>$H9*factors!DD$3</f>
        <v>0.45828924648000002</v>
      </c>
      <c r="DK9" s="3">
        <f>$H9*factors!DE$3</f>
        <v>0.45828924648000002</v>
      </c>
      <c r="DL9" s="3">
        <f>$H9*factors!DF$3</f>
        <v>0.45294995428800006</v>
      </c>
      <c r="DM9" s="3">
        <f>$H9*factors!DG$3</f>
        <v>0.42669843434399995</v>
      </c>
      <c r="DN9" s="3">
        <f>$H9*factors!DH$3</f>
        <v>0.44761066209600003</v>
      </c>
      <c r="DO9" s="3">
        <f>$H9*factors!DI$3</f>
        <v>0.46229371562400001</v>
      </c>
      <c r="DP9" s="3">
        <f>$H9*factors!DJ$3</f>
        <v>0.45828924648000002</v>
      </c>
      <c r="DQ9" s="3">
        <f>$H9*factors!DK$3</f>
        <v>0.43693207771199999</v>
      </c>
      <c r="DR9" s="3">
        <f>$H9*factors!DL$3</f>
        <v>0.43203772653600003</v>
      </c>
      <c r="DS9" s="3">
        <f>$H9*factors!DM$3</f>
        <v>0.46674312578400001</v>
      </c>
      <c r="DT9" s="3">
        <f>$H9*factors!DN$3</f>
        <v>0.43871184177600003</v>
      </c>
      <c r="DU9" s="3">
        <f>$H9*factors!DO$3</f>
        <v>0.45917912851199999</v>
      </c>
      <c r="DV9" s="3">
        <f>$H9*factors!DP$3</f>
        <v>0.448500544128</v>
      </c>
      <c r="DW9" s="3">
        <f>$H9*factors!DQ$3</f>
        <v>0.42803325739199999</v>
      </c>
      <c r="DX9" s="3">
        <f>$H9*factors!DR$3</f>
        <v>0.45339489530399996</v>
      </c>
      <c r="DY9" s="3">
        <f>$H9*factors!DS$3</f>
        <v>0.43025796247199999</v>
      </c>
      <c r="DZ9" s="3">
        <f>$H9*factors!DT$3</f>
        <v>0.46006901054400001</v>
      </c>
      <c r="EA9" s="3">
        <f>$H9*factors!DU$3</f>
        <v>0.43337254958399996</v>
      </c>
      <c r="EB9" s="3">
        <f>$H9*factors!DV$3</f>
        <v>0.42269396519999997</v>
      </c>
      <c r="EC9" s="3">
        <f>$H9*factors!DW$3</f>
        <v>0.45472971835199999</v>
      </c>
      <c r="ED9" s="3">
        <f>$H9*factors!DX$3</f>
        <v>0.42669843434399995</v>
      </c>
      <c r="EE9" s="3">
        <f>$H9*factors!DY$3</f>
        <v>0.43025796247199999</v>
      </c>
      <c r="EF9" s="3">
        <f>$H9*factors!DZ$3</f>
        <v>0.46674312578400001</v>
      </c>
      <c r="EG9" s="3">
        <f>$H9*factors!EA$3</f>
        <v>0.43604219568000002</v>
      </c>
      <c r="EH9" s="3">
        <f>$H9*factors!EB$3</f>
        <v>0.437377018728</v>
      </c>
      <c r="EI9" s="3">
        <f>$H9*factors!EC$3</f>
        <v>0.43648713669600003</v>
      </c>
      <c r="EJ9" s="3">
        <f>$H9*factors!ED$3</f>
        <v>0.42536361129600003</v>
      </c>
      <c r="EK9" s="3">
        <f>$H9*factors!EE$3</f>
        <v>0.45472971835199999</v>
      </c>
      <c r="EL9" s="3">
        <f>$H9*factors!EF$3</f>
        <v>0.43248266755199999</v>
      </c>
      <c r="EM9" s="3">
        <f>$H9*factors!EG$3</f>
        <v>0.44983536717599998</v>
      </c>
      <c r="EN9" s="3">
        <f>$H9*factors!EH$3</f>
        <v>0.42269396519999997</v>
      </c>
      <c r="EO9" s="3">
        <f>$H9*factors!EI$3</f>
        <v>0.42892313942399996</v>
      </c>
      <c r="EP9" s="3">
        <f>$H9*factors!EJ$3</f>
        <v>0.45250501327199999</v>
      </c>
      <c r="EQ9" s="3">
        <f>$H9*factors!EK$3</f>
        <v>0.44004666482399996</v>
      </c>
      <c r="ER9" s="3">
        <f>$H9*factors!EL$3</f>
        <v>0.45828924648000002</v>
      </c>
      <c r="ES9" s="3">
        <f>$H9*factors!EM$3</f>
        <v>0.45250501327199999</v>
      </c>
      <c r="ET9" s="3">
        <f>$H9*factors!EN$3</f>
        <v>0.46273865664000002</v>
      </c>
      <c r="EU9" s="3">
        <f>$H9*factors!EO$3</f>
        <v>0.46718806680000002</v>
      </c>
      <c r="EV9" s="3">
        <f>$H9*factors!EP$3</f>
        <v>0.43782195974399996</v>
      </c>
      <c r="EW9" s="3">
        <f>$H9*factors!EQ$3</f>
        <v>0.48155595377499999</v>
      </c>
      <c r="EX9" s="3">
        <f>$H9*factors!ER$3</f>
        <v>0.47645767130000005</v>
      </c>
      <c r="EY9" s="3">
        <f>$H9*factors!ES$3</f>
        <v>0.48619075602499995</v>
      </c>
      <c r="EZ9" s="3">
        <f>$H9*factors!ET$3</f>
        <v>0.48155595377499999</v>
      </c>
      <c r="FA9" s="3">
        <f>$H9*factors!EU$3</f>
        <v>0.44262361487499996</v>
      </c>
      <c r="FB9" s="3">
        <f>$H9*factors!EV$3</f>
        <v>0.46255326455000007</v>
      </c>
      <c r="FC9" s="3">
        <f>$H9*factors!EW$3</f>
        <v>0.47553071085000004</v>
      </c>
      <c r="FD9" s="3">
        <f>$H9*factors!EX$3</f>
        <v>0.45884542275000006</v>
      </c>
      <c r="FE9" s="3">
        <f>$H9*factors!EY$3</f>
        <v>0.48340987467500002</v>
      </c>
      <c r="FF9" s="3">
        <f>$H9*factors!EZ$3</f>
        <v>0.48387335490000011</v>
      </c>
      <c r="FG9" s="3">
        <f>$H9*factors!FA$3</f>
        <v>0.44262361487499996</v>
      </c>
      <c r="FH9" s="3">
        <f>$H9*factors!FB$3</f>
        <v>0.46579762612499997</v>
      </c>
      <c r="FI9" s="3">
        <f>$H9*factors!FC$3</f>
        <v>0.48526379557499999</v>
      </c>
      <c r="FJ9" s="3">
        <f>$H9*factors!FD$3</f>
        <v>0.46579762612499997</v>
      </c>
      <c r="FK9" s="3">
        <f>$H9*factors!FE$3</f>
        <v>0.47367678995000007</v>
      </c>
      <c r="FL9" s="3">
        <f>$H9*factors!FF$3</f>
        <v>0.475067230625</v>
      </c>
      <c r="FM9" s="3">
        <f>$H9*factors!FG$3</f>
        <v>0.4801655131</v>
      </c>
      <c r="FN9" s="3">
        <f>$H9*factors!FH$3</f>
        <v>0.449112338025</v>
      </c>
      <c r="FO9" s="3">
        <f>$H9*factors!FI$3</f>
        <v>0.47692115152499998</v>
      </c>
      <c r="FP9" s="3">
        <f>$H9*factors!FJ$3</f>
        <v>0.46348022500000002</v>
      </c>
      <c r="FQ9" s="3">
        <f>$H9*factors!FK$3</f>
        <v>0.45884542275000006</v>
      </c>
      <c r="FR9" s="3">
        <f>$H9*factors!FL$3</f>
        <v>0.46811502724999998</v>
      </c>
      <c r="FS9" s="3">
        <f>$H9*factors!FM$3</f>
        <v>0.4653341459</v>
      </c>
      <c r="FT9" s="3">
        <f>$H9*factors!FN$3</f>
        <v>0.47553071085000004</v>
      </c>
      <c r="FU9" s="3">
        <f>$H9*factors!FO$3</f>
        <v>0.45699150184999998</v>
      </c>
      <c r="FV9" s="3">
        <f>$H9*factors!FP$3</f>
        <v>0.45328366004999998</v>
      </c>
      <c r="FW9" s="3">
        <f>$H9*factors!FQ$3</f>
        <v>0.48526379557499999</v>
      </c>
      <c r="FX9" s="3">
        <f>$H9*factors!FR$3</f>
        <v>0.47645767130000005</v>
      </c>
      <c r="FY9" s="3">
        <f>$H9*factors!FS$3</f>
        <v>0.46672458657499993</v>
      </c>
      <c r="FZ9" s="3">
        <f>$H9*factors!FT$3</f>
        <v>0.44355057532500003</v>
      </c>
      <c r="GA9" s="3">
        <f>$H9*factors!FU$3</f>
        <v>0.46672458657499993</v>
      </c>
      <c r="GB9" s="3">
        <f>$H9*factors!FV$3</f>
        <v>0.48387335490000011</v>
      </c>
      <c r="GC9" s="3">
        <f>$H9*factors!FW$3</f>
        <v>0.45328366004999998</v>
      </c>
      <c r="GD9" s="3">
        <f>$H9*factors!FX$3</f>
        <v>0.46116282387500002</v>
      </c>
      <c r="GE9" s="3">
        <f>$H9*factors!FY$3</f>
        <v>0.46116282387500002</v>
      </c>
      <c r="GF9" s="3">
        <f>$H9*factors!FZ$3</f>
        <v>0.45977238320000002</v>
      </c>
      <c r="GG9" s="3">
        <f>$H9*factors!GA$3</f>
        <v>0.441696654425</v>
      </c>
      <c r="GH9" s="3">
        <f>$H9*factors!GB$3</f>
        <v>0.46996894815000007</v>
      </c>
      <c r="GI9" s="3">
        <f>$H9*factors!GC$3</f>
        <v>0.44076969397499999</v>
      </c>
      <c r="GJ9" s="3">
        <f>$H9*factors!GD$3</f>
        <v>0.441696654425</v>
      </c>
      <c r="GK9" s="3">
        <f>$H9*factors!GE$3</f>
        <v>0.452820179825</v>
      </c>
      <c r="GL9" s="3">
        <f>$H9*factors!GF$3</f>
        <v>0.47970203287500002</v>
      </c>
      <c r="GM9" s="3">
        <f>$H9*factors!GG$3</f>
        <v>0.45467410072500003</v>
      </c>
      <c r="GN9" s="3">
        <f>$H9*factors!GH$3</f>
        <v>0.46904198770000005</v>
      </c>
      <c r="GO9" s="3">
        <f>$H9*factors!GI$3</f>
        <v>0.44308709509999994</v>
      </c>
      <c r="GP9" s="3">
        <f>$H9*factors!GJ$3</f>
        <v>0.475067230625</v>
      </c>
      <c r="GQ9" s="3">
        <f>$H9*factors!GK$3</f>
        <v>0.48480031535000007</v>
      </c>
      <c r="GR9" s="3">
        <f>$H9*factors!GL$3</f>
        <v>0.47553071085000004</v>
      </c>
      <c r="GS9" s="3">
        <f>$H9*factors!GM$3</f>
        <v>0.44970559271300004</v>
      </c>
      <c r="GT9" s="3">
        <f>$H9*factors!GN$3</f>
        <v>0.46006530270220003</v>
      </c>
      <c r="GU9" s="3">
        <f>$H9*factors!GO$3</f>
        <v>0.47089590860000002</v>
      </c>
      <c r="GV9" s="3">
        <f>$H9*factors!GP$3</f>
        <v>0.45206007225600003</v>
      </c>
      <c r="GW9" s="3">
        <f>$H9*factors!GQ$3</f>
        <v>0.46807053314840003</v>
      </c>
      <c r="GX9" s="3">
        <f>$H9*factors!GR$3</f>
        <v>0.46053619861080003</v>
      </c>
      <c r="GY9" s="3">
        <f>$H9*factors!GS$3</f>
        <v>0.45818171906780003</v>
      </c>
      <c r="GZ9" s="3">
        <f>$H9*factors!GT$3</f>
        <v>0.47513397177739997</v>
      </c>
      <c r="HA9" s="3">
        <f>$H9*factors!GU$3</f>
        <v>0.45959440679360003</v>
      </c>
      <c r="HB9" s="3">
        <f>$H9*factors!GV$3</f>
        <v>0.47513397177739997</v>
      </c>
      <c r="HC9" s="3">
        <f>$H9*factors!GW$3</f>
        <v>0.46336157406239997</v>
      </c>
      <c r="HD9" s="3">
        <f>$H9*factors!GX$3</f>
        <v>0.47701755541179997</v>
      </c>
      <c r="HE9" s="3">
        <f>$H9*factors!GY$3</f>
        <v>0.47089590860000002</v>
      </c>
      <c r="HF9" s="3">
        <f>$H9*factors!GZ$3</f>
        <v>0.48549368176660002</v>
      </c>
      <c r="HG9" s="3">
        <f>$H9*factors!HA$3</f>
        <v>0.46665784542260003</v>
      </c>
      <c r="HH9" s="3">
        <f>$H9*factors!HB$3</f>
        <v>0.46053619861080003</v>
      </c>
      <c r="HI9" s="3">
        <f>$H9*factors!HC$3</f>
        <v>0.45488544770760003</v>
      </c>
      <c r="HJ9" s="3">
        <f>$H9*factors!HD$3</f>
        <v>0.44970559271300004</v>
      </c>
      <c r="HK9" s="3">
        <f>$H9*factors!HE$3</f>
        <v>0.47560486768600002</v>
      </c>
      <c r="HL9" s="3">
        <f>$H9*factors!HF$3</f>
        <v>0.44829290498719998</v>
      </c>
      <c r="HM9" s="3">
        <f>$H9*factors!HG$3</f>
        <v>0.45300186407320003</v>
      </c>
      <c r="HN9" s="3">
        <f>$H9*factors!HH$3</f>
        <v>0.48313920222360007</v>
      </c>
      <c r="HO9" s="3">
        <f>$H9*factors!HI$3</f>
        <v>0.46336157406239997</v>
      </c>
      <c r="HP9" s="3">
        <f>$H9*factors!HJ$3</f>
        <v>0.49444070403000007</v>
      </c>
      <c r="HQ9" s="3">
        <f>$H9*factors!HK$3</f>
        <v>0.45206007225600003</v>
      </c>
      <c r="HR9" s="3">
        <f>$H9*factors!HL$3</f>
        <v>0.47937203495480007</v>
      </c>
      <c r="HS9" s="3">
        <f>$H9*factors!HM$3</f>
        <v>0.48784816130960001</v>
      </c>
      <c r="HT9" s="3">
        <f>$H9*factors!HN$3</f>
        <v>0.45488544770760003</v>
      </c>
      <c r="HU9" s="3">
        <f>$H9*factors!HO$3</f>
        <v>0.45959440679360003</v>
      </c>
      <c r="HV9" s="3">
        <f>$H9*factors!HP$3</f>
        <v>0.46524515769680008</v>
      </c>
      <c r="HW9" s="3">
        <f>$H9*factors!HQ$3</f>
        <v>0.47183770041720002</v>
      </c>
      <c r="HX9" s="3">
        <f>$H9*factors!HR$3</f>
        <v>0.49114443266979996</v>
      </c>
      <c r="HY9" s="3">
        <f>$H9*factors!HS$3</f>
        <v>0.46665784542260003</v>
      </c>
      <c r="HZ9" s="3">
        <f>$H9*factors!HT$3</f>
        <v>0.48455188994940002</v>
      </c>
      <c r="IA9" s="3">
        <f>$H9*factors!HU$3</f>
        <v>0.46100709451940003</v>
      </c>
      <c r="IB9" s="3">
        <f>$H9*factors!HV$3</f>
        <v>0.47701755541179997</v>
      </c>
      <c r="IC9" s="3">
        <f>$H9*factors!HW$3</f>
        <v>0.48172651449780002</v>
      </c>
      <c r="ID9" s="3">
        <f>$H9*factors!HX$3</f>
        <v>0.44735111316999998</v>
      </c>
      <c r="IE9" s="3">
        <f>$H9*factors!HY$3</f>
        <v>0.47513397177739997</v>
      </c>
      <c r="IF9" s="3">
        <f>$H9*factors!HZ$3</f>
        <v>0.47230859632579997</v>
      </c>
      <c r="IG9" s="3">
        <f>$H9*factors!IA$3</f>
        <v>0.46807053314840003</v>
      </c>
      <c r="IH9" s="3">
        <f>$H9*factors!IB$3</f>
        <v>0.48549368176660002</v>
      </c>
      <c r="II9" s="3">
        <f>$H9*factors!IC$3</f>
        <v>0.46477426178820003</v>
      </c>
      <c r="IJ9" s="3">
        <f>$H9*factors!ID$3</f>
        <v>0.46901232496560002</v>
      </c>
      <c r="IK9" s="3">
        <f>$H9*factors!IE$3</f>
        <v>0.48596457767520002</v>
      </c>
      <c r="IL9" s="3">
        <f>$H9*factors!IF$3</f>
        <v>0.46524515769680008</v>
      </c>
      <c r="IM9" s="3">
        <f>$H9*factors!IG$3</f>
        <v>0.46100709451940003</v>
      </c>
      <c r="IN9" s="3">
        <f>$H9*factors!IH$3</f>
        <v>0.46383246997100003</v>
      </c>
      <c r="IO9" s="3">
        <f>$H9*factors!II$3</f>
        <v>0.46854142905700003</v>
      </c>
      <c r="IP9" s="3">
        <f>$H9*factors!IJ$3</f>
        <v>0.45300186407320003</v>
      </c>
      <c r="IQ9" s="3">
        <f>$H9*factors!IK$3</f>
        <v>0.45158917634740003</v>
      </c>
      <c r="IR9" s="3">
        <f>$H9*factors!IL$3</f>
        <v>0.46477426178820003</v>
      </c>
      <c r="IS9" s="3">
        <f>$H9*factors!IM$3</f>
        <v>0.46854142905700003</v>
      </c>
      <c r="IT9" s="3">
        <f>$H9*factors!IN$3</f>
        <v>0.47183770041720002</v>
      </c>
      <c r="IU9" s="3">
        <f>$H9*factors!IO$3</f>
        <v>0.48219741040640007</v>
      </c>
      <c r="IV9" s="3">
        <f>$H9*factors!IP$3</f>
        <v>0.48831905721819996</v>
      </c>
      <c r="IW9" s="3">
        <f>$H9*factors!IQ$3</f>
        <v>0.46147799042799997</v>
      </c>
      <c r="IX9" s="3">
        <f>$H9*factors!IR$3</f>
        <v>0.48219741040640007</v>
      </c>
      <c r="IY9" s="3">
        <f>$H9*factors!IS$3</f>
        <v>0.47513397177739997</v>
      </c>
      <c r="IZ9" s="3">
        <f>$H9*factors!IT$3</f>
        <v>0.48313920222360007</v>
      </c>
      <c r="JA9" s="3">
        <f>$H9*factors!IU$3</f>
        <v>0.45629813543339998</v>
      </c>
      <c r="JB9" s="3">
        <f>$H9*factors!IV$3</f>
        <v>0.46477426178820003</v>
      </c>
      <c r="JC9" s="3">
        <f>$H9*factors!IW$3</f>
        <v>0.45394365589040003</v>
      </c>
      <c r="JD9" s="3">
        <f>$H9*factors!IX$3</f>
        <v>0.49444070403000007</v>
      </c>
      <c r="JE9" s="3">
        <f>$H9*factors!IY$3</f>
        <v>0.45535634361619998</v>
      </c>
      <c r="JF9" s="3">
        <f>$H9*factors!IZ$3</f>
        <v>0.47795934722899996</v>
      </c>
      <c r="JG9" s="3">
        <f>$H9*factors!JA$3</f>
        <v>0.46948322087419997</v>
      </c>
      <c r="JH9" s="3">
        <f>$H9*factors!JB$3</f>
        <v>0.47843024313760008</v>
      </c>
      <c r="JI9" s="3">
        <f>$H9*factors!JC$3</f>
        <v>0.44782200907860004</v>
      </c>
      <c r="JJ9" s="3">
        <f>$H9*factors!JD$3</f>
        <v>0.48219741040640007</v>
      </c>
      <c r="JK9" s="3">
        <f>$H9*factors!JE$3</f>
        <v>0.46665784542260003</v>
      </c>
      <c r="JL9" s="3">
        <f>$H9*factors!JF$3</f>
        <v>0.48549368176660002</v>
      </c>
      <c r="JM9" s="3">
        <f>$H9*factors!JG$3</f>
        <v>0.45300186407320003</v>
      </c>
      <c r="JN9" s="3">
        <f>$H9*factors!JH$3</f>
        <v>0.45300186407320003</v>
      </c>
      <c r="JO9" s="3">
        <f>$H9*factors!JI$3</f>
        <v>0.44735111316999998</v>
      </c>
      <c r="JP9" s="3">
        <f>$H9*factors!JJ$3</f>
        <v>0.48361009813220002</v>
      </c>
      <c r="JQ9" s="3">
        <f>$H9*factors!JK$3</f>
        <v>0.47136680450859997</v>
      </c>
      <c r="JR9" s="3">
        <f>$H9*factors!JL$3</f>
        <v>0.48973174494400001</v>
      </c>
      <c r="JS9" s="3">
        <f>$H9*factors!JM$3</f>
        <v>0.44735111316999998</v>
      </c>
      <c r="JT9" s="3">
        <f>$H9*factors!JN$3</f>
        <v>0.46995411678280002</v>
      </c>
      <c r="JU9" s="3">
        <f>$H9*factors!JO$3</f>
        <v>0.45441455179899998</v>
      </c>
      <c r="JV9" s="3">
        <f>$H9*factors!JP$3</f>
        <v>0.46194888633660003</v>
      </c>
      <c r="JW9" s="3">
        <f>$H9*factors!JQ$3</f>
        <v>0.49349891221280007</v>
      </c>
      <c r="JX9" s="3">
        <f>$H9*factors!JR$3</f>
        <v>0.48878995312680001</v>
      </c>
      <c r="JY9" s="3">
        <f>$H9*factors!JS$3</f>
        <v>0.46006530270220003</v>
      </c>
      <c r="JZ9" s="3">
        <f>$H9*factors!JT$3</f>
        <v>0.46524515769680008</v>
      </c>
      <c r="KA9" s="3">
        <f>$H9*factors!JU$3</f>
        <v>0.46712874133120003</v>
      </c>
      <c r="KB9" s="3">
        <f>$H9*factors!JV$3</f>
        <v>0.45158917634740003</v>
      </c>
      <c r="KC9" s="3">
        <f>$H9*factors!JW$3</f>
        <v>0.45394365589040003</v>
      </c>
      <c r="KD9" s="3">
        <f>$H9*factors!JX$3</f>
        <v>0.45441455179899998</v>
      </c>
      <c r="KE9" s="3">
        <f>$H9*factors!JY$3</f>
        <v>0.48361009813220002</v>
      </c>
      <c r="KF9" s="3">
        <f>$H9*factors!JZ$3</f>
        <v>0.48926084903539996</v>
      </c>
      <c r="KG9" s="3">
        <f>$H9*factors!KA$3</f>
        <v>0.47183770041720002</v>
      </c>
      <c r="KH9" s="3">
        <f>$H9*factors!KB$3</f>
        <v>0.46147799042799997</v>
      </c>
      <c r="KI9" s="3">
        <f>$H9*factors!KC$3</f>
        <v>0.45723992725059998</v>
      </c>
    </row>
    <row r="10" spans="1:295" x14ac:dyDescent="0.55000000000000004">
      <c r="A10" t="s">
        <v>385</v>
      </c>
      <c r="B10">
        <v>9</v>
      </c>
      <c r="C10">
        <v>230</v>
      </c>
      <c r="D10" t="s">
        <v>377</v>
      </c>
      <c r="E10">
        <v>3.0869999999999999E-3</v>
      </c>
      <c r="F10">
        <v>9</v>
      </c>
      <c r="G10">
        <f>VLOOKUP(D10,demand_forecasted!$A$2:$G$11,2)</f>
        <v>11098</v>
      </c>
      <c r="H10" s="3">
        <f t="shared" si="0"/>
        <v>0.34259526000000001</v>
      </c>
      <c r="I10" s="3">
        <f>$H10*factors!C$3</f>
        <v>0.37925295281999999</v>
      </c>
      <c r="J10" s="3">
        <f>$H10*factors!D$3</f>
        <v>0.36556284623040003</v>
      </c>
      <c r="K10" s="3">
        <f>$H10*factors!E$3</f>
        <v>0.35927279725680006</v>
      </c>
      <c r="L10" s="3">
        <f>$H10*factors!F$3</f>
        <v>0.35816278861440004</v>
      </c>
      <c r="M10" s="3">
        <f>$H10*factors!G$3</f>
        <v>0.35779278573360002</v>
      </c>
      <c r="N10" s="3">
        <f>$H10*factors!H$3</f>
        <v>0.36815286639600003</v>
      </c>
      <c r="O10" s="3">
        <f>$H10*factors!I$3</f>
        <v>0.37629292977360002</v>
      </c>
      <c r="P10" s="3">
        <f>$H10*factors!J$3</f>
        <v>0.38073296434320003</v>
      </c>
      <c r="Q10" s="3">
        <f>$H10*factors!K$3</f>
        <v>0.35742278285279999</v>
      </c>
      <c r="R10" s="3">
        <f>$H10*factors!L$3</f>
        <v>0.35150273676000005</v>
      </c>
      <c r="S10" s="3">
        <f>$H10*factors!M$3</f>
        <v>0.3659328491112</v>
      </c>
      <c r="T10" s="3">
        <f>$H10*factors!N$3</f>
        <v>0.37851294705840005</v>
      </c>
      <c r="U10" s="3">
        <f>$H10*factors!O$3</f>
        <v>0.35853279149520006</v>
      </c>
      <c r="V10" s="3">
        <f>$H10*factors!P$3</f>
        <v>0.37296290384640002</v>
      </c>
      <c r="W10" s="3">
        <f>$H10*factors!Q$3</f>
        <v>0.37629292977360002</v>
      </c>
      <c r="X10" s="3">
        <f>$H10*factors!R$3</f>
        <v>0.3600128030184</v>
      </c>
      <c r="Y10" s="3">
        <f>$H10*factors!S$3</f>
        <v>0.35668277709120005</v>
      </c>
      <c r="Z10" s="3">
        <f>$H10*factors!T$3</f>
        <v>0.38480299603200008</v>
      </c>
      <c r="AA10" s="3">
        <f>$H10*factors!U$3</f>
        <v>0.36334282894559999</v>
      </c>
      <c r="AB10" s="3">
        <f>$H10*factors!V$3</f>
        <v>0.36371283182640007</v>
      </c>
      <c r="AC10" s="3">
        <f>$H10*factors!W$3</f>
        <v>0.36408283470720004</v>
      </c>
      <c r="AD10" s="3">
        <f>$H10*factors!X$3</f>
        <v>0.35631277421040003</v>
      </c>
      <c r="AE10" s="3">
        <f>$H10*factors!Y$3</f>
        <v>0.35927279725680006</v>
      </c>
      <c r="AF10" s="3">
        <f>$H10*factors!Z$3</f>
        <v>0.36667285487280005</v>
      </c>
      <c r="AG10" s="3">
        <f>$H10*factors!AA$3</f>
        <v>0.35742278285279999</v>
      </c>
      <c r="AH10" s="3">
        <f>$H10*factors!AB$3</f>
        <v>0.35594277132960006</v>
      </c>
      <c r="AI10" s="3">
        <f>$H10*factors!AC$3</f>
        <v>0.36741286063440004</v>
      </c>
      <c r="AJ10" s="3">
        <f>$H10*factors!AD$3</f>
        <v>0.38147297010480002</v>
      </c>
      <c r="AK10" s="3">
        <f>$H10*factors!AE$3</f>
        <v>0.36704285775360007</v>
      </c>
      <c r="AL10" s="3">
        <f>$H10*factors!AF$3</f>
        <v>0.35261274540240001</v>
      </c>
      <c r="AM10" s="3">
        <f>$H10*factors!AG$3</f>
        <v>0.362602823184</v>
      </c>
      <c r="AN10" s="3">
        <f>$H10*factors!AH$3</f>
        <v>0.35668277709120005</v>
      </c>
      <c r="AO10" s="3">
        <f>$H10*factors!AI$3</f>
        <v>0.37370290960800001</v>
      </c>
      <c r="AP10" s="3">
        <f>$H10*factors!AJ$3</f>
        <v>0.35816278861440004</v>
      </c>
      <c r="AQ10" s="3">
        <f>$H10*factors!AK$3</f>
        <v>0.36963287791920008</v>
      </c>
      <c r="AR10" s="3">
        <f>$H10*factors!AL$3</f>
        <v>0.36149281454160004</v>
      </c>
      <c r="AS10" s="3">
        <f>$H10*factors!AM$3</f>
        <v>0.35261274540240001</v>
      </c>
      <c r="AT10" s="3">
        <f>$H10*factors!AN$3</f>
        <v>0.36371283182640007</v>
      </c>
      <c r="AU10" s="3">
        <f>$H10*factors!AO$3</f>
        <v>0.38517299891279999</v>
      </c>
      <c r="AV10" s="3">
        <f>$H10*factors!AP$3</f>
        <v>0.36408283470720004</v>
      </c>
      <c r="AW10" s="3">
        <f>$H10*factors!AQ$3</f>
        <v>0.36038280589920002</v>
      </c>
      <c r="AX10" s="3">
        <f>$H10*factors!AR$3</f>
        <v>0.38110296722400006</v>
      </c>
      <c r="AY10" s="3">
        <f>$H10*factors!AS$3</f>
        <v>0.35150273676000005</v>
      </c>
      <c r="AZ10" s="3">
        <f>$H10*factors!AT$3</f>
        <v>0.3766629326544001</v>
      </c>
      <c r="BA10" s="3">
        <f>$H10*factors!AU$3</f>
        <v>0.3685228692768</v>
      </c>
      <c r="BB10" s="3">
        <f>$H10*factors!AV$3</f>
        <v>0.36371283182640007</v>
      </c>
      <c r="BC10" s="3">
        <f>$H10*factors!AW$3</f>
        <v>0.38480299603200008</v>
      </c>
      <c r="BD10" s="3">
        <f>$H10*factors!AX$3</f>
        <v>0.35520276556800001</v>
      </c>
      <c r="BE10" s="3">
        <f>$H10*factors!AY$3</f>
        <v>0.41760306622439997</v>
      </c>
      <c r="BF10" s="3">
        <f>$H10*factors!AZ$3</f>
        <v>0.38890043534160001</v>
      </c>
      <c r="BG10" s="3">
        <f>$H10*factors!BA$3</f>
        <v>0.39456010903679994</v>
      </c>
      <c r="BH10" s="3">
        <f>$H10*factors!BB$3</f>
        <v>0.39981552032520001</v>
      </c>
      <c r="BI10" s="3">
        <f>$H10*factors!BC$3</f>
        <v>0.41436896696999992</v>
      </c>
      <c r="BJ10" s="3">
        <f>$H10*factors!BD$3</f>
        <v>0.39577289625719997</v>
      </c>
      <c r="BK10" s="3">
        <f>$H10*factors!BE$3</f>
        <v>0.39658142107079997</v>
      </c>
      <c r="BL10" s="3">
        <f>$H10*factors!BF$3</f>
        <v>0.39213453459599995</v>
      </c>
      <c r="BM10" s="3">
        <f>$H10*factors!BG$3</f>
        <v>0.41881585344480005</v>
      </c>
      <c r="BN10" s="3">
        <f>$H10*factors!BH$3</f>
        <v>0.41356044215639998</v>
      </c>
      <c r="BO10" s="3">
        <f>$H10*factors!BI$3</f>
        <v>0.38890043534160001</v>
      </c>
      <c r="BP10" s="3">
        <f>$H10*factors!BJ$3</f>
        <v>0.38768764812119993</v>
      </c>
      <c r="BQ10" s="3">
        <f>$H10*factors!BK$3</f>
        <v>0.39415584662999997</v>
      </c>
      <c r="BR10" s="3">
        <f>$H10*factors!BL$3</f>
        <v>0.40830503086800002</v>
      </c>
      <c r="BS10" s="3">
        <f>$H10*factors!BM$3</f>
        <v>0.4147732293768</v>
      </c>
      <c r="BT10" s="3">
        <f>$H10*factors!BN$3</f>
        <v>0.41598601659719997</v>
      </c>
      <c r="BU10" s="3">
        <f>$H10*factors!BO$3</f>
        <v>0.42285847751280004</v>
      </c>
      <c r="BV10" s="3">
        <f>$H10*factors!BP$3</f>
        <v>0.39334732181639998</v>
      </c>
      <c r="BW10" s="3">
        <f>$H10*factors!BQ$3</f>
        <v>0.40224109476600001</v>
      </c>
      <c r="BX10" s="3">
        <f>$H10*factors!BR$3</f>
        <v>0.39456010903679994</v>
      </c>
      <c r="BY10" s="3">
        <f>$H10*factors!BS$3</f>
        <v>0.41275191734279992</v>
      </c>
      <c r="BZ10" s="3">
        <f>$H10*factors!BT$3</f>
        <v>0.40507093161359997</v>
      </c>
      <c r="CA10" s="3">
        <f>$H10*factors!BU$3</f>
        <v>0.39981552032520001</v>
      </c>
      <c r="CB10" s="3">
        <f>$H10*factors!BV$3</f>
        <v>0.38687912330759999</v>
      </c>
      <c r="CC10" s="3">
        <f>$H10*factors!BW$3</f>
        <v>0.39819847069799996</v>
      </c>
      <c r="CD10" s="3">
        <f>$H10*factors!BX$3</f>
        <v>0.39941125791839999</v>
      </c>
      <c r="CE10" s="3">
        <f>$H10*factors!BY$3</f>
        <v>0.40507093161359997</v>
      </c>
      <c r="CF10" s="3">
        <f>$H10*factors!BZ$3</f>
        <v>0.39900699551160002</v>
      </c>
      <c r="CG10" s="3">
        <f>$H10*factors!CA$3</f>
        <v>0.38566633608719997</v>
      </c>
      <c r="CH10" s="3">
        <f>$H10*factors!CB$3</f>
        <v>0.38607059849399994</v>
      </c>
      <c r="CI10" s="3">
        <f>$H10*factors!CC$3</f>
        <v>0.38404928646000003</v>
      </c>
      <c r="CJ10" s="3">
        <f>$H10*factors!CD$3</f>
        <v>0.39981552032520001</v>
      </c>
      <c r="CK10" s="3">
        <f>$H10*factors!CE$3</f>
        <v>0.41760306622439997</v>
      </c>
      <c r="CL10" s="3">
        <f>$H10*factors!CF$3</f>
        <v>0.39132600978240001</v>
      </c>
      <c r="CM10" s="3">
        <f>$H10*factors!CG$3</f>
        <v>0.40062404513879996</v>
      </c>
      <c r="CN10" s="3">
        <f>$H10*factors!CH$3</f>
        <v>0.38728338571439996</v>
      </c>
      <c r="CO10" s="3">
        <f>$H10*factors!CI$3</f>
        <v>0.39011322256199993</v>
      </c>
      <c r="CP10" s="3">
        <f>$H10*factors!CJ$3</f>
        <v>0.40870929327479993</v>
      </c>
      <c r="CQ10" s="3">
        <f>$H10*factors!CK$3</f>
        <v>0.39658142107079997</v>
      </c>
      <c r="CR10" s="3">
        <f>$H10*factors!CL$3</f>
        <v>0.40911355568159996</v>
      </c>
      <c r="CS10" s="3">
        <f>$H10*factors!CM$3</f>
        <v>0.42204995269919998</v>
      </c>
      <c r="CT10" s="3">
        <f>$H10*factors!CN$3</f>
        <v>0.41719880381759999</v>
      </c>
      <c r="CU10" s="3">
        <f>$H10*factors!CO$3</f>
        <v>0.40790076846119994</v>
      </c>
      <c r="CV10" s="3">
        <f>$H10*factors!CP$3</f>
        <v>0.42447552713999998</v>
      </c>
      <c r="CW10" s="3">
        <f>$H10*factors!CQ$3</f>
        <v>0.40143256995240001</v>
      </c>
      <c r="CX10" s="3">
        <f>$H10*factors!CR$3</f>
        <v>0.3953686338504</v>
      </c>
      <c r="CY10" s="3">
        <f>$H10*factors!CS$3</f>
        <v>0.39173027218919998</v>
      </c>
      <c r="CZ10" s="3">
        <f>$H10*factors!CT$3</f>
        <v>0.38607059849399994</v>
      </c>
      <c r="DA10" s="3">
        <f>$H10*factors!CU$3</f>
        <v>0.40083645419999997</v>
      </c>
      <c r="DB10" s="3">
        <f>$H10*factors!CV$3</f>
        <v>0.42673665585600001</v>
      </c>
      <c r="DC10" s="3">
        <f>$H10*factors!CW$3</f>
        <v>0.40864762612799999</v>
      </c>
      <c r="DD10" s="3">
        <f>$H10*factors!CX$3</f>
        <v>0.40576982594399996</v>
      </c>
      <c r="DE10" s="3">
        <f>$H10*factors!CY$3</f>
        <v>0.41769214099200003</v>
      </c>
      <c r="DF10" s="3">
        <f>$H10*factors!CZ$3</f>
        <v>0.41686991236799997</v>
      </c>
      <c r="DG10" s="3">
        <f>$H10*factors!DA$3</f>
        <v>0.41522545512000003</v>
      </c>
      <c r="DH10" s="3">
        <f>$H10*factors!DB$3</f>
        <v>0.41522545512000003</v>
      </c>
      <c r="DI10" s="3">
        <f>$H10*factors!DC$3</f>
        <v>0.399603111264</v>
      </c>
      <c r="DJ10" s="3">
        <f>$H10*factors!DD$3</f>
        <v>0.42344774136000002</v>
      </c>
      <c r="DK10" s="3">
        <f>$H10*factors!DE$3</f>
        <v>0.42344774136000002</v>
      </c>
      <c r="DL10" s="3">
        <f>$H10*factors!DF$3</f>
        <v>0.41851436961600003</v>
      </c>
      <c r="DM10" s="3">
        <f>$H10*factors!DG$3</f>
        <v>0.39425862520799998</v>
      </c>
      <c r="DN10" s="3">
        <f>$H10*factors!DH$3</f>
        <v>0.41358099787200003</v>
      </c>
      <c r="DO10" s="3">
        <f>$H10*factors!DI$3</f>
        <v>0.42714777016799998</v>
      </c>
      <c r="DP10" s="3">
        <f>$H10*factors!DJ$3</f>
        <v>0.42344774136000002</v>
      </c>
      <c r="DQ10" s="3">
        <f>$H10*factors!DK$3</f>
        <v>0.40371425438399999</v>
      </c>
      <c r="DR10" s="3">
        <f>$H10*factors!DL$3</f>
        <v>0.39919199695200003</v>
      </c>
      <c r="DS10" s="3">
        <f>$H10*factors!DM$3</f>
        <v>0.43125891328799998</v>
      </c>
      <c r="DT10" s="3">
        <f>$H10*factors!DN$3</f>
        <v>0.40535871163200005</v>
      </c>
      <c r="DU10" s="3">
        <f>$H10*factors!DO$3</f>
        <v>0.42426996998400002</v>
      </c>
      <c r="DV10" s="3">
        <f>$H10*factors!DP$3</f>
        <v>0.41440322649600003</v>
      </c>
      <c r="DW10" s="3">
        <f>$H10*factors!DQ$3</f>
        <v>0.39549196814399995</v>
      </c>
      <c r="DX10" s="3">
        <f>$H10*factors!DR$3</f>
        <v>0.418925483928</v>
      </c>
      <c r="DY10" s="3">
        <f>$H10*factors!DS$3</f>
        <v>0.39754753970399997</v>
      </c>
      <c r="DZ10" s="3">
        <f>$H10*factors!DT$3</f>
        <v>0.42509219860799996</v>
      </c>
      <c r="EA10" s="3">
        <f>$H10*factors!DU$3</f>
        <v>0.40042533988799994</v>
      </c>
      <c r="EB10" s="3">
        <f>$H10*factors!DV$3</f>
        <v>0.39055859639999996</v>
      </c>
      <c r="EC10" s="3">
        <f>$H10*factors!DW$3</f>
        <v>0.42015882686399997</v>
      </c>
      <c r="ED10" s="3">
        <f>$H10*factors!DX$3</f>
        <v>0.39425862520799998</v>
      </c>
      <c r="EE10" s="3">
        <f>$H10*factors!DY$3</f>
        <v>0.39754753970399997</v>
      </c>
      <c r="EF10" s="3">
        <f>$H10*factors!DZ$3</f>
        <v>0.43125891328799998</v>
      </c>
      <c r="EG10" s="3">
        <f>$H10*factors!EA$3</f>
        <v>0.40289202575999999</v>
      </c>
      <c r="EH10" s="3">
        <f>$H10*factors!EB$3</f>
        <v>0.40412536869600002</v>
      </c>
      <c r="EI10" s="3">
        <f>$H10*factors!EC$3</f>
        <v>0.40330314007200002</v>
      </c>
      <c r="EJ10" s="3">
        <f>$H10*factors!ED$3</f>
        <v>0.39302528227200001</v>
      </c>
      <c r="EK10" s="3">
        <f>$H10*factors!EE$3</f>
        <v>0.42015882686399997</v>
      </c>
      <c r="EL10" s="3">
        <f>$H10*factors!EF$3</f>
        <v>0.399603111264</v>
      </c>
      <c r="EM10" s="3">
        <f>$H10*factors!EG$3</f>
        <v>0.41563656943199995</v>
      </c>
      <c r="EN10" s="3">
        <f>$H10*factors!EH$3</f>
        <v>0.39055859639999996</v>
      </c>
      <c r="EO10" s="3">
        <f>$H10*factors!EI$3</f>
        <v>0.39631419676799995</v>
      </c>
      <c r="EP10" s="3">
        <f>$H10*factors!EJ$3</f>
        <v>0.418103255304</v>
      </c>
      <c r="EQ10" s="3">
        <f>$H10*factors!EK$3</f>
        <v>0.40659205456799996</v>
      </c>
      <c r="ER10" s="3">
        <f>$H10*factors!EL$3</f>
        <v>0.42344774136000002</v>
      </c>
      <c r="ES10" s="3">
        <f>$H10*factors!EM$3</f>
        <v>0.418103255304</v>
      </c>
      <c r="ET10" s="3">
        <f>$H10*factors!EN$3</f>
        <v>0.42755888448000001</v>
      </c>
      <c r="EU10" s="3">
        <f>$H10*factors!EO$3</f>
        <v>0.43167002760000001</v>
      </c>
      <c r="EV10" s="3">
        <f>$H10*factors!EP$3</f>
        <v>0.40453648300799994</v>
      </c>
      <c r="EW10" s="3">
        <f>$H10*factors!EQ$3</f>
        <v>0.44494559392499994</v>
      </c>
      <c r="EX10" s="3">
        <f>$H10*factors!ER$3</f>
        <v>0.44023490910000007</v>
      </c>
      <c r="EY10" s="3">
        <f>$H10*factors!ES$3</f>
        <v>0.44922803467499994</v>
      </c>
      <c r="EZ10" s="3">
        <f>$H10*factors!ET$3</f>
        <v>0.44494559392499994</v>
      </c>
      <c r="FA10" s="3">
        <f>$H10*factors!EU$3</f>
        <v>0.40897309162499995</v>
      </c>
      <c r="FB10" s="3">
        <f>$H10*factors!EV$3</f>
        <v>0.42738758685000006</v>
      </c>
      <c r="FC10" s="3">
        <f>$H10*factors!EW$3</f>
        <v>0.43937842095000001</v>
      </c>
      <c r="FD10" s="3">
        <f>$H10*factors!EX$3</f>
        <v>0.42396163425000005</v>
      </c>
      <c r="FE10" s="3">
        <f>$H10*factors!EY$3</f>
        <v>0.446658570225</v>
      </c>
      <c r="FF10" s="3">
        <f>$H10*factors!EZ$3</f>
        <v>0.44708681430000008</v>
      </c>
      <c r="FG10" s="3">
        <f>$H10*factors!FA$3</f>
        <v>0.40897309162499995</v>
      </c>
      <c r="FH10" s="3">
        <f>$H10*factors!FB$3</f>
        <v>0.43038529537499998</v>
      </c>
      <c r="FI10" s="3">
        <f>$H10*factors!FC$3</f>
        <v>0.44837154652499994</v>
      </c>
      <c r="FJ10" s="3">
        <f>$H10*factors!FD$3</f>
        <v>0.43038529537499998</v>
      </c>
      <c r="FK10" s="3">
        <f>$H10*factors!FE$3</f>
        <v>0.43766544465000007</v>
      </c>
      <c r="FL10" s="3">
        <f>$H10*factors!FF$3</f>
        <v>0.43895017687500004</v>
      </c>
      <c r="FM10" s="3">
        <f>$H10*factors!FG$3</f>
        <v>0.44366086169999996</v>
      </c>
      <c r="FN10" s="3">
        <f>$H10*factors!FH$3</f>
        <v>0.41496850867500001</v>
      </c>
      <c r="FO10" s="3">
        <f>$H10*factors!FI$3</f>
        <v>0.44066315317499999</v>
      </c>
      <c r="FP10" s="3">
        <f>$H10*factors!FJ$3</f>
        <v>0.428244075</v>
      </c>
      <c r="FQ10" s="3">
        <f>$H10*factors!FK$3</f>
        <v>0.42396163425000005</v>
      </c>
      <c r="FR10" s="3">
        <f>$H10*factors!FL$3</f>
        <v>0.43252651575000001</v>
      </c>
      <c r="FS10" s="3">
        <f>$H10*factors!FM$3</f>
        <v>0.4299570513</v>
      </c>
      <c r="FT10" s="3">
        <f>$H10*factors!FN$3</f>
        <v>0.43937842095000001</v>
      </c>
      <c r="FU10" s="3">
        <f>$H10*factors!FO$3</f>
        <v>0.42224865794999999</v>
      </c>
      <c r="FV10" s="3">
        <f>$H10*factors!FP$3</f>
        <v>0.41882270534999999</v>
      </c>
      <c r="FW10" s="3">
        <f>$H10*factors!FQ$3</f>
        <v>0.44837154652499994</v>
      </c>
      <c r="FX10" s="3">
        <f>$H10*factors!FR$3</f>
        <v>0.44023490910000007</v>
      </c>
      <c r="FY10" s="3">
        <f>$H10*factors!FS$3</f>
        <v>0.43124178352499998</v>
      </c>
      <c r="FZ10" s="3">
        <f>$H10*factors!FT$3</f>
        <v>0.40982957977500001</v>
      </c>
      <c r="GA10" s="3">
        <f>$H10*factors!FU$3</f>
        <v>0.43124178352499998</v>
      </c>
      <c r="GB10" s="3">
        <f>$H10*factors!FV$3</f>
        <v>0.44708681430000008</v>
      </c>
      <c r="GC10" s="3">
        <f>$H10*factors!FW$3</f>
        <v>0.41882270534999999</v>
      </c>
      <c r="GD10" s="3">
        <f>$H10*factors!FX$3</f>
        <v>0.42610285462499997</v>
      </c>
      <c r="GE10" s="3">
        <f>$H10*factors!FY$3</f>
        <v>0.42610285462499997</v>
      </c>
      <c r="GF10" s="3">
        <f>$H10*factors!FZ$3</f>
        <v>0.4248181224</v>
      </c>
      <c r="GG10" s="3">
        <f>$H10*factors!GA$3</f>
        <v>0.40811660347500001</v>
      </c>
      <c r="GH10" s="3">
        <f>$H10*factors!GB$3</f>
        <v>0.43423949205000006</v>
      </c>
      <c r="GI10" s="3">
        <f>$H10*factors!GC$3</f>
        <v>0.40726011532500001</v>
      </c>
      <c r="GJ10" s="3">
        <f>$H10*factors!GD$3</f>
        <v>0.40811660347500001</v>
      </c>
      <c r="GK10" s="3">
        <f>$H10*factors!GE$3</f>
        <v>0.41839446127500002</v>
      </c>
      <c r="GL10" s="3">
        <f>$H10*factors!GF$3</f>
        <v>0.44323261762499999</v>
      </c>
      <c r="GM10" s="3">
        <f>$H10*factors!GG$3</f>
        <v>0.42010743757500002</v>
      </c>
      <c r="GN10" s="3">
        <f>$H10*factors!GH$3</f>
        <v>0.43338300390000006</v>
      </c>
      <c r="GO10" s="3">
        <f>$H10*factors!GI$3</f>
        <v>0.40940133569999998</v>
      </c>
      <c r="GP10" s="3">
        <f>$H10*factors!GJ$3</f>
        <v>0.43895017687500004</v>
      </c>
      <c r="GQ10" s="3">
        <f>$H10*factors!GK$3</f>
        <v>0.44794330245000008</v>
      </c>
      <c r="GR10" s="3">
        <f>$H10*factors!GL$3</f>
        <v>0.43937842095000001</v>
      </c>
      <c r="GS10" s="3">
        <f>$H10*factors!GM$3</f>
        <v>0.41551666109099999</v>
      </c>
      <c r="GT10" s="3">
        <f>$H10*factors!GN$3</f>
        <v>0.42508877265540002</v>
      </c>
      <c r="GU10" s="3">
        <f>$H10*factors!GO$3</f>
        <v>0.43509598020000001</v>
      </c>
      <c r="GV10" s="3">
        <f>$H10*factors!GP$3</f>
        <v>0.41769214099200003</v>
      </c>
      <c r="GW10" s="3">
        <f>$H10*factors!GQ$3</f>
        <v>0.43248540431880006</v>
      </c>
      <c r="GX10" s="3">
        <f>$H10*factors!GR$3</f>
        <v>0.42552386863559999</v>
      </c>
      <c r="GY10" s="3">
        <f>$H10*factors!GS$3</f>
        <v>0.42334838873460007</v>
      </c>
      <c r="GZ10" s="3">
        <f>$H10*factors!GT$3</f>
        <v>0.43901184402179999</v>
      </c>
      <c r="HA10" s="3">
        <f>$H10*factors!GU$3</f>
        <v>0.42465367667519999</v>
      </c>
      <c r="HB10" s="3">
        <f>$H10*factors!GV$3</f>
        <v>0.43901184402179999</v>
      </c>
      <c r="HC10" s="3">
        <f>$H10*factors!GW$3</f>
        <v>0.42813444451679999</v>
      </c>
      <c r="HD10" s="3">
        <f>$H10*factors!GX$3</f>
        <v>0.44075222794259994</v>
      </c>
      <c r="HE10" s="3">
        <f>$H10*factors!GY$3</f>
        <v>0.43509598020000001</v>
      </c>
      <c r="HF10" s="3">
        <f>$H10*factors!GZ$3</f>
        <v>0.44858395558620001</v>
      </c>
      <c r="HG10" s="3">
        <f>$H10*factors!HA$3</f>
        <v>0.43118011637820003</v>
      </c>
      <c r="HH10" s="3">
        <f>$H10*factors!HB$3</f>
        <v>0.42552386863559999</v>
      </c>
      <c r="HI10" s="3">
        <f>$H10*factors!HC$3</f>
        <v>0.42030271687320003</v>
      </c>
      <c r="HJ10" s="3">
        <f>$H10*factors!HD$3</f>
        <v>0.41551666109099999</v>
      </c>
      <c r="HK10" s="3">
        <f>$H10*factors!HE$3</f>
        <v>0.43944694000200002</v>
      </c>
      <c r="HL10" s="3">
        <f>$H10*factors!HF$3</f>
        <v>0.41421137315039996</v>
      </c>
      <c r="HM10" s="3">
        <f>$H10*factors!HG$3</f>
        <v>0.41856233295240003</v>
      </c>
      <c r="HN10" s="3">
        <f>$H10*factors!HH$3</f>
        <v>0.44640847568520003</v>
      </c>
      <c r="HO10" s="3">
        <f>$H10*factors!HI$3</f>
        <v>0.42813444451679999</v>
      </c>
      <c r="HP10" s="3">
        <f>$H10*factors!HJ$3</f>
        <v>0.45685077921000006</v>
      </c>
      <c r="HQ10" s="3">
        <f>$H10*factors!HK$3</f>
        <v>0.41769214099200003</v>
      </c>
      <c r="HR10" s="3">
        <f>$H10*factors!HL$3</f>
        <v>0.44292770784360008</v>
      </c>
      <c r="HS10" s="3">
        <f>$H10*factors!HM$3</f>
        <v>0.45075943548720004</v>
      </c>
      <c r="HT10" s="3">
        <f>$H10*factors!HN$3</f>
        <v>0.42030271687320003</v>
      </c>
      <c r="HU10" s="3">
        <f>$H10*factors!HO$3</f>
        <v>0.42465367667519999</v>
      </c>
      <c r="HV10" s="3">
        <f>$H10*factors!HP$3</f>
        <v>0.42987482843760005</v>
      </c>
      <c r="HW10" s="3">
        <f>$H10*factors!HQ$3</f>
        <v>0.43596617216040001</v>
      </c>
      <c r="HX10" s="3">
        <f>$H10*factors!HR$3</f>
        <v>0.45380510734859997</v>
      </c>
      <c r="HY10" s="3">
        <f>$H10*factors!HS$3</f>
        <v>0.43118011637820003</v>
      </c>
      <c r="HZ10" s="3">
        <f>$H10*factors!HT$3</f>
        <v>0.44771376362580001</v>
      </c>
      <c r="IA10" s="3">
        <f>$H10*factors!HU$3</f>
        <v>0.42595896461580002</v>
      </c>
      <c r="IB10" s="3">
        <f>$H10*factors!HV$3</f>
        <v>0.44075222794259994</v>
      </c>
      <c r="IC10" s="3">
        <f>$H10*factors!HW$3</f>
        <v>0.4451031877446</v>
      </c>
      <c r="ID10" s="3">
        <f>$H10*factors!HX$3</f>
        <v>0.41334118118999996</v>
      </c>
      <c r="IE10" s="3">
        <f>$H10*factors!HY$3</f>
        <v>0.43901184402179999</v>
      </c>
      <c r="IF10" s="3">
        <f>$H10*factors!HZ$3</f>
        <v>0.43640126814059998</v>
      </c>
      <c r="IG10" s="3">
        <f>$H10*factors!IA$3</f>
        <v>0.43248540431880006</v>
      </c>
      <c r="IH10" s="3">
        <f>$H10*factors!IB$3</f>
        <v>0.44858395558620001</v>
      </c>
      <c r="II10" s="3">
        <f>$H10*factors!IC$3</f>
        <v>0.42943973245740003</v>
      </c>
      <c r="IJ10" s="3">
        <f>$H10*factors!ID$3</f>
        <v>0.43335559627920001</v>
      </c>
      <c r="IK10" s="3">
        <f>$H10*factors!IE$3</f>
        <v>0.44901905156640004</v>
      </c>
      <c r="IL10" s="3">
        <f>$H10*factors!IF$3</f>
        <v>0.42987482843760005</v>
      </c>
      <c r="IM10" s="3">
        <f>$H10*factors!IG$3</f>
        <v>0.42595896461580002</v>
      </c>
      <c r="IN10" s="3">
        <f>$H10*factors!IH$3</f>
        <v>0.42856954049700002</v>
      </c>
      <c r="IO10" s="3">
        <f>$H10*factors!II$3</f>
        <v>0.43292050029899998</v>
      </c>
      <c r="IP10" s="3">
        <f>$H10*factors!IJ$3</f>
        <v>0.41856233295240003</v>
      </c>
      <c r="IQ10" s="3">
        <f>$H10*factors!IK$3</f>
        <v>0.4172570450118</v>
      </c>
      <c r="IR10" s="3">
        <f>$H10*factors!IL$3</f>
        <v>0.42943973245740003</v>
      </c>
      <c r="IS10" s="3">
        <f>$H10*factors!IM$3</f>
        <v>0.43292050029899998</v>
      </c>
      <c r="IT10" s="3">
        <f>$H10*factors!IN$3</f>
        <v>0.43596617216040001</v>
      </c>
      <c r="IU10" s="3">
        <f>$H10*factors!IO$3</f>
        <v>0.44553828372480003</v>
      </c>
      <c r="IV10" s="3">
        <f>$H10*factors!IP$3</f>
        <v>0.45119453146739996</v>
      </c>
      <c r="IW10" s="3">
        <f>$H10*factors!IQ$3</f>
        <v>0.42639406059599999</v>
      </c>
      <c r="IX10" s="3">
        <f>$H10*factors!IR$3</f>
        <v>0.44553828372480003</v>
      </c>
      <c r="IY10" s="3">
        <f>$H10*factors!IS$3</f>
        <v>0.43901184402179999</v>
      </c>
      <c r="IZ10" s="3">
        <f>$H10*factors!IT$3</f>
        <v>0.44640847568520003</v>
      </c>
      <c r="JA10" s="3">
        <f>$H10*factors!IU$3</f>
        <v>0.42160800481379995</v>
      </c>
      <c r="JB10" s="3">
        <f>$H10*factors!IV$3</f>
        <v>0.42943973245740003</v>
      </c>
      <c r="JC10" s="3">
        <f>$H10*factors!IW$3</f>
        <v>0.41943252491280003</v>
      </c>
      <c r="JD10" s="3">
        <f>$H10*factors!IX$3</f>
        <v>0.45685077921000006</v>
      </c>
      <c r="JE10" s="3">
        <f>$H10*factors!IY$3</f>
        <v>0.42073781285340001</v>
      </c>
      <c r="JF10" s="3">
        <f>$H10*factors!IZ$3</f>
        <v>0.44162241990299994</v>
      </c>
      <c r="JG10" s="3">
        <f>$H10*factors!JA$3</f>
        <v>0.43379069225939998</v>
      </c>
      <c r="JH10" s="3">
        <f>$H10*factors!JB$3</f>
        <v>0.44205751588320008</v>
      </c>
      <c r="JI10" s="3">
        <f>$H10*factors!JC$3</f>
        <v>0.41377627717020005</v>
      </c>
      <c r="JJ10" s="3">
        <f>$H10*factors!JD$3</f>
        <v>0.44553828372480003</v>
      </c>
      <c r="JK10" s="3">
        <f>$H10*factors!JE$3</f>
        <v>0.43118011637820003</v>
      </c>
      <c r="JL10" s="3">
        <f>$H10*factors!JF$3</f>
        <v>0.44858395558620001</v>
      </c>
      <c r="JM10" s="3">
        <f>$H10*factors!JG$3</f>
        <v>0.41856233295240003</v>
      </c>
      <c r="JN10" s="3">
        <f>$H10*factors!JH$3</f>
        <v>0.41856233295240003</v>
      </c>
      <c r="JO10" s="3">
        <f>$H10*factors!JI$3</f>
        <v>0.41334118118999996</v>
      </c>
      <c r="JP10" s="3">
        <f>$H10*factors!JJ$3</f>
        <v>0.44684357166540001</v>
      </c>
      <c r="JQ10" s="3">
        <f>$H10*factors!JK$3</f>
        <v>0.43553107618019998</v>
      </c>
      <c r="JR10" s="3">
        <f>$H10*factors!JL$3</f>
        <v>0.45249981940799999</v>
      </c>
      <c r="JS10" s="3">
        <f>$H10*factors!JM$3</f>
        <v>0.41334118118999996</v>
      </c>
      <c r="JT10" s="3">
        <f>$H10*factors!JN$3</f>
        <v>0.43422578823960001</v>
      </c>
      <c r="JU10" s="3">
        <f>$H10*factors!JO$3</f>
        <v>0.419867620893</v>
      </c>
      <c r="JV10" s="3">
        <f>$H10*factors!JP$3</f>
        <v>0.42682915657620002</v>
      </c>
      <c r="JW10" s="3">
        <f>$H10*factors!JQ$3</f>
        <v>0.45598058724960006</v>
      </c>
      <c r="JX10" s="3">
        <f>$H10*factors!JR$3</f>
        <v>0.45162962744759999</v>
      </c>
      <c r="JY10" s="3">
        <f>$H10*factors!JS$3</f>
        <v>0.42508877265540002</v>
      </c>
      <c r="JZ10" s="3">
        <f>$H10*factors!JT$3</f>
        <v>0.42987482843760005</v>
      </c>
      <c r="KA10" s="3">
        <f>$H10*factors!JU$3</f>
        <v>0.43161521235840006</v>
      </c>
      <c r="KB10" s="3">
        <f>$H10*factors!JV$3</f>
        <v>0.4172570450118</v>
      </c>
      <c r="KC10" s="3">
        <f>$H10*factors!JW$3</f>
        <v>0.41943252491280003</v>
      </c>
      <c r="KD10" s="3">
        <f>$H10*factors!JX$3</f>
        <v>0.419867620893</v>
      </c>
      <c r="KE10" s="3">
        <f>$H10*factors!JY$3</f>
        <v>0.44684357166540001</v>
      </c>
      <c r="KF10" s="3">
        <f>$H10*factors!JZ$3</f>
        <v>0.45206472342779996</v>
      </c>
      <c r="KG10" s="3">
        <f>$H10*factors!KA$3</f>
        <v>0.43596617216040001</v>
      </c>
      <c r="KH10" s="3">
        <f>$H10*factors!KB$3</f>
        <v>0.42639406059599999</v>
      </c>
      <c r="KI10" s="3">
        <f>$H10*factors!KC$3</f>
        <v>0.42247819677419995</v>
      </c>
    </row>
    <row r="11" spans="1:295" x14ac:dyDescent="0.55000000000000004">
      <c r="A11" t="s">
        <v>386</v>
      </c>
      <c r="B11">
        <v>10</v>
      </c>
      <c r="C11">
        <v>230</v>
      </c>
      <c r="D11" t="s">
        <v>377</v>
      </c>
      <c r="E11">
        <v>3.0869999999999999E-3</v>
      </c>
      <c r="F11">
        <v>10</v>
      </c>
      <c r="G11">
        <f>VLOOKUP(D11,demand_forecasted!$A$2:$G$11,2)</f>
        <v>11098</v>
      </c>
      <c r="H11" s="3">
        <f t="shared" si="0"/>
        <v>0.34259526000000001</v>
      </c>
      <c r="I11" s="3">
        <f>$H11*factors!C$3</f>
        <v>0.37925295281999999</v>
      </c>
      <c r="J11" s="3">
        <f>$H11*factors!D$3</f>
        <v>0.36556284623040003</v>
      </c>
      <c r="K11" s="3">
        <f>$H11*factors!E$3</f>
        <v>0.35927279725680006</v>
      </c>
      <c r="L11" s="3">
        <f>$H11*factors!F$3</f>
        <v>0.35816278861440004</v>
      </c>
      <c r="M11" s="3">
        <f>$H11*factors!G$3</f>
        <v>0.35779278573360002</v>
      </c>
      <c r="N11" s="3">
        <f>$H11*factors!H$3</f>
        <v>0.36815286639600003</v>
      </c>
      <c r="O11" s="3">
        <f>$H11*factors!I$3</f>
        <v>0.37629292977360002</v>
      </c>
      <c r="P11" s="3">
        <f>$H11*factors!J$3</f>
        <v>0.38073296434320003</v>
      </c>
      <c r="Q11" s="3">
        <f>$H11*factors!K$3</f>
        <v>0.35742278285279999</v>
      </c>
      <c r="R11" s="3">
        <f>$H11*factors!L$3</f>
        <v>0.35150273676000005</v>
      </c>
      <c r="S11" s="3">
        <f>$H11*factors!M$3</f>
        <v>0.3659328491112</v>
      </c>
      <c r="T11" s="3">
        <f>$H11*factors!N$3</f>
        <v>0.37851294705840005</v>
      </c>
      <c r="U11" s="3">
        <f>$H11*factors!O$3</f>
        <v>0.35853279149520006</v>
      </c>
      <c r="V11" s="3">
        <f>$H11*factors!P$3</f>
        <v>0.37296290384640002</v>
      </c>
      <c r="W11" s="3">
        <f>$H11*factors!Q$3</f>
        <v>0.37629292977360002</v>
      </c>
      <c r="X11" s="3">
        <f>$H11*factors!R$3</f>
        <v>0.3600128030184</v>
      </c>
      <c r="Y11" s="3">
        <f>$H11*factors!S$3</f>
        <v>0.35668277709120005</v>
      </c>
      <c r="Z11" s="3">
        <f>$H11*factors!T$3</f>
        <v>0.38480299603200008</v>
      </c>
      <c r="AA11" s="3">
        <f>$H11*factors!U$3</f>
        <v>0.36334282894559999</v>
      </c>
      <c r="AB11" s="3">
        <f>$H11*factors!V$3</f>
        <v>0.36371283182640007</v>
      </c>
      <c r="AC11" s="3">
        <f>$H11*factors!W$3</f>
        <v>0.36408283470720004</v>
      </c>
      <c r="AD11" s="3">
        <f>$H11*factors!X$3</f>
        <v>0.35631277421040003</v>
      </c>
      <c r="AE11" s="3">
        <f>$H11*factors!Y$3</f>
        <v>0.35927279725680006</v>
      </c>
      <c r="AF11" s="3">
        <f>$H11*factors!Z$3</f>
        <v>0.36667285487280005</v>
      </c>
      <c r="AG11" s="3">
        <f>$H11*factors!AA$3</f>
        <v>0.35742278285279999</v>
      </c>
      <c r="AH11" s="3">
        <f>$H11*factors!AB$3</f>
        <v>0.35594277132960006</v>
      </c>
      <c r="AI11" s="3">
        <f>$H11*factors!AC$3</f>
        <v>0.36741286063440004</v>
      </c>
      <c r="AJ11" s="3">
        <f>$H11*factors!AD$3</f>
        <v>0.38147297010480002</v>
      </c>
      <c r="AK11" s="3">
        <f>$H11*factors!AE$3</f>
        <v>0.36704285775360007</v>
      </c>
      <c r="AL11" s="3">
        <f>$H11*factors!AF$3</f>
        <v>0.35261274540240001</v>
      </c>
      <c r="AM11" s="3">
        <f>$H11*factors!AG$3</f>
        <v>0.362602823184</v>
      </c>
      <c r="AN11" s="3">
        <f>$H11*factors!AH$3</f>
        <v>0.35668277709120005</v>
      </c>
      <c r="AO11" s="3">
        <f>$H11*factors!AI$3</f>
        <v>0.37370290960800001</v>
      </c>
      <c r="AP11" s="3">
        <f>$H11*factors!AJ$3</f>
        <v>0.35816278861440004</v>
      </c>
      <c r="AQ11" s="3">
        <f>$H11*factors!AK$3</f>
        <v>0.36963287791920008</v>
      </c>
      <c r="AR11" s="3">
        <f>$H11*factors!AL$3</f>
        <v>0.36149281454160004</v>
      </c>
      <c r="AS11" s="3">
        <f>$H11*factors!AM$3</f>
        <v>0.35261274540240001</v>
      </c>
      <c r="AT11" s="3">
        <f>$H11*factors!AN$3</f>
        <v>0.36371283182640007</v>
      </c>
      <c r="AU11" s="3">
        <f>$H11*factors!AO$3</f>
        <v>0.38517299891279999</v>
      </c>
      <c r="AV11" s="3">
        <f>$H11*factors!AP$3</f>
        <v>0.36408283470720004</v>
      </c>
      <c r="AW11" s="3">
        <f>$H11*factors!AQ$3</f>
        <v>0.36038280589920002</v>
      </c>
      <c r="AX11" s="3">
        <f>$H11*factors!AR$3</f>
        <v>0.38110296722400006</v>
      </c>
      <c r="AY11" s="3">
        <f>$H11*factors!AS$3</f>
        <v>0.35150273676000005</v>
      </c>
      <c r="AZ11" s="3">
        <f>$H11*factors!AT$3</f>
        <v>0.3766629326544001</v>
      </c>
      <c r="BA11" s="3">
        <f>$H11*factors!AU$3</f>
        <v>0.3685228692768</v>
      </c>
      <c r="BB11" s="3">
        <f>$H11*factors!AV$3</f>
        <v>0.36371283182640007</v>
      </c>
      <c r="BC11" s="3">
        <f>$H11*factors!AW$3</f>
        <v>0.38480299603200008</v>
      </c>
      <c r="BD11" s="3">
        <f>$H11*factors!AX$3</f>
        <v>0.35520276556800001</v>
      </c>
      <c r="BE11" s="3">
        <f>$H11*factors!AY$3</f>
        <v>0.41760306622439997</v>
      </c>
      <c r="BF11" s="3">
        <f>$H11*factors!AZ$3</f>
        <v>0.38890043534160001</v>
      </c>
      <c r="BG11" s="3">
        <f>$H11*factors!BA$3</f>
        <v>0.39456010903679994</v>
      </c>
      <c r="BH11" s="3">
        <f>$H11*factors!BB$3</f>
        <v>0.39981552032520001</v>
      </c>
      <c r="BI11" s="3">
        <f>$H11*factors!BC$3</f>
        <v>0.41436896696999992</v>
      </c>
      <c r="BJ11" s="3">
        <f>$H11*factors!BD$3</f>
        <v>0.39577289625719997</v>
      </c>
      <c r="BK11" s="3">
        <f>$H11*factors!BE$3</f>
        <v>0.39658142107079997</v>
      </c>
      <c r="BL11" s="3">
        <f>$H11*factors!BF$3</f>
        <v>0.39213453459599995</v>
      </c>
      <c r="BM11" s="3">
        <f>$H11*factors!BG$3</f>
        <v>0.41881585344480005</v>
      </c>
      <c r="BN11" s="3">
        <f>$H11*factors!BH$3</f>
        <v>0.41356044215639998</v>
      </c>
      <c r="BO11" s="3">
        <f>$H11*factors!BI$3</f>
        <v>0.38890043534160001</v>
      </c>
      <c r="BP11" s="3">
        <f>$H11*factors!BJ$3</f>
        <v>0.38768764812119993</v>
      </c>
      <c r="BQ11" s="3">
        <f>$H11*factors!BK$3</f>
        <v>0.39415584662999997</v>
      </c>
      <c r="BR11" s="3">
        <f>$H11*factors!BL$3</f>
        <v>0.40830503086800002</v>
      </c>
      <c r="BS11" s="3">
        <f>$H11*factors!BM$3</f>
        <v>0.4147732293768</v>
      </c>
      <c r="BT11" s="3">
        <f>$H11*factors!BN$3</f>
        <v>0.41598601659719997</v>
      </c>
      <c r="BU11" s="3">
        <f>$H11*factors!BO$3</f>
        <v>0.42285847751280004</v>
      </c>
      <c r="BV11" s="3">
        <f>$H11*factors!BP$3</f>
        <v>0.39334732181639998</v>
      </c>
      <c r="BW11" s="3">
        <f>$H11*factors!BQ$3</f>
        <v>0.40224109476600001</v>
      </c>
      <c r="BX11" s="3">
        <f>$H11*factors!BR$3</f>
        <v>0.39456010903679994</v>
      </c>
      <c r="BY11" s="3">
        <f>$H11*factors!BS$3</f>
        <v>0.41275191734279992</v>
      </c>
      <c r="BZ11" s="3">
        <f>$H11*factors!BT$3</f>
        <v>0.40507093161359997</v>
      </c>
      <c r="CA11" s="3">
        <f>$H11*factors!BU$3</f>
        <v>0.39981552032520001</v>
      </c>
      <c r="CB11" s="3">
        <f>$H11*factors!BV$3</f>
        <v>0.38687912330759999</v>
      </c>
      <c r="CC11" s="3">
        <f>$H11*factors!BW$3</f>
        <v>0.39819847069799996</v>
      </c>
      <c r="CD11" s="3">
        <f>$H11*factors!BX$3</f>
        <v>0.39941125791839999</v>
      </c>
      <c r="CE11" s="3">
        <f>$H11*factors!BY$3</f>
        <v>0.40507093161359997</v>
      </c>
      <c r="CF11" s="3">
        <f>$H11*factors!BZ$3</f>
        <v>0.39900699551160002</v>
      </c>
      <c r="CG11" s="3">
        <f>$H11*factors!CA$3</f>
        <v>0.38566633608719997</v>
      </c>
      <c r="CH11" s="3">
        <f>$H11*factors!CB$3</f>
        <v>0.38607059849399994</v>
      </c>
      <c r="CI11" s="3">
        <f>$H11*factors!CC$3</f>
        <v>0.38404928646000003</v>
      </c>
      <c r="CJ11" s="3">
        <f>$H11*factors!CD$3</f>
        <v>0.39981552032520001</v>
      </c>
      <c r="CK11" s="3">
        <f>$H11*factors!CE$3</f>
        <v>0.41760306622439997</v>
      </c>
      <c r="CL11" s="3">
        <f>$H11*factors!CF$3</f>
        <v>0.39132600978240001</v>
      </c>
      <c r="CM11" s="3">
        <f>$H11*factors!CG$3</f>
        <v>0.40062404513879996</v>
      </c>
      <c r="CN11" s="3">
        <f>$H11*factors!CH$3</f>
        <v>0.38728338571439996</v>
      </c>
      <c r="CO11" s="3">
        <f>$H11*factors!CI$3</f>
        <v>0.39011322256199993</v>
      </c>
      <c r="CP11" s="3">
        <f>$H11*factors!CJ$3</f>
        <v>0.40870929327479993</v>
      </c>
      <c r="CQ11" s="3">
        <f>$H11*factors!CK$3</f>
        <v>0.39658142107079997</v>
      </c>
      <c r="CR11" s="3">
        <f>$H11*factors!CL$3</f>
        <v>0.40911355568159996</v>
      </c>
      <c r="CS11" s="3">
        <f>$H11*factors!CM$3</f>
        <v>0.42204995269919998</v>
      </c>
      <c r="CT11" s="3">
        <f>$H11*factors!CN$3</f>
        <v>0.41719880381759999</v>
      </c>
      <c r="CU11" s="3">
        <f>$H11*factors!CO$3</f>
        <v>0.40790076846119994</v>
      </c>
      <c r="CV11" s="3">
        <f>$H11*factors!CP$3</f>
        <v>0.42447552713999998</v>
      </c>
      <c r="CW11" s="3">
        <f>$H11*factors!CQ$3</f>
        <v>0.40143256995240001</v>
      </c>
      <c r="CX11" s="3">
        <f>$H11*factors!CR$3</f>
        <v>0.3953686338504</v>
      </c>
      <c r="CY11" s="3">
        <f>$H11*factors!CS$3</f>
        <v>0.39173027218919998</v>
      </c>
      <c r="CZ11" s="3">
        <f>$H11*factors!CT$3</f>
        <v>0.38607059849399994</v>
      </c>
      <c r="DA11" s="3">
        <f>$H11*factors!CU$3</f>
        <v>0.40083645419999997</v>
      </c>
      <c r="DB11" s="3">
        <f>$H11*factors!CV$3</f>
        <v>0.42673665585600001</v>
      </c>
      <c r="DC11" s="3">
        <f>$H11*factors!CW$3</f>
        <v>0.40864762612799999</v>
      </c>
      <c r="DD11" s="3">
        <f>$H11*factors!CX$3</f>
        <v>0.40576982594399996</v>
      </c>
      <c r="DE11" s="3">
        <f>$H11*factors!CY$3</f>
        <v>0.41769214099200003</v>
      </c>
      <c r="DF11" s="3">
        <f>$H11*factors!CZ$3</f>
        <v>0.41686991236799997</v>
      </c>
      <c r="DG11" s="3">
        <f>$H11*factors!DA$3</f>
        <v>0.41522545512000003</v>
      </c>
      <c r="DH11" s="3">
        <f>$H11*factors!DB$3</f>
        <v>0.41522545512000003</v>
      </c>
      <c r="DI11" s="3">
        <f>$H11*factors!DC$3</f>
        <v>0.399603111264</v>
      </c>
      <c r="DJ11" s="3">
        <f>$H11*factors!DD$3</f>
        <v>0.42344774136000002</v>
      </c>
      <c r="DK11" s="3">
        <f>$H11*factors!DE$3</f>
        <v>0.42344774136000002</v>
      </c>
      <c r="DL11" s="3">
        <f>$H11*factors!DF$3</f>
        <v>0.41851436961600003</v>
      </c>
      <c r="DM11" s="3">
        <f>$H11*factors!DG$3</f>
        <v>0.39425862520799998</v>
      </c>
      <c r="DN11" s="3">
        <f>$H11*factors!DH$3</f>
        <v>0.41358099787200003</v>
      </c>
      <c r="DO11" s="3">
        <f>$H11*factors!DI$3</f>
        <v>0.42714777016799998</v>
      </c>
      <c r="DP11" s="3">
        <f>$H11*factors!DJ$3</f>
        <v>0.42344774136000002</v>
      </c>
      <c r="DQ11" s="3">
        <f>$H11*factors!DK$3</f>
        <v>0.40371425438399999</v>
      </c>
      <c r="DR11" s="3">
        <f>$H11*factors!DL$3</f>
        <v>0.39919199695200003</v>
      </c>
      <c r="DS11" s="3">
        <f>$H11*factors!DM$3</f>
        <v>0.43125891328799998</v>
      </c>
      <c r="DT11" s="3">
        <f>$H11*factors!DN$3</f>
        <v>0.40535871163200005</v>
      </c>
      <c r="DU11" s="3">
        <f>$H11*factors!DO$3</f>
        <v>0.42426996998400002</v>
      </c>
      <c r="DV11" s="3">
        <f>$H11*factors!DP$3</f>
        <v>0.41440322649600003</v>
      </c>
      <c r="DW11" s="3">
        <f>$H11*factors!DQ$3</f>
        <v>0.39549196814399995</v>
      </c>
      <c r="DX11" s="3">
        <f>$H11*factors!DR$3</f>
        <v>0.418925483928</v>
      </c>
      <c r="DY11" s="3">
        <f>$H11*factors!DS$3</f>
        <v>0.39754753970399997</v>
      </c>
      <c r="DZ11" s="3">
        <f>$H11*factors!DT$3</f>
        <v>0.42509219860799996</v>
      </c>
      <c r="EA11" s="3">
        <f>$H11*factors!DU$3</f>
        <v>0.40042533988799994</v>
      </c>
      <c r="EB11" s="3">
        <f>$H11*factors!DV$3</f>
        <v>0.39055859639999996</v>
      </c>
      <c r="EC11" s="3">
        <f>$H11*factors!DW$3</f>
        <v>0.42015882686399997</v>
      </c>
      <c r="ED11" s="3">
        <f>$H11*factors!DX$3</f>
        <v>0.39425862520799998</v>
      </c>
      <c r="EE11" s="3">
        <f>$H11*factors!DY$3</f>
        <v>0.39754753970399997</v>
      </c>
      <c r="EF11" s="3">
        <f>$H11*factors!DZ$3</f>
        <v>0.43125891328799998</v>
      </c>
      <c r="EG11" s="3">
        <f>$H11*factors!EA$3</f>
        <v>0.40289202575999999</v>
      </c>
      <c r="EH11" s="3">
        <f>$H11*factors!EB$3</f>
        <v>0.40412536869600002</v>
      </c>
      <c r="EI11" s="3">
        <f>$H11*factors!EC$3</f>
        <v>0.40330314007200002</v>
      </c>
      <c r="EJ11" s="3">
        <f>$H11*factors!ED$3</f>
        <v>0.39302528227200001</v>
      </c>
      <c r="EK11" s="3">
        <f>$H11*factors!EE$3</f>
        <v>0.42015882686399997</v>
      </c>
      <c r="EL11" s="3">
        <f>$H11*factors!EF$3</f>
        <v>0.399603111264</v>
      </c>
      <c r="EM11" s="3">
        <f>$H11*factors!EG$3</f>
        <v>0.41563656943199995</v>
      </c>
      <c r="EN11" s="3">
        <f>$H11*factors!EH$3</f>
        <v>0.39055859639999996</v>
      </c>
      <c r="EO11" s="3">
        <f>$H11*factors!EI$3</f>
        <v>0.39631419676799995</v>
      </c>
      <c r="EP11" s="3">
        <f>$H11*factors!EJ$3</f>
        <v>0.418103255304</v>
      </c>
      <c r="EQ11" s="3">
        <f>$H11*factors!EK$3</f>
        <v>0.40659205456799996</v>
      </c>
      <c r="ER11" s="3">
        <f>$H11*factors!EL$3</f>
        <v>0.42344774136000002</v>
      </c>
      <c r="ES11" s="3">
        <f>$H11*factors!EM$3</f>
        <v>0.418103255304</v>
      </c>
      <c r="ET11" s="3">
        <f>$H11*factors!EN$3</f>
        <v>0.42755888448000001</v>
      </c>
      <c r="EU11" s="3">
        <f>$H11*factors!EO$3</f>
        <v>0.43167002760000001</v>
      </c>
      <c r="EV11" s="3">
        <f>$H11*factors!EP$3</f>
        <v>0.40453648300799994</v>
      </c>
      <c r="EW11" s="3">
        <f>$H11*factors!EQ$3</f>
        <v>0.44494559392499994</v>
      </c>
      <c r="EX11" s="3">
        <f>$H11*factors!ER$3</f>
        <v>0.44023490910000007</v>
      </c>
      <c r="EY11" s="3">
        <f>$H11*factors!ES$3</f>
        <v>0.44922803467499994</v>
      </c>
      <c r="EZ11" s="3">
        <f>$H11*factors!ET$3</f>
        <v>0.44494559392499994</v>
      </c>
      <c r="FA11" s="3">
        <f>$H11*factors!EU$3</f>
        <v>0.40897309162499995</v>
      </c>
      <c r="FB11" s="3">
        <f>$H11*factors!EV$3</f>
        <v>0.42738758685000006</v>
      </c>
      <c r="FC11" s="3">
        <f>$H11*factors!EW$3</f>
        <v>0.43937842095000001</v>
      </c>
      <c r="FD11" s="3">
        <f>$H11*factors!EX$3</f>
        <v>0.42396163425000005</v>
      </c>
      <c r="FE11" s="3">
        <f>$H11*factors!EY$3</f>
        <v>0.446658570225</v>
      </c>
      <c r="FF11" s="3">
        <f>$H11*factors!EZ$3</f>
        <v>0.44708681430000008</v>
      </c>
      <c r="FG11" s="3">
        <f>$H11*factors!FA$3</f>
        <v>0.40897309162499995</v>
      </c>
      <c r="FH11" s="3">
        <f>$H11*factors!FB$3</f>
        <v>0.43038529537499998</v>
      </c>
      <c r="FI11" s="3">
        <f>$H11*factors!FC$3</f>
        <v>0.44837154652499994</v>
      </c>
      <c r="FJ11" s="3">
        <f>$H11*factors!FD$3</f>
        <v>0.43038529537499998</v>
      </c>
      <c r="FK11" s="3">
        <f>$H11*factors!FE$3</f>
        <v>0.43766544465000007</v>
      </c>
      <c r="FL11" s="3">
        <f>$H11*factors!FF$3</f>
        <v>0.43895017687500004</v>
      </c>
      <c r="FM11" s="3">
        <f>$H11*factors!FG$3</f>
        <v>0.44366086169999996</v>
      </c>
      <c r="FN11" s="3">
        <f>$H11*factors!FH$3</f>
        <v>0.41496850867500001</v>
      </c>
      <c r="FO11" s="3">
        <f>$H11*factors!FI$3</f>
        <v>0.44066315317499999</v>
      </c>
      <c r="FP11" s="3">
        <f>$H11*factors!FJ$3</f>
        <v>0.428244075</v>
      </c>
      <c r="FQ11" s="3">
        <f>$H11*factors!FK$3</f>
        <v>0.42396163425000005</v>
      </c>
      <c r="FR11" s="3">
        <f>$H11*factors!FL$3</f>
        <v>0.43252651575000001</v>
      </c>
      <c r="FS11" s="3">
        <f>$H11*factors!FM$3</f>
        <v>0.4299570513</v>
      </c>
      <c r="FT11" s="3">
        <f>$H11*factors!FN$3</f>
        <v>0.43937842095000001</v>
      </c>
      <c r="FU11" s="3">
        <f>$H11*factors!FO$3</f>
        <v>0.42224865794999999</v>
      </c>
      <c r="FV11" s="3">
        <f>$H11*factors!FP$3</f>
        <v>0.41882270534999999</v>
      </c>
      <c r="FW11" s="3">
        <f>$H11*factors!FQ$3</f>
        <v>0.44837154652499994</v>
      </c>
      <c r="FX11" s="3">
        <f>$H11*factors!FR$3</f>
        <v>0.44023490910000007</v>
      </c>
      <c r="FY11" s="3">
        <f>$H11*factors!FS$3</f>
        <v>0.43124178352499998</v>
      </c>
      <c r="FZ11" s="3">
        <f>$H11*factors!FT$3</f>
        <v>0.40982957977500001</v>
      </c>
      <c r="GA11" s="3">
        <f>$H11*factors!FU$3</f>
        <v>0.43124178352499998</v>
      </c>
      <c r="GB11" s="3">
        <f>$H11*factors!FV$3</f>
        <v>0.44708681430000008</v>
      </c>
      <c r="GC11" s="3">
        <f>$H11*factors!FW$3</f>
        <v>0.41882270534999999</v>
      </c>
      <c r="GD11" s="3">
        <f>$H11*factors!FX$3</f>
        <v>0.42610285462499997</v>
      </c>
      <c r="GE11" s="3">
        <f>$H11*factors!FY$3</f>
        <v>0.42610285462499997</v>
      </c>
      <c r="GF11" s="3">
        <f>$H11*factors!FZ$3</f>
        <v>0.4248181224</v>
      </c>
      <c r="GG11" s="3">
        <f>$H11*factors!GA$3</f>
        <v>0.40811660347500001</v>
      </c>
      <c r="GH11" s="3">
        <f>$H11*factors!GB$3</f>
        <v>0.43423949205000006</v>
      </c>
      <c r="GI11" s="3">
        <f>$H11*factors!GC$3</f>
        <v>0.40726011532500001</v>
      </c>
      <c r="GJ11" s="3">
        <f>$H11*factors!GD$3</f>
        <v>0.40811660347500001</v>
      </c>
      <c r="GK11" s="3">
        <f>$H11*factors!GE$3</f>
        <v>0.41839446127500002</v>
      </c>
      <c r="GL11" s="3">
        <f>$H11*factors!GF$3</f>
        <v>0.44323261762499999</v>
      </c>
      <c r="GM11" s="3">
        <f>$H11*factors!GG$3</f>
        <v>0.42010743757500002</v>
      </c>
      <c r="GN11" s="3">
        <f>$H11*factors!GH$3</f>
        <v>0.43338300390000006</v>
      </c>
      <c r="GO11" s="3">
        <f>$H11*factors!GI$3</f>
        <v>0.40940133569999998</v>
      </c>
      <c r="GP11" s="3">
        <f>$H11*factors!GJ$3</f>
        <v>0.43895017687500004</v>
      </c>
      <c r="GQ11" s="3">
        <f>$H11*factors!GK$3</f>
        <v>0.44794330245000008</v>
      </c>
      <c r="GR11" s="3">
        <f>$H11*factors!GL$3</f>
        <v>0.43937842095000001</v>
      </c>
      <c r="GS11" s="3">
        <f>$H11*factors!GM$3</f>
        <v>0.41551666109099999</v>
      </c>
      <c r="GT11" s="3">
        <f>$H11*factors!GN$3</f>
        <v>0.42508877265540002</v>
      </c>
      <c r="GU11" s="3">
        <f>$H11*factors!GO$3</f>
        <v>0.43509598020000001</v>
      </c>
      <c r="GV11" s="3">
        <f>$H11*factors!GP$3</f>
        <v>0.41769214099200003</v>
      </c>
      <c r="GW11" s="3">
        <f>$H11*factors!GQ$3</f>
        <v>0.43248540431880006</v>
      </c>
      <c r="GX11" s="3">
        <f>$H11*factors!GR$3</f>
        <v>0.42552386863559999</v>
      </c>
      <c r="GY11" s="3">
        <f>$H11*factors!GS$3</f>
        <v>0.42334838873460007</v>
      </c>
      <c r="GZ11" s="3">
        <f>$H11*factors!GT$3</f>
        <v>0.43901184402179999</v>
      </c>
      <c r="HA11" s="3">
        <f>$H11*factors!GU$3</f>
        <v>0.42465367667519999</v>
      </c>
      <c r="HB11" s="3">
        <f>$H11*factors!GV$3</f>
        <v>0.43901184402179999</v>
      </c>
      <c r="HC11" s="3">
        <f>$H11*factors!GW$3</f>
        <v>0.42813444451679999</v>
      </c>
      <c r="HD11" s="3">
        <f>$H11*factors!GX$3</f>
        <v>0.44075222794259994</v>
      </c>
      <c r="HE11" s="3">
        <f>$H11*factors!GY$3</f>
        <v>0.43509598020000001</v>
      </c>
      <c r="HF11" s="3">
        <f>$H11*factors!GZ$3</f>
        <v>0.44858395558620001</v>
      </c>
      <c r="HG11" s="3">
        <f>$H11*factors!HA$3</f>
        <v>0.43118011637820003</v>
      </c>
      <c r="HH11" s="3">
        <f>$H11*factors!HB$3</f>
        <v>0.42552386863559999</v>
      </c>
      <c r="HI11" s="3">
        <f>$H11*factors!HC$3</f>
        <v>0.42030271687320003</v>
      </c>
      <c r="HJ11" s="3">
        <f>$H11*factors!HD$3</f>
        <v>0.41551666109099999</v>
      </c>
      <c r="HK11" s="3">
        <f>$H11*factors!HE$3</f>
        <v>0.43944694000200002</v>
      </c>
      <c r="HL11" s="3">
        <f>$H11*factors!HF$3</f>
        <v>0.41421137315039996</v>
      </c>
      <c r="HM11" s="3">
        <f>$H11*factors!HG$3</f>
        <v>0.41856233295240003</v>
      </c>
      <c r="HN11" s="3">
        <f>$H11*factors!HH$3</f>
        <v>0.44640847568520003</v>
      </c>
      <c r="HO11" s="3">
        <f>$H11*factors!HI$3</f>
        <v>0.42813444451679999</v>
      </c>
      <c r="HP11" s="3">
        <f>$H11*factors!HJ$3</f>
        <v>0.45685077921000006</v>
      </c>
      <c r="HQ11" s="3">
        <f>$H11*factors!HK$3</f>
        <v>0.41769214099200003</v>
      </c>
      <c r="HR11" s="3">
        <f>$H11*factors!HL$3</f>
        <v>0.44292770784360008</v>
      </c>
      <c r="HS11" s="3">
        <f>$H11*factors!HM$3</f>
        <v>0.45075943548720004</v>
      </c>
      <c r="HT11" s="3">
        <f>$H11*factors!HN$3</f>
        <v>0.42030271687320003</v>
      </c>
      <c r="HU11" s="3">
        <f>$H11*factors!HO$3</f>
        <v>0.42465367667519999</v>
      </c>
      <c r="HV11" s="3">
        <f>$H11*factors!HP$3</f>
        <v>0.42987482843760005</v>
      </c>
      <c r="HW11" s="3">
        <f>$H11*factors!HQ$3</f>
        <v>0.43596617216040001</v>
      </c>
      <c r="HX11" s="3">
        <f>$H11*factors!HR$3</f>
        <v>0.45380510734859997</v>
      </c>
      <c r="HY11" s="3">
        <f>$H11*factors!HS$3</f>
        <v>0.43118011637820003</v>
      </c>
      <c r="HZ11" s="3">
        <f>$H11*factors!HT$3</f>
        <v>0.44771376362580001</v>
      </c>
      <c r="IA11" s="3">
        <f>$H11*factors!HU$3</f>
        <v>0.42595896461580002</v>
      </c>
      <c r="IB11" s="3">
        <f>$H11*factors!HV$3</f>
        <v>0.44075222794259994</v>
      </c>
      <c r="IC11" s="3">
        <f>$H11*factors!HW$3</f>
        <v>0.4451031877446</v>
      </c>
      <c r="ID11" s="3">
        <f>$H11*factors!HX$3</f>
        <v>0.41334118118999996</v>
      </c>
      <c r="IE11" s="3">
        <f>$H11*factors!HY$3</f>
        <v>0.43901184402179999</v>
      </c>
      <c r="IF11" s="3">
        <f>$H11*factors!HZ$3</f>
        <v>0.43640126814059998</v>
      </c>
      <c r="IG11" s="3">
        <f>$H11*factors!IA$3</f>
        <v>0.43248540431880006</v>
      </c>
      <c r="IH11" s="3">
        <f>$H11*factors!IB$3</f>
        <v>0.44858395558620001</v>
      </c>
      <c r="II11" s="3">
        <f>$H11*factors!IC$3</f>
        <v>0.42943973245740003</v>
      </c>
      <c r="IJ11" s="3">
        <f>$H11*factors!ID$3</f>
        <v>0.43335559627920001</v>
      </c>
      <c r="IK11" s="3">
        <f>$H11*factors!IE$3</f>
        <v>0.44901905156640004</v>
      </c>
      <c r="IL11" s="3">
        <f>$H11*factors!IF$3</f>
        <v>0.42987482843760005</v>
      </c>
      <c r="IM11" s="3">
        <f>$H11*factors!IG$3</f>
        <v>0.42595896461580002</v>
      </c>
      <c r="IN11" s="3">
        <f>$H11*factors!IH$3</f>
        <v>0.42856954049700002</v>
      </c>
      <c r="IO11" s="3">
        <f>$H11*factors!II$3</f>
        <v>0.43292050029899998</v>
      </c>
      <c r="IP11" s="3">
        <f>$H11*factors!IJ$3</f>
        <v>0.41856233295240003</v>
      </c>
      <c r="IQ11" s="3">
        <f>$H11*factors!IK$3</f>
        <v>0.4172570450118</v>
      </c>
      <c r="IR11" s="3">
        <f>$H11*factors!IL$3</f>
        <v>0.42943973245740003</v>
      </c>
      <c r="IS11" s="3">
        <f>$H11*factors!IM$3</f>
        <v>0.43292050029899998</v>
      </c>
      <c r="IT11" s="3">
        <f>$H11*factors!IN$3</f>
        <v>0.43596617216040001</v>
      </c>
      <c r="IU11" s="3">
        <f>$H11*factors!IO$3</f>
        <v>0.44553828372480003</v>
      </c>
      <c r="IV11" s="3">
        <f>$H11*factors!IP$3</f>
        <v>0.45119453146739996</v>
      </c>
      <c r="IW11" s="3">
        <f>$H11*factors!IQ$3</f>
        <v>0.42639406059599999</v>
      </c>
      <c r="IX11" s="3">
        <f>$H11*factors!IR$3</f>
        <v>0.44553828372480003</v>
      </c>
      <c r="IY11" s="3">
        <f>$H11*factors!IS$3</f>
        <v>0.43901184402179999</v>
      </c>
      <c r="IZ11" s="3">
        <f>$H11*factors!IT$3</f>
        <v>0.44640847568520003</v>
      </c>
      <c r="JA11" s="3">
        <f>$H11*factors!IU$3</f>
        <v>0.42160800481379995</v>
      </c>
      <c r="JB11" s="3">
        <f>$H11*factors!IV$3</f>
        <v>0.42943973245740003</v>
      </c>
      <c r="JC11" s="3">
        <f>$H11*factors!IW$3</f>
        <v>0.41943252491280003</v>
      </c>
      <c r="JD11" s="3">
        <f>$H11*factors!IX$3</f>
        <v>0.45685077921000006</v>
      </c>
      <c r="JE11" s="3">
        <f>$H11*factors!IY$3</f>
        <v>0.42073781285340001</v>
      </c>
      <c r="JF11" s="3">
        <f>$H11*factors!IZ$3</f>
        <v>0.44162241990299994</v>
      </c>
      <c r="JG11" s="3">
        <f>$H11*factors!JA$3</f>
        <v>0.43379069225939998</v>
      </c>
      <c r="JH11" s="3">
        <f>$H11*factors!JB$3</f>
        <v>0.44205751588320008</v>
      </c>
      <c r="JI11" s="3">
        <f>$H11*factors!JC$3</f>
        <v>0.41377627717020005</v>
      </c>
      <c r="JJ11" s="3">
        <f>$H11*factors!JD$3</f>
        <v>0.44553828372480003</v>
      </c>
      <c r="JK11" s="3">
        <f>$H11*factors!JE$3</f>
        <v>0.43118011637820003</v>
      </c>
      <c r="JL11" s="3">
        <f>$H11*factors!JF$3</f>
        <v>0.44858395558620001</v>
      </c>
      <c r="JM11" s="3">
        <f>$H11*factors!JG$3</f>
        <v>0.41856233295240003</v>
      </c>
      <c r="JN11" s="3">
        <f>$H11*factors!JH$3</f>
        <v>0.41856233295240003</v>
      </c>
      <c r="JO11" s="3">
        <f>$H11*factors!JI$3</f>
        <v>0.41334118118999996</v>
      </c>
      <c r="JP11" s="3">
        <f>$H11*factors!JJ$3</f>
        <v>0.44684357166540001</v>
      </c>
      <c r="JQ11" s="3">
        <f>$H11*factors!JK$3</f>
        <v>0.43553107618019998</v>
      </c>
      <c r="JR11" s="3">
        <f>$H11*factors!JL$3</f>
        <v>0.45249981940799999</v>
      </c>
      <c r="JS11" s="3">
        <f>$H11*factors!JM$3</f>
        <v>0.41334118118999996</v>
      </c>
      <c r="JT11" s="3">
        <f>$H11*factors!JN$3</f>
        <v>0.43422578823960001</v>
      </c>
      <c r="JU11" s="3">
        <f>$H11*factors!JO$3</f>
        <v>0.419867620893</v>
      </c>
      <c r="JV11" s="3">
        <f>$H11*factors!JP$3</f>
        <v>0.42682915657620002</v>
      </c>
      <c r="JW11" s="3">
        <f>$H11*factors!JQ$3</f>
        <v>0.45598058724960006</v>
      </c>
      <c r="JX11" s="3">
        <f>$H11*factors!JR$3</f>
        <v>0.45162962744759999</v>
      </c>
      <c r="JY11" s="3">
        <f>$H11*factors!JS$3</f>
        <v>0.42508877265540002</v>
      </c>
      <c r="JZ11" s="3">
        <f>$H11*factors!JT$3</f>
        <v>0.42987482843760005</v>
      </c>
      <c r="KA11" s="3">
        <f>$H11*factors!JU$3</f>
        <v>0.43161521235840006</v>
      </c>
      <c r="KB11" s="3">
        <f>$H11*factors!JV$3</f>
        <v>0.4172570450118</v>
      </c>
      <c r="KC11" s="3">
        <f>$H11*factors!JW$3</f>
        <v>0.41943252491280003</v>
      </c>
      <c r="KD11" s="3">
        <f>$H11*factors!JX$3</f>
        <v>0.419867620893</v>
      </c>
      <c r="KE11" s="3">
        <f>$H11*factors!JY$3</f>
        <v>0.44684357166540001</v>
      </c>
      <c r="KF11" s="3">
        <f>$H11*factors!JZ$3</f>
        <v>0.45206472342779996</v>
      </c>
      <c r="KG11" s="3">
        <f>$H11*factors!KA$3</f>
        <v>0.43596617216040001</v>
      </c>
      <c r="KH11" s="3">
        <f>$H11*factors!KB$3</f>
        <v>0.42639406059599999</v>
      </c>
      <c r="KI11" s="3">
        <f>$H11*factors!KC$3</f>
        <v>0.42247819677419995</v>
      </c>
    </row>
    <row r="12" spans="1:295" x14ac:dyDescent="0.55000000000000004">
      <c r="A12" t="s">
        <v>387</v>
      </c>
      <c r="B12">
        <v>11</v>
      </c>
      <c r="C12">
        <v>230</v>
      </c>
      <c r="D12" t="s">
        <v>377</v>
      </c>
      <c r="E12">
        <v>3.8930000000000002E-3</v>
      </c>
      <c r="F12">
        <v>11</v>
      </c>
      <c r="G12">
        <f>VLOOKUP(D12,demand_forecasted!$A$2:$G$11,2)</f>
        <v>11098</v>
      </c>
      <c r="H12" s="3">
        <f t="shared" si="0"/>
        <v>0.43204514000000005</v>
      </c>
      <c r="I12" s="3">
        <f>$H12*factors!C$3</f>
        <v>0.47827396998000005</v>
      </c>
      <c r="J12" s="3">
        <f>$H12*factors!D$3</f>
        <v>0.46100944618560002</v>
      </c>
      <c r="K12" s="3">
        <f>$H12*factors!E$3</f>
        <v>0.45307709741520008</v>
      </c>
      <c r="L12" s="3">
        <f>$H12*factors!F$3</f>
        <v>0.45167727116160011</v>
      </c>
      <c r="M12" s="3">
        <f>$H12*factors!G$3</f>
        <v>0.45121066241040003</v>
      </c>
      <c r="N12" s="3">
        <f>$H12*factors!H$3</f>
        <v>0.46427570744400004</v>
      </c>
      <c r="O12" s="3">
        <f>$H12*factors!I$3</f>
        <v>0.47454109997040006</v>
      </c>
      <c r="P12" s="3">
        <f>$H12*factors!J$3</f>
        <v>0.4801404049848001</v>
      </c>
      <c r="Q12" s="3">
        <f>$H12*factors!K$3</f>
        <v>0.45074405365920006</v>
      </c>
      <c r="R12" s="3">
        <f>$H12*factors!L$3</f>
        <v>0.44327831364000009</v>
      </c>
      <c r="S12" s="3">
        <f>$H12*factors!M$3</f>
        <v>0.46147605493680005</v>
      </c>
      <c r="T12" s="3">
        <f>$H12*factors!N$3</f>
        <v>0.47734075247760005</v>
      </c>
      <c r="U12" s="3">
        <f>$H12*factors!O$3</f>
        <v>0.45214387991280008</v>
      </c>
      <c r="V12" s="3">
        <f>$H12*factors!P$3</f>
        <v>0.4703416212096001</v>
      </c>
      <c r="W12" s="3">
        <f>$H12*factors!Q$3</f>
        <v>0.47454109997040006</v>
      </c>
      <c r="X12" s="3">
        <f>$H12*factors!R$3</f>
        <v>0.45401031491760008</v>
      </c>
      <c r="Y12" s="3">
        <f>$H12*factors!S$3</f>
        <v>0.44981083615680006</v>
      </c>
      <c r="Z12" s="3">
        <f>$H12*factors!T$3</f>
        <v>0.48527310124800016</v>
      </c>
      <c r="AA12" s="3">
        <f>$H12*factors!U$3</f>
        <v>0.45820979367840003</v>
      </c>
      <c r="AB12" s="3">
        <f>$H12*factors!V$3</f>
        <v>0.45867640242960012</v>
      </c>
      <c r="AC12" s="3">
        <f>$H12*factors!W$3</f>
        <v>0.45914301118080009</v>
      </c>
      <c r="AD12" s="3">
        <f>$H12*factors!X$3</f>
        <v>0.44934422740560009</v>
      </c>
      <c r="AE12" s="3">
        <f>$H12*factors!Y$3</f>
        <v>0.45307709741520008</v>
      </c>
      <c r="AF12" s="3">
        <f>$H12*factors!Z$3</f>
        <v>0.4624092724392001</v>
      </c>
      <c r="AG12" s="3">
        <f>$H12*factors!AA$3</f>
        <v>0.45074405365920006</v>
      </c>
      <c r="AH12" s="3">
        <f>$H12*factors!AB$3</f>
        <v>0.44887761865440012</v>
      </c>
      <c r="AI12" s="3">
        <f>$H12*factors!AC$3</f>
        <v>0.4633424899416001</v>
      </c>
      <c r="AJ12" s="3">
        <f>$H12*factors!AD$3</f>
        <v>0.48107362248720009</v>
      </c>
      <c r="AK12" s="3">
        <f>$H12*factors!AE$3</f>
        <v>0.46287588119040007</v>
      </c>
      <c r="AL12" s="3">
        <f>$H12*factors!AF$3</f>
        <v>0.4446781398936</v>
      </c>
      <c r="AM12" s="3">
        <f>$H12*factors!AG$3</f>
        <v>0.45727657617600004</v>
      </c>
      <c r="AN12" s="3">
        <f>$H12*factors!AH$3</f>
        <v>0.44981083615680006</v>
      </c>
      <c r="AO12" s="3">
        <f>$H12*factors!AI$3</f>
        <v>0.47127483871200004</v>
      </c>
      <c r="AP12" s="3">
        <f>$H12*factors!AJ$3</f>
        <v>0.45167727116160011</v>
      </c>
      <c r="AQ12" s="3">
        <f>$H12*factors!AK$3</f>
        <v>0.46614214244880009</v>
      </c>
      <c r="AR12" s="3">
        <f>$H12*factors!AL$3</f>
        <v>0.45587674992240007</v>
      </c>
      <c r="AS12" s="3">
        <f>$H12*factors!AM$3</f>
        <v>0.4446781398936</v>
      </c>
      <c r="AT12" s="3">
        <f>$H12*factors!AN$3</f>
        <v>0.45867640242960012</v>
      </c>
      <c r="AU12" s="3">
        <f>$H12*factors!AO$3</f>
        <v>0.48573970999920002</v>
      </c>
      <c r="AV12" s="3">
        <f>$H12*factors!AP$3</f>
        <v>0.45914301118080009</v>
      </c>
      <c r="AW12" s="3">
        <f>$H12*factors!AQ$3</f>
        <v>0.45447692366880005</v>
      </c>
      <c r="AX12" s="3">
        <f>$H12*factors!AR$3</f>
        <v>0.48060701373600007</v>
      </c>
      <c r="AY12" s="3">
        <f>$H12*factors!AS$3</f>
        <v>0.44327831364000009</v>
      </c>
      <c r="AZ12" s="3">
        <f>$H12*factors!AT$3</f>
        <v>0.47500770872160014</v>
      </c>
      <c r="BA12" s="3">
        <f>$H12*factors!AU$3</f>
        <v>0.46474231619520007</v>
      </c>
      <c r="BB12" s="3">
        <f>$H12*factors!AV$3</f>
        <v>0.45867640242960012</v>
      </c>
      <c r="BC12" s="3">
        <f>$H12*factors!AW$3</f>
        <v>0.48527310124800016</v>
      </c>
      <c r="BD12" s="3">
        <f>$H12*factors!AX$3</f>
        <v>0.44794440115200002</v>
      </c>
      <c r="BE12" s="3">
        <f>$H12*factors!AY$3</f>
        <v>0.52663710295160004</v>
      </c>
      <c r="BF12" s="3">
        <f>$H12*factors!AZ$3</f>
        <v>0.49044036112240003</v>
      </c>
      <c r="BG12" s="3">
        <f>$H12*factors!BA$3</f>
        <v>0.49757774683519995</v>
      </c>
      <c r="BH12" s="3">
        <f>$H12*factors!BB$3</f>
        <v>0.50420531928279999</v>
      </c>
      <c r="BI12" s="3">
        <f>$H12*factors!BC$3</f>
        <v>0.52255859682999994</v>
      </c>
      <c r="BJ12" s="3">
        <f>$H12*factors!BD$3</f>
        <v>0.4991071866308</v>
      </c>
      <c r="BK12" s="3">
        <f>$H12*factors!BE$3</f>
        <v>0.5001268131612</v>
      </c>
      <c r="BL12" s="3">
        <f>$H12*factors!BF$3</f>
        <v>0.49451886724399996</v>
      </c>
      <c r="BM12" s="3">
        <f>$H12*factors!BG$3</f>
        <v>0.5281665427472001</v>
      </c>
      <c r="BN12" s="3">
        <f>$H12*factors!BH$3</f>
        <v>0.52153897029960006</v>
      </c>
      <c r="BO12" s="3">
        <f>$H12*factors!BI$3</f>
        <v>0.49044036112240003</v>
      </c>
      <c r="BP12" s="3">
        <f>$H12*factors!BJ$3</f>
        <v>0.48891092132679997</v>
      </c>
      <c r="BQ12" s="3">
        <f>$H12*factors!BK$3</f>
        <v>0.49706793357000001</v>
      </c>
      <c r="BR12" s="3">
        <f>$H12*factors!BL$3</f>
        <v>0.51491139785200002</v>
      </c>
      <c r="BS12" s="3">
        <f>$H12*factors!BM$3</f>
        <v>0.5230684100952</v>
      </c>
      <c r="BT12" s="3">
        <f>$H12*factors!BN$3</f>
        <v>0.52459784989080005</v>
      </c>
      <c r="BU12" s="3">
        <f>$H12*factors!BO$3</f>
        <v>0.53326467539920008</v>
      </c>
      <c r="BV12" s="3">
        <f>$H12*factors!BP$3</f>
        <v>0.49604830703960001</v>
      </c>
      <c r="BW12" s="3">
        <f>$H12*factors!BQ$3</f>
        <v>0.50726419887399998</v>
      </c>
      <c r="BX12" s="3">
        <f>$H12*factors!BR$3</f>
        <v>0.49757774683519995</v>
      </c>
      <c r="BY12" s="3">
        <f>$H12*factors!BS$3</f>
        <v>0.52051934376919995</v>
      </c>
      <c r="BZ12" s="3">
        <f>$H12*factors!BT$3</f>
        <v>0.51083289173040003</v>
      </c>
      <c r="CA12" s="3">
        <f>$H12*factors!BU$3</f>
        <v>0.50420531928279999</v>
      </c>
      <c r="CB12" s="3">
        <f>$H12*factors!BV$3</f>
        <v>0.48789129479640003</v>
      </c>
      <c r="CC12" s="3">
        <f>$H12*factors!BW$3</f>
        <v>0.502166066222</v>
      </c>
      <c r="CD12" s="3">
        <f>$H12*factors!BX$3</f>
        <v>0.50369550601760005</v>
      </c>
      <c r="CE12" s="3">
        <f>$H12*factors!BY$3</f>
        <v>0.51083289173040003</v>
      </c>
      <c r="CF12" s="3">
        <f>$H12*factors!BZ$3</f>
        <v>0.5031856927524001</v>
      </c>
      <c r="CG12" s="3">
        <f>$H12*factors!CA$3</f>
        <v>0.48636185500079998</v>
      </c>
      <c r="CH12" s="3">
        <f>$H12*factors!CB$3</f>
        <v>0.48687166826599998</v>
      </c>
      <c r="CI12" s="3">
        <f>$H12*factors!CC$3</f>
        <v>0.48432260194000004</v>
      </c>
      <c r="CJ12" s="3">
        <f>$H12*factors!CD$3</f>
        <v>0.50420531928279999</v>
      </c>
      <c r="CK12" s="3">
        <f>$H12*factors!CE$3</f>
        <v>0.52663710295160004</v>
      </c>
      <c r="CL12" s="3">
        <f>$H12*factors!CF$3</f>
        <v>0.49349924071360002</v>
      </c>
      <c r="CM12" s="3">
        <f>$H12*factors!CG$3</f>
        <v>0.50522494581319999</v>
      </c>
      <c r="CN12" s="3">
        <f>$H12*factors!CH$3</f>
        <v>0.48840110806160003</v>
      </c>
      <c r="CO12" s="3">
        <f>$H12*factors!CI$3</f>
        <v>0.49196980091799997</v>
      </c>
      <c r="CP12" s="3">
        <f>$H12*factors!CJ$3</f>
        <v>0.51542121111719996</v>
      </c>
      <c r="CQ12" s="3">
        <f>$H12*factors!CK$3</f>
        <v>0.5001268131612</v>
      </c>
      <c r="CR12" s="3">
        <f>$H12*factors!CL$3</f>
        <v>0.51593102438240002</v>
      </c>
      <c r="CS12" s="3">
        <f>$H12*factors!CM$3</f>
        <v>0.53224504886879997</v>
      </c>
      <c r="CT12" s="3">
        <f>$H12*factors!CN$3</f>
        <v>0.52612728968639999</v>
      </c>
      <c r="CU12" s="3">
        <f>$H12*factors!CO$3</f>
        <v>0.51440158458679996</v>
      </c>
      <c r="CV12" s="3">
        <f>$H12*factors!CP$3</f>
        <v>0.53530392845999997</v>
      </c>
      <c r="CW12" s="3">
        <f>$H12*factors!CQ$3</f>
        <v>0.5062445723436001</v>
      </c>
      <c r="CX12" s="3">
        <f>$H12*factors!CR$3</f>
        <v>0.49859737336560006</v>
      </c>
      <c r="CY12" s="3">
        <f>$H12*factors!CS$3</f>
        <v>0.49400905397880002</v>
      </c>
      <c r="CZ12" s="3">
        <f>$H12*factors!CT$3</f>
        <v>0.48687166826599998</v>
      </c>
      <c r="DA12" s="3">
        <f>$H12*factors!CU$3</f>
        <v>0.5054928138</v>
      </c>
      <c r="DB12" s="3">
        <f>$H12*factors!CV$3</f>
        <v>0.53815542638400005</v>
      </c>
      <c r="DC12" s="3">
        <f>$H12*factors!CW$3</f>
        <v>0.51534344299199997</v>
      </c>
      <c r="DD12" s="3">
        <f>$H12*factors!CX$3</f>
        <v>0.51171426381600005</v>
      </c>
      <c r="DE12" s="3">
        <f>$H12*factors!CY$3</f>
        <v>0.52674943468800006</v>
      </c>
      <c r="DF12" s="3">
        <f>$H12*factors!CZ$3</f>
        <v>0.52571252635200005</v>
      </c>
      <c r="DG12" s="3">
        <f>$H12*factors!DA$3</f>
        <v>0.52363870968000004</v>
      </c>
      <c r="DH12" s="3">
        <f>$H12*factors!DB$3</f>
        <v>0.52363870968000004</v>
      </c>
      <c r="DI12" s="3">
        <f>$H12*factors!DC$3</f>
        <v>0.50393745129599998</v>
      </c>
      <c r="DJ12" s="3">
        <f>$H12*factors!DD$3</f>
        <v>0.53400779304000001</v>
      </c>
      <c r="DK12" s="3">
        <f>$H12*factors!DE$3</f>
        <v>0.53400779304000001</v>
      </c>
      <c r="DL12" s="3">
        <f>$H12*factors!DF$3</f>
        <v>0.52778634302400007</v>
      </c>
      <c r="DM12" s="3">
        <f>$H12*factors!DG$3</f>
        <v>0.49719754711199998</v>
      </c>
      <c r="DN12" s="3">
        <f>$H12*factors!DH$3</f>
        <v>0.52156489300800013</v>
      </c>
      <c r="DO12" s="3">
        <f>$H12*factors!DI$3</f>
        <v>0.53867388055200005</v>
      </c>
      <c r="DP12" s="3">
        <f>$H12*factors!DJ$3</f>
        <v>0.53400779304000001</v>
      </c>
      <c r="DQ12" s="3">
        <f>$H12*factors!DK$3</f>
        <v>0.50912199297600003</v>
      </c>
      <c r="DR12" s="3">
        <f>$H12*factors!DL$3</f>
        <v>0.50341899712800009</v>
      </c>
      <c r="DS12" s="3">
        <f>$H12*factors!DM$3</f>
        <v>0.54385842223199998</v>
      </c>
      <c r="DT12" s="3">
        <f>$H12*factors!DN$3</f>
        <v>0.51119580964800004</v>
      </c>
      <c r="DU12" s="3">
        <f>$H12*factors!DO$3</f>
        <v>0.53504470137600002</v>
      </c>
      <c r="DV12" s="3">
        <f>$H12*factors!DP$3</f>
        <v>0.52260180134400003</v>
      </c>
      <c r="DW12" s="3">
        <f>$H12*factors!DQ$3</f>
        <v>0.498752909616</v>
      </c>
      <c r="DX12" s="3">
        <f>$H12*factors!DR$3</f>
        <v>0.52830479719199996</v>
      </c>
      <c r="DY12" s="3">
        <f>$H12*factors!DS$3</f>
        <v>0.50134518045599996</v>
      </c>
      <c r="DZ12" s="3">
        <f>$H12*factors!DT$3</f>
        <v>0.53608160971200003</v>
      </c>
      <c r="EA12" s="3">
        <f>$H12*factors!DU$3</f>
        <v>0.50497435963199999</v>
      </c>
      <c r="EB12" s="3">
        <f>$H12*factors!DV$3</f>
        <v>0.4925314596</v>
      </c>
      <c r="EC12" s="3">
        <f>$H12*factors!DW$3</f>
        <v>0.52986015969600009</v>
      </c>
      <c r="ED12" s="3">
        <f>$H12*factors!DX$3</f>
        <v>0.49719754711199998</v>
      </c>
      <c r="EE12" s="3">
        <f>$H12*factors!DY$3</f>
        <v>0.50134518045599996</v>
      </c>
      <c r="EF12" s="3">
        <f>$H12*factors!DZ$3</f>
        <v>0.54385842223199998</v>
      </c>
      <c r="EG12" s="3">
        <f>$H12*factors!EA$3</f>
        <v>0.50808508464000002</v>
      </c>
      <c r="EH12" s="3">
        <f>$H12*factors!EB$3</f>
        <v>0.50964044714400003</v>
      </c>
      <c r="EI12" s="3">
        <f>$H12*factors!EC$3</f>
        <v>0.50860353880800002</v>
      </c>
      <c r="EJ12" s="3">
        <f>$H12*factors!ED$3</f>
        <v>0.49564218460800008</v>
      </c>
      <c r="EK12" s="3">
        <f>$H12*factors!EE$3</f>
        <v>0.52986015969600009</v>
      </c>
      <c r="EL12" s="3">
        <f>$H12*factors!EF$3</f>
        <v>0.50393745129599998</v>
      </c>
      <c r="EM12" s="3">
        <f>$H12*factors!EG$3</f>
        <v>0.52415716384800004</v>
      </c>
      <c r="EN12" s="3">
        <f>$H12*factors!EH$3</f>
        <v>0.4925314596</v>
      </c>
      <c r="EO12" s="3">
        <f>$H12*factors!EI$3</f>
        <v>0.499789817952</v>
      </c>
      <c r="EP12" s="3">
        <f>$H12*factors!EJ$3</f>
        <v>0.52726788885600007</v>
      </c>
      <c r="EQ12" s="3">
        <f>$H12*factors!EK$3</f>
        <v>0.51275117215199995</v>
      </c>
      <c r="ER12" s="3">
        <f>$H12*factors!EL$3</f>
        <v>0.53400779304000001</v>
      </c>
      <c r="ES12" s="3">
        <f>$H12*factors!EM$3</f>
        <v>0.52726788885600007</v>
      </c>
      <c r="ET12" s="3">
        <f>$H12*factors!EN$3</f>
        <v>0.53919233472000005</v>
      </c>
      <c r="EU12" s="3">
        <f>$H12*factors!EO$3</f>
        <v>0.5443768764000001</v>
      </c>
      <c r="EV12" s="3">
        <f>$H12*factors!EP$3</f>
        <v>0.51015890131200003</v>
      </c>
      <c r="EW12" s="3">
        <f>$H12*factors!EQ$3</f>
        <v>0.56111862557500003</v>
      </c>
      <c r="EX12" s="3">
        <f>$H12*factors!ER$3</f>
        <v>0.55517800490000013</v>
      </c>
      <c r="EY12" s="3">
        <f>$H12*factors!ES$3</f>
        <v>0.56651918982499994</v>
      </c>
      <c r="EZ12" s="3">
        <f>$H12*factors!ET$3</f>
        <v>0.56111862557500003</v>
      </c>
      <c r="FA12" s="3">
        <f>$H12*factors!EU$3</f>
        <v>0.51575388587500004</v>
      </c>
      <c r="FB12" s="3">
        <f>$H12*factors!EV$3</f>
        <v>0.53897631215000008</v>
      </c>
      <c r="FC12" s="3">
        <f>$H12*factors!EW$3</f>
        <v>0.55409789205000004</v>
      </c>
      <c r="FD12" s="3">
        <f>$H12*factors!EX$3</f>
        <v>0.53465586075000004</v>
      </c>
      <c r="FE12" s="3">
        <f>$H12*factors!EY$3</f>
        <v>0.5632788512750001</v>
      </c>
      <c r="FF12" s="3">
        <f>$H12*factors!EZ$3</f>
        <v>0.56381890770000009</v>
      </c>
      <c r="FG12" s="3">
        <f>$H12*factors!FA$3</f>
        <v>0.51575388587500004</v>
      </c>
      <c r="FH12" s="3">
        <f>$H12*factors!FB$3</f>
        <v>0.54275670712500002</v>
      </c>
      <c r="FI12" s="3">
        <f>$H12*factors!FC$3</f>
        <v>0.56543907697499995</v>
      </c>
      <c r="FJ12" s="3">
        <f>$H12*factors!FD$3</f>
        <v>0.54275670712500002</v>
      </c>
      <c r="FK12" s="3">
        <f>$H12*factors!FE$3</f>
        <v>0.55193766635000008</v>
      </c>
      <c r="FL12" s="3">
        <f>$H12*factors!FF$3</f>
        <v>0.55355783562500005</v>
      </c>
      <c r="FM12" s="3">
        <f>$H12*factors!FG$3</f>
        <v>0.55949845630000006</v>
      </c>
      <c r="FN12" s="3">
        <f>$H12*factors!FH$3</f>
        <v>0.52331467582500002</v>
      </c>
      <c r="FO12" s="3">
        <f>$H12*factors!FI$3</f>
        <v>0.55571806132500001</v>
      </c>
      <c r="FP12" s="3">
        <f>$H12*factors!FJ$3</f>
        <v>0.54005642500000006</v>
      </c>
      <c r="FQ12" s="3">
        <f>$H12*factors!FK$3</f>
        <v>0.53465586075000004</v>
      </c>
      <c r="FR12" s="3">
        <f>$H12*factors!FL$3</f>
        <v>0.54545698925000008</v>
      </c>
      <c r="FS12" s="3">
        <f>$H12*factors!FM$3</f>
        <v>0.54221665070000002</v>
      </c>
      <c r="FT12" s="3">
        <f>$H12*factors!FN$3</f>
        <v>0.55409789205000004</v>
      </c>
      <c r="FU12" s="3">
        <f>$H12*factors!FO$3</f>
        <v>0.53249563505000008</v>
      </c>
      <c r="FV12" s="3">
        <f>$H12*factors!FP$3</f>
        <v>0.52817518365000005</v>
      </c>
      <c r="FW12" s="3">
        <f>$H12*factors!FQ$3</f>
        <v>0.56543907697499995</v>
      </c>
      <c r="FX12" s="3">
        <f>$H12*factors!FR$3</f>
        <v>0.55517800490000013</v>
      </c>
      <c r="FY12" s="3">
        <f>$H12*factors!FS$3</f>
        <v>0.543836819975</v>
      </c>
      <c r="FZ12" s="3">
        <f>$H12*factors!FT$3</f>
        <v>0.51683399872500002</v>
      </c>
      <c r="GA12" s="3">
        <f>$H12*factors!FU$3</f>
        <v>0.543836819975</v>
      </c>
      <c r="GB12" s="3">
        <f>$H12*factors!FV$3</f>
        <v>0.56381890770000009</v>
      </c>
      <c r="GC12" s="3">
        <f>$H12*factors!FW$3</f>
        <v>0.52817518365000005</v>
      </c>
      <c r="GD12" s="3">
        <f>$H12*factors!FX$3</f>
        <v>0.537356142875</v>
      </c>
      <c r="GE12" s="3">
        <f>$H12*factors!FY$3</f>
        <v>0.537356142875</v>
      </c>
      <c r="GF12" s="3">
        <f>$H12*factors!FZ$3</f>
        <v>0.53573597360000003</v>
      </c>
      <c r="GG12" s="3">
        <f>$H12*factors!GA$3</f>
        <v>0.51467377302500006</v>
      </c>
      <c r="GH12" s="3">
        <f>$H12*factors!GB$3</f>
        <v>0.54761721495000004</v>
      </c>
      <c r="GI12" s="3">
        <f>$H12*factors!GC$3</f>
        <v>0.51359366017500008</v>
      </c>
      <c r="GJ12" s="3">
        <f>$H12*factors!GD$3</f>
        <v>0.51467377302500006</v>
      </c>
      <c r="GK12" s="3">
        <f>$H12*factors!GE$3</f>
        <v>0.52763512722500006</v>
      </c>
      <c r="GL12" s="3">
        <f>$H12*factors!GF$3</f>
        <v>0.55895839987500007</v>
      </c>
      <c r="GM12" s="3">
        <f>$H12*factors!GG$3</f>
        <v>0.52979535292500013</v>
      </c>
      <c r="GN12" s="3">
        <f>$H12*factors!GH$3</f>
        <v>0.54653710210000017</v>
      </c>
      <c r="GO12" s="3">
        <f>$H12*factors!GI$3</f>
        <v>0.51629394230000003</v>
      </c>
      <c r="GP12" s="3">
        <f>$H12*factors!GJ$3</f>
        <v>0.55355783562500005</v>
      </c>
      <c r="GQ12" s="3">
        <f>$H12*factors!GK$3</f>
        <v>0.56489902055000007</v>
      </c>
      <c r="GR12" s="3">
        <f>$H12*factors!GL$3</f>
        <v>0.55409789205000004</v>
      </c>
      <c r="GS12" s="3">
        <f>$H12*factors!GM$3</f>
        <v>0.52400594804900003</v>
      </c>
      <c r="GT12" s="3">
        <f>$H12*factors!GN$3</f>
        <v>0.53607728926060005</v>
      </c>
      <c r="GU12" s="3">
        <f>$H12*factors!GO$3</f>
        <v>0.54869732780000002</v>
      </c>
      <c r="GV12" s="3">
        <f>$H12*factors!GP$3</f>
        <v>0.52674943468800006</v>
      </c>
      <c r="GW12" s="3">
        <f>$H12*factors!GQ$3</f>
        <v>0.54540514383320005</v>
      </c>
      <c r="GX12" s="3">
        <f>$H12*factors!GR$3</f>
        <v>0.53662598658839999</v>
      </c>
      <c r="GY12" s="3">
        <f>$H12*factors!GS$3</f>
        <v>0.53388249994940007</v>
      </c>
      <c r="GZ12" s="3">
        <f>$H12*factors!GT$3</f>
        <v>0.55363560375020004</v>
      </c>
      <c r="HA12" s="3">
        <f>$H12*factors!GU$3</f>
        <v>0.5355285919328</v>
      </c>
      <c r="HB12" s="3">
        <f>$H12*factors!GV$3</f>
        <v>0.55363560375020004</v>
      </c>
      <c r="HC12" s="3">
        <f>$H12*factors!GW$3</f>
        <v>0.53991817055519997</v>
      </c>
      <c r="HD12" s="3">
        <f>$H12*factors!GX$3</f>
        <v>0.55583039306140003</v>
      </c>
      <c r="HE12" s="3">
        <f>$H12*factors!GY$3</f>
        <v>0.54869732780000002</v>
      </c>
      <c r="HF12" s="3">
        <f>$H12*factors!GZ$3</f>
        <v>0.56570694496180007</v>
      </c>
      <c r="HG12" s="3">
        <f>$H12*factors!HA$3</f>
        <v>0.5437590518498</v>
      </c>
      <c r="HH12" s="3">
        <f>$H12*factors!HB$3</f>
        <v>0.53662598658839999</v>
      </c>
      <c r="HI12" s="3">
        <f>$H12*factors!HC$3</f>
        <v>0.53004161865480004</v>
      </c>
      <c r="HJ12" s="3">
        <f>$H12*factors!HD$3</f>
        <v>0.52400594804900003</v>
      </c>
      <c r="HK12" s="3">
        <f>$H12*factors!HE$3</f>
        <v>0.5541843010780001</v>
      </c>
      <c r="HL12" s="3">
        <f>$H12*factors!HF$3</f>
        <v>0.52235985606559998</v>
      </c>
      <c r="HM12" s="3">
        <f>$H12*factors!HG$3</f>
        <v>0.52784682934360005</v>
      </c>
      <c r="HN12" s="3">
        <f>$H12*factors!HH$3</f>
        <v>0.56296345832280015</v>
      </c>
      <c r="HO12" s="3">
        <f>$H12*factors!HI$3</f>
        <v>0.53991817055519997</v>
      </c>
      <c r="HP12" s="3">
        <f>$H12*factors!HJ$3</f>
        <v>0.57613219419000017</v>
      </c>
      <c r="HQ12" s="3">
        <f>$H12*factors!HK$3</f>
        <v>0.52674943468800006</v>
      </c>
      <c r="HR12" s="3">
        <f>$H12*factors!HL$3</f>
        <v>0.55857387970040007</v>
      </c>
      <c r="HS12" s="3">
        <f>$H12*factors!HM$3</f>
        <v>0.56845043160080011</v>
      </c>
      <c r="HT12" s="3">
        <f>$H12*factors!HN$3</f>
        <v>0.53004161865480004</v>
      </c>
      <c r="HU12" s="3">
        <f>$H12*factors!HO$3</f>
        <v>0.5355285919328</v>
      </c>
      <c r="HV12" s="3">
        <f>$H12*factors!HP$3</f>
        <v>0.54211295986640007</v>
      </c>
      <c r="HW12" s="3">
        <f>$H12*factors!HQ$3</f>
        <v>0.54979472245560002</v>
      </c>
      <c r="HX12" s="3">
        <f>$H12*factors!HR$3</f>
        <v>0.57229131289540003</v>
      </c>
      <c r="HY12" s="3">
        <f>$H12*factors!HS$3</f>
        <v>0.5437590518498</v>
      </c>
      <c r="HZ12" s="3">
        <f>$H12*factors!HT$3</f>
        <v>0.56460955030620008</v>
      </c>
      <c r="IA12" s="3">
        <f>$H12*factors!HU$3</f>
        <v>0.53717468391620005</v>
      </c>
      <c r="IB12" s="3">
        <f>$H12*factors!HV$3</f>
        <v>0.55583039306140003</v>
      </c>
      <c r="IC12" s="3">
        <f>$H12*factors!HW$3</f>
        <v>0.5613173663394001</v>
      </c>
      <c r="ID12" s="3">
        <f>$H12*factors!HX$3</f>
        <v>0.52126246140999999</v>
      </c>
      <c r="IE12" s="3">
        <f>$H12*factors!HY$3</f>
        <v>0.55363560375020004</v>
      </c>
      <c r="IF12" s="3">
        <f>$H12*factors!HZ$3</f>
        <v>0.55034341978340007</v>
      </c>
      <c r="IG12" s="3">
        <f>$H12*factors!IA$3</f>
        <v>0.54540514383320005</v>
      </c>
      <c r="IH12" s="3">
        <f>$H12*factors!IB$3</f>
        <v>0.56570694496180007</v>
      </c>
      <c r="II12" s="3">
        <f>$H12*factors!IC$3</f>
        <v>0.54156426253860002</v>
      </c>
      <c r="IJ12" s="3">
        <f>$H12*factors!ID$3</f>
        <v>0.54650253848880004</v>
      </c>
      <c r="IK12" s="3">
        <f>$H12*factors!IE$3</f>
        <v>0.56625564228960013</v>
      </c>
      <c r="IL12" s="3">
        <f>$H12*factors!IF$3</f>
        <v>0.54211295986640007</v>
      </c>
      <c r="IM12" s="3">
        <f>$H12*factors!IG$3</f>
        <v>0.53717468391620005</v>
      </c>
      <c r="IN12" s="3">
        <f>$H12*factors!IH$3</f>
        <v>0.54046686788300002</v>
      </c>
      <c r="IO12" s="3">
        <f>$H12*factors!II$3</f>
        <v>0.54595384116099999</v>
      </c>
      <c r="IP12" s="3">
        <f>$H12*factors!IJ$3</f>
        <v>0.52784682934360005</v>
      </c>
      <c r="IQ12" s="3">
        <f>$H12*factors!IK$3</f>
        <v>0.52620073736020001</v>
      </c>
      <c r="IR12" s="3">
        <f>$H12*factors!IL$3</f>
        <v>0.54156426253860002</v>
      </c>
      <c r="IS12" s="3">
        <f>$H12*factors!IM$3</f>
        <v>0.54595384116099999</v>
      </c>
      <c r="IT12" s="3">
        <f>$H12*factors!IN$3</f>
        <v>0.54979472245560002</v>
      </c>
      <c r="IU12" s="3">
        <f>$H12*factors!IO$3</f>
        <v>0.56186606366720004</v>
      </c>
      <c r="IV12" s="3">
        <f>$H12*factors!IP$3</f>
        <v>0.56899912892860005</v>
      </c>
      <c r="IW12" s="3">
        <f>$H12*factors!IQ$3</f>
        <v>0.53772338124399999</v>
      </c>
      <c r="IX12" s="3">
        <f>$H12*factors!IR$3</f>
        <v>0.56186606366720004</v>
      </c>
      <c r="IY12" s="3">
        <f>$H12*factors!IS$3</f>
        <v>0.55363560375020004</v>
      </c>
      <c r="IZ12" s="3">
        <f>$H12*factors!IT$3</f>
        <v>0.56296345832280015</v>
      </c>
      <c r="JA12" s="3">
        <f>$H12*factors!IU$3</f>
        <v>0.53168771063819997</v>
      </c>
      <c r="JB12" s="3">
        <f>$H12*factors!IV$3</f>
        <v>0.54156426253860002</v>
      </c>
      <c r="JC12" s="3">
        <f>$H12*factors!IW$3</f>
        <v>0.52894422399920005</v>
      </c>
      <c r="JD12" s="3">
        <f>$H12*factors!IX$3</f>
        <v>0.57613219419000017</v>
      </c>
      <c r="JE12" s="3">
        <f>$H12*factors!IY$3</f>
        <v>0.53059031598259998</v>
      </c>
      <c r="JF12" s="3">
        <f>$H12*factors!IZ$3</f>
        <v>0.55692778771700002</v>
      </c>
      <c r="JG12" s="3">
        <f>$H12*factors!JA$3</f>
        <v>0.54705123581659998</v>
      </c>
      <c r="JH12" s="3">
        <f>$H12*factors!JB$3</f>
        <v>0.55747648504480007</v>
      </c>
      <c r="JI12" s="3">
        <f>$H12*factors!JC$3</f>
        <v>0.52181115873780004</v>
      </c>
      <c r="JJ12" s="3">
        <f>$H12*factors!JD$3</f>
        <v>0.56186606366720004</v>
      </c>
      <c r="JK12" s="3">
        <f>$H12*factors!JE$3</f>
        <v>0.5437590518498</v>
      </c>
      <c r="JL12" s="3">
        <f>$H12*factors!JF$3</f>
        <v>0.56570694496180007</v>
      </c>
      <c r="JM12" s="3">
        <f>$H12*factors!JG$3</f>
        <v>0.52784682934360005</v>
      </c>
      <c r="JN12" s="3">
        <f>$H12*factors!JH$3</f>
        <v>0.52784682934360005</v>
      </c>
      <c r="JO12" s="3">
        <f>$H12*factors!JI$3</f>
        <v>0.52126246140999999</v>
      </c>
      <c r="JP12" s="3">
        <f>$H12*factors!JJ$3</f>
        <v>0.56351215565060009</v>
      </c>
      <c r="JQ12" s="3">
        <f>$H12*factors!JK$3</f>
        <v>0.54924602512780007</v>
      </c>
      <c r="JR12" s="3">
        <f>$H12*factors!JL$3</f>
        <v>0.5706452209120001</v>
      </c>
      <c r="JS12" s="3">
        <f>$H12*factors!JM$3</f>
        <v>0.52126246140999999</v>
      </c>
      <c r="JT12" s="3">
        <f>$H12*factors!JN$3</f>
        <v>0.54759993314440003</v>
      </c>
      <c r="JU12" s="3">
        <f>$H12*factors!JO$3</f>
        <v>0.52949292132699999</v>
      </c>
      <c r="JV12" s="3">
        <f>$H12*factors!JP$3</f>
        <v>0.53827207857180004</v>
      </c>
      <c r="JW12" s="3">
        <f>$H12*factors!JQ$3</f>
        <v>0.57503479953440018</v>
      </c>
      <c r="JX12" s="3">
        <f>$H12*factors!JR$3</f>
        <v>0.5695478262564001</v>
      </c>
      <c r="JY12" s="3">
        <f>$H12*factors!JS$3</f>
        <v>0.53607728926060005</v>
      </c>
      <c r="JZ12" s="3">
        <f>$H12*factors!JT$3</f>
        <v>0.54211295986640007</v>
      </c>
      <c r="KA12" s="3">
        <f>$H12*factors!JU$3</f>
        <v>0.54430774917760005</v>
      </c>
      <c r="KB12" s="3">
        <f>$H12*factors!JV$3</f>
        <v>0.52620073736020001</v>
      </c>
      <c r="KC12" s="3">
        <f>$H12*factors!JW$3</f>
        <v>0.52894422399920005</v>
      </c>
      <c r="KD12" s="3">
        <f>$H12*factors!JX$3</f>
        <v>0.52949292132699999</v>
      </c>
      <c r="KE12" s="3">
        <f>$H12*factors!JY$3</f>
        <v>0.56351215565060009</v>
      </c>
      <c r="KF12" s="3">
        <f>$H12*factors!JZ$3</f>
        <v>0.57009652358420004</v>
      </c>
      <c r="KG12" s="3">
        <f>$H12*factors!KA$3</f>
        <v>0.54979472245560002</v>
      </c>
      <c r="KH12" s="3">
        <f>$H12*factors!KB$3</f>
        <v>0.53772338124399999</v>
      </c>
      <c r="KI12" s="3">
        <f>$H12*factors!KC$3</f>
        <v>0.53278510529379997</v>
      </c>
    </row>
    <row r="13" spans="1:295" x14ac:dyDescent="0.55000000000000004">
      <c r="A13" t="s">
        <v>389</v>
      </c>
      <c r="B13">
        <v>12</v>
      </c>
      <c r="C13">
        <v>230</v>
      </c>
      <c r="D13" t="s">
        <v>377</v>
      </c>
      <c r="E13">
        <v>3.3409999999999998E-3</v>
      </c>
      <c r="F13">
        <v>12</v>
      </c>
      <c r="G13">
        <f>VLOOKUP(D13,demand_forecasted!$A$2:$G$11,2)</f>
        <v>11098</v>
      </c>
      <c r="H13" s="3">
        <f t="shared" si="0"/>
        <v>0.37078418000000002</v>
      </c>
      <c r="I13" s="3">
        <f>$H13*factors!C$3</f>
        <v>0.41045808725999999</v>
      </c>
      <c r="J13" s="3">
        <f>$H13*factors!D$3</f>
        <v>0.39564155142720003</v>
      </c>
      <c r="K13" s="3">
        <f>$H13*factors!E$3</f>
        <v>0.38883395388240005</v>
      </c>
      <c r="L13" s="3">
        <f>$H13*factors!F$3</f>
        <v>0.38763261313920006</v>
      </c>
      <c r="M13" s="3">
        <f>$H13*factors!G$3</f>
        <v>0.3872321662248</v>
      </c>
      <c r="N13" s="3">
        <f>$H13*factors!H$3</f>
        <v>0.39844467982800003</v>
      </c>
      <c r="O13" s="3">
        <f>$H13*factors!I$3</f>
        <v>0.4072545119448</v>
      </c>
      <c r="P13" s="3">
        <f>$H13*factors!J$3</f>
        <v>0.41205987491760004</v>
      </c>
      <c r="Q13" s="3">
        <f>$H13*factors!K$3</f>
        <v>0.3868317193104</v>
      </c>
      <c r="R13" s="3">
        <f>$H13*factors!L$3</f>
        <v>0.38042456868000002</v>
      </c>
      <c r="S13" s="3">
        <f>$H13*factors!M$3</f>
        <v>0.39604199834160003</v>
      </c>
      <c r="T13" s="3">
        <f>$H13*factors!N$3</f>
        <v>0.40965719343120005</v>
      </c>
      <c r="U13" s="3">
        <f>$H13*factors!O$3</f>
        <v>0.38803306005360005</v>
      </c>
      <c r="V13" s="3">
        <f>$H13*factors!P$3</f>
        <v>0.40365048971520007</v>
      </c>
      <c r="W13" s="3">
        <f>$H13*factors!Q$3</f>
        <v>0.4072545119448</v>
      </c>
      <c r="X13" s="3">
        <f>$H13*factors!R$3</f>
        <v>0.38963484771119999</v>
      </c>
      <c r="Y13" s="3">
        <f>$H13*factors!S$3</f>
        <v>0.38603082548160006</v>
      </c>
      <c r="Z13" s="3">
        <f>$H13*factors!T$3</f>
        <v>0.41646479097600009</v>
      </c>
      <c r="AA13" s="3">
        <f>$H13*factors!U$3</f>
        <v>0.39323886994079998</v>
      </c>
      <c r="AB13" s="3">
        <f>$H13*factors!V$3</f>
        <v>0.39363931685520009</v>
      </c>
      <c r="AC13" s="3">
        <f>$H13*factors!W$3</f>
        <v>0.39403976376960004</v>
      </c>
      <c r="AD13" s="3">
        <f>$H13*factors!X$3</f>
        <v>0.38563037856720006</v>
      </c>
      <c r="AE13" s="3">
        <f>$H13*factors!Y$3</f>
        <v>0.38883395388240005</v>
      </c>
      <c r="AF13" s="3">
        <f>$H13*factors!Z$3</f>
        <v>0.39684289217040009</v>
      </c>
      <c r="AG13" s="3">
        <f>$H13*factors!AA$3</f>
        <v>0.3868317193104</v>
      </c>
      <c r="AH13" s="3">
        <f>$H13*factors!AB$3</f>
        <v>0.38522993165280006</v>
      </c>
      <c r="AI13" s="3">
        <f>$H13*factors!AC$3</f>
        <v>0.39764378599920003</v>
      </c>
      <c r="AJ13" s="3">
        <f>$H13*factors!AD$3</f>
        <v>0.41286076874640004</v>
      </c>
      <c r="AK13" s="3">
        <f>$H13*factors!AE$3</f>
        <v>0.39724333908480003</v>
      </c>
      <c r="AL13" s="3">
        <f>$H13*factors!AF$3</f>
        <v>0.38162590942320002</v>
      </c>
      <c r="AM13" s="3">
        <f>$H13*factors!AG$3</f>
        <v>0.39243797611200004</v>
      </c>
      <c r="AN13" s="3">
        <f>$H13*factors!AH$3</f>
        <v>0.38603082548160006</v>
      </c>
      <c r="AO13" s="3">
        <f>$H13*factors!AI$3</f>
        <v>0.40445138354400001</v>
      </c>
      <c r="AP13" s="3">
        <f>$H13*factors!AJ$3</f>
        <v>0.38763261313920006</v>
      </c>
      <c r="AQ13" s="3">
        <f>$H13*factors!AK$3</f>
        <v>0.40004646748560008</v>
      </c>
      <c r="AR13" s="3">
        <f>$H13*factors!AL$3</f>
        <v>0.39123663536880005</v>
      </c>
      <c r="AS13" s="3">
        <f>$H13*factors!AM$3</f>
        <v>0.38162590942320002</v>
      </c>
      <c r="AT13" s="3">
        <f>$H13*factors!AN$3</f>
        <v>0.39363931685520009</v>
      </c>
      <c r="AU13" s="3">
        <f>$H13*factors!AO$3</f>
        <v>0.41686523789039998</v>
      </c>
      <c r="AV13" s="3">
        <f>$H13*factors!AP$3</f>
        <v>0.39403976376960004</v>
      </c>
      <c r="AW13" s="3">
        <f>$H13*factors!AQ$3</f>
        <v>0.39003529462559999</v>
      </c>
      <c r="AX13" s="3">
        <f>$H13*factors!AR$3</f>
        <v>0.41246032183200004</v>
      </c>
      <c r="AY13" s="3">
        <f>$H13*factors!AS$3</f>
        <v>0.38042456868000002</v>
      </c>
      <c r="AZ13" s="3">
        <f>$H13*factors!AT$3</f>
        <v>0.40765495885920011</v>
      </c>
      <c r="BA13" s="3">
        <f>$H13*factors!AU$3</f>
        <v>0.39884512674240002</v>
      </c>
      <c r="BB13" s="3">
        <f>$H13*factors!AV$3</f>
        <v>0.39363931685520009</v>
      </c>
      <c r="BC13" s="3">
        <f>$H13*factors!AW$3</f>
        <v>0.41646479097600009</v>
      </c>
      <c r="BD13" s="3">
        <f>$H13*factors!AX$3</f>
        <v>0.38442903782400001</v>
      </c>
      <c r="BE13" s="3">
        <f>$H13*factors!AY$3</f>
        <v>0.45196366836919999</v>
      </c>
      <c r="BF13" s="3">
        <f>$H13*factors!AZ$3</f>
        <v>0.42089936976879999</v>
      </c>
      <c r="BG13" s="3">
        <f>$H13*factors!BA$3</f>
        <v>0.42702472442239997</v>
      </c>
      <c r="BH13" s="3">
        <f>$H13*factors!BB$3</f>
        <v>0.43271255374360001</v>
      </c>
      <c r="BI13" s="3">
        <f>$H13*factors!BC$3</f>
        <v>0.44846346570999995</v>
      </c>
      <c r="BJ13" s="3">
        <f>$H13*factors!BD$3</f>
        <v>0.4283373004196</v>
      </c>
      <c r="BK13" s="3">
        <f>$H13*factors!BE$3</f>
        <v>0.42921235108439998</v>
      </c>
      <c r="BL13" s="3">
        <f>$H13*factors!BF$3</f>
        <v>0.42439957242799997</v>
      </c>
      <c r="BM13" s="3">
        <f>$H13*factors!BG$3</f>
        <v>0.45327624436640002</v>
      </c>
      <c r="BN13" s="3">
        <f>$H13*factors!BH$3</f>
        <v>0.44758841504519997</v>
      </c>
      <c r="BO13" s="3">
        <f>$H13*factors!BI$3</f>
        <v>0.42089936976879999</v>
      </c>
      <c r="BP13" s="3">
        <f>$H13*factors!BJ$3</f>
        <v>0.41958679377159996</v>
      </c>
      <c r="BQ13" s="3">
        <f>$H13*factors!BK$3</f>
        <v>0.42658719908999998</v>
      </c>
      <c r="BR13" s="3">
        <f>$H13*factors!BL$3</f>
        <v>0.44190058572400004</v>
      </c>
      <c r="BS13" s="3">
        <f>$H13*factors!BM$3</f>
        <v>0.4489009910424</v>
      </c>
      <c r="BT13" s="3">
        <f>$H13*factors!BN$3</f>
        <v>0.45021356703959997</v>
      </c>
      <c r="BU13" s="3">
        <f>$H13*factors!BO$3</f>
        <v>0.45765149769040003</v>
      </c>
      <c r="BV13" s="3">
        <f>$H13*factors!BP$3</f>
        <v>0.4257121484252</v>
      </c>
      <c r="BW13" s="3">
        <f>$H13*factors!BQ$3</f>
        <v>0.43533770573800001</v>
      </c>
      <c r="BX13" s="3">
        <f>$H13*factors!BR$3</f>
        <v>0.42702472442239997</v>
      </c>
      <c r="BY13" s="3">
        <f>$H13*factors!BS$3</f>
        <v>0.44671336438039994</v>
      </c>
      <c r="BZ13" s="3">
        <f>$H13*factors!BT$3</f>
        <v>0.43840038306479995</v>
      </c>
      <c r="CA13" s="3">
        <f>$H13*factors!BU$3</f>
        <v>0.43271255374360001</v>
      </c>
      <c r="CB13" s="3">
        <f>$H13*factors!BV$3</f>
        <v>0.41871174310679998</v>
      </c>
      <c r="CC13" s="3">
        <f>$H13*factors!BW$3</f>
        <v>0.430962452414</v>
      </c>
      <c r="CD13" s="3">
        <f>$H13*factors!BX$3</f>
        <v>0.43227502841120002</v>
      </c>
      <c r="CE13" s="3">
        <f>$H13*factors!BY$3</f>
        <v>0.43840038306479995</v>
      </c>
      <c r="CF13" s="3">
        <f>$H13*factors!BZ$3</f>
        <v>0.43183750307880003</v>
      </c>
      <c r="CG13" s="3">
        <f>$H13*factors!CA$3</f>
        <v>0.41739916710959996</v>
      </c>
      <c r="CH13" s="3">
        <f>$H13*factors!CB$3</f>
        <v>0.41783669244199995</v>
      </c>
      <c r="CI13" s="3">
        <f>$H13*factors!CC$3</f>
        <v>0.41564906577999999</v>
      </c>
      <c r="CJ13" s="3">
        <f>$H13*factors!CD$3</f>
        <v>0.43271255374360001</v>
      </c>
      <c r="CK13" s="3">
        <f>$H13*factors!CE$3</f>
        <v>0.45196366836919999</v>
      </c>
      <c r="CL13" s="3">
        <f>$H13*factors!CF$3</f>
        <v>0.42352452176319999</v>
      </c>
      <c r="CM13" s="3">
        <f>$H13*factors!CG$3</f>
        <v>0.4335876044084</v>
      </c>
      <c r="CN13" s="3">
        <f>$H13*factors!CH$3</f>
        <v>0.41914926843919997</v>
      </c>
      <c r="CO13" s="3">
        <f>$H13*factors!CI$3</f>
        <v>0.42221194576599996</v>
      </c>
      <c r="CP13" s="3">
        <f>$H13*factors!CJ$3</f>
        <v>0.44233811105639992</v>
      </c>
      <c r="CQ13" s="3">
        <f>$H13*factors!CK$3</f>
        <v>0.42921235108439998</v>
      </c>
      <c r="CR13" s="3">
        <f>$H13*factors!CL$3</f>
        <v>0.44277563638879996</v>
      </c>
      <c r="CS13" s="3">
        <f>$H13*factors!CM$3</f>
        <v>0.4567764470256</v>
      </c>
      <c r="CT13" s="3">
        <f>$H13*factors!CN$3</f>
        <v>0.4515261430368</v>
      </c>
      <c r="CU13" s="3">
        <f>$H13*factors!CO$3</f>
        <v>0.44146306039159994</v>
      </c>
      <c r="CV13" s="3">
        <f>$H13*factors!CP$3</f>
        <v>0.45940159902</v>
      </c>
      <c r="CW13" s="3">
        <f>$H13*factors!CQ$3</f>
        <v>0.43446265507320003</v>
      </c>
      <c r="CX13" s="3">
        <f>$H13*factors!CR$3</f>
        <v>0.42789977508720001</v>
      </c>
      <c r="CY13" s="3">
        <f>$H13*factors!CS$3</f>
        <v>0.42396204709559998</v>
      </c>
      <c r="CZ13" s="3">
        <f>$H13*factors!CT$3</f>
        <v>0.41783669244199995</v>
      </c>
      <c r="DA13" s="3">
        <f>$H13*factors!CU$3</f>
        <v>0.43381749060000002</v>
      </c>
      <c r="DB13" s="3">
        <f>$H13*factors!CV$3</f>
        <v>0.46184877460800006</v>
      </c>
      <c r="DC13" s="3">
        <f>$H13*factors!CW$3</f>
        <v>0.44227136990399996</v>
      </c>
      <c r="DD13" s="3">
        <f>$H13*factors!CX$3</f>
        <v>0.43915678279199999</v>
      </c>
      <c r="DE13" s="3">
        <f>$H13*factors!CY$3</f>
        <v>0.45206007225600003</v>
      </c>
      <c r="DF13" s="3">
        <f>$H13*factors!CZ$3</f>
        <v>0.45117019022399996</v>
      </c>
      <c r="DG13" s="3">
        <f>$H13*factors!DA$3</f>
        <v>0.44939042616000002</v>
      </c>
      <c r="DH13" s="3">
        <f>$H13*factors!DB$3</f>
        <v>0.44939042616000002</v>
      </c>
      <c r="DI13" s="3">
        <f>$H13*factors!DC$3</f>
        <v>0.43248266755199999</v>
      </c>
      <c r="DJ13" s="3">
        <f>$H13*factors!DD$3</f>
        <v>0.45828924648000002</v>
      </c>
      <c r="DK13" s="3">
        <f>$H13*factors!DE$3</f>
        <v>0.45828924648000002</v>
      </c>
      <c r="DL13" s="3">
        <f>$H13*factors!DF$3</f>
        <v>0.45294995428800006</v>
      </c>
      <c r="DM13" s="3">
        <f>$H13*factors!DG$3</f>
        <v>0.42669843434399995</v>
      </c>
      <c r="DN13" s="3">
        <f>$H13*factors!DH$3</f>
        <v>0.44761066209600003</v>
      </c>
      <c r="DO13" s="3">
        <f>$H13*factors!DI$3</f>
        <v>0.46229371562400001</v>
      </c>
      <c r="DP13" s="3">
        <f>$H13*factors!DJ$3</f>
        <v>0.45828924648000002</v>
      </c>
      <c r="DQ13" s="3">
        <f>$H13*factors!DK$3</f>
        <v>0.43693207771199999</v>
      </c>
      <c r="DR13" s="3">
        <f>$H13*factors!DL$3</f>
        <v>0.43203772653600003</v>
      </c>
      <c r="DS13" s="3">
        <f>$H13*factors!DM$3</f>
        <v>0.46674312578400001</v>
      </c>
      <c r="DT13" s="3">
        <f>$H13*factors!DN$3</f>
        <v>0.43871184177600003</v>
      </c>
      <c r="DU13" s="3">
        <f>$H13*factors!DO$3</f>
        <v>0.45917912851199999</v>
      </c>
      <c r="DV13" s="3">
        <f>$H13*factors!DP$3</f>
        <v>0.448500544128</v>
      </c>
      <c r="DW13" s="3">
        <f>$H13*factors!DQ$3</f>
        <v>0.42803325739199999</v>
      </c>
      <c r="DX13" s="3">
        <f>$H13*factors!DR$3</f>
        <v>0.45339489530399996</v>
      </c>
      <c r="DY13" s="3">
        <f>$H13*factors!DS$3</f>
        <v>0.43025796247199999</v>
      </c>
      <c r="DZ13" s="3">
        <f>$H13*factors!DT$3</f>
        <v>0.46006901054400001</v>
      </c>
      <c r="EA13" s="3">
        <f>$H13*factors!DU$3</f>
        <v>0.43337254958399996</v>
      </c>
      <c r="EB13" s="3">
        <f>$H13*factors!DV$3</f>
        <v>0.42269396519999997</v>
      </c>
      <c r="EC13" s="3">
        <f>$H13*factors!DW$3</f>
        <v>0.45472971835199999</v>
      </c>
      <c r="ED13" s="3">
        <f>$H13*factors!DX$3</f>
        <v>0.42669843434399995</v>
      </c>
      <c r="EE13" s="3">
        <f>$H13*factors!DY$3</f>
        <v>0.43025796247199999</v>
      </c>
      <c r="EF13" s="3">
        <f>$H13*factors!DZ$3</f>
        <v>0.46674312578400001</v>
      </c>
      <c r="EG13" s="3">
        <f>$H13*factors!EA$3</f>
        <v>0.43604219568000002</v>
      </c>
      <c r="EH13" s="3">
        <f>$H13*factors!EB$3</f>
        <v>0.437377018728</v>
      </c>
      <c r="EI13" s="3">
        <f>$H13*factors!EC$3</f>
        <v>0.43648713669600003</v>
      </c>
      <c r="EJ13" s="3">
        <f>$H13*factors!ED$3</f>
        <v>0.42536361129600003</v>
      </c>
      <c r="EK13" s="3">
        <f>$H13*factors!EE$3</f>
        <v>0.45472971835199999</v>
      </c>
      <c r="EL13" s="3">
        <f>$H13*factors!EF$3</f>
        <v>0.43248266755199999</v>
      </c>
      <c r="EM13" s="3">
        <f>$H13*factors!EG$3</f>
        <v>0.44983536717599998</v>
      </c>
      <c r="EN13" s="3">
        <f>$H13*factors!EH$3</f>
        <v>0.42269396519999997</v>
      </c>
      <c r="EO13" s="3">
        <f>$H13*factors!EI$3</f>
        <v>0.42892313942399996</v>
      </c>
      <c r="EP13" s="3">
        <f>$H13*factors!EJ$3</f>
        <v>0.45250501327199999</v>
      </c>
      <c r="EQ13" s="3">
        <f>$H13*factors!EK$3</f>
        <v>0.44004666482399996</v>
      </c>
      <c r="ER13" s="3">
        <f>$H13*factors!EL$3</f>
        <v>0.45828924648000002</v>
      </c>
      <c r="ES13" s="3">
        <f>$H13*factors!EM$3</f>
        <v>0.45250501327199999</v>
      </c>
      <c r="ET13" s="3">
        <f>$H13*factors!EN$3</f>
        <v>0.46273865664000002</v>
      </c>
      <c r="EU13" s="3">
        <f>$H13*factors!EO$3</f>
        <v>0.46718806680000002</v>
      </c>
      <c r="EV13" s="3">
        <f>$H13*factors!EP$3</f>
        <v>0.43782195974399996</v>
      </c>
      <c r="EW13" s="3">
        <f>$H13*factors!EQ$3</f>
        <v>0.48155595377499999</v>
      </c>
      <c r="EX13" s="3">
        <f>$H13*factors!ER$3</f>
        <v>0.47645767130000005</v>
      </c>
      <c r="EY13" s="3">
        <f>$H13*factors!ES$3</f>
        <v>0.48619075602499995</v>
      </c>
      <c r="EZ13" s="3">
        <f>$H13*factors!ET$3</f>
        <v>0.48155595377499999</v>
      </c>
      <c r="FA13" s="3">
        <f>$H13*factors!EU$3</f>
        <v>0.44262361487499996</v>
      </c>
      <c r="FB13" s="3">
        <f>$H13*factors!EV$3</f>
        <v>0.46255326455000007</v>
      </c>
      <c r="FC13" s="3">
        <f>$H13*factors!EW$3</f>
        <v>0.47553071085000004</v>
      </c>
      <c r="FD13" s="3">
        <f>$H13*factors!EX$3</f>
        <v>0.45884542275000006</v>
      </c>
      <c r="FE13" s="3">
        <f>$H13*factors!EY$3</f>
        <v>0.48340987467500002</v>
      </c>
      <c r="FF13" s="3">
        <f>$H13*factors!EZ$3</f>
        <v>0.48387335490000011</v>
      </c>
      <c r="FG13" s="3">
        <f>$H13*factors!FA$3</f>
        <v>0.44262361487499996</v>
      </c>
      <c r="FH13" s="3">
        <f>$H13*factors!FB$3</f>
        <v>0.46579762612499997</v>
      </c>
      <c r="FI13" s="3">
        <f>$H13*factors!FC$3</f>
        <v>0.48526379557499999</v>
      </c>
      <c r="FJ13" s="3">
        <f>$H13*factors!FD$3</f>
        <v>0.46579762612499997</v>
      </c>
      <c r="FK13" s="3">
        <f>$H13*factors!FE$3</f>
        <v>0.47367678995000007</v>
      </c>
      <c r="FL13" s="3">
        <f>$H13*factors!FF$3</f>
        <v>0.475067230625</v>
      </c>
      <c r="FM13" s="3">
        <f>$H13*factors!FG$3</f>
        <v>0.4801655131</v>
      </c>
      <c r="FN13" s="3">
        <f>$H13*factors!FH$3</f>
        <v>0.449112338025</v>
      </c>
      <c r="FO13" s="3">
        <f>$H13*factors!FI$3</f>
        <v>0.47692115152499998</v>
      </c>
      <c r="FP13" s="3">
        <f>$H13*factors!FJ$3</f>
        <v>0.46348022500000002</v>
      </c>
      <c r="FQ13" s="3">
        <f>$H13*factors!FK$3</f>
        <v>0.45884542275000006</v>
      </c>
      <c r="FR13" s="3">
        <f>$H13*factors!FL$3</f>
        <v>0.46811502724999998</v>
      </c>
      <c r="FS13" s="3">
        <f>$H13*factors!FM$3</f>
        <v>0.4653341459</v>
      </c>
      <c r="FT13" s="3">
        <f>$H13*factors!FN$3</f>
        <v>0.47553071085000004</v>
      </c>
      <c r="FU13" s="3">
        <f>$H13*factors!FO$3</f>
        <v>0.45699150184999998</v>
      </c>
      <c r="FV13" s="3">
        <f>$H13*factors!FP$3</f>
        <v>0.45328366004999998</v>
      </c>
      <c r="FW13" s="3">
        <f>$H13*factors!FQ$3</f>
        <v>0.48526379557499999</v>
      </c>
      <c r="FX13" s="3">
        <f>$H13*factors!FR$3</f>
        <v>0.47645767130000005</v>
      </c>
      <c r="FY13" s="3">
        <f>$H13*factors!FS$3</f>
        <v>0.46672458657499993</v>
      </c>
      <c r="FZ13" s="3">
        <f>$H13*factors!FT$3</f>
        <v>0.44355057532500003</v>
      </c>
      <c r="GA13" s="3">
        <f>$H13*factors!FU$3</f>
        <v>0.46672458657499993</v>
      </c>
      <c r="GB13" s="3">
        <f>$H13*factors!FV$3</f>
        <v>0.48387335490000011</v>
      </c>
      <c r="GC13" s="3">
        <f>$H13*factors!FW$3</f>
        <v>0.45328366004999998</v>
      </c>
      <c r="GD13" s="3">
        <f>$H13*factors!FX$3</f>
        <v>0.46116282387500002</v>
      </c>
      <c r="GE13" s="3">
        <f>$H13*factors!FY$3</f>
        <v>0.46116282387500002</v>
      </c>
      <c r="GF13" s="3">
        <f>$H13*factors!FZ$3</f>
        <v>0.45977238320000002</v>
      </c>
      <c r="GG13" s="3">
        <f>$H13*factors!GA$3</f>
        <v>0.441696654425</v>
      </c>
      <c r="GH13" s="3">
        <f>$H13*factors!GB$3</f>
        <v>0.46996894815000007</v>
      </c>
      <c r="GI13" s="3">
        <f>$H13*factors!GC$3</f>
        <v>0.44076969397499999</v>
      </c>
      <c r="GJ13" s="3">
        <f>$H13*factors!GD$3</f>
        <v>0.441696654425</v>
      </c>
      <c r="GK13" s="3">
        <f>$H13*factors!GE$3</f>
        <v>0.452820179825</v>
      </c>
      <c r="GL13" s="3">
        <f>$H13*factors!GF$3</f>
        <v>0.47970203287500002</v>
      </c>
      <c r="GM13" s="3">
        <f>$H13*factors!GG$3</f>
        <v>0.45467410072500003</v>
      </c>
      <c r="GN13" s="3">
        <f>$H13*factors!GH$3</f>
        <v>0.46904198770000005</v>
      </c>
      <c r="GO13" s="3">
        <f>$H13*factors!GI$3</f>
        <v>0.44308709509999994</v>
      </c>
      <c r="GP13" s="3">
        <f>$H13*factors!GJ$3</f>
        <v>0.475067230625</v>
      </c>
      <c r="GQ13" s="3">
        <f>$H13*factors!GK$3</f>
        <v>0.48480031535000007</v>
      </c>
      <c r="GR13" s="3">
        <f>$H13*factors!GL$3</f>
        <v>0.47553071085000004</v>
      </c>
      <c r="GS13" s="3">
        <f>$H13*factors!GM$3</f>
        <v>0.44970559271300004</v>
      </c>
      <c r="GT13" s="3">
        <f>$H13*factors!GN$3</f>
        <v>0.46006530270220003</v>
      </c>
      <c r="GU13" s="3">
        <f>$H13*factors!GO$3</f>
        <v>0.47089590860000002</v>
      </c>
      <c r="GV13" s="3">
        <f>$H13*factors!GP$3</f>
        <v>0.45206007225600003</v>
      </c>
      <c r="GW13" s="3">
        <f>$H13*factors!GQ$3</f>
        <v>0.46807053314840003</v>
      </c>
      <c r="GX13" s="3">
        <f>$H13*factors!GR$3</f>
        <v>0.46053619861080003</v>
      </c>
      <c r="GY13" s="3">
        <f>$H13*factors!GS$3</f>
        <v>0.45818171906780003</v>
      </c>
      <c r="GZ13" s="3">
        <f>$H13*factors!GT$3</f>
        <v>0.47513397177739997</v>
      </c>
      <c r="HA13" s="3">
        <f>$H13*factors!GU$3</f>
        <v>0.45959440679360003</v>
      </c>
      <c r="HB13" s="3">
        <f>$H13*factors!GV$3</f>
        <v>0.47513397177739997</v>
      </c>
      <c r="HC13" s="3">
        <f>$H13*factors!GW$3</f>
        <v>0.46336157406239997</v>
      </c>
      <c r="HD13" s="3">
        <f>$H13*factors!GX$3</f>
        <v>0.47701755541179997</v>
      </c>
      <c r="HE13" s="3">
        <f>$H13*factors!GY$3</f>
        <v>0.47089590860000002</v>
      </c>
      <c r="HF13" s="3">
        <f>$H13*factors!GZ$3</f>
        <v>0.48549368176660002</v>
      </c>
      <c r="HG13" s="3">
        <f>$H13*factors!HA$3</f>
        <v>0.46665784542260003</v>
      </c>
      <c r="HH13" s="3">
        <f>$H13*factors!HB$3</f>
        <v>0.46053619861080003</v>
      </c>
      <c r="HI13" s="3">
        <f>$H13*factors!HC$3</f>
        <v>0.45488544770760003</v>
      </c>
      <c r="HJ13" s="3">
        <f>$H13*factors!HD$3</f>
        <v>0.44970559271300004</v>
      </c>
      <c r="HK13" s="3">
        <f>$H13*factors!HE$3</f>
        <v>0.47560486768600002</v>
      </c>
      <c r="HL13" s="3">
        <f>$H13*factors!HF$3</f>
        <v>0.44829290498719998</v>
      </c>
      <c r="HM13" s="3">
        <f>$H13*factors!HG$3</f>
        <v>0.45300186407320003</v>
      </c>
      <c r="HN13" s="3">
        <f>$H13*factors!HH$3</f>
        <v>0.48313920222360007</v>
      </c>
      <c r="HO13" s="3">
        <f>$H13*factors!HI$3</f>
        <v>0.46336157406239997</v>
      </c>
      <c r="HP13" s="3">
        <f>$H13*factors!HJ$3</f>
        <v>0.49444070403000007</v>
      </c>
      <c r="HQ13" s="3">
        <f>$H13*factors!HK$3</f>
        <v>0.45206007225600003</v>
      </c>
      <c r="HR13" s="3">
        <f>$H13*factors!HL$3</f>
        <v>0.47937203495480007</v>
      </c>
      <c r="HS13" s="3">
        <f>$H13*factors!HM$3</f>
        <v>0.48784816130960001</v>
      </c>
      <c r="HT13" s="3">
        <f>$H13*factors!HN$3</f>
        <v>0.45488544770760003</v>
      </c>
      <c r="HU13" s="3">
        <f>$H13*factors!HO$3</f>
        <v>0.45959440679360003</v>
      </c>
      <c r="HV13" s="3">
        <f>$H13*factors!HP$3</f>
        <v>0.46524515769680008</v>
      </c>
      <c r="HW13" s="3">
        <f>$H13*factors!HQ$3</f>
        <v>0.47183770041720002</v>
      </c>
      <c r="HX13" s="3">
        <f>$H13*factors!HR$3</f>
        <v>0.49114443266979996</v>
      </c>
      <c r="HY13" s="3">
        <f>$H13*factors!HS$3</f>
        <v>0.46665784542260003</v>
      </c>
      <c r="HZ13" s="3">
        <f>$H13*factors!HT$3</f>
        <v>0.48455188994940002</v>
      </c>
      <c r="IA13" s="3">
        <f>$H13*factors!HU$3</f>
        <v>0.46100709451940003</v>
      </c>
      <c r="IB13" s="3">
        <f>$H13*factors!HV$3</f>
        <v>0.47701755541179997</v>
      </c>
      <c r="IC13" s="3">
        <f>$H13*factors!HW$3</f>
        <v>0.48172651449780002</v>
      </c>
      <c r="ID13" s="3">
        <f>$H13*factors!HX$3</f>
        <v>0.44735111316999998</v>
      </c>
      <c r="IE13" s="3">
        <f>$H13*factors!HY$3</f>
        <v>0.47513397177739997</v>
      </c>
      <c r="IF13" s="3">
        <f>$H13*factors!HZ$3</f>
        <v>0.47230859632579997</v>
      </c>
      <c r="IG13" s="3">
        <f>$H13*factors!IA$3</f>
        <v>0.46807053314840003</v>
      </c>
      <c r="IH13" s="3">
        <f>$H13*factors!IB$3</f>
        <v>0.48549368176660002</v>
      </c>
      <c r="II13" s="3">
        <f>$H13*factors!IC$3</f>
        <v>0.46477426178820003</v>
      </c>
      <c r="IJ13" s="3">
        <f>$H13*factors!ID$3</f>
        <v>0.46901232496560002</v>
      </c>
      <c r="IK13" s="3">
        <f>$H13*factors!IE$3</f>
        <v>0.48596457767520002</v>
      </c>
      <c r="IL13" s="3">
        <f>$H13*factors!IF$3</f>
        <v>0.46524515769680008</v>
      </c>
      <c r="IM13" s="3">
        <f>$H13*factors!IG$3</f>
        <v>0.46100709451940003</v>
      </c>
      <c r="IN13" s="3">
        <f>$H13*factors!IH$3</f>
        <v>0.46383246997100003</v>
      </c>
      <c r="IO13" s="3">
        <f>$H13*factors!II$3</f>
        <v>0.46854142905700003</v>
      </c>
      <c r="IP13" s="3">
        <f>$H13*factors!IJ$3</f>
        <v>0.45300186407320003</v>
      </c>
      <c r="IQ13" s="3">
        <f>$H13*factors!IK$3</f>
        <v>0.45158917634740003</v>
      </c>
      <c r="IR13" s="3">
        <f>$H13*factors!IL$3</f>
        <v>0.46477426178820003</v>
      </c>
      <c r="IS13" s="3">
        <f>$H13*factors!IM$3</f>
        <v>0.46854142905700003</v>
      </c>
      <c r="IT13" s="3">
        <f>$H13*factors!IN$3</f>
        <v>0.47183770041720002</v>
      </c>
      <c r="IU13" s="3">
        <f>$H13*factors!IO$3</f>
        <v>0.48219741040640007</v>
      </c>
      <c r="IV13" s="3">
        <f>$H13*factors!IP$3</f>
        <v>0.48831905721819996</v>
      </c>
      <c r="IW13" s="3">
        <f>$H13*factors!IQ$3</f>
        <v>0.46147799042799997</v>
      </c>
      <c r="IX13" s="3">
        <f>$H13*factors!IR$3</f>
        <v>0.48219741040640007</v>
      </c>
      <c r="IY13" s="3">
        <f>$H13*factors!IS$3</f>
        <v>0.47513397177739997</v>
      </c>
      <c r="IZ13" s="3">
        <f>$H13*factors!IT$3</f>
        <v>0.48313920222360007</v>
      </c>
      <c r="JA13" s="3">
        <f>$H13*factors!IU$3</f>
        <v>0.45629813543339998</v>
      </c>
      <c r="JB13" s="3">
        <f>$H13*factors!IV$3</f>
        <v>0.46477426178820003</v>
      </c>
      <c r="JC13" s="3">
        <f>$H13*factors!IW$3</f>
        <v>0.45394365589040003</v>
      </c>
      <c r="JD13" s="3">
        <f>$H13*factors!IX$3</f>
        <v>0.49444070403000007</v>
      </c>
      <c r="JE13" s="3">
        <f>$H13*factors!IY$3</f>
        <v>0.45535634361619998</v>
      </c>
      <c r="JF13" s="3">
        <f>$H13*factors!IZ$3</f>
        <v>0.47795934722899996</v>
      </c>
      <c r="JG13" s="3">
        <f>$H13*factors!JA$3</f>
        <v>0.46948322087419997</v>
      </c>
      <c r="JH13" s="3">
        <f>$H13*factors!JB$3</f>
        <v>0.47843024313760008</v>
      </c>
      <c r="JI13" s="3">
        <f>$H13*factors!JC$3</f>
        <v>0.44782200907860004</v>
      </c>
      <c r="JJ13" s="3">
        <f>$H13*factors!JD$3</f>
        <v>0.48219741040640007</v>
      </c>
      <c r="JK13" s="3">
        <f>$H13*factors!JE$3</f>
        <v>0.46665784542260003</v>
      </c>
      <c r="JL13" s="3">
        <f>$H13*factors!JF$3</f>
        <v>0.48549368176660002</v>
      </c>
      <c r="JM13" s="3">
        <f>$H13*factors!JG$3</f>
        <v>0.45300186407320003</v>
      </c>
      <c r="JN13" s="3">
        <f>$H13*factors!JH$3</f>
        <v>0.45300186407320003</v>
      </c>
      <c r="JO13" s="3">
        <f>$H13*factors!JI$3</f>
        <v>0.44735111316999998</v>
      </c>
      <c r="JP13" s="3">
        <f>$H13*factors!JJ$3</f>
        <v>0.48361009813220002</v>
      </c>
      <c r="JQ13" s="3">
        <f>$H13*factors!JK$3</f>
        <v>0.47136680450859997</v>
      </c>
      <c r="JR13" s="3">
        <f>$H13*factors!JL$3</f>
        <v>0.48973174494400001</v>
      </c>
      <c r="JS13" s="3">
        <f>$H13*factors!JM$3</f>
        <v>0.44735111316999998</v>
      </c>
      <c r="JT13" s="3">
        <f>$H13*factors!JN$3</f>
        <v>0.46995411678280002</v>
      </c>
      <c r="JU13" s="3">
        <f>$H13*factors!JO$3</f>
        <v>0.45441455179899998</v>
      </c>
      <c r="JV13" s="3">
        <f>$H13*factors!JP$3</f>
        <v>0.46194888633660003</v>
      </c>
      <c r="JW13" s="3">
        <f>$H13*factors!JQ$3</f>
        <v>0.49349891221280007</v>
      </c>
      <c r="JX13" s="3">
        <f>$H13*factors!JR$3</f>
        <v>0.48878995312680001</v>
      </c>
      <c r="JY13" s="3">
        <f>$H13*factors!JS$3</f>
        <v>0.46006530270220003</v>
      </c>
      <c r="JZ13" s="3">
        <f>$H13*factors!JT$3</f>
        <v>0.46524515769680008</v>
      </c>
      <c r="KA13" s="3">
        <f>$H13*factors!JU$3</f>
        <v>0.46712874133120003</v>
      </c>
      <c r="KB13" s="3">
        <f>$H13*factors!JV$3</f>
        <v>0.45158917634740003</v>
      </c>
      <c r="KC13" s="3">
        <f>$H13*factors!JW$3</f>
        <v>0.45394365589040003</v>
      </c>
      <c r="KD13" s="3">
        <f>$H13*factors!JX$3</f>
        <v>0.45441455179899998</v>
      </c>
      <c r="KE13" s="3">
        <f>$H13*factors!JY$3</f>
        <v>0.48361009813220002</v>
      </c>
      <c r="KF13" s="3">
        <f>$H13*factors!JZ$3</f>
        <v>0.48926084903539996</v>
      </c>
      <c r="KG13" s="3">
        <f>$H13*factors!KA$3</f>
        <v>0.47183770041720002</v>
      </c>
      <c r="KH13" s="3">
        <f>$H13*factors!KB$3</f>
        <v>0.46147799042799997</v>
      </c>
      <c r="KI13" s="3">
        <f>$H13*factors!KC$3</f>
        <v>0.45723992725059998</v>
      </c>
    </row>
    <row r="14" spans="1:295" x14ac:dyDescent="0.55000000000000004">
      <c r="A14" t="s">
        <v>390</v>
      </c>
      <c r="B14">
        <v>13</v>
      </c>
      <c r="C14">
        <v>230</v>
      </c>
      <c r="D14" t="s">
        <v>377</v>
      </c>
      <c r="E14">
        <v>3.372E-3</v>
      </c>
      <c r="F14">
        <v>13</v>
      </c>
      <c r="G14">
        <f>VLOOKUP(D14,demand_forecasted!$A$2:$G$11,2)</f>
        <v>11098</v>
      </c>
      <c r="H14" s="3">
        <f t="shared" si="0"/>
        <v>0.37422455999999998</v>
      </c>
      <c r="I14" s="3">
        <f>$H14*factors!C$3</f>
        <v>0.41426658791999998</v>
      </c>
      <c r="J14" s="3">
        <f>$H14*factors!D$3</f>
        <v>0.39931257450239999</v>
      </c>
      <c r="K14" s="3">
        <f>$H14*factors!E$3</f>
        <v>0.39244181158079999</v>
      </c>
      <c r="L14" s="3">
        <f>$H14*factors!F$3</f>
        <v>0.39122932400640004</v>
      </c>
      <c r="M14" s="3">
        <f>$H14*factors!G$3</f>
        <v>0.39082516148159996</v>
      </c>
      <c r="N14" s="3">
        <f>$H14*factors!H$3</f>
        <v>0.40214171217599998</v>
      </c>
      <c r="O14" s="3">
        <f>$H14*factors!I$3</f>
        <v>0.41103328772159997</v>
      </c>
      <c r="P14" s="3">
        <f>$H14*factors!J$3</f>
        <v>0.41588323801920002</v>
      </c>
      <c r="Q14" s="3">
        <f>$H14*factors!K$3</f>
        <v>0.39042099895679999</v>
      </c>
      <c r="R14" s="3">
        <f>$H14*factors!L$3</f>
        <v>0.38395439855999997</v>
      </c>
      <c r="S14" s="3">
        <f>$H14*factors!M$3</f>
        <v>0.39971673702719995</v>
      </c>
      <c r="T14" s="3">
        <f>$H14*factors!N$3</f>
        <v>0.4134582628704</v>
      </c>
      <c r="U14" s="3">
        <f>$H14*factors!O$3</f>
        <v>0.3916334865312</v>
      </c>
      <c r="V14" s="3">
        <f>$H14*factors!P$3</f>
        <v>0.40739582499839999</v>
      </c>
      <c r="W14" s="3">
        <f>$H14*factors!Q$3</f>
        <v>0.41103328772159997</v>
      </c>
      <c r="X14" s="3">
        <f>$H14*factors!R$3</f>
        <v>0.39325013663039998</v>
      </c>
      <c r="Y14" s="3">
        <f>$H14*factors!S$3</f>
        <v>0.3896126739072</v>
      </c>
      <c r="Z14" s="3">
        <f>$H14*factors!T$3</f>
        <v>0.42032902579200004</v>
      </c>
      <c r="AA14" s="3">
        <f>$H14*factors!U$3</f>
        <v>0.39688759935359996</v>
      </c>
      <c r="AB14" s="3">
        <f>$H14*factors!V$3</f>
        <v>0.39729176187840004</v>
      </c>
      <c r="AC14" s="3">
        <f>$H14*factors!W$3</f>
        <v>0.39769592440320001</v>
      </c>
      <c r="AD14" s="3">
        <f>$H14*factors!X$3</f>
        <v>0.38920851138240004</v>
      </c>
      <c r="AE14" s="3">
        <f>$H14*factors!Y$3</f>
        <v>0.39244181158079999</v>
      </c>
      <c r="AF14" s="3">
        <f>$H14*factors!Z$3</f>
        <v>0.40052506207680005</v>
      </c>
      <c r="AG14" s="3">
        <f>$H14*factors!AA$3</f>
        <v>0.39042099895679999</v>
      </c>
      <c r="AH14" s="3">
        <f>$H14*factors!AB$3</f>
        <v>0.38880434885760001</v>
      </c>
      <c r="AI14" s="3">
        <f>$H14*factors!AC$3</f>
        <v>0.40133338712639999</v>
      </c>
      <c r="AJ14" s="3">
        <f>$H14*factors!AD$3</f>
        <v>0.41669156306880001</v>
      </c>
      <c r="AK14" s="3">
        <f>$H14*factors!AE$3</f>
        <v>0.40092922460160002</v>
      </c>
      <c r="AL14" s="3">
        <f>$H14*factors!AF$3</f>
        <v>0.38516688613439998</v>
      </c>
      <c r="AM14" s="3">
        <f>$H14*factors!AG$3</f>
        <v>0.39607927430399997</v>
      </c>
      <c r="AN14" s="3">
        <f>$H14*factors!AH$3</f>
        <v>0.3896126739072</v>
      </c>
      <c r="AO14" s="3">
        <f>$H14*factors!AI$3</f>
        <v>0.40820415004799998</v>
      </c>
      <c r="AP14" s="3">
        <f>$H14*factors!AJ$3</f>
        <v>0.39122932400640004</v>
      </c>
      <c r="AQ14" s="3">
        <f>$H14*factors!AK$3</f>
        <v>0.40375836227520001</v>
      </c>
      <c r="AR14" s="3">
        <f>$H14*factors!AL$3</f>
        <v>0.39486678672960002</v>
      </c>
      <c r="AS14" s="3">
        <f>$H14*factors!AM$3</f>
        <v>0.38516688613439998</v>
      </c>
      <c r="AT14" s="3">
        <f>$H14*factors!AN$3</f>
        <v>0.39729176187840004</v>
      </c>
      <c r="AU14" s="3">
        <f>$H14*factors!AO$3</f>
        <v>0.42073318831679996</v>
      </c>
      <c r="AV14" s="3">
        <f>$H14*factors!AP$3</f>
        <v>0.39769592440320001</v>
      </c>
      <c r="AW14" s="3">
        <f>$H14*factors!AQ$3</f>
        <v>0.39365429915519995</v>
      </c>
      <c r="AX14" s="3">
        <f>$H14*factors!AR$3</f>
        <v>0.41628740054399999</v>
      </c>
      <c r="AY14" s="3">
        <f>$H14*factors!AS$3</f>
        <v>0.38395439855999997</v>
      </c>
      <c r="AZ14" s="3">
        <f>$H14*factors!AT$3</f>
        <v>0.41143745024640005</v>
      </c>
      <c r="BA14" s="3">
        <f>$H14*factors!AU$3</f>
        <v>0.40254587470079994</v>
      </c>
      <c r="BB14" s="3">
        <f>$H14*factors!AV$3</f>
        <v>0.39729176187840004</v>
      </c>
      <c r="BC14" s="3">
        <f>$H14*factors!AW$3</f>
        <v>0.42032902579200004</v>
      </c>
      <c r="BD14" s="3">
        <f>$H14*factors!AX$3</f>
        <v>0.38799602380799997</v>
      </c>
      <c r="BE14" s="3">
        <f>$H14*factors!AY$3</f>
        <v>0.45615728516639997</v>
      </c>
      <c r="BF14" s="3">
        <f>$H14*factors!AZ$3</f>
        <v>0.42480475152959996</v>
      </c>
      <c r="BG14" s="3">
        <f>$H14*factors!BA$3</f>
        <v>0.43098694126079989</v>
      </c>
      <c r="BH14" s="3">
        <f>$H14*factors!BB$3</f>
        <v>0.43672754601119995</v>
      </c>
      <c r="BI14" s="3">
        <f>$H14*factors!BC$3</f>
        <v>0.45262460531999993</v>
      </c>
      <c r="BJ14" s="3">
        <f>$H14*factors!BD$3</f>
        <v>0.43231169620319992</v>
      </c>
      <c r="BK14" s="3">
        <f>$H14*factors!BE$3</f>
        <v>0.43319486616479991</v>
      </c>
      <c r="BL14" s="3">
        <f>$H14*factors!BF$3</f>
        <v>0.42833743137599994</v>
      </c>
      <c r="BM14" s="3">
        <f>$H14*factors!BG$3</f>
        <v>0.4574820401088</v>
      </c>
      <c r="BN14" s="3">
        <f>$H14*factors!BH$3</f>
        <v>0.45174143535839995</v>
      </c>
      <c r="BO14" s="3">
        <f>$H14*factors!BI$3</f>
        <v>0.42480475152959996</v>
      </c>
      <c r="BP14" s="3">
        <f>$H14*factors!BJ$3</f>
        <v>0.42347999658719992</v>
      </c>
      <c r="BQ14" s="3">
        <f>$H14*factors!BK$3</f>
        <v>0.4305453562799999</v>
      </c>
      <c r="BR14" s="3">
        <f>$H14*factors!BL$3</f>
        <v>0.44600083060799994</v>
      </c>
      <c r="BS14" s="3">
        <f>$H14*factors!BM$3</f>
        <v>0.45306619030079998</v>
      </c>
      <c r="BT14" s="3">
        <f>$H14*factors!BN$3</f>
        <v>0.45439094524319995</v>
      </c>
      <c r="BU14" s="3">
        <f>$H14*factors!BO$3</f>
        <v>0.46189788991679998</v>
      </c>
      <c r="BV14" s="3">
        <f>$H14*factors!BP$3</f>
        <v>0.42966218631839997</v>
      </c>
      <c r="BW14" s="3">
        <f>$H14*factors!BQ$3</f>
        <v>0.43937705589599996</v>
      </c>
      <c r="BX14" s="3">
        <f>$H14*factors!BR$3</f>
        <v>0.43098694126079989</v>
      </c>
      <c r="BY14" s="3">
        <f>$H14*factors!BS$3</f>
        <v>0.45085826539679991</v>
      </c>
      <c r="BZ14" s="3">
        <f>$H14*factors!BT$3</f>
        <v>0.44246815076159995</v>
      </c>
      <c r="CA14" s="3">
        <f>$H14*factors!BU$3</f>
        <v>0.43672754601119995</v>
      </c>
      <c r="CB14" s="3">
        <f>$H14*factors!BV$3</f>
        <v>0.42259682662559994</v>
      </c>
      <c r="CC14" s="3">
        <f>$H14*factors!BW$3</f>
        <v>0.43496120608799993</v>
      </c>
      <c r="CD14" s="3">
        <f>$H14*factors!BX$3</f>
        <v>0.43628596103039996</v>
      </c>
      <c r="CE14" s="3">
        <f>$H14*factors!BY$3</f>
        <v>0.44246815076159995</v>
      </c>
      <c r="CF14" s="3">
        <f>$H14*factors!BZ$3</f>
        <v>0.43584437604959997</v>
      </c>
      <c r="CG14" s="3">
        <f>$H14*factors!CA$3</f>
        <v>0.42127207168319991</v>
      </c>
      <c r="CH14" s="3">
        <f>$H14*factors!CB$3</f>
        <v>0.4217136566639999</v>
      </c>
      <c r="CI14" s="3">
        <f>$H14*factors!CC$3</f>
        <v>0.41950573176</v>
      </c>
      <c r="CJ14" s="3">
        <f>$H14*factors!CD$3</f>
        <v>0.43672754601119995</v>
      </c>
      <c r="CK14" s="3">
        <f>$H14*factors!CE$3</f>
        <v>0.45615728516639997</v>
      </c>
      <c r="CL14" s="3">
        <f>$H14*factors!CF$3</f>
        <v>0.42745426141439996</v>
      </c>
      <c r="CM14" s="3">
        <f>$H14*factors!CG$3</f>
        <v>0.43761071597279994</v>
      </c>
      <c r="CN14" s="3">
        <f>$H14*factors!CH$3</f>
        <v>0.42303841160639993</v>
      </c>
      <c r="CO14" s="3">
        <f>$H14*factors!CI$3</f>
        <v>0.42612950647199993</v>
      </c>
      <c r="CP14" s="3">
        <f>$H14*factors!CJ$3</f>
        <v>0.44644241558879988</v>
      </c>
      <c r="CQ14" s="3">
        <f>$H14*factors!CK$3</f>
        <v>0.43319486616479991</v>
      </c>
      <c r="CR14" s="3">
        <f>$H14*factors!CL$3</f>
        <v>0.44688400056959993</v>
      </c>
      <c r="CS14" s="3">
        <f>$H14*factors!CM$3</f>
        <v>0.46101471995519994</v>
      </c>
      <c r="CT14" s="3">
        <f>$H14*factors!CN$3</f>
        <v>0.45571570018559998</v>
      </c>
      <c r="CU14" s="3">
        <f>$H14*factors!CO$3</f>
        <v>0.4455592456271999</v>
      </c>
      <c r="CV14" s="3">
        <f>$H14*factors!CP$3</f>
        <v>0.46366422983999994</v>
      </c>
      <c r="CW14" s="3">
        <f>$H14*factors!CQ$3</f>
        <v>0.43849388593439997</v>
      </c>
      <c r="CX14" s="3">
        <f>$H14*factors!CR$3</f>
        <v>0.43187011122239999</v>
      </c>
      <c r="CY14" s="3">
        <f>$H14*factors!CS$3</f>
        <v>0.42789584639519995</v>
      </c>
      <c r="CZ14" s="3">
        <f>$H14*factors!CT$3</f>
        <v>0.4217136566639999</v>
      </c>
      <c r="DA14" s="3">
        <f>$H14*factors!CU$3</f>
        <v>0.43784273519999994</v>
      </c>
      <c r="DB14" s="3">
        <f>$H14*factors!CV$3</f>
        <v>0.46613411193600002</v>
      </c>
      <c r="DC14" s="3">
        <f>$H14*factors!CW$3</f>
        <v>0.44637505516799991</v>
      </c>
      <c r="DD14" s="3">
        <f>$H14*factors!CX$3</f>
        <v>0.44323156886399995</v>
      </c>
      <c r="DE14" s="3">
        <f>$H14*factors!CY$3</f>
        <v>0.45625458355199999</v>
      </c>
      <c r="DF14" s="3">
        <f>$H14*factors!CZ$3</f>
        <v>0.45535644460799996</v>
      </c>
      <c r="DG14" s="3">
        <f>$H14*factors!DA$3</f>
        <v>0.45356016671999999</v>
      </c>
      <c r="DH14" s="3">
        <f>$H14*factors!DB$3</f>
        <v>0.45356016671999999</v>
      </c>
      <c r="DI14" s="3">
        <f>$H14*factors!DC$3</f>
        <v>0.43649552678399994</v>
      </c>
      <c r="DJ14" s="3">
        <f>$H14*factors!DD$3</f>
        <v>0.46254155615999998</v>
      </c>
      <c r="DK14" s="3">
        <f>$H14*factors!DE$3</f>
        <v>0.46254155615999998</v>
      </c>
      <c r="DL14" s="3">
        <f>$H14*factors!DF$3</f>
        <v>0.45715272249599997</v>
      </c>
      <c r="DM14" s="3">
        <f>$H14*factors!DG$3</f>
        <v>0.43065762364799992</v>
      </c>
      <c r="DN14" s="3">
        <f>$H14*factors!DH$3</f>
        <v>0.45176388883200003</v>
      </c>
      <c r="DO14" s="3">
        <f>$H14*factors!DI$3</f>
        <v>0.46658318140799993</v>
      </c>
      <c r="DP14" s="3">
        <f>$H14*factors!DJ$3</f>
        <v>0.46254155615999998</v>
      </c>
      <c r="DQ14" s="3">
        <f>$H14*factors!DK$3</f>
        <v>0.44098622150399996</v>
      </c>
      <c r="DR14" s="3">
        <f>$H14*factors!DL$3</f>
        <v>0.43604645731199998</v>
      </c>
      <c r="DS14" s="3">
        <f>$H14*factors!DM$3</f>
        <v>0.47107387612799995</v>
      </c>
      <c r="DT14" s="3">
        <f>$H14*factors!DN$3</f>
        <v>0.44278249939199998</v>
      </c>
      <c r="DU14" s="3">
        <f>$H14*factors!DO$3</f>
        <v>0.46343969510399996</v>
      </c>
      <c r="DV14" s="3">
        <f>$H14*factors!DP$3</f>
        <v>0.45266202777600001</v>
      </c>
      <c r="DW14" s="3">
        <f>$H14*factors!DQ$3</f>
        <v>0.43200483206399992</v>
      </c>
      <c r="DX14" s="3">
        <f>$H14*factors!DR$3</f>
        <v>0.45760179196799994</v>
      </c>
      <c r="DY14" s="3">
        <f>$H14*factors!DS$3</f>
        <v>0.43425017942399996</v>
      </c>
      <c r="DZ14" s="3">
        <f>$H14*factors!DT$3</f>
        <v>0.46433783404799994</v>
      </c>
      <c r="EA14" s="3">
        <f>$H14*factors!DU$3</f>
        <v>0.43739366572799993</v>
      </c>
      <c r="EB14" s="3">
        <f>$H14*factors!DV$3</f>
        <v>0.42661599839999992</v>
      </c>
      <c r="EC14" s="3">
        <f>$H14*factors!DW$3</f>
        <v>0.45894900038399994</v>
      </c>
      <c r="ED14" s="3">
        <f>$H14*factors!DX$3</f>
        <v>0.43065762364799992</v>
      </c>
      <c r="EE14" s="3">
        <f>$H14*factors!DY$3</f>
        <v>0.43425017942399996</v>
      </c>
      <c r="EF14" s="3">
        <f>$H14*factors!DZ$3</f>
        <v>0.47107387612799995</v>
      </c>
      <c r="EG14" s="3">
        <f>$H14*factors!EA$3</f>
        <v>0.44008808255999998</v>
      </c>
      <c r="EH14" s="3">
        <f>$H14*factors!EB$3</f>
        <v>0.44143529097599998</v>
      </c>
      <c r="EI14" s="3">
        <f>$H14*factors!EC$3</f>
        <v>0.440537152032</v>
      </c>
      <c r="EJ14" s="3">
        <f>$H14*factors!ED$3</f>
        <v>0.42931041523199998</v>
      </c>
      <c r="EK14" s="3">
        <f>$H14*factors!EE$3</f>
        <v>0.45894900038399994</v>
      </c>
      <c r="EL14" s="3">
        <f>$H14*factors!EF$3</f>
        <v>0.43649552678399994</v>
      </c>
      <c r="EM14" s="3">
        <f>$H14*factors!EG$3</f>
        <v>0.4540092361919999</v>
      </c>
      <c r="EN14" s="3">
        <f>$H14*factors!EH$3</f>
        <v>0.42661599839999992</v>
      </c>
      <c r="EO14" s="3">
        <f>$H14*factors!EI$3</f>
        <v>0.4329029710079999</v>
      </c>
      <c r="EP14" s="3">
        <f>$H14*factors!EJ$3</f>
        <v>0.45670365302399996</v>
      </c>
      <c r="EQ14" s="3">
        <f>$H14*factors!EK$3</f>
        <v>0.44412970780799993</v>
      </c>
      <c r="ER14" s="3">
        <f>$H14*factors!EL$3</f>
        <v>0.46254155615999998</v>
      </c>
      <c r="ES14" s="3">
        <f>$H14*factors!EM$3</f>
        <v>0.45670365302399996</v>
      </c>
      <c r="ET14" s="3">
        <f>$H14*factors!EN$3</f>
        <v>0.46703225088</v>
      </c>
      <c r="EU14" s="3">
        <f>$H14*factors!EO$3</f>
        <v>0.47152294559999997</v>
      </c>
      <c r="EV14" s="3">
        <f>$H14*factors!EP$3</f>
        <v>0.44188436044799995</v>
      </c>
      <c r="EW14" s="3">
        <f>$H14*factors!EQ$3</f>
        <v>0.48602414729999993</v>
      </c>
      <c r="EX14" s="3">
        <f>$H14*factors!ER$3</f>
        <v>0.48087855960000003</v>
      </c>
      <c r="EY14" s="3">
        <f>$H14*factors!ES$3</f>
        <v>0.49070195429999991</v>
      </c>
      <c r="EZ14" s="3">
        <f>$H14*factors!ET$3</f>
        <v>0.48602414729999993</v>
      </c>
      <c r="FA14" s="3">
        <f>$H14*factors!EU$3</f>
        <v>0.44673056849999992</v>
      </c>
      <c r="FB14" s="3">
        <f>$H14*factors!EV$3</f>
        <v>0.46684513859999999</v>
      </c>
      <c r="FC14" s="3">
        <f>$H14*factors!EW$3</f>
        <v>0.47994299819999997</v>
      </c>
      <c r="FD14" s="3">
        <f>$H14*factors!EX$3</f>
        <v>0.46310289300000002</v>
      </c>
      <c r="FE14" s="3">
        <f>$H14*factors!EY$3</f>
        <v>0.48789527009999994</v>
      </c>
      <c r="FF14" s="3">
        <f>$H14*factors!EZ$3</f>
        <v>0.48836305080000003</v>
      </c>
      <c r="FG14" s="3">
        <f>$H14*factors!FA$3</f>
        <v>0.44673056849999992</v>
      </c>
      <c r="FH14" s="3">
        <f>$H14*factors!FB$3</f>
        <v>0.47011960349999993</v>
      </c>
      <c r="FI14" s="3">
        <f>$H14*factors!FC$3</f>
        <v>0.4897663928999999</v>
      </c>
      <c r="FJ14" s="3">
        <f>$H14*factors!FD$3</f>
        <v>0.47011960349999993</v>
      </c>
      <c r="FK14" s="3">
        <f>$H14*factors!FE$3</f>
        <v>0.47807187540000001</v>
      </c>
      <c r="FL14" s="3">
        <f>$H14*factors!FF$3</f>
        <v>0.47947521749999999</v>
      </c>
      <c r="FM14" s="3">
        <f>$H14*factors!FG$3</f>
        <v>0.48462080519999995</v>
      </c>
      <c r="FN14" s="3">
        <f>$H14*factors!FH$3</f>
        <v>0.45327949829999997</v>
      </c>
      <c r="FO14" s="3">
        <f>$H14*factors!FI$3</f>
        <v>0.48134634029999995</v>
      </c>
      <c r="FP14" s="3">
        <f>$H14*factors!FJ$3</f>
        <v>0.46778069999999999</v>
      </c>
      <c r="FQ14" s="3">
        <f>$H14*factors!FK$3</f>
        <v>0.46310289300000002</v>
      </c>
      <c r="FR14" s="3">
        <f>$H14*factors!FL$3</f>
        <v>0.47245850699999997</v>
      </c>
      <c r="FS14" s="3">
        <f>$H14*factors!FM$3</f>
        <v>0.46965182279999995</v>
      </c>
      <c r="FT14" s="3">
        <f>$H14*factors!FN$3</f>
        <v>0.47994299819999997</v>
      </c>
      <c r="FU14" s="3">
        <f>$H14*factors!FO$3</f>
        <v>0.46123177019999995</v>
      </c>
      <c r="FV14" s="3">
        <f>$H14*factors!FP$3</f>
        <v>0.45748952459999997</v>
      </c>
      <c r="FW14" s="3">
        <f>$H14*factors!FQ$3</f>
        <v>0.4897663928999999</v>
      </c>
      <c r="FX14" s="3">
        <f>$H14*factors!FR$3</f>
        <v>0.48087855960000003</v>
      </c>
      <c r="FY14" s="3">
        <f>$H14*factors!FS$3</f>
        <v>0.47105516489999993</v>
      </c>
      <c r="FZ14" s="3">
        <f>$H14*factors!FT$3</f>
        <v>0.44766612989999999</v>
      </c>
      <c r="GA14" s="3">
        <f>$H14*factors!FU$3</f>
        <v>0.47105516489999993</v>
      </c>
      <c r="GB14" s="3">
        <f>$H14*factors!FV$3</f>
        <v>0.48836305080000003</v>
      </c>
      <c r="GC14" s="3">
        <f>$H14*factors!FW$3</f>
        <v>0.45748952459999997</v>
      </c>
      <c r="GD14" s="3">
        <f>$H14*factors!FX$3</f>
        <v>0.46544179649999995</v>
      </c>
      <c r="GE14" s="3">
        <f>$H14*factors!FY$3</f>
        <v>0.46544179649999995</v>
      </c>
      <c r="GF14" s="3">
        <f>$H14*factors!FZ$3</f>
        <v>0.46403845439999997</v>
      </c>
      <c r="GG14" s="3">
        <f>$H14*factors!GA$3</f>
        <v>0.44579500709999997</v>
      </c>
      <c r="GH14" s="3">
        <f>$H14*factors!GB$3</f>
        <v>0.47432962979999999</v>
      </c>
      <c r="GI14" s="3">
        <f>$H14*factors!GC$3</f>
        <v>0.44485944569999997</v>
      </c>
      <c r="GJ14" s="3">
        <f>$H14*factors!GD$3</f>
        <v>0.44579500709999997</v>
      </c>
      <c r="GK14" s="3">
        <f>$H14*factors!GE$3</f>
        <v>0.45702174389999994</v>
      </c>
      <c r="GL14" s="3">
        <f>$H14*factors!GF$3</f>
        <v>0.48415302449999997</v>
      </c>
      <c r="GM14" s="3">
        <f>$H14*factors!GG$3</f>
        <v>0.45889286670000001</v>
      </c>
      <c r="GN14" s="3">
        <f>$H14*factors!GH$3</f>
        <v>0.47339406840000003</v>
      </c>
      <c r="GO14" s="3">
        <f>$H14*factors!GI$3</f>
        <v>0.4471983491999999</v>
      </c>
      <c r="GP14" s="3">
        <f>$H14*factors!GJ$3</f>
        <v>0.47947521749999999</v>
      </c>
      <c r="GQ14" s="3">
        <f>$H14*factors!GK$3</f>
        <v>0.48929861220000004</v>
      </c>
      <c r="GR14" s="3">
        <f>$H14*factors!GL$3</f>
        <v>0.47994299819999997</v>
      </c>
      <c r="GS14" s="3">
        <f>$H14*factors!GM$3</f>
        <v>0.45387825759599998</v>
      </c>
      <c r="GT14" s="3">
        <f>$H14*factors!GN$3</f>
        <v>0.46433409180239998</v>
      </c>
      <c r="GU14" s="3">
        <f>$H14*factors!GO$3</f>
        <v>0.47526519119999999</v>
      </c>
      <c r="GV14" s="3">
        <f>$H14*factors!GP$3</f>
        <v>0.45625458355199999</v>
      </c>
      <c r="GW14" s="3">
        <f>$H14*factors!GQ$3</f>
        <v>0.47241360005279998</v>
      </c>
      <c r="GX14" s="3">
        <f>$H14*factors!GR$3</f>
        <v>0.46480935699359993</v>
      </c>
      <c r="GY14" s="3">
        <f>$H14*factors!GS$3</f>
        <v>0.46243303103760003</v>
      </c>
      <c r="GZ14" s="3">
        <f>$H14*factors!GT$3</f>
        <v>0.47954257792079991</v>
      </c>
      <c r="HA14" s="3">
        <f>$H14*factors!GU$3</f>
        <v>0.46385882661119998</v>
      </c>
      <c r="HB14" s="3">
        <f>$H14*factors!GV$3</f>
        <v>0.47954257792079991</v>
      </c>
      <c r="HC14" s="3">
        <f>$H14*factors!GW$3</f>
        <v>0.46766094814079995</v>
      </c>
      <c r="HD14" s="3">
        <f>$H14*factors!GX$3</f>
        <v>0.48144363868559992</v>
      </c>
      <c r="HE14" s="3">
        <f>$H14*factors!GY$3</f>
        <v>0.47526519119999999</v>
      </c>
      <c r="HF14" s="3">
        <f>$H14*factors!GZ$3</f>
        <v>0.48999841212719997</v>
      </c>
      <c r="HG14" s="3">
        <f>$H14*factors!HA$3</f>
        <v>0.47098780447919997</v>
      </c>
      <c r="HH14" s="3">
        <f>$H14*factors!HB$3</f>
        <v>0.46480935699359993</v>
      </c>
      <c r="HI14" s="3">
        <f>$H14*factors!HC$3</f>
        <v>0.45910617469920001</v>
      </c>
      <c r="HJ14" s="3">
        <f>$H14*factors!HD$3</f>
        <v>0.45387825759599998</v>
      </c>
      <c r="HK14" s="3">
        <f>$H14*factors!HE$3</f>
        <v>0.48001784311199996</v>
      </c>
      <c r="HL14" s="3">
        <f>$H14*factors!HF$3</f>
        <v>0.45245246202239991</v>
      </c>
      <c r="HM14" s="3">
        <f>$H14*factors!HG$3</f>
        <v>0.4572051139344</v>
      </c>
      <c r="HN14" s="3">
        <f>$H14*factors!HH$3</f>
        <v>0.48762208617120001</v>
      </c>
      <c r="HO14" s="3">
        <f>$H14*factors!HI$3</f>
        <v>0.46766094814079995</v>
      </c>
      <c r="HP14" s="3">
        <f>$H14*factors!HJ$3</f>
        <v>0.49902845076000002</v>
      </c>
      <c r="HQ14" s="3">
        <f>$H14*factors!HK$3</f>
        <v>0.45625458355199999</v>
      </c>
      <c r="HR14" s="3">
        <f>$H14*factors!HL$3</f>
        <v>0.48381996464160004</v>
      </c>
      <c r="HS14" s="3">
        <f>$H14*factors!HM$3</f>
        <v>0.49237473808319998</v>
      </c>
      <c r="HT14" s="3">
        <f>$H14*factors!HN$3</f>
        <v>0.45910617469920001</v>
      </c>
      <c r="HU14" s="3">
        <f>$H14*factors!HO$3</f>
        <v>0.46385882661119998</v>
      </c>
      <c r="HV14" s="3">
        <f>$H14*factors!HP$3</f>
        <v>0.46956200890560001</v>
      </c>
      <c r="HW14" s="3">
        <f>$H14*factors!HQ$3</f>
        <v>0.4762157215824</v>
      </c>
      <c r="HX14" s="3">
        <f>$H14*factors!HR$3</f>
        <v>0.49570159442159994</v>
      </c>
      <c r="HY14" s="3">
        <f>$H14*factors!HS$3</f>
        <v>0.47098780447919997</v>
      </c>
      <c r="HZ14" s="3">
        <f>$H14*factors!HT$3</f>
        <v>0.48904788174479996</v>
      </c>
      <c r="IA14" s="3">
        <f>$H14*factors!HU$3</f>
        <v>0.46528462218479999</v>
      </c>
      <c r="IB14" s="3">
        <f>$H14*factors!HV$3</f>
        <v>0.48144363868559992</v>
      </c>
      <c r="IC14" s="3">
        <f>$H14*factors!HW$3</f>
        <v>0.48619629059759994</v>
      </c>
      <c r="ID14" s="3">
        <f>$H14*factors!HX$3</f>
        <v>0.45150193163999996</v>
      </c>
      <c r="IE14" s="3">
        <f>$H14*factors!HY$3</f>
        <v>0.47954257792079991</v>
      </c>
      <c r="IF14" s="3">
        <f>$H14*factors!HZ$3</f>
        <v>0.47669098677359995</v>
      </c>
      <c r="IG14" s="3">
        <f>$H14*factors!IA$3</f>
        <v>0.47241360005279998</v>
      </c>
      <c r="IH14" s="3">
        <f>$H14*factors!IB$3</f>
        <v>0.48999841212719997</v>
      </c>
      <c r="II14" s="3">
        <f>$H14*factors!IC$3</f>
        <v>0.46908674371439996</v>
      </c>
      <c r="IJ14" s="3">
        <f>$H14*factors!ID$3</f>
        <v>0.47336413043519998</v>
      </c>
      <c r="IK14" s="3">
        <f>$H14*factors!IE$3</f>
        <v>0.49047367731839997</v>
      </c>
      <c r="IL14" s="3">
        <f>$H14*factors!IF$3</f>
        <v>0.46956200890560001</v>
      </c>
      <c r="IM14" s="3">
        <f>$H14*factors!IG$3</f>
        <v>0.46528462218479999</v>
      </c>
      <c r="IN14" s="3">
        <f>$H14*factors!IH$3</f>
        <v>0.46813621333200001</v>
      </c>
      <c r="IO14" s="3">
        <f>$H14*factors!II$3</f>
        <v>0.47288886524399998</v>
      </c>
      <c r="IP14" s="3">
        <f>$H14*factors!IJ$3</f>
        <v>0.4572051139344</v>
      </c>
      <c r="IQ14" s="3">
        <f>$H14*factors!IK$3</f>
        <v>0.45577931836079999</v>
      </c>
      <c r="IR14" s="3">
        <f>$H14*factors!IL$3</f>
        <v>0.46908674371439996</v>
      </c>
      <c r="IS14" s="3">
        <f>$H14*factors!IM$3</f>
        <v>0.47288886524399998</v>
      </c>
      <c r="IT14" s="3">
        <f>$H14*factors!IN$3</f>
        <v>0.4762157215824</v>
      </c>
      <c r="IU14" s="3">
        <f>$H14*factors!IO$3</f>
        <v>0.4866715557888</v>
      </c>
      <c r="IV14" s="3">
        <f>$H14*factors!IP$3</f>
        <v>0.49285000327439993</v>
      </c>
      <c r="IW14" s="3">
        <f>$H14*factors!IQ$3</f>
        <v>0.46575988737599994</v>
      </c>
      <c r="IX14" s="3">
        <f>$H14*factors!IR$3</f>
        <v>0.4866715557888</v>
      </c>
      <c r="IY14" s="3">
        <f>$H14*factors!IS$3</f>
        <v>0.47954257792079991</v>
      </c>
      <c r="IZ14" s="3">
        <f>$H14*factors!IT$3</f>
        <v>0.48762208617120001</v>
      </c>
      <c r="JA14" s="3">
        <f>$H14*factors!IU$3</f>
        <v>0.46053197027279996</v>
      </c>
      <c r="JB14" s="3">
        <f>$H14*factors!IV$3</f>
        <v>0.46908674371439996</v>
      </c>
      <c r="JC14" s="3">
        <f>$H14*factors!IW$3</f>
        <v>0.4581556443168</v>
      </c>
      <c r="JD14" s="3">
        <f>$H14*factors!IX$3</f>
        <v>0.49902845076000002</v>
      </c>
      <c r="JE14" s="3">
        <f>$H14*factors!IY$3</f>
        <v>0.45958143989039996</v>
      </c>
      <c r="JF14" s="3">
        <f>$H14*factors!IZ$3</f>
        <v>0.48239416906799992</v>
      </c>
      <c r="JG14" s="3">
        <f>$H14*factors!JA$3</f>
        <v>0.47383939562639993</v>
      </c>
      <c r="JH14" s="3">
        <f>$H14*factors!JB$3</f>
        <v>0.48286943425920004</v>
      </c>
      <c r="JI14" s="3">
        <f>$H14*factors!JC$3</f>
        <v>0.45197719683119997</v>
      </c>
      <c r="JJ14" s="3">
        <f>$H14*factors!JD$3</f>
        <v>0.4866715557888</v>
      </c>
      <c r="JK14" s="3">
        <f>$H14*factors!JE$3</f>
        <v>0.47098780447919997</v>
      </c>
      <c r="JL14" s="3">
        <f>$H14*factors!JF$3</f>
        <v>0.48999841212719997</v>
      </c>
      <c r="JM14" s="3">
        <f>$H14*factors!JG$3</f>
        <v>0.4572051139344</v>
      </c>
      <c r="JN14" s="3">
        <f>$H14*factors!JH$3</f>
        <v>0.4572051139344</v>
      </c>
      <c r="JO14" s="3">
        <f>$H14*factors!JI$3</f>
        <v>0.45150193163999996</v>
      </c>
      <c r="JP14" s="3">
        <f>$H14*factors!JJ$3</f>
        <v>0.48809735136239996</v>
      </c>
      <c r="JQ14" s="3">
        <f>$H14*factors!JK$3</f>
        <v>0.47574045639119994</v>
      </c>
      <c r="JR14" s="3">
        <f>$H14*factors!JL$3</f>
        <v>0.49427579884799999</v>
      </c>
      <c r="JS14" s="3">
        <f>$H14*factors!JM$3</f>
        <v>0.45150193163999996</v>
      </c>
      <c r="JT14" s="3">
        <f>$H14*factors!JN$3</f>
        <v>0.47431466081759999</v>
      </c>
      <c r="JU14" s="3">
        <f>$H14*factors!JO$3</f>
        <v>0.45863090950799995</v>
      </c>
      <c r="JV14" s="3">
        <f>$H14*factors!JP$3</f>
        <v>0.4662351525672</v>
      </c>
      <c r="JW14" s="3">
        <f>$H14*factors!JQ$3</f>
        <v>0.49807792037760001</v>
      </c>
      <c r="JX14" s="3">
        <f>$H14*factors!JR$3</f>
        <v>0.49332526846559999</v>
      </c>
      <c r="JY14" s="3">
        <f>$H14*factors!JS$3</f>
        <v>0.46433409180239998</v>
      </c>
      <c r="JZ14" s="3">
        <f>$H14*factors!JT$3</f>
        <v>0.46956200890560001</v>
      </c>
      <c r="KA14" s="3">
        <f>$H14*factors!JU$3</f>
        <v>0.47146306967040003</v>
      </c>
      <c r="KB14" s="3">
        <f>$H14*factors!JV$3</f>
        <v>0.45577931836079999</v>
      </c>
      <c r="KC14" s="3">
        <f>$H14*factors!JW$3</f>
        <v>0.4581556443168</v>
      </c>
      <c r="KD14" s="3">
        <f>$H14*factors!JX$3</f>
        <v>0.45863090950799995</v>
      </c>
      <c r="KE14" s="3">
        <f>$H14*factors!JY$3</f>
        <v>0.48809735136239996</v>
      </c>
      <c r="KF14" s="3">
        <f>$H14*factors!JZ$3</f>
        <v>0.49380053365679993</v>
      </c>
      <c r="KG14" s="3">
        <f>$H14*factors!KA$3</f>
        <v>0.4762157215824</v>
      </c>
      <c r="KH14" s="3">
        <f>$H14*factors!KB$3</f>
        <v>0.46575988737599994</v>
      </c>
      <c r="KI14" s="3">
        <f>$H14*factors!KC$3</f>
        <v>0.46148250065519991</v>
      </c>
    </row>
    <row r="15" spans="1:295" x14ac:dyDescent="0.55000000000000004">
      <c r="A15" t="s">
        <v>391</v>
      </c>
      <c r="B15">
        <v>14</v>
      </c>
      <c r="C15">
        <v>230</v>
      </c>
      <c r="D15" t="s">
        <v>377</v>
      </c>
      <c r="E15">
        <v>3.3409999999999998E-3</v>
      </c>
      <c r="F15">
        <v>14</v>
      </c>
      <c r="G15">
        <f>VLOOKUP(D15,demand_forecasted!$A$2:$G$11,2)</f>
        <v>11098</v>
      </c>
      <c r="H15" s="3">
        <f t="shared" si="0"/>
        <v>0.37078418000000002</v>
      </c>
      <c r="I15" s="3">
        <f>$H15*factors!C$3</f>
        <v>0.41045808725999999</v>
      </c>
      <c r="J15" s="3">
        <f>$H15*factors!D$3</f>
        <v>0.39564155142720003</v>
      </c>
      <c r="K15" s="3">
        <f>$H15*factors!E$3</f>
        <v>0.38883395388240005</v>
      </c>
      <c r="L15" s="3">
        <f>$H15*factors!F$3</f>
        <v>0.38763261313920006</v>
      </c>
      <c r="M15" s="3">
        <f>$H15*factors!G$3</f>
        <v>0.3872321662248</v>
      </c>
      <c r="N15" s="3">
        <f>$H15*factors!H$3</f>
        <v>0.39844467982800003</v>
      </c>
      <c r="O15" s="3">
        <f>$H15*factors!I$3</f>
        <v>0.4072545119448</v>
      </c>
      <c r="P15" s="3">
        <f>$H15*factors!J$3</f>
        <v>0.41205987491760004</v>
      </c>
      <c r="Q15" s="3">
        <f>$H15*factors!K$3</f>
        <v>0.3868317193104</v>
      </c>
      <c r="R15" s="3">
        <f>$H15*factors!L$3</f>
        <v>0.38042456868000002</v>
      </c>
      <c r="S15" s="3">
        <f>$H15*factors!M$3</f>
        <v>0.39604199834160003</v>
      </c>
      <c r="T15" s="3">
        <f>$H15*factors!N$3</f>
        <v>0.40965719343120005</v>
      </c>
      <c r="U15" s="3">
        <f>$H15*factors!O$3</f>
        <v>0.38803306005360005</v>
      </c>
      <c r="V15" s="3">
        <f>$H15*factors!P$3</f>
        <v>0.40365048971520007</v>
      </c>
      <c r="W15" s="3">
        <f>$H15*factors!Q$3</f>
        <v>0.4072545119448</v>
      </c>
      <c r="X15" s="3">
        <f>$H15*factors!R$3</f>
        <v>0.38963484771119999</v>
      </c>
      <c r="Y15" s="3">
        <f>$H15*factors!S$3</f>
        <v>0.38603082548160006</v>
      </c>
      <c r="Z15" s="3">
        <f>$H15*factors!T$3</f>
        <v>0.41646479097600009</v>
      </c>
      <c r="AA15" s="3">
        <f>$H15*factors!U$3</f>
        <v>0.39323886994079998</v>
      </c>
      <c r="AB15" s="3">
        <f>$H15*factors!V$3</f>
        <v>0.39363931685520009</v>
      </c>
      <c r="AC15" s="3">
        <f>$H15*factors!W$3</f>
        <v>0.39403976376960004</v>
      </c>
      <c r="AD15" s="3">
        <f>$H15*factors!X$3</f>
        <v>0.38563037856720006</v>
      </c>
      <c r="AE15" s="3">
        <f>$H15*factors!Y$3</f>
        <v>0.38883395388240005</v>
      </c>
      <c r="AF15" s="3">
        <f>$H15*factors!Z$3</f>
        <v>0.39684289217040009</v>
      </c>
      <c r="AG15" s="3">
        <f>$H15*factors!AA$3</f>
        <v>0.3868317193104</v>
      </c>
      <c r="AH15" s="3">
        <f>$H15*factors!AB$3</f>
        <v>0.38522993165280006</v>
      </c>
      <c r="AI15" s="3">
        <f>$H15*factors!AC$3</f>
        <v>0.39764378599920003</v>
      </c>
      <c r="AJ15" s="3">
        <f>$H15*factors!AD$3</f>
        <v>0.41286076874640004</v>
      </c>
      <c r="AK15" s="3">
        <f>$H15*factors!AE$3</f>
        <v>0.39724333908480003</v>
      </c>
      <c r="AL15" s="3">
        <f>$H15*factors!AF$3</f>
        <v>0.38162590942320002</v>
      </c>
      <c r="AM15" s="3">
        <f>$H15*factors!AG$3</f>
        <v>0.39243797611200004</v>
      </c>
      <c r="AN15" s="3">
        <f>$H15*factors!AH$3</f>
        <v>0.38603082548160006</v>
      </c>
      <c r="AO15" s="3">
        <f>$H15*factors!AI$3</f>
        <v>0.40445138354400001</v>
      </c>
      <c r="AP15" s="3">
        <f>$H15*factors!AJ$3</f>
        <v>0.38763261313920006</v>
      </c>
      <c r="AQ15" s="3">
        <f>$H15*factors!AK$3</f>
        <v>0.40004646748560008</v>
      </c>
      <c r="AR15" s="3">
        <f>$H15*factors!AL$3</f>
        <v>0.39123663536880005</v>
      </c>
      <c r="AS15" s="3">
        <f>$H15*factors!AM$3</f>
        <v>0.38162590942320002</v>
      </c>
      <c r="AT15" s="3">
        <f>$H15*factors!AN$3</f>
        <v>0.39363931685520009</v>
      </c>
      <c r="AU15" s="3">
        <f>$H15*factors!AO$3</f>
        <v>0.41686523789039998</v>
      </c>
      <c r="AV15" s="3">
        <f>$H15*factors!AP$3</f>
        <v>0.39403976376960004</v>
      </c>
      <c r="AW15" s="3">
        <f>$H15*factors!AQ$3</f>
        <v>0.39003529462559999</v>
      </c>
      <c r="AX15" s="3">
        <f>$H15*factors!AR$3</f>
        <v>0.41246032183200004</v>
      </c>
      <c r="AY15" s="3">
        <f>$H15*factors!AS$3</f>
        <v>0.38042456868000002</v>
      </c>
      <c r="AZ15" s="3">
        <f>$H15*factors!AT$3</f>
        <v>0.40765495885920011</v>
      </c>
      <c r="BA15" s="3">
        <f>$H15*factors!AU$3</f>
        <v>0.39884512674240002</v>
      </c>
      <c r="BB15" s="3">
        <f>$H15*factors!AV$3</f>
        <v>0.39363931685520009</v>
      </c>
      <c r="BC15" s="3">
        <f>$H15*factors!AW$3</f>
        <v>0.41646479097600009</v>
      </c>
      <c r="BD15" s="3">
        <f>$H15*factors!AX$3</f>
        <v>0.38442903782400001</v>
      </c>
      <c r="BE15" s="3">
        <f>$H15*factors!AY$3</f>
        <v>0.45196366836919999</v>
      </c>
      <c r="BF15" s="3">
        <f>$H15*factors!AZ$3</f>
        <v>0.42089936976879999</v>
      </c>
      <c r="BG15" s="3">
        <f>$H15*factors!BA$3</f>
        <v>0.42702472442239997</v>
      </c>
      <c r="BH15" s="3">
        <f>$H15*factors!BB$3</f>
        <v>0.43271255374360001</v>
      </c>
      <c r="BI15" s="3">
        <f>$H15*factors!BC$3</f>
        <v>0.44846346570999995</v>
      </c>
      <c r="BJ15" s="3">
        <f>$H15*factors!BD$3</f>
        <v>0.4283373004196</v>
      </c>
      <c r="BK15" s="3">
        <f>$H15*factors!BE$3</f>
        <v>0.42921235108439998</v>
      </c>
      <c r="BL15" s="3">
        <f>$H15*factors!BF$3</f>
        <v>0.42439957242799997</v>
      </c>
      <c r="BM15" s="3">
        <f>$H15*factors!BG$3</f>
        <v>0.45327624436640002</v>
      </c>
      <c r="BN15" s="3">
        <f>$H15*factors!BH$3</f>
        <v>0.44758841504519997</v>
      </c>
      <c r="BO15" s="3">
        <f>$H15*factors!BI$3</f>
        <v>0.42089936976879999</v>
      </c>
      <c r="BP15" s="3">
        <f>$H15*factors!BJ$3</f>
        <v>0.41958679377159996</v>
      </c>
      <c r="BQ15" s="3">
        <f>$H15*factors!BK$3</f>
        <v>0.42658719908999998</v>
      </c>
      <c r="BR15" s="3">
        <f>$H15*factors!BL$3</f>
        <v>0.44190058572400004</v>
      </c>
      <c r="BS15" s="3">
        <f>$H15*factors!BM$3</f>
        <v>0.4489009910424</v>
      </c>
      <c r="BT15" s="3">
        <f>$H15*factors!BN$3</f>
        <v>0.45021356703959997</v>
      </c>
      <c r="BU15" s="3">
        <f>$H15*factors!BO$3</f>
        <v>0.45765149769040003</v>
      </c>
      <c r="BV15" s="3">
        <f>$H15*factors!BP$3</f>
        <v>0.4257121484252</v>
      </c>
      <c r="BW15" s="3">
        <f>$H15*factors!BQ$3</f>
        <v>0.43533770573800001</v>
      </c>
      <c r="BX15" s="3">
        <f>$H15*factors!BR$3</f>
        <v>0.42702472442239997</v>
      </c>
      <c r="BY15" s="3">
        <f>$H15*factors!BS$3</f>
        <v>0.44671336438039994</v>
      </c>
      <c r="BZ15" s="3">
        <f>$H15*factors!BT$3</f>
        <v>0.43840038306479995</v>
      </c>
      <c r="CA15" s="3">
        <f>$H15*factors!BU$3</f>
        <v>0.43271255374360001</v>
      </c>
      <c r="CB15" s="3">
        <f>$H15*factors!BV$3</f>
        <v>0.41871174310679998</v>
      </c>
      <c r="CC15" s="3">
        <f>$H15*factors!BW$3</f>
        <v>0.430962452414</v>
      </c>
      <c r="CD15" s="3">
        <f>$H15*factors!BX$3</f>
        <v>0.43227502841120002</v>
      </c>
      <c r="CE15" s="3">
        <f>$H15*factors!BY$3</f>
        <v>0.43840038306479995</v>
      </c>
      <c r="CF15" s="3">
        <f>$H15*factors!BZ$3</f>
        <v>0.43183750307880003</v>
      </c>
      <c r="CG15" s="3">
        <f>$H15*factors!CA$3</f>
        <v>0.41739916710959996</v>
      </c>
      <c r="CH15" s="3">
        <f>$H15*factors!CB$3</f>
        <v>0.41783669244199995</v>
      </c>
      <c r="CI15" s="3">
        <f>$H15*factors!CC$3</f>
        <v>0.41564906577999999</v>
      </c>
      <c r="CJ15" s="3">
        <f>$H15*factors!CD$3</f>
        <v>0.43271255374360001</v>
      </c>
      <c r="CK15" s="3">
        <f>$H15*factors!CE$3</f>
        <v>0.45196366836919999</v>
      </c>
      <c r="CL15" s="3">
        <f>$H15*factors!CF$3</f>
        <v>0.42352452176319999</v>
      </c>
      <c r="CM15" s="3">
        <f>$H15*factors!CG$3</f>
        <v>0.4335876044084</v>
      </c>
      <c r="CN15" s="3">
        <f>$H15*factors!CH$3</f>
        <v>0.41914926843919997</v>
      </c>
      <c r="CO15" s="3">
        <f>$H15*factors!CI$3</f>
        <v>0.42221194576599996</v>
      </c>
      <c r="CP15" s="3">
        <f>$H15*factors!CJ$3</f>
        <v>0.44233811105639992</v>
      </c>
      <c r="CQ15" s="3">
        <f>$H15*factors!CK$3</f>
        <v>0.42921235108439998</v>
      </c>
      <c r="CR15" s="3">
        <f>$H15*factors!CL$3</f>
        <v>0.44277563638879996</v>
      </c>
      <c r="CS15" s="3">
        <f>$H15*factors!CM$3</f>
        <v>0.4567764470256</v>
      </c>
      <c r="CT15" s="3">
        <f>$H15*factors!CN$3</f>
        <v>0.4515261430368</v>
      </c>
      <c r="CU15" s="3">
        <f>$H15*factors!CO$3</f>
        <v>0.44146306039159994</v>
      </c>
      <c r="CV15" s="3">
        <f>$H15*factors!CP$3</f>
        <v>0.45940159902</v>
      </c>
      <c r="CW15" s="3">
        <f>$H15*factors!CQ$3</f>
        <v>0.43446265507320003</v>
      </c>
      <c r="CX15" s="3">
        <f>$H15*factors!CR$3</f>
        <v>0.42789977508720001</v>
      </c>
      <c r="CY15" s="3">
        <f>$H15*factors!CS$3</f>
        <v>0.42396204709559998</v>
      </c>
      <c r="CZ15" s="3">
        <f>$H15*factors!CT$3</f>
        <v>0.41783669244199995</v>
      </c>
      <c r="DA15" s="3">
        <f>$H15*factors!CU$3</f>
        <v>0.43381749060000002</v>
      </c>
      <c r="DB15" s="3">
        <f>$H15*factors!CV$3</f>
        <v>0.46184877460800006</v>
      </c>
      <c r="DC15" s="3">
        <f>$H15*factors!CW$3</f>
        <v>0.44227136990399996</v>
      </c>
      <c r="DD15" s="3">
        <f>$H15*factors!CX$3</f>
        <v>0.43915678279199999</v>
      </c>
      <c r="DE15" s="3">
        <f>$H15*factors!CY$3</f>
        <v>0.45206007225600003</v>
      </c>
      <c r="DF15" s="3">
        <f>$H15*factors!CZ$3</f>
        <v>0.45117019022399996</v>
      </c>
      <c r="DG15" s="3">
        <f>$H15*factors!DA$3</f>
        <v>0.44939042616000002</v>
      </c>
      <c r="DH15" s="3">
        <f>$H15*factors!DB$3</f>
        <v>0.44939042616000002</v>
      </c>
      <c r="DI15" s="3">
        <f>$H15*factors!DC$3</f>
        <v>0.43248266755199999</v>
      </c>
      <c r="DJ15" s="3">
        <f>$H15*factors!DD$3</f>
        <v>0.45828924648000002</v>
      </c>
      <c r="DK15" s="3">
        <f>$H15*factors!DE$3</f>
        <v>0.45828924648000002</v>
      </c>
      <c r="DL15" s="3">
        <f>$H15*factors!DF$3</f>
        <v>0.45294995428800006</v>
      </c>
      <c r="DM15" s="3">
        <f>$H15*factors!DG$3</f>
        <v>0.42669843434399995</v>
      </c>
      <c r="DN15" s="3">
        <f>$H15*factors!DH$3</f>
        <v>0.44761066209600003</v>
      </c>
      <c r="DO15" s="3">
        <f>$H15*factors!DI$3</f>
        <v>0.46229371562400001</v>
      </c>
      <c r="DP15" s="3">
        <f>$H15*factors!DJ$3</f>
        <v>0.45828924648000002</v>
      </c>
      <c r="DQ15" s="3">
        <f>$H15*factors!DK$3</f>
        <v>0.43693207771199999</v>
      </c>
      <c r="DR15" s="3">
        <f>$H15*factors!DL$3</f>
        <v>0.43203772653600003</v>
      </c>
      <c r="DS15" s="3">
        <f>$H15*factors!DM$3</f>
        <v>0.46674312578400001</v>
      </c>
      <c r="DT15" s="3">
        <f>$H15*factors!DN$3</f>
        <v>0.43871184177600003</v>
      </c>
      <c r="DU15" s="3">
        <f>$H15*factors!DO$3</f>
        <v>0.45917912851199999</v>
      </c>
      <c r="DV15" s="3">
        <f>$H15*factors!DP$3</f>
        <v>0.448500544128</v>
      </c>
      <c r="DW15" s="3">
        <f>$H15*factors!DQ$3</f>
        <v>0.42803325739199999</v>
      </c>
      <c r="DX15" s="3">
        <f>$H15*factors!DR$3</f>
        <v>0.45339489530399996</v>
      </c>
      <c r="DY15" s="3">
        <f>$H15*factors!DS$3</f>
        <v>0.43025796247199999</v>
      </c>
      <c r="DZ15" s="3">
        <f>$H15*factors!DT$3</f>
        <v>0.46006901054400001</v>
      </c>
      <c r="EA15" s="3">
        <f>$H15*factors!DU$3</f>
        <v>0.43337254958399996</v>
      </c>
      <c r="EB15" s="3">
        <f>$H15*factors!DV$3</f>
        <v>0.42269396519999997</v>
      </c>
      <c r="EC15" s="3">
        <f>$H15*factors!DW$3</f>
        <v>0.45472971835199999</v>
      </c>
      <c r="ED15" s="3">
        <f>$H15*factors!DX$3</f>
        <v>0.42669843434399995</v>
      </c>
      <c r="EE15" s="3">
        <f>$H15*factors!DY$3</f>
        <v>0.43025796247199999</v>
      </c>
      <c r="EF15" s="3">
        <f>$H15*factors!DZ$3</f>
        <v>0.46674312578400001</v>
      </c>
      <c r="EG15" s="3">
        <f>$H15*factors!EA$3</f>
        <v>0.43604219568000002</v>
      </c>
      <c r="EH15" s="3">
        <f>$H15*factors!EB$3</f>
        <v>0.437377018728</v>
      </c>
      <c r="EI15" s="3">
        <f>$H15*factors!EC$3</f>
        <v>0.43648713669600003</v>
      </c>
      <c r="EJ15" s="3">
        <f>$H15*factors!ED$3</f>
        <v>0.42536361129600003</v>
      </c>
      <c r="EK15" s="3">
        <f>$H15*factors!EE$3</f>
        <v>0.45472971835199999</v>
      </c>
      <c r="EL15" s="3">
        <f>$H15*factors!EF$3</f>
        <v>0.43248266755199999</v>
      </c>
      <c r="EM15" s="3">
        <f>$H15*factors!EG$3</f>
        <v>0.44983536717599998</v>
      </c>
      <c r="EN15" s="3">
        <f>$H15*factors!EH$3</f>
        <v>0.42269396519999997</v>
      </c>
      <c r="EO15" s="3">
        <f>$H15*factors!EI$3</f>
        <v>0.42892313942399996</v>
      </c>
      <c r="EP15" s="3">
        <f>$H15*factors!EJ$3</f>
        <v>0.45250501327199999</v>
      </c>
      <c r="EQ15" s="3">
        <f>$H15*factors!EK$3</f>
        <v>0.44004666482399996</v>
      </c>
      <c r="ER15" s="3">
        <f>$H15*factors!EL$3</f>
        <v>0.45828924648000002</v>
      </c>
      <c r="ES15" s="3">
        <f>$H15*factors!EM$3</f>
        <v>0.45250501327199999</v>
      </c>
      <c r="ET15" s="3">
        <f>$H15*factors!EN$3</f>
        <v>0.46273865664000002</v>
      </c>
      <c r="EU15" s="3">
        <f>$H15*factors!EO$3</f>
        <v>0.46718806680000002</v>
      </c>
      <c r="EV15" s="3">
        <f>$H15*factors!EP$3</f>
        <v>0.43782195974399996</v>
      </c>
      <c r="EW15" s="3">
        <f>$H15*factors!EQ$3</f>
        <v>0.48155595377499999</v>
      </c>
      <c r="EX15" s="3">
        <f>$H15*factors!ER$3</f>
        <v>0.47645767130000005</v>
      </c>
      <c r="EY15" s="3">
        <f>$H15*factors!ES$3</f>
        <v>0.48619075602499995</v>
      </c>
      <c r="EZ15" s="3">
        <f>$H15*factors!ET$3</f>
        <v>0.48155595377499999</v>
      </c>
      <c r="FA15" s="3">
        <f>$H15*factors!EU$3</f>
        <v>0.44262361487499996</v>
      </c>
      <c r="FB15" s="3">
        <f>$H15*factors!EV$3</f>
        <v>0.46255326455000007</v>
      </c>
      <c r="FC15" s="3">
        <f>$H15*factors!EW$3</f>
        <v>0.47553071085000004</v>
      </c>
      <c r="FD15" s="3">
        <f>$H15*factors!EX$3</f>
        <v>0.45884542275000006</v>
      </c>
      <c r="FE15" s="3">
        <f>$H15*factors!EY$3</f>
        <v>0.48340987467500002</v>
      </c>
      <c r="FF15" s="3">
        <f>$H15*factors!EZ$3</f>
        <v>0.48387335490000011</v>
      </c>
      <c r="FG15" s="3">
        <f>$H15*factors!FA$3</f>
        <v>0.44262361487499996</v>
      </c>
      <c r="FH15" s="3">
        <f>$H15*factors!FB$3</f>
        <v>0.46579762612499997</v>
      </c>
      <c r="FI15" s="3">
        <f>$H15*factors!FC$3</f>
        <v>0.48526379557499999</v>
      </c>
      <c r="FJ15" s="3">
        <f>$H15*factors!FD$3</f>
        <v>0.46579762612499997</v>
      </c>
      <c r="FK15" s="3">
        <f>$H15*factors!FE$3</f>
        <v>0.47367678995000007</v>
      </c>
      <c r="FL15" s="3">
        <f>$H15*factors!FF$3</f>
        <v>0.475067230625</v>
      </c>
      <c r="FM15" s="3">
        <f>$H15*factors!FG$3</f>
        <v>0.4801655131</v>
      </c>
      <c r="FN15" s="3">
        <f>$H15*factors!FH$3</f>
        <v>0.449112338025</v>
      </c>
      <c r="FO15" s="3">
        <f>$H15*factors!FI$3</f>
        <v>0.47692115152499998</v>
      </c>
      <c r="FP15" s="3">
        <f>$H15*factors!FJ$3</f>
        <v>0.46348022500000002</v>
      </c>
      <c r="FQ15" s="3">
        <f>$H15*factors!FK$3</f>
        <v>0.45884542275000006</v>
      </c>
      <c r="FR15" s="3">
        <f>$H15*factors!FL$3</f>
        <v>0.46811502724999998</v>
      </c>
      <c r="FS15" s="3">
        <f>$H15*factors!FM$3</f>
        <v>0.4653341459</v>
      </c>
      <c r="FT15" s="3">
        <f>$H15*factors!FN$3</f>
        <v>0.47553071085000004</v>
      </c>
      <c r="FU15" s="3">
        <f>$H15*factors!FO$3</f>
        <v>0.45699150184999998</v>
      </c>
      <c r="FV15" s="3">
        <f>$H15*factors!FP$3</f>
        <v>0.45328366004999998</v>
      </c>
      <c r="FW15" s="3">
        <f>$H15*factors!FQ$3</f>
        <v>0.48526379557499999</v>
      </c>
      <c r="FX15" s="3">
        <f>$H15*factors!FR$3</f>
        <v>0.47645767130000005</v>
      </c>
      <c r="FY15" s="3">
        <f>$H15*factors!FS$3</f>
        <v>0.46672458657499993</v>
      </c>
      <c r="FZ15" s="3">
        <f>$H15*factors!FT$3</f>
        <v>0.44355057532500003</v>
      </c>
      <c r="GA15" s="3">
        <f>$H15*factors!FU$3</f>
        <v>0.46672458657499993</v>
      </c>
      <c r="GB15" s="3">
        <f>$H15*factors!FV$3</f>
        <v>0.48387335490000011</v>
      </c>
      <c r="GC15" s="3">
        <f>$H15*factors!FW$3</f>
        <v>0.45328366004999998</v>
      </c>
      <c r="GD15" s="3">
        <f>$H15*factors!FX$3</f>
        <v>0.46116282387500002</v>
      </c>
      <c r="GE15" s="3">
        <f>$H15*factors!FY$3</f>
        <v>0.46116282387500002</v>
      </c>
      <c r="GF15" s="3">
        <f>$H15*factors!FZ$3</f>
        <v>0.45977238320000002</v>
      </c>
      <c r="GG15" s="3">
        <f>$H15*factors!GA$3</f>
        <v>0.441696654425</v>
      </c>
      <c r="GH15" s="3">
        <f>$H15*factors!GB$3</f>
        <v>0.46996894815000007</v>
      </c>
      <c r="GI15" s="3">
        <f>$H15*factors!GC$3</f>
        <v>0.44076969397499999</v>
      </c>
      <c r="GJ15" s="3">
        <f>$H15*factors!GD$3</f>
        <v>0.441696654425</v>
      </c>
      <c r="GK15" s="3">
        <f>$H15*factors!GE$3</f>
        <v>0.452820179825</v>
      </c>
      <c r="GL15" s="3">
        <f>$H15*factors!GF$3</f>
        <v>0.47970203287500002</v>
      </c>
      <c r="GM15" s="3">
        <f>$H15*factors!GG$3</f>
        <v>0.45467410072500003</v>
      </c>
      <c r="GN15" s="3">
        <f>$H15*factors!GH$3</f>
        <v>0.46904198770000005</v>
      </c>
      <c r="GO15" s="3">
        <f>$H15*factors!GI$3</f>
        <v>0.44308709509999994</v>
      </c>
      <c r="GP15" s="3">
        <f>$H15*factors!GJ$3</f>
        <v>0.475067230625</v>
      </c>
      <c r="GQ15" s="3">
        <f>$H15*factors!GK$3</f>
        <v>0.48480031535000007</v>
      </c>
      <c r="GR15" s="3">
        <f>$H15*factors!GL$3</f>
        <v>0.47553071085000004</v>
      </c>
      <c r="GS15" s="3">
        <f>$H15*factors!GM$3</f>
        <v>0.44970559271300004</v>
      </c>
      <c r="GT15" s="3">
        <f>$H15*factors!GN$3</f>
        <v>0.46006530270220003</v>
      </c>
      <c r="GU15" s="3">
        <f>$H15*factors!GO$3</f>
        <v>0.47089590860000002</v>
      </c>
      <c r="GV15" s="3">
        <f>$H15*factors!GP$3</f>
        <v>0.45206007225600003</v>
      </c>
      <c r="GW15" s="3">
        <f>$H15*factors!GQ$3</f>
        <v>0.46807053314840003</v>
      </c>
      <c r="GX15" s="3">
        <f>$H15*factors!GR$3</f>
        <v>0.46053619861080003</v>
      </c>
      <c r="GY15" s="3">
        <f>$H15*factors!GS$3</f>
        <v>0.45818171906780003</v>
      </c>
      <c r="GZ15" s="3">
        <f>$H15*factors!GT$3</f>
        <v>0.47513397177739997</v>
      </c>
      <c r="HA15" s="3">
        <f>$H15*factors!GU$3</f>
        <v>0.45959440679360003</v>
      </c>
      <c r="HB15" s="3">
        <f>$H15*factors!GV$3</f>
        <v>0.47513397177739997</v>
      </c>
      <c r="HC15" s="3">
        <f>$H15*factors!GW$3</f>
        <v>0.46336157406239997</v>
      </c>
      <c r="HD15" s="3">
        <f>$H15*factors!GX$3</f>
        <v>0.47701755541179997</v>
      </c>
      <c r="HE15" s="3">
        <f>$H15*factors!GY$3</f>
        <v>0.47089590860000002</v>
      </c>
      <c r="HF15" s="3">
        <f>$H15*factors!GZ$3</f>
        <v>0.48549368176660002</v>
      </c>
      <c r="HG15" s="3">
        <f>$H15*factors!HA$3</f>
        <v>0.46665784542260003</v>
      </c>
      <c r="HH15" s="3">
        <f>$H15*factors!HB$3</f>
        <v>0.46053619861080003</v>
      </c>
      <c r="HI15" s="3">
        <f>$H15*factors!HC$3</f>
        <v>0.45488544770760003</v>
      </c>
      <c r="HJ15" s="3">
        <f>$H15*factors!HD$3</f>
        <v>0.44970559271300004</v>
      </c>
      <c r="HK15" s="3">
        <f>$H15*factors!HE$3</f>
        <v>0.47560486768600002</v>
      </c>
      <c r="HL15" s="3">
        <f>$H15*factors!HF$3</f>
        <v>0.44829290498719998</v>
      </c>
      <c r="HM15" s="3">
        <f>$H15*factors!HG$3</f>
        <v>0.45300186407320003</v>
      </c>
      <c r="HN15" s="3">
        <f>$H15*factors!HH$3</f>
        <v>0.48313920222360007</v>
      </c>
      <c r="HO15" s="3">
        <f>$H15*factors!HI$3</f>
        <v>0.46336157406239997</v>
      </c>
      <c r="HP15" s="3">
        <f>$H15*factors!HJ$3</f>
        <v>0.49444070403000007</v>
      </c>
      <c r="HQ15" s="3">
        <f>$H15*factors!HK$3</f>
        <v>0.45206007225600003</v>
      </c>
      <c r="HR15" s="3">
        <f>$H15*factors!HL$3</f>
        <v>0.47937203495480007</v>
      </c>
      <c r="HS15" s="3">
        <f>$H15*factors!HM$3</f>
        <v>0.48784816130960001</v>
      </c>
      <c r="HT15" s="3">
        <f>$H15*factors!HN$3</f>
        <v>0.45488544770760003</v>
      </c>
      <c r="HU15" s="3">
        <f>$H15*factors!HO$3</f>
        <v>0.45959440679360003</v>
      </c>
      <c r="HV15" s="3">
        <f>$H15*factors!HP$3</f>
        <v>0.46524515769680008</v>
      </c>
      <c r="HW15" s="3">
        <f>$H15*factors!HQ$3</f>
        <v>0.47183770041720002</v>
      </c>
      <c r="HX15" s="3">
        <f>$H15*factors!HR$3</f>
        <v>0.49114443266979996</v>
      </c>
      <c r="HY15" s="3">
        <f>$H15*factors!HS$3</f>
        <v>0.46665784542260003</v>
      </c>
      <c r="HZ15" s="3">
        <f>$H15*factors!HT$3</f>
        <v>0.48455188994940002</v>
      </c>
      <c r="IA15" s="3">
        <f>$H15*factors!HU$3</f>
        <v>0.46100709451940003</v>
      </c>
      <c r="IB15" s="3">
        <f>$H15*factors!HV$3</f>
        <v>0.47701755541179997</v>
      </c>
      <c r="IC15" s="3">
        <f>$H15*factors!HW$3</f>
        <v>0.48172651449780002</v>
      </c>
      <c r="ID15" s="3">
        <f>$H15*factors!HX$3</f>
        <v>0.44735111316999998</v>
      </c>
      <c r="IE15" s="3">
        <f>$H15*factors!HY$3</f>
        <v>0.47513397177739997</v>
      </c>
      <c r="IF15" s="3">
        <f>$H15*factors!HZ$3</f>
        <v>0.47230859632579997</v>
      </c>
      <c r="IG15" s="3">
        <f>$H15*factors!IA$3</f>
        <v>0.46807053314840003</v>
      </c>
      <c r="IH15" s="3">
        <f>$H15*factors!IB$3</f>
        <v>0.48549368176660002</v>
      </c>
      <c r="II15" s="3">
        <f>$H15*factors!IC$3</f>
        <v>0.46477426178820003</v>
      </c>
      <c r="IJ15" s="3">
        <f>$H15*factors!ID$3</f>
        <v>0.46901232496560002</v>
      </c>
      <c r="IK15" s="3">
        <f>$H15*factors!IE$3</f>
        <v>0.48596457767520002</v>
      </c>
      <c r="IL15" s="3">
        <f>$H15*factors!IF$3</f>
        <v>0.46524515769680008</v>
      </c>
      <c r="IM15" s="3">
        <f>$H15*factors!IG$3</f>
        <v>0.46100709451940003</v>
      </c>
      <c r="IN15" s="3">
        <f>$H15*factors!IH$3</f>
        <v>0.46383246997100003</v>
      </c>
      <c r="IO15" s="3">
        <f>$H15*factors!II$3</f>
        <v>0.46854142905700003</v>
      </c>
      <c r="IP15" s="3">
        <f>$H15*factors!IJ$3</f>
        <v>0.45300186407320003</v>
      </c>
      <c r="IQ15" s="3">
        <f>$H15*factors!IK$3</f>
        <v>0.45158917634740003</v>
      </c>
      <c r="IR15" s="3">
        <f>$H15*factors!IL$3</f>
        <v>0.46477426178820003</v>
      </c>
      <c r="IS15" s="3">
        <f>$H15*factors!IM$3</f>
        <v>0.46854142905700003</v>
      </c>
      <c r="IT15" s="3">
        <f>$H15*factors!IN$3</f>
        <v>0.47183770041720002</v>
      </c>
      <c r="IU15" s="3">
        <f>$H15*factors!IO$3</f>
        <v>0.48219741040640007</v>
      </c>
      <c r="IV15" s="3">
        <f>$H15*factors!IP$3</f>
        <v>0.48831905721819996</v>
      </c>
      <c r="IW15" s="3">
        <f>$H15*factors!IQ$3</f>
        <v>0.46147799042799997</v>
      </c>
      <c r="IX15" s="3">
        <f>$H15*factors!IR$3</f>
        <v>0.48219741040640007</v>
      </c>
      <c r="IY15" s="3">
        <f>$H15*factors!IS$3</f>
        <v>0.47513397177739997</v>
      </c>
      <c r="IZ15" s="3">
        <f>$H15*factors!IT$3</f>
        <v>0.48313920222360007</v>
      </c>
      <c r="JA15" s="3">
        <f>$H15*factors!IU$3</f>
        <v>0.45629813543339998</v>
      </c>
      <c r="JB15" s="3">
        <f>$H15*factors!IV$3</f>
        <v>0.46477426178820003</v>
      </c>
      <c r="JC15" s="3">
        <f>$H15*factors!IW$3</f>
        <v>0.45394365589040003</v>
      </c>
      <c r="JD15" s="3">
        <f>$H15*factors!IX$3</f>
        <v>0.49444070403000007</v>
      </c>
      <c r="JE15" s="3">
        <f>$H15*factors!IY$3</f>
        <v>0.45535634361619998</v>
      </c>
      <c r="JF15" s="3">
        <f>$H15*factors!IZ$3</f>
        <v>0.47795934722899996</v>
      </c>
      <c r="JG15" s="3">
        <f>$H15*factors!JA$3</f>
        <v>0.46948322087419997</v>
      </c>
      <c r="JH15" s="3">
        <f>$H15*factors!JB$3</f>
        <v>0.47843024313760008</v>
      </c>
      <c r="JI15" s="3">
        <f>$H15*factors!JC$3</f>
        <v>0.44782200907860004</v>
      </c>
      <c r="JJ15" s="3">
        <f>$H15*factors!JD$3</f>
        <v>0.48219741040640007</v>
      </c>
      <c r="JK15" s="3">
        <f>$H15*factors!JE$3</f>
        <v>0.46665784542260003</v>
      </c>
      <c r="JL15" s="3">
        <f>$H15*factors!JF$3</f>
        <v>0.48549368176660002</v>
      </c>
      <c r="JM15" s="3">
        <f>$H15*factors!JG$3</f>
        <v>0.45300186407320003</v>
      </c>
      <c r="JN15" s="3">
        <f>$H15*factors!JH$3</f>
        <v>0.45300186407320003</v>
      </c>
      <c r="JO15" s="3">
        <f>$H15*factors!JI$3</f>
        <v>0.44735111316999998</v>
      </c>
      <c r="JP15" s="3">
        <f>$H15*factors!JJ$3</f>
        <v>0.48361009813220002</v>
      </c>
      <c r="JQ15" s="3">
        <f>$H15*factors!JK$3</f>
        <v>0.47136680450859997</v>
      </c>
      <c r="JR15" s="3">
        <f>$H15*factors!JL$3</f>
        <v>0.48973174494400001</v>
      </c>
      <c r="JS15" s="3">
        <f>$H15*factors!JM$3</f>
        <v>0.44735111316999998</v>
      </c>
      <c r="JT15" s="3">
        <f>$H15*factors!JN$3</f>
        <v>0.46995411678280002</v>
      </c>
      <c r="JU15" s="3">
        <f>$H15*factors!JO$3</f>
        <v>0.45441455179899998</v>
      </c>
      <c r="JV15" s="3">
        <f>$H15*factors!JP$3</f>
        <v>0.46194888633660003</v>
      </c>
      <c r="JW15" s="3">
        <f>$H15*factors!JQ$3</f>
        <v>0.49349891221280007</v>
      </c>
      <c r="JX15" s="3">
        <f>$H15*factors!JR$3</f>
        <v>0.48878995312680001</v>
      </c>
      <c r="JY15" s="3">
        <f>$H15*factors!JS$3</f>
        <v>0.46006530270220003</v>
      </c>
      <c r="JZ15" s="3">
        <f>$H15*factors!JT$3</f>
        <v>0.46524515769680008</v>
      </c>
      <c r="KA15" s="3">
        <f>$H15*factors!JU$3</f>
        <v>0.46712874133120003</v>
      </c>
      <c r="KB15" s="3">
        <f>$H15*factors!JV$3</f>
        <v>0.45158917634740003</v>
      </c>
      <c r="KC15" s="3">
        <f>$H15*factors!JW$3</f>
        <v>0.45394365589040003</v>
      </c>
      <c r="KD15" s="3">
        <f>$H15*factors!JX$3</f>
        <v>0.45441455179899998</v>
      </c>
      <c r="KE15" s="3">
        <f>$H15*factors!JY$3</f>
        <v>0.48361009813220002</v>
      </c>
      <c r="KF15" s="3">
        <f>$H15*factors!JZ$3</f>
        <v>0.48926084903539996</v>
      </c>
      <c r="KG15" s="3">
        <f>$H15*factors!KA$3</f>
        <v>0.47183770041720002</v>
      </c>
      <c r="KH15" s="3">
        <f>$H15*factors!KB$3</f>
        <v>0.46147799042799997</v>
      </c>
      <c r="KI15" s="3">
        <f>$H15*factors!KC$3</f>
        <v>0.45723992725059998</v>
      </c>
    </row>
    <row r="16" spans="1:295" x14ac:dyDescent="0.55000000000000004">
      <c r="A16" t="s">
        <v>392</v>
      </c>
      <c r="B16">
        <v>15</v>
      </c>
      <c r="C16">
        <v>230</v>
      </c>
      <c r="D16" t="s">
        <v>377</v>
      </c>
      <c r="E16">
        <v>1.5035E-2</v>
      </c>
      <c r="F16">
        <v>15</v>
      </c>
      <c r="G16">
        <f>VLOOKUP(D16,demand_forecasted!$A$2:$G$11,2)</f>
        <v>11098</v>
      </c>
      <c r="H16" s="3">
        <f t="shared" si="0"/>
        <v>1.6685843</v>
      </c>
      <c r="I16" s="3">
        <f>$H16*factors!C$3</f>
        <v>1.8471228201000001</v>
      </c>
      <c r="J16" s="3">
        <f>$H16*factors!D$3</f>
        <v>1.780446191472</v>
      </c>
      <c r="K16" s="3">
        <f>$H16*factors!E$3</f>
        <v>1.7498109837240001</v>
      </c>
      <c r="L16" s="3">
        <f>$H16*factors!F$3</f>
        <v>1.7444047705920003</v>
      </c>
      <c r="M16" s="3">
        <f>$H16*factors!G$3</f>
        <v>1.742602699548</v>
      </c>
      <c r="N16" s="3">
        <f>$H16*factors!H$3</f>
        <v>1.79306068878</v>
      </c>
      <c r="O16" s="3">
        <f>$H16*factors!I$3</f>
        <v>1.8327062517479999</v>
      </c>
      <c r="P16" s="3">
        <f>$H16*factors!J$3</f>
        <v>1.8543311042760002</v>
      </c>
      <c r="Q16" s="3">
        <f>$H16*factors!K$3</f>
        <v>1.7408006285040001</v>
      </c>
      <c r="R16" s="3">
        <f>$H16*factors!L$3</f>
        <v>1.7119674918000001</v>
      </c>
      <c r="S16" s="3">
        <f>$H16*factors!M$3</f>
        <v>1.7822482625159999</v>
      </c>
      <c r="T16" s="3">
        <f>$H16*factors!N$3</f>
        <v>1.8435186780120001</v>
      </c>
      <c r="U16" s="3">
        <f>$H16*factors!O$3</f>
        <v>1.7462068416360002</v>
      </c>
      <c r="V16" s="3">
        <f>$H16*factors!P$3</f>
        <v>1.8164876123520002</v>
      </c>
      <c r="W16" s="3">
        <f>$H16*factors!Q$3</f>
        <v>1.8327062517479999</v>
      </c>
      <c r="X16" s="3">
        <f>$H16*factors!R$3</f>
        <v>1.7534151258120001</v>
      </c>
      <c r="Y16" s="3">
        <f>$H16*factors!S$3</f>
        <v>1.7371964864160001</v>
      </c>
      <c r="Z16" s="3">
        <f>$H16*factors!T$3</f>
        <v>1.8741538857600004</v>
      </c>
      <c r="AA16" s="3">
        <f>$H16*factors!U$3</f>
        <v>1.7696337652079999</v>
      </c>
      <c r="AB16" s="3">
        <f>$H16*factors!V$3</f>
        <v>1.7714358362520002</v>
      </c>
      <c r="AC16" s="3">
        <f>$H16*factors!W$3</f>
        <v>1.7732379072960003</v>
      </c>
      <c r="AD16" s="3">
        <f>$H16*factors!X$3</f>
        <v>1.7353944153720002</v>
      </c>
      <c r="AE16" s="3">
        <f>$H16*factors!Y$3</f>
        <v>1.7498109837240001</v>
      </c>
      <c r="AF16" s="3">
        <f>$H16*factors!Z$3</f>
        <v>1.7858524046040003</v>
      </c>
      <c r="AG16" s="3">
        <f>$H16*factors!AA$3</f>
        <v>1.7408006285040001</v>
      </c>
      <c r="AH16" s="3">
        <f>$H16*factors!AB$3</f>
        <v>1.7335923443280001</v>
      </c>
      <c r="AI16" s="3">
        <f>$H16*factors!AC$3</f>
        <v>1.789456546692</v>
      </c>
      <c r="AJ16" s="3">
        <f>$H16*factors!AD$3</f>
        <v>1.857935246364</v>
      </c>
      <c r="AK16" s="3">
        <f>$H16*factors!AE$3</f>
        <v>1.7876544756480002</v>
      </c>
      <c r="AL16" s="3">
        <f>$H16*factors!AF$3</f>
        <v>1.7173737049319999</v>
      </c>
      <c r="AM16" s="3">
        <f>$H16*factors!AG$3</f>
        <v>1.7660296231200001</v>
      </c>
      <c r="AN16" s="3">
        <f>$H16*factors!AH$3</f>
        <v>1.7371964864160001</v>
      </c>
      <c r="AO16" s="3">
        <f>$H16*factors!AI$3</f>
        <v>1.8200917544399999</v>
      </c>
      <c r="AP16" s="3">
        <f>$H16*factors!AJ$3</f>
        <v>1.7444047705920003</v>
      </c>
      <c r="AQ16" s="3">
        <f>$H16*factors!AK$3</f>
        <v>1.8002689729560002</v>
      </c>
      <c r="AR16" s="3">
        <f>$H16*factors!AL$3</f>
        <v>1.7606234099880003</v>
      </c>
      <c r="AS16" s="3">
        <f>$H16*factors!AM$3</f>
        <v>1.7173737049319999</v>
      </c>
      <c r="AT16" s="3">
        <f>$H16*factors!AN$3</f>
        <v>1.7714358362520002</v>
      </c>
      <c r="AU16" s="3">
        <f>$H16*factors!AO$3</f>
        <v>1.8759559568039998</v>
      </c>
      <c r="AV16" s="3">
        <f>$H16*factors!AP$3</f>
        <v>1.7732379072960003</v>
      </c>
      <c r="AW16" s="3">
        <f>$H16*factors!AQ$3</f>
        <v>1.755217196856</v>
      </c>
      <c r="AX16" s="3">
        <f>$H16*factors!AR$3</f>
        <v>1.8561331753200001</v>
      </c>
      <c r="AY16" s="3">
        <f>$H16*factors!AS$3</f>
        <v>1.7119674918000001</v>
      </c>
      <c r="AZ16" s="3">
        <f>$H16*factors!AT$3</f>
        <v>1.8345083227920003</v>
      </c>
      <c r="BA16" s="3">
        <f>$H16*factors!AU$3</f>
        <v>1.7948627598239999</v>
      </c>
      <c r="BB16" s="3">
        <f>$H16*factors!AV$3</f>
        <v>1.7714358362520002</v>
      </c>
      <c r="BC16" s="3">
        <f>$H16*factors!AW$3</f>
        <v>1.8741538857600004</v>
      </c>
      <c r="BD16" s="3">
        <f>$H16*factors!AX$3</f>
        <v>1.7299882022399999</v>
      </c>
      <c r="BE16" s="3">
        <f>$H16*factors!AY$3</f>
        <v>2.033904146642</v>
      </c>
      <c r="BF16" s="3">
        <f>$H16*factors!AZ$3</f>
        <v>1.8941101539879999</v>
      </c>
      <c r="BG16" s="3">
        <f>$H16*factors!BA$3</f>
        <v>1.9216751666239997</v>
      </c>
      <c r="BH16" s="3">
        <f>$H16*factors!BB$3</f>
        <v>1.9472712497859999</v>
      </c>
      <c r="BI16" s="3">
        <f>$H16*factors!BC$3</f>
        <v>2.0181527108499995</v>
      </c>
      <c r="BJ16" s="3">
        <f>$H16*factors!BD$3</f>
        <v>1.9275819550459998</v>
      </c>
      <c r="BK16" s="3">
        <f>$H16*factors!BE$3</f>
        <v>1.9315198139939997</v>
      </c>
      <c r="BL16" s="3">
        <f>$H16*factors!BF$3</f>
        <v>1.9098615897799998</v>
      </c>
      <c r="BM16" s="3">
        <f>$H16*factors!BG$3</f>
        <v>2.0398109350640001</v>
      </c>
      <c r="BN16" s="3">
        <f>$H16*factors!BH$3</f>
        <v>2.014214851902</v>
      </c>
      <c r="BO16" s="3">
        <f>$H16*factors!BI$3</f>
        <v>1.8941101539879999</v>
      </c>
      <c r="BP16" s="3">
        <f>$H16*factors!BJ$3</f>
        <v>1.8882033655659998</v>
      </c>
      <c r="BQ16" s="3">
        <f>$H16*factors!BK$3</f>
        <v>1.9197062371499998</v>
      </c>
      <c r="BR16" s="3">
        <f>$H16*factors!BL$3</f>
        <v>1.9886187687399999</v>
      </c>
      <c r="BS16" s="3">
        <f>$H16*factors!BM$3</f>
        <v>2.0201216403240001</v>
      </c>
      <c r="BT16" s="3">
        <f>$H16*factors!BN$3</f>
        <v>2.0260284287459998</v>
      </c>
      <c r="BU16" s="3">
        <f>$H16*factors!BO$3</f>
        <v>2.0595002298040002</v>
      </c>
      <c r="BV16" s="3">
        <f>$H16*factors!BP$3</f>
        <v>1.9157683782019999</v>
      </c>
      <c r="BW16" s="3">
        <f>$H16*factors!BQ$3</f>
        <v>1.9590848266299998</v>
      </c>
      <c r="BX16" s="3">
        <f>$H16*factors!BR$3</f>
        <v>1.9216751666239997</v>
      </c>
      <c r="BY16" s="3">
        <f>$H16*factors!BS$3</f>
        <v>2.0102769929539996</v>
      </c>
      <c r="BZ16" s="3">
        <f>$H16*factors!BT$3</f>
        <v>1.9728673329479998</v>
      </c>
      <c r="CA16" s="3">
        <f>$H16*factors!BU$3</f>
        <v>1.9472712497859999</v>
      </c>
      <c r="CB16" s="3">
        <f>$H16*factors!BV$3</f>
        <v>1.8842655066179999</v>
      </c>
      <c r="CC16" s="3">
        <f>$H16*factors!BW$3</f>
        <v>1.9393955318899998</v>
      </c>
      <c r="CD16" s="3">
        <f>$H16*factors!BX$3</f>
        <v>1.9453023203119999</v>
      </c>
      <c r="CE16" s="3">
        <f>$H16*factors!BY$3</f>
        <v>1.9728673329479998</v>
      </c>
      <c r="CF16" s="3">
        <f>$H16*factors!BZ$3</f>
        <v>1.9433333908380002</v>
      </c>
      <c r="CG16" s="3">
        <f>$H16*factors!CA$3</f>
        <v>1.8783587181959998</v>
      </c>
      <c r="CH16" s="3">
        <f>$H16*factors!CB$3</f>
        <v>1.8803276476699997</v>
      </c>
      <c r="CI16" s="3">
        <f>$H16*factors!CC$3</f>
        <v>1.8704830002999999</v>
      </c>
      <c r="CJ16" s="3">
        <f>$H16*factors!CD$3</f>
        <v>1.9472712497859999</v>
      </c>
      <c r="CK16" s="3">
        <f>$H16*factors!CE$3</f>
        <v>2.033904146642</v>
      </c>
      <c r="CL16" s="3">
        <f>$H16*factors!CF$3</f>
        <v>1.9059237308319998</v>
      </c>
      <c r="CM16" s="3">
        <f>$H16*factors!CG$3</f>
        <v>1.9512091087339998</v>
      </c>
      <c r="CN16" s="3">
        <f>$H16*factors!CH$3</f>
        <v>1.8862344360919998</v>
      </c>
      <c r="CO16" s="3">
        <f>$H16*factors!CI$3</f>
        <v>1.9000169424099997</v>
      </c>
      <c r="CP16" s="3">
        <f>$H16*factors!CJ$3</f>
        <v>1.9905876982139996</v>
      </c>
      <c r="CQ16" s="3">
        <f>$H16*factors!CK$3</f>
        <v>1.9315198139939997</v>
      </c>
      <c r="CR16" s="3">
        <f>$H16*factors!CL$3</f>
        <v>1.9925566276879998</v>
      </c>
      <c r="CS16" s="3">
        <f>$H16*factors!CM$3</f>
        <v>2.0555623708559998</v>
      </c>
      <c r="CT16" s="3">
        <f>$H16*factors!CN$3</f>
        <v>2.0319352171679999</v>
      </c>
      <c r="CU16" s="3">
        <f>$H16*factors!CO$3</f>
        <v>1.9866498392659997</v>
      </c>
      <c r="CV16" s="3">
        <f>$H16*factors!CP$3</f>
        <v>2.0673759477</v>
      </c>
      <c r="CW16" s="3">
        <f>$H16*factors!CQ$3</f>
        <v>1.9551469676820001</v>
      </c>
      <c r="CX16" s="3">
        <f>$H16*factors!CR$3</f>
        <v>1.9256130255719999</v>
      </c>
      <c r="CY16" s="3">
        <f>$H16*factors!CS$3</f>
        <v>1.9078926603059998</v>
      </c>
      <c r="CZ16" s="3">
        <f>$H16*factors!CT$3</f>
        <v>1.8803276476699997</v>
      </c>
      <c r="DA16" s="3">
        <f>$H16*factors!CU$3</f>
        <v>1.952243631</v>
      </c>
      <c r="DB16" s="3">
        <f>$H16*factors!CV$3</f>
        <v>2.0783886040800001</v>
      </c>
      <c r="DC16" s="3">
        <f>$H16*factors!CW$3</f>
        <v>1.9902873530399998</v>
      </c>
      <c r="DD16" s="3">
        <f>$H16*factors!CX$3</f>
        <v>1.9762712449199999</v>
      </c>
      <c r="DE16" s="3">
        <f>$H16*factors!CY$3</f>
        <v>2.03433797856</v>
      </c>
      <c r="DF16" s="3">
        <f>$H16*factors!CZ$3</f>
        <v>2.0303333762399998</v>
      </c>
      <c r="DG16" s="3">
        <f>$H16*factors!DA$3</f>
        <v>2.0223241715999998</v>
      </c>
      <c r="DH16" s="3">
        <f>$H16*factors!DB$3</f>
        <v>2.0223241715999998</v>
      </c>
      <c r="DI16" s="3">
        <f>$H16*factors!DC$3</f>
        <v>1.9462367275199999</v>
      </c>
      <c r="DJ16" s="3">
        <f>$H16*factors!DD$3</f>
        <v>2.0623701948000002</v>
      </c>
      <c r="DK16" s="3">
        <f>$H16*factors!DE$3</f>
        <v>2.0623701948000002</v>
      </c>
      <c r="DL16" s="3">
        <f>$H16*factors!DF$3</f>
        <v>2.0383425808800002</v>
      </c>
      <c r="DM16" s="3">
        <f>$H16*factors!DG$3</f>
        <v>1.9202068124399998</v>
      </c>
      <c r="DN16" s="3">
        <f>$H16*factors!DH$3</f>
        <v>2.0143149669600002</v>
      </c>
      <c r="DO16" s="3">
        <f>$H16*factors!DI$3</f>
        <v>2.0803909052399998</v>
      </c>
      <c r="DP16" s="3">
        <f>$H16*factors!DJ$3</f>
        <v>2.0623701948000002</v>
      </c>
      <c r="DQ16" s="3">
        <f>$H16*factors!DK$3</f>
        <v>1.9662597391199998</v>
      </c>
      <c r="DR16" s="3">
        <f>$H16*factors!DL$3</f>
        <v>1.94423442636</v>
      </c>
      <c r="DS16" s="3">
        <f>$H16*factors!DM$3</f>
        <v>2.10041391684</v>
      </c>
      <c r="DT16" s="3">
        <f>$H16*factors!DN$3</f>
        <v>1.9742689437600001</v>
      </c>
      <c r="DU16" s="3">
        <f>$H16*factors!DO$3</f>
        <v>2.0663747971199999</v>
      </c>
      <c r="DV16" s="3">
        <f>$H16*factors!DP$3</f>
        <v>2.01831956928</v>
      </c>
      <c r="DW16" s="3">
        <f>$H16*factors!DQ$3</f>
        <v>1.9262137159199999</v>
      </c>
      <c r="DX16" s="3">
        <f>$H16*factors!DR$3</f>
        <v>2.0403448820399999</v>
      </c>
      <c r="DY16" s="3">
        <f>$H16*factors!DS$3</f>
        <v>1.9362252217199998</v>
      </c>
      <c r="DZ16" s="3">
        <f>$H16*factors!DT$3</f>
        <v>2.0703793994399997</v>
      </c>
      <c r="EA16" s="3">
        <f>$H16*factors!DU$3</f>
        <v>1.9502413298399996</v>
      </c>
      <c r="EB16" s="3">
        <f>$H16*factors!DV$3</f>
        <v>1.9021861019999999</v>
      </c>
      <c r="EC16" s="3">
        <f>$H16*factors!DW$3</f>
        <v>2.0463517855199997</v>
      </c>
      <c r="ED16" s="3">
        <f>$H16*factors!DX$3</f>
        <v>1.9202068124399998</v>
      </c>
      <c r="EE16" s="3">
        <f>$H16*factors!DY$3</f>
        <v>1.9362252217199998</v>
      </c>
      <c r="EF16" s="3">
        <f>$H16*factors!DZ$3</f>
        <v>2.10041391684</v>
      </c>
      <c r="EG16" s="3">
        <f>$H16*factors!EA$3</f>
        <v>1.9622551367999999</v>
      </c>
      <c r="EH16" s="3">
        <f>$H16*factors!EB$3</f>
        <v>1.96826204028</v>
      </c>
      <c r="EI16" s="3">
        <f>$H16*factors!EC$3</f>
        <v>1.96425743796</v>
      </c>
      <c r="EJ16" s="3">
        <f>$H16*factors!ED$3</f>
        <v>1.9141999089599999</v>
      </c>
      <c r="EK16" s="3">
        <f>$H16*factors!EE$3</f>
        <v>2.0463517855199997</v>
      </c>
      <c r="EL16" s="3">
        <f>$H16*factors!EF$3</f>
        <v>1.9462367275199999</v>
      </c>
      <c r="EM16" s="3">
        <f>$H16*factors!EG$3</f>
        <v>2.0243264727599999</v>
      </c>
      <c r="EN16" s="3">
        <f>$H16*factors!EH$3</f>
        <v>1.9021861019999999</v>
      </c>
      <c r="EO16" s="3">
        <f>$H16*factors!EI$3</f>
        <v>1.9302183182399997</v>
      </c>
      <c r="EP16" s="3">
        <f>$H16*factors!EJ$3</f>
        <v>2.0363402797200001</v>
      </c>
      <c r="EQ16" s="3">
        <f>$H16*factors!EK$3</f>
        <v>1.9802758472399997</v>
      </c>
      <c r="ER16" s="3">
        <f>$H16*factors!EL$3</f>
        <v>2.0623701948000002</v>
      </c>
      <c r="ES16" s="3">
        <f>$H16*factors!EM$3</f>
        <v>2.0363402797200001</v>
      </c>
      <c r="ET16" s="3">
        <f>$H16*factors!EN$3</f>
        <v>2.0823932063999999</v>
      </c>
      <c r="EU16" s="3">
        <f>$H16*factors!EO$3</f>
        <v>2.1024162180000001</v>
      </c>
      <c r="EV16" s="3">
        <f>$H16*factors!EP$3</f>
        <v>1.9702643414399998</v>
      </c>
      <c r="EW16" s="3">
        <f>$H16*factors!EQ$3</f>
        <v>2.1670738596249999</v>
      </c>
      <c r="EX16" s="3">
        <f>$H16*factors!ER$3</f>
        <v>2.1441308255000004</v>
      </c>
      <c r="EY16" s="3">
        <f>$H16*factors!ES$3</f>
        <v>2.1879311633749996</v>
      </c>
      <c r="EZ16" s="3">
        <f>$H16*factors!ET$3</f>
        <v>2.1670738596249999</v>
      </c>
      <c r="FA16" s="3">
        <f>$H16*factors!EU$3</f>
        <v>1.9918725081249997</v>
      </c>
      <c r="FB16" s="3">
        <f>$H16*factors!EV$3</f>
        <v>2.0815589142499999</v>
      </c>
      <c r="FC16" s="3">
        <f>$H16*factors!EW$3</f>
        <v>2.1399593647500001</v>
      </c>
      <c r="FD16" s="3">
        <f>$H16*factors!EX$3</f>
        <v>2.0648730712500001</v>
      </c>
      <c r="FE16" s="3">
        <f>$H16*factors!EY$3</f>
        <v>2.175416781125</v>
      </c>
      <c r="FF16" s="3">
        <f>$H16*factors!EZ$3</f>
        <v>2.1775025115000002</v>
      </c>
      <c r="FG16" s="3">
        <f>$H16*factors!FA$3</f>
        <v>1.9918725081249997</v>
      </c>
      <c r="FH16" s="3">
        <f>$H16*factors!FB$3</f>
        <v>2.0961590268749997</v>
      </c>
      <c r="FI16" s="3">
        <f>$H16*factors!FC$3</f>
        <v>2.1837597026249997</v>
      </c>
      <c r="FJ16" s="3">
        <f>$H16*factors!FD$3</f>
        <v>2.0961590268749997</v>
      </c>
      <c r="FK16" s="3">
        <f>$H16*factors!FE$3</f>
        <v>2.13161644325</v>
      </c>
      <c r="FL16" s="3">
        <f>$H16*factors!FF$3</f>
        <v>2.137873634375</v>
      </c>
      <c r="FM16" s="3">
        <f>$H16*factors!FG$3</f>
        <v>2.1608166684999999</v>
      </c>
      <c r="FN16" s="3">
        <f>$H16*factors!FH$3</f>
        <v>2.021072733375</v>
      </c>
      <c r="FO16" s="3">
        <f>$H16*factors!FI$3</f>
        <v>2.1462165558749997</v>
      </c>
      <c r="FP16" s="3">
        <f>$H16*factors!FJ$3</f>
        <v>2.0857303749999998</v>
      </c>
      <c r="FQ16" s="3">
        <f>$H16*factors!FK$3</f>
        <v>2.0648730712500001</v>
      </c>
      <c r="FR16" s="3">
        <f>$H16*factors!FL$3</f>
        <v>2.10658767875</v>
      </c>
      <c r="FS16" s="3">
        <f>$H16*factors!FM$3</f>
        <v>2.0940732965</v>
      </c>
      <c r="FT16" s="3">
        <f>$H16*factors!FN$3</f>
        <v>2.1399593647500001</v>
      </c>
      <c r="FU16" s="3">
        <f>$H16*factors!FO$3</f>
        <v>2.0565301497499999</v>
      </c>
      <c r="FV16" s="3">
        <f>$H16*factors!FP$3</f>
        <v>2.0398443067500001</v>
      </c>
      <c r="FW16" s="3">
        <f>$H16*factors!FQ$3</f>
        <v>2.1837597026249997</v>
      </c>
      <c r="FX16" s="3">
        <f>$H16*factors!FR$3</f>
        <v>2.1441308255000004</v>
      </c>
      <c r="FY16" s="3">
        <f>$H16*factors!FS$3</f>
        <v>2.1003304876249995</v>
      </c>
      <c r="FZ16" s="3">
        <f>$H16*factors!FT$3</f>
        <v>1.996043968875</v>
      </c>
      <c r="GA16" s="3">
        <f>$H16*factors!FU$3</f>
        <v>2.1003304876249995</v>
      </c>
      <c r="GB16" s="3">
        <f>$H16*factors!FV$3</f>
        <v>2.1775025115000002</v>
      </c>
      <c r="GC16" s="3">
        <f>$H16*factors!FW$3</f>
        <v>2.0398443067500001</v>
      </c>
      <c r="GD16" s="3">
        <f>$H16*factors!FX$3</f>
        <v>2.0753017231249999</v>
      </c>
      <c r="GE16" s="3">
        <f>$H16*factors!FY$3</f>
        <v>2.0753017231249999</v>
      </c>
      <c r="GF16" s="3">
        <f>$H16*factors!FZ$3</f>
        <v>2.0690445319999999</v>
      </c>
      <c r="GG16" s="3">
        <f>$H16*factors!GA$3</f>
        <v>1.9877010473749999</v>
      </c>
      <c r="GH16" s="3">
        <f>$H16*factors!GB$3</f>
        <v>2.1149306002500001</v>
      </c>
      <c r="GI16" s="3">
        <f>$H16*factors!GC$3</f>
        <v>1.983529586625</v>
      </c>
      <c r="GJ16" s="3">
        <f>$H16*factors!GD$3</f>
        <v>1.9877010473749999</v>
      </c>
      <c r="GK16" s="3">
        <f>$H16*factors!GE$3</f>
        <v>2.0377585763749999</v>
      </c>
      <c r="GL16" s="3">
        <f>$H16*factors!GF$3</f>
        <v>2.1587309381250002</v>
      </c>
      <c r="GM16" s="3">
        <f>$H16*factors!GG$3</f>
        <v>2.0461014978750001</v>
      </c>
      <c r="GN16" s="3">
        <f>$H16*factors!GH$3</f>
        <v>2.1107591395000003</v>
      </c>
      <c r="GO16" s="3">
        <f>$H16*factors!GI$3</f>
        <v>1.9939582384999996</v>
      </c>
      <c r="GP16" s="3">
        <f>$H16*factors!GJ$3</f>
        <v>2.137873634375</v>
      </c>
      <c r="GQ16" s="3">
        <f>$H16*factors!GK$3</f>
        <v>2.18167397225</v>
      </c>
      <c r="GR16" s="3">
        <f>$H16*factors!GL$3</f>
        <v>2.1399593647500001</v>
      </c>
      <c r="GS16" s="3">
        <f>$H16*factors!GM$3</f>
        <v>2.023742468255</v>
      </c>
      <c r="GT16" s="3">
        <f>$H16*factors!GN$3</f>
        <v>2.070362713597</v>
      </c>
      <c r="GU16" s="3">
        <f>$H16*factors!GO$3</f>
        <v>2.119102061</v>
      </c>
      <c r="GV16" s="3">
        <f>$H16*factors!GP$3</f>
        <v>2.03433797856</v>
      </c>
      <c r="GW16" s="3">
        <f>$H16*factors!GQ$3</f>
        <v>2.106387448634</v>
      </c>
      <c r="GX16" s="3">
        <f>$H16*factors!GR$3</f>
        <v>2.072481815658</v>
      </c>
      <c r="GY16" s="3">
        <f>$H16*factors!GS$3</f>
        <v>2.0618863053530001</v>
      </c>
      <c r="GZ16" s="3">
        <f>$H16*factors!GT$3</f>
        <v>2.1381739795489998</v>
      </c>
      <c r="HA16" s="3">
        <f>$H16*factors!GU$3</f>
        <v>2.0682436115359999</v>
      </c>
      <c r="HB16" s="3">
        <f>$H16*factors!GV$3</f>
        <v>2.1381739795489998</v>
      </c>
      <c r="HC16" s="3">
        <f>$H16*factors!GW$3</f>
        <v>2.0851964280240001</v>
      </c>
      <c r="HD16" s="3">
        <f>$H16*factors!GX$3</f>
        <v>2.1466503877929997</v>
      </c>
      <c r="HE16" s="3">
        <f>$H16*factors!GY$3</f>
        <v>2.119102061</v>
      </c>
      <c r="HF16" s="3">
        <f>$H16*factors!GZ$3</f>
        <v>2.1847942248909997</v>
      </c>
      <c r="HG16" s="3">
        <f>$H16*factors!HA$3</f>
        <v>2.1000301424510002</v>
      </c>
      <c r="HH16" s="3">
        <f>$H16*factors!HB$3</f>
        <v>2.072481815658</v>
      </c>
      <c r="HI16" s="3">
        <f>$H16*factors!HC$3</f>
        <v>2.047052590926</v>
      </c>
      <c r="HJ16" s="3">
        <f>$H16*factors!HD$3</f>
        <v>2.023742468255</v>
      </c>
      <c r="HK16" s="3">
        <f>$H16*factors!HE$3</f>
        <v>2.1402930816099999</v>
      </c>
      <c r="HL16" s="3">
        <f>$H16*factors!HF$3</f>
        <v>2.0173851620719998</v>
      </c>
      <c r="HM16" s="3">
        <f>$H16*factors!HG$3</f>
        <v>2.0385761826820001</v>
      </c>
      <c r="HN16" s="3">
        <f>$H16*factors!HH$3</f>
        <v>2.1741987145860002</v>
      </c>
      <c r="HO16" s="3">
        <f>$H16*factors!HI$3</f>
        <v>2.0851964280240001</v>
      </c>
      <c r="HP16" s="3">
        <f>$H16*factors!HJ$3</f>
        <v>2.2250571640500003</v>
      </c>
      <c r="HQ16" s="3">
        <f>$H16*factors!HK$3</f>
        <v>2.03433797856</v>
      </c>
      <c r="HR16" s="3">
        <f>$H16*factors!HL$3</f>
        <v>2.157245898098</v>
      </c>
      <c r="HS16" s="3">
        <f>$H16*factors!HM$3</f>
        <v>2.1953897351960001</v>
      </c>
      <c r="HT16" s="3">
        <f>$H16*factors!HN$3</f>
        <v>2.047052590926</v>
      </c>
      <c r="HU16" s="3">
        <f>$H16*factors!HO$3</f>
        <v>2.0682436115359999</v>
      </c>
      <c r="HV16" s="3">
        <f>$H16*factors!HP$3</f>
        <v>2.0936728362680004</v>
      </c>
      <c r="HW16" s="3">
        <f>$H16*factors!HQ$3</f>
        <v>2.1233402651220001</v>
      </c>
      <c r="HX16" s="3">
        <f>$H16*factors!HR$3</f>
        <v>2.2102234496229998</v>
      </c>
      <c r="HY16" s="3">
        <f>$H16*factors!HS$3</f>
        <v>2.1000301424510002</v>
      </c>
      <c r="HZ16" s="3">
        <f>$H16*factors!HT$3</f>
        <v>2.180556020769</v>
      </c>
      <c r="IA16" s="3">
        <f>$H16*factors!HU$3</f>
        <v>2.0746009177190001</v>
      </c>
      <c r="IB16" s="3">
        <f>$H16*factors!HV$3</f>
        <v>2.1466503877929997</v>
      </c>
      <c r="IC16" s="3">
        <f>$H16*factors!HW$3</f>
        <v>2.167841408403</v>
      </c>
      <c r="ID16" s="3">
        <f>$H16*factors!HX$3</f>
        <v>2.0131469579499996</v>
      </c>
      <c r="IE16" s="3">
        <f>$H16*factors!HY$3</f>
        <v>2.1381739795489998</v>
      </c>
      <c r="IF16" s="3">
        <f>$H16*factors!HZ$3</f>
        <v>2.1254593671829998</v>
      </c>
      <c r="IG16" s="3">
        <f>$H16*factors!IA$3</f>
        <v>2.106387448634</v>
      </c>
      <c r="IH16" s="3">
        <f>$H16*factors!IB$3</f>
        <v>2.1847942248909997</v>
      </c>
      <c r="II16" s="3">
        <f>$H16*factors!IC$3</f>
        <v>2.0915537342069999</v>
      </c>
      <c r="IJ16" s="3">
        <f>$H16*factors!ID$3</f>
        <v>2.1106256527560001</v>
      </c>
      <c r="IK16" s="3">
        <f>$H16*factors!IE$3</f>
        <v>2.1869133269520002</v>
      </c>
      <c r="IL16" s="3">
        <f>$H16*factors!IF$3</f>
        <v>2.0936728362680004</v>
      </c>
      <c r="IM16" s="3">
        <f>$H16*factors!IG$3</f>
        <v>2.0746009177190001</v>
      </c>
      <c r="IN16" s="3">
        <f>$H16*factors!IH$3</f>
        <v>2.0873155300850001</v>
      </c>
      <c r="IO16" s="3">
        <f>$H16*factors!II$3</f>
        <v>2.108506550695</v>
      </c>
      <c r="IP16" s="3">
        <f>$H16*factors!IJ$3</f>
        <v>2.0385761826820001</v>
      </c>
      <c r="IQ16" s="3">
        <f>$H16*factors!IK$3</f>
        <v>2.0322188764989999</v>
      </c>
      <c r="IR16" s="3">
        <f>$H16*factors!IL$3</f>
        <v>2.0915537342069999</v>
      </c>
      <c r="IS16" s="3">
        <f>$H16*factors!IM$3</f>
        <v>2.108506550695</v>
      </c>
      <c r="IT16" s="3">
        <f>$H16*factors!IN$3</f>
        <v>2.1233402651220001</v>
      </c>
      <c r="IU16" s="3">
        <f>$H16*factors!IO$3</f>
        <v>2.1699605104640001</v>
      </c>
      <c r="IV16" s="3">
        <f>$H16*factors!IP$3</f>
        <v>2.1975088372569997</v>
      </c>
      <c r="IW16" s="3">
        <f>$H16*factors!IQ$3</f>
        <v>2.0767200197799998</v>
      </c>
      <c r="IX16" s="3">
        <f>$H16*factors!IR$3</f>
        <v>2.1699605104640001</v>
      </c>
      <c r="IY16" s="3">
        <f>$H16*factors!IS$3</f>
        <v>2.1381739795489998</v>
      </c>
      <c r="IZ16" s="3">
        <f>$H16*factors!IT$3</f>
        <v>2.1741987145860002</v>
      </c>
      <c r="JA16" s="3">
        <f>$H16*factors!IU$3</f>
        <v>2.0534098971089998</v>
      </c>
      <c r="JB16" s="3">
        <f>$H16*factors!IV$3</f>
        <v>2.0915537342069999</v>
      </c>
      <c r="JC16" s="3">
        <f>$H16*factors!IW$3</f>
        <v>2.0428143868040003</v>
      </c>
      <c r="JD16" s="3">
        <f>$H16*factors!IX$3</f>
        <v>2.2250571640500003</v>
      </c>
      <c r="JE16" s="3">
        <f>$H16*factors!IY$3</f>
        <v>2.0491716929870001</v>
      </c>
      <c r="JF16" s="3">
        <f>$H16*factors!IZ$3</f>
        <v>2.1508885919149998</v>
      </c>
      <c r="JG16" s="3">
        <f>$H16*factors!JA$3</f>
        <v>2.1127447548169997</v>
      </c>
      <c r="JH16" s="3">
        <f>$H16*factors!JB$3</f>
        <v>2.1530076939760003</v>
      </c>
      <c r="JI16" s="3">
        <f>$H16*factors!JC$3</f>
        <v>2.0152660600110002</v>
      </c>
      <c r="JJ16" s="3">
        <f>$H16*factors!JD$3</f>
        <v>2.1699605104640001</v>
      </c>
      <c r="JK16" s="3">
        <f>$H16*factors!JE$3</f>
        <v>2.1000301424510002</v>
      </c>
      <c r="JL16" s="3">
        <f>$H16*factors!JF$3</f>
        <v>2.1847942248909997</v>
      </c>
      <c r="JM16" s="3">
        <f>$H16*factors!JG$3</f>
        <v>2.0385761826820001</v>
      </c>
      <c r="JN16" s="3">
        <f>$H16*factors!JH$3</f>
        <v>2.0385761826820001</v>
      </c>
      <c r="JO16" s="3">
        <f>$H16*factors!JI$3</f>
        <v>2.0131469579499996</v>
      </c>
      <c r="JP16" s="3">
        <f>$H16*factors!JJ$3</f>
        <v>2.1763178166469999</v>
      </c>
      <c r="JQ16" s="3">
        <f>$H16*factors!JK$3</f>
        <v>2.1212211630610001</v>
      </c>
      <c r="JR16" s="3">
        <f>$H16*factors!JL$3</f>
        <v>2.20386614344</v>
      </c>
      <c r="JS16" s="3">
        <f>$H16*factors!JM$3</f>
        <v>2.0131469579499996</v>
      </c>
      <c r="JT16" s="3">
        <f>$H16*factors!JN$3</f>
        <v>2.1148638568780003</v>
      </c>
      <c r="JU16" s="3">
        <f>$H16*factors!JO$3</f>
        <v>2.0449334888649999</v>
      </c>
      <c r="JV16" s="3">
        <f>$H16*factors!JP$3</f>
        <v>2.0788391218410003</v>
      </c>
      <c r="JW16" s="3">
        <f>$H16*factors!JQ$3</f>
        <v>2.2208189599280002</v>
      </c>
      <c r="JX16" s="3">
        <f>$H16*factors!JR$3</f>
        <v>2.1996279393179998</v>
      </c>
      <c r="JY16" s="3">
        <f>$H16*factors!JS$3</f>
        <v>2.070362713597</v>
      </c>
      <c r="JZ16" s="3">
        <f>$H16*factors!JT$3</f>
        <v>2.0936728362680004</v>
      </c>
      <c r="KA16" s="3">
        <f>$H16*factors!JU$3</f>
        <v>2.1021492445120002</v>
      </c>
      <c r="KB16" s="3">
        <f>$H16*factors!JV$3</f>
        <v>2.0322188764989999</v>
      </c>
      <c r="KC16" s="3">
        <f>$H16*factors!JW$3</f>
        <v>2.0428143868040003</v>
      </c>
      <c r="KD16" s="3">
        <f>$H16*factors!JX$3</f>
        <v>2.0449334888649999</v>
      </c>
      <c r="KE16" s="3">
        <f>$H16*factors!JY$3</f>
        <v>2.1763178166469999</v>
      </c>
      <c r="KF16" s="3">
        <f>$H16*factors!JZ$3</f>
        <v>2.2017470413789999</v>
      </c>
      <c r="KG16" s="3">
        <f>$H16*factors!KA$3</f>
        <v>2.1233402651220001</v>
      </c>
      <c r="KH16" s="3">
        <f>$H16*factors!KB$3</f>
        <v>2.0767200197799998</v>
      </c>
      <c r="KI16" s="3">
        <f>$H16*factors!KC$3</f>
        <v>2.0576481012309999</v>
      </c>
    </row>
    <row r="17" spans="1:295" x14ac:dyDescent="0.55000000000000004">
      <c r="A17" t="s">
        <v>393</v>
      </c>
      <c r="B17">
        <v>16</v>
      </c>
      <c r="C17">
        <v>230</v>
      </c>
      <c r="D17" t="s">
        <v>377</v>
      </c>
      <c r="E17">
        <v>7.1729999999999997E-3</v>
      </c>
      <c r="F17">
        <v>16</v>
      </c>
      <c r="G17">
        <f>VLOOKUP(D17,demand_forecasted!$A$2:$G$11,2)</f>
        <v>11098</v>
      </c>
      <c r="H17" s="3">
        <f t="shared" si="0"/>
        <v>0.79605954000000001</v>
      </c>
      <c r="I17" s="3">
        <f>$H17*factors!C$3</f>
        <v>0.88123791078000002</v>
      </c>
      <c r="J17" s="3">
        <f>$H17*factors!D$3</f>
        <v>0.84942737156159998</v>
      </c>
      <c r="K17" s="3">
        <f>$H17*factors!E$3</f>
        <v>0.83481171840720003</v>
      </c>
      <c r="L17" s="3">
        <f>$H17*factors!F$3</f>
        <v>0.83223248549760009</v>
      </c>
      <c r="M17" s="3">
        <f>$H17*factors!G$3</f>
        <v>0.83137274119439997</v>
      </c>
      <c r="N17" s="3">
        <f>$H17*factors!H$3</f>
        <v>0.85544558168399998</v>
      </c>
      <c r="O17" s="3">
        <f>$H17*factors!I$3</f>
        <v>0.8743599563544</v>
      </c>
      <c r="P17" s="3">
        <f>$H17*factors!J$3</f>
        <v>0.88467688799280009</v>
      </c>
      <c r="Q17" s="3">
        <f>$H17*factors!K$3</f>
        <v>0.83051299689119995</v>
      </c>
      <c r="R17" s="3">
        <f>$H17*factors!L$3</f>
        <v>0.81675708804000002</v>
      </c>
      <c r="S17" s="3">
        <f>$H17*factors!M$3</f>
        <v>0.85028711586479999</v>
      </c>
      <c r="T17" s="3">
        <f>$H17*factors!N$3</f>
        <v>0.8795184221736001</v>
      </c>
      <c r="U17" s="3">
        <f>$H17*factors!O$3</f>
        <v>0.83309222980080011</v>
      </c>
      <c r="V17" s="3">
        <f>$H17*factors!P$3</f>
        <v>0.86662225762560008</v>
      </c>
      <c r="W17" s="3">
        <f>$H17*factors!Q$3</f>
        <v>0.8743599563544</v>
      </c>
      <c r="X17" s="3">
        <f>$H17*factors!R$3</f>
        <v>0.83653120701359995</v>
      </c>
      <c r="Y17" s="3">
        <f>$H17*factors!S$3</f>
        <v>0.82879350828480003</v>
      </c>
      <c r="Z17" s="3">
        <f>$H17*factors!T$3</f>
        <v>0.89413407532800016</v>
      </c>
      <c r="AA17" s="3">
        <f>$H17*factors!U$3</f>
        <v>0.84426890574239999</v>
      </c>
      <c r="AB17" s="3">
        <f>$H17*factors!V$3</f>
        <v>0.84512865004560012</v>
      </c>
      <c r="AC17" s="3">
        <f>$H17*factors!W$3</f>
        <v>0.84598839434880013</v>
      </c>
      <c r="AD17" s="3">
        <f>$H17*factors!X$3</f>
        <v>0.82793376398160012</v>
      </c>
      <c r="AE17" s="3">
        <f>$H17*factors!Y$3</f>
        <v>0.83481171840720003</v>
      </c>
      <c r="AF17" s="3">
        <f>$H17*factors!Z$3</f>
        <v>0.85200660447120014</v>
      </c>
      <c r="AG17" s="3">
        <f>$H17*factors!AA$3</f>
        <v>0.83051299689119995</v>
      </c>
      <c r="AH17" s="3">
        <f>$H17*factors!AB$3</f>
        <v>0.82707401967840011</v>
      </c>
      <c r="AI17" s="3">
        <f>$H17*factors!AC$3</f>
        <v>0.85372609307760006</v>
      </c>
      <c r="AJ17" s="3">
        <f>$H17*factors!AD$3</f>
        <v>0.88639637659920001</v>
      </c>
      <c r="AK17" s="3">
        <f>$H17*factors!AE$3</f>
        <v>0.85286634877440004</v>
      </c>
      <c r="AL17" s="3">
        <f>$H17*factors!AF$3</f>
        <v>0.81933632094959996</v>
      </c>
      <c r="AM17" s="3">
        <f>$H17*factors!AG$3</f>
        <v>0.84254941713600007</v>
      </c>
      <c r="AN17" s="3">
        <f>$H17*factors!AH$3</f>
        <v>0.82879350828480003</v>
      </c>
      <c r="AO17" s="3">
        <f>$H17*factors!AI$3</f>
        <v>0.868341746232</v>
      </c>
      <c r="AP17" s="3">
        <f>$H17*factors!AJ$3</f>
        <v>0.83223248549760009</v>
      </c>
      <c r="AQ17" s="3">
        <f>$H17*factors!AK$3</f>
        <v>0.85888455889680004</v>
      </c>
      <c r="AR17" s="3">
        <f>$H17*factors!AL$3</f>
        <v>0.83997018422640013</v>
      </c>
      <c r="AS17" s="3">
        <f>$H17*factors!AM$3</f>
        <v>0.81933632094959996</v>
      </c>
      <c r="AT17" s="3">
        <f>$H17*factors!AN$3</f>
        <v>0.84512865004560012</v>
      </c>
      <c r="AU17" s="3">
        <f>$H17*factors!AO$3</f>
        <v>0.89499381963119995</v>
      </c>
      <c r="AV17" s="3">
        <f>$H17*factors!AP$3</f>
        <v>0.84598839434880013</v>
      </c>
      <c r="AW17" s="3">
        <f>$H17*factors!AQ$3</f>
        <v>0.83739095131679997</v>
      </c>
      <c r="AX17" s="3">
        <f>$H17*factors!AR$3</f>
        <v>0.8855366322960001</v>
      </c>
      <c r="AY17" s="3">
        <f>$H17*factors!AS$3</f>
        <v>0.81675708804000002</v>
      </c>
      <c r="AZ17" s="3">
        <f>$H17*factors!AT$3</f>
        <v>0.87521970065760013</v>
      </c>
      <c r="BA17" s="3">
        <f>$H17*factors!AU$3</f>
        <v>0.85630532598719999</v>
      </c>
      <c r="BB17" s="3">
        <f>$H17*factors!AV$3</f>
        <v>0.84512865004560012</v>
      </c>
      <c r="BC17" s="3">
        <f>$H17*factors!AW$3</f>
        <v>0.89413407532800016</v>
      </c>
      <c r="BD17" s="3">
        <f>$H17*factors!AX$3</f>
        <v>0.82535453107199996</v>
      </c>
      <c r="BE17" s="3">
        <f>$H17*factors!AY$3</f>
        <v>0.9703488156875999</v>
      </c>
      <c r="BF17" s="3">
        <f>$H17*factors!AZ$3</f>
        <v>0.90365494742639996</v>
      </c>
      <c r="BG17" s="3">
        <f>$H17*factors!BA$3</f>
        <v>0.91680585102719991</v>
      </c>
      <c r="BH17" s="3">
        <f>$H17*factors!BB$3</f>
        <v>0.92901740437079994</v>
      </c>
      <c r="BI17" s="3">
        <f>$H17*factors!BC$3</f>
        <v>0.96283401362999987</v>
      </c>
      <c r="BJ17" s="3">
        <f>$H17*factors!BD$3</f>
        <v>0.91962390179879994</v>
      </c>
      <c r="BK17" s="3">
        <f>$H17*factors!BE$3</f>
        <v>0.92150260231319991</v>
      </c>
      <c r="BL17" s="3">
        <f>$H17*factors!BF$3</f>
        <v>0.91116974948399987</v>
      </c>
      <c r="BM17" s="3">
        <f>$H17*factors!BG$3</f>
        <v>0.97316686645920003</v>
      </c>
      <c r="BN17" s="3">
        <f>$H17*factors!BH$3</f>
        <v>0.9609553131155999</v>
      </c>
      <c r="BO17" s="3">
        <f>$H17*factors!BI$3</f>
        <v>0.90365494742639996</v>
      </c>
      <c r="BP17" s="3">
        <f>$H17*factors!BJ$3</f>
        <v>0.90083689665479993</v>
      </c>
      <c r="BQ17" s="3">
        <f>$H17*factors!BK$3</f>
        <v>0.91586650076999987</v>
      </c>
      <c r="BR17" s="3">
        <f>$H17*factors!BL$3</f>
        <v>0.94874375977199998</v>
      </c>
      <c r="BS17" s="3">
        <f>$H17*factors!BM$3</f>
        <v>0.96377336388720003</v>
      </c>
      <c r="BT17" s="3">
        <f>$H17*factors!BN$3</f>
        <v>0.96659141465879994</v>
      </c>
      <c r="BU17" s="3">
        <f>$H17*factors!BO$3</f>
        <v>0.98256036903120003</v>
      </c>
      <c r="BV17" s="3">
        <f>$H17*factors!BP$3</f>
        <v>0.9139878002556</v>
      </c>
      <c r="BW17" s="3">
        <f>$H17*factors!BQ$3</f>
        <v>0.93465350591399998</v>
      </c>
      <c r="BX17" s="3">
        <f>$H17*factors!BR$3</f>
        <v>0.91680585102719991</v>
      </c>
      <c r="BY17" s="3">
        <f>$H17*factors!BS$3</f>
        <v>0.95907661260119981</v>
      </c>
      <c r="BZ17" s="3">
        <f>$H17*factors!BT$3</f>
        <v>0.94122895771439985</v>
      </c>
      <c r="CA17" s="3">
        <f>$H17*factors!BU$3</f>
        <v>0.92901740437079994</v>
      </c>
      <c r="CB17" s="3">
        <f>$H17*factors!BV$3</f>
        <v>0.89895819614039996</v>
      </c>
      <c r="CC17" s="3">
        <f>$H17*factors!BW$3</f>
        <v>0.92526000334199987</v>
      </c>
      <c r="CD17" s="3">
        <f>$H17*factors!BX$3</f>
        <v>0.9280780541136</v>
      </c>
      <c r="CE17" s="3">
        <f>$H17*factors!BY$3</f>
        <v>0.94122895771439985</v>
      </c>
      <c r="CF17" s="3">
        <f>$H17*factors!BZ$3</f>
        <v>0.92713870385640007</v>
      </c>
      <c r="CG17" s="3">
        <f>$H17*factors!CA$3</f>
        <v>0.89614014536879982</v>
      </c>
      <c r="CH17" s="3">
        <f>$H17*factors!CB$3</f>
        <v>0.89707949562599987</v>
      </c>
      <c r="CI17" s="3">
        <f>$H17*factors!CC$3</f>
        <v>0.89238274433999998</v>
      </c>
      <c r="CJ17" s="3">
        <f>$H17*factors!CD$3</f>
        <v>0.92901740437079994</v>
      </c>
      <c r="CK17" s="3">
        <f>$H17*factors!CE$3</f>
        <v>0.9703488156875999</v>
      </c>
      <c r="CL17" s="3">
        <f>$H17*factors!CF$3</f>
        <v>0.9092910489696</v>
      </c>
      <c r="CM17" s="3">
        <f>$H17*factors!CG$3</f>
        <v>0.93089610488519992</v>
      </c>
      <c r="CN17" s="3">
        <f>$H17*factors!CH$3</f>
        <v>0.89989754639759989</v>
      </c>
      <c r="CO17" s="3">
        <f>$H17*factors!CI$3</f>
        <v>0.90647299819799987</v>
      </c>
      <c r="CP17" s="3">
        <f>$H17*factors!CJ$3</f>
        <v>0.94968311002919981</v>
      </c>
      <c r="CQ17" s="3">
        <f>$H17*factors!CK$3</f>
        <v>0.92150260231319991</v>
      </c>
      <c r="CR17" s="3">
        <f>$H17*factors!CL$3</f>
        <v>0.95062246028639996</v>
      </c>
      <c r="CS17" s="3">
        <f>$H17*factors!CM$3</f>
        <v>0.98068166851679994</v>
      </c>
      <c r="CT17" s="3">
        <f>$H17*factors!CN$3</f>
        <v>0.96940946543039996</v>
      </c>
      <c r="CU17" s="3">
        <f>$H17*factors!CO$3</f>
        <v>0.94780440951479983</v>
      </c>
      <c r="CV17" s="3">
        <f>$H17*factors!CP$3</f>
        <v>0.98631777005999988</v>
      </c>
      <c r="CW17" s="3">
        <f>$H17*factors!CQ$3</f>
        <v>0.9327748053996</v>
      </c>
      <c r="CX17" s="3">
        <f>$H17*factors!CR$3</f>
        <v>0.9186845515416</v>
      </c>
      <c r="CY17" s="3">
        <f>$H17*factors!CS$3</f>
        <v>0.91023039922679994</v>
      </c>
      <c r="CZ17" s="3">
        <f>$H17*factors!CT$3</f>
        <v>0.89707949562599987</v>
      </c>
      <c r="DA17" s="3">
        <f>$H17*factors!CU$3</f>
        <v>0.93138966179999993</v>
      </c>
      <c r="DB17" s="3">
        <f>$H17*factors!CV$3</f>
        <v>0.99157176302400007</v>
      </c>
      <c r="DC17" s="3">
        <f>$H17*factors!CW$3</f>
        <v>0.94953981931199993</v>
      </c>
      <c r="DD17" s="3">
        <f>$H17*factors!CX$3</f>
        <v>0.94285291917599989</v>
      </c>
      <c r="DE17" s="3">
        <f>$H17*factors!CY$3</f>
        <v>0.97055579116800006</v>
      </c>
      <c r="DF17" s="3">
        <f>$H17*factors!CZ$3</f>
        <v>0.96864524827199994</v>
      </c>
      <c r="DG17" s="3">
        <f>$H17*factors!DA$3</f>
        <v>0.96482416248000002</v>
      </c>
      <c r="DH17" s="3">
        <f>$H17*factors!DB$3</f>
        <v>0.96482416248000002</v>
      </c>
      <c r="DI17" s="3">
        <f>$H17*factors!DC$3</f>
        <v>0.92852384745599992</v>
      </c>
      <c r="DJ17" s="3">
        <f>$H17*factors!DD$3</f>
        <v>0.98392959144000003</v>
      </c>
      <c r="DK17" s="3">
        <f>$H17*factors!DE$3</f>
        <v>0.98392959144000003</v>
      </c>
      <c r="DL17" s="3">
        <f>$H17*factors!DF$3</f>
        <v>0.97246633406400007</v>
      </c>
      <c r="DM17" s="3">
        <f>$H17*factors!DG$3</f>
        <v>0.91610531863199984</v>
      </c>
      <c r="DN17" s="3">
        <f>$H17*factors!DH$3</f>
        <v>0.961003076688</v>
      </c>
      <c r="DO17" s="3">
        <f>$H17*factors!DI$3</f>
        <v>0.99252703447199997</v>
      </c>
      <c r="DP17" s="3">
        <f>$H17*factors!DJ$3</f>
        <v>0.98392959144000003</v>
      </c>
      <c r="DQ17" s="3">
        <f>$H17*factors!DK$3</f>
        <v>0.93807656193599998</v>
      </c>
      <c r="DR17" s="3">
        <f>$H17*factors!DL$3</f>
        <v>0.92756857600800002</v>
      </c>
      <c r="DS17" s="3">
        <f>$H17*factors!DM$3</f>
        <v>1.0020797489519999</v>
      </c>
      <c r="DT17" s="3">
        <f>$H17*factors!DN$3</f>
        <v>0.941897647728</v>
      </c>
      <c r="DU17" s="3">
        <f>$H17*factors!DO$3</f>
        <v>0.98584013433599993</v>
      </c>
      <c r="DV17" s="3">
        <f>$H17*factors!DP$3</f>
        <v>0.96291361958400001</v>
      </c>
      <c r="DW17" s="3">
        <f>$H17*factors!DQ$3</f>
        <v>0.91897113297599986</v>
      </c>
      <c r="DX17" s="3">
        <f>$H17*factors!DR$3</f>
        <v>0.97342160551199997</v>
      </c>
      <c r="DY17" s="3">
        <f>$H17*factors!DS$3</f>
        <v>0.92374749021599989</v>
      </c>
      <c r="DZ17" s="3">
        <f>$H17*factors!DT$3</f>
        <v>0.98775067723199994</v>
      </c>
      <c r="EA17" s="3">
        <f>$H17*factors!DU$3</f>
        <v>0.93043439035199993</v>
      </c>
      <c r="EB17" s="3">
        <f>$H17*factors!DV$3</f>
        <v>0.9075078755999999</v>
      </c>
      <c r="EC17" s="3">
        <f>$H17*factors!DW$3</f>
        <v>0.97628741985599998</v>
      </c>
      <c r="ED17" s="3">
        <f>$H17*factors!DX$3</f>
        <v>0.91610531863199984</v>
      </c>
      <c r="EE17" s="3">
        <f>$H17*factors!DY$3</f>
        <v>0.92374749021599989</v>
      </c>
      <c r="EF17" s="3">
        <f>$H17*factors!DZ$3</f>
        <v>1.0020797489519999</v>
      </c>
      <c r="EG17" s="3">
        <f>$H17*factors!EA$3</f>
        <v>0.93616601903999996</v>
      </c>
      <c r="EH17" s="3">
        <f>$H17*factors!EB$3</f>
        <v>0.93903183338399998</v>
      </c>
      <c r="EI17" s="3">
        <f>$H17*factors!EC$3</f>
        <v>0.93712129048800008</v>
      </c>
      <c r="EJ17" s="3">
        <f>$H17*factors!ED$3</f>
        <v>0.91323950428800005</v>
      </c>
      <c r="EK17" s="3">
        <f>$H17*factors!EE$3</f>
        <v>0.97628741985599998</v>
      </c>
      <c r="EL17" s="3">
        <f>$H17*factors!EF$3</f>
        <v>0.92852384745599992</v>
      </c>
      <c r="EM17" s="3">
        <f>$H17*factors!EG$3</f>
        <v>0.96577943392799992</v>
      </c>
      <c r="EN17" s="3">
        <f>$H17*factors!EH$3</f>
        <v>0.9075078755999999</v>
      </c>
      <c r="EO17" s="3">
        <f>$H17*factors!EI$3</f>
        <v>0.92088167587199987</v>
      </c>
      <c r="EP17" s="3">
        <f>$H17*factors!EJ$3</f>
        <v>0.97151106261599995</v>
      </c>
      <c r="EQ17" s="3">
        <f>$H17*factors!EK$3</f>
        <v>0.9447634620719999</v>
      </c>
      <c r="ER17" s="3">
        <f>$H17*factors!EL$3</f>
        <v>0.98392959144000003</v>
      </c>
      <c r="ES17" s="3">
        <f>$H17*factors!EM$3</f>
        <v>0.97151106261599995</v>
      </c>
      <c r="ET17" s="3">
        <f>$H17*factors!EN$3</f>
        <v>0.99348230591999998</v>
      </c>
      <c r="EU17" s="3">
        <f>$H17*factors!EO$3</f>
        <v>1.0030350204</v>
      </c>
      <c r="EV17" s="3">
        <f>$H17*factors!EP$3</f>
        <v>0.93998710483199988</v>
      </c>
      <c r="EW17" s="3">
        <f>$H17*factors!EQ$3</f>
        <v>1.033882327575</v>
      </c>
      <c r="EX17" s="3">
        <f>$H17*factors!ER$3</f>
        <v>1.0229365089000002</v>
      </c>
      <c r="EY17" s="3">
        <f>$H17*factors!ES$3</f>
        <v>1.043833071825</v>
      </c>
      <c r="EZ17" s="3">
        <f>$H17*factors!ET$3</f>
        <v>1.033882327575</v>
      </c>
      <c r="FA17" s="3">
        <f>$H17*factors!EU$3</f>
        <v>0.95029607587499987</v>
      </c>
      <c r="FB17" s="3">
        <f>$H17*factors!EV$3</f>
        <v>0.99308427615000006</v>
      </c>
      <c r="FC17" s="3">
        <f>$H17*factors!EW$3</f>
        <v>1.0209463600499999</v>
      </c>
      <c r="FD17" s="3">
        <f>$H17*factors!EX$3</f>
        <v>0.98512368075000001</v>
      </c>
      <c r="FE17" s="3">
        <f>$H17*factors!EY$3</f>
        <v>1.0378626252750001</v>
      </c>
      <c r="FF17" s="3">
        <f>$H17*factors!EZ$3</f>
        <v>1.0388576997000001</v>
      </c>
      <c r="FG17" s="3">
        <f>$H17*factors!FA$3</f>
        <v>0.95029607587499987</v>
      </c>
      <c r="FH17" s="3">
        <f>$H17*factors!FB$3</f>
        <v>1.000049797125</v>
      </c>
      <c r="FI17" s="3">
        <f>$H17*factors!FC$3</f>
        <v>1.0418429229749999</v>
      </c>
      <c r="FJ17" s="3">
        <f>$H17*factors!FD$3</f>
        <v>1.000049797125</v>
      </c>
      <c r="FK17" s="3">
        <f>$H17*factors!FE$3</f>
        <v>1.0169660623500001</v>
      </c>
      <c r="FL17" s="3">
        <f>$H17*factors!FF$3</f>
        <v>1.0199512856249999</v>
      </c>
      <c r="FM17" s="3">
        <f>$H17*factors!FG$3</f>
        <v>1.0308971042999999</v>
      </c>
      <c r="FN17" s="3">
        <f>$H17*factors!FH$3</f>
        <v>0.96422711782499992</v>
      </c>
      <c r="FO17" s="3">
        <f>$H17*factors!FI$3</f>
        <v>1.023931583325</v>
      </c>
      <c r="FP17" s="3">
        <f>$H17*factors!FJ$3</f>
        <v>0.99507442499999998</v>
      </c>
      <c r="FQ17" s="3">
        <f>$H17*factors!FK$3</f>
        <v>0.98512368075000001</v>
      </c>
      <c r="FR17" s="3">
        <f>$H17*factors!FL$3</f>
        <v>1.0050251692500001</v>
      </c>
      <c r="FS17" s="3">
        <f>$H17*factors!FM$3</f>
        <v>0.99905472269999995</v>
      </c>
      <c r="FT17" s="3">
        <f>$H17*factors!FN$3</f>
        <v>1.0209463600499999</v>
      </c>
      <c r="FU17" s="3">
        <f>$H17*factors!FO$3</f>
        <v>0.98114338304999993</v>
      </c>
      <c r="FV17" s="3">
        <f>$H17*factors!FP$3</f>
        <v>0.97318278764999999</v>
      </c>
      <c r="FW17" s="3">
        <f>$H17*factors!FQ$3</f>
        <v>1.0418429229749999</v>
      </c>
      <c r="FX17" s="3">
        <f>$H17*factors!FR$3</f>
        <v>1.0229365089000002</v>
      </c>
      <c r="FY17" s="3">
        <f>$H17*factors!FS$3</f>
        <v>1.0020399459749998</v>
      </c>
      <c r="FZ17" s="3">
        <f>$H17*factors!FT$3</f>
        <v>0.95228622472500002</v>
      </c>
      <c r="GA17" s="3">
        <f>$H17*factors!FU$3</f>
        <v>1.0020399459749998</v>
      </c>
      <c r="GB17" s="3">
        <f>$H17*factors!FV$3</f>
        <v>1.0388576997000001</v>
      </c>
      <c r="GC17" s="3">
        <f>$H17*factors!FW$3</f>
        <v>0.97318278764999999</v>
      </c>
      <c r="GD17" s="3">
        <f>$H17*factors!FX$3</f>
        <v>0.990099052875</v>
      </c>
      <c r="GE17" s="3">
        <f>$H17*factors!FY$3</f>
        <v>0.990099052875</v>
      </c>
      <c r="GF17" s="3">
        <f>$H17*factors!FZ$3</f>
        <v>0.98711382960000005</v>
      </c>
      <c r="GG17" s="3">
        <f>$H17*factors!GA$3</f>
        <v>0.94830592702499994</v>
      </c>
      <c r="GH17" s="3">
        <f>$H17*factors!GB$3</f>
        <v>1.0090054669500002</v>
      </c>
      <c r="GI17" s="3">
        <f>$H17*factors!GC$3</f>
        <v>0.94631577817500001</v>
      </c>
      <c r="GJ17" s="3">
        <f>$H17*factors!GD$3</f>
        <v>0.94830592702499994</v>
      </c>
      <c r="GK17" s="3">
        <f>$H17*factors!GE$3</f>
        <v>0.97218771322499997</v>
      </c>
      <c r="GL17" s="3">
        <f>$H17*factors!GF$3</f>
        <v>1.0299020298749999</v>
      </c>
      <c r="GM17" s="3">
        <f>$H17*factors!GG$3</f>
        <v>0.97616801092500005</v>
      </c>
      <c r="GN17" s="3">
        <f>$H17*factors!GH$3</f>
        <v>1.0070153181000001</v>
      </c>
      <c r="GO17" s="3">
        <f>$H17*factors!GI$3</f>
        <v>0.95129115029999989</v>
      </c>
      <c r="GP17" s="3">
        <f>$H17*factors!GJ$3</f>
        <v>1.0199512856249999</v>
      </c>
      <c r="GQ17" s="3">
        <f>$H17*factors!GK$3</f>
        <v>1.0408478485500001</v>
      </c>
      <c r="GR17" s="3">
        <f>$H17*factors!GL$3</f>
        <v>1.0209463600499999</v>
      </c>
      <c r="GS17" s="3">
        <f>$H17*factors!GM$3</f>
        <v>0.96550081308900004</v>
      </c>
      <c r="GT17" s="3">
        <f>$H17*factors!GN$3</f>
        <v>0.98774271663660007</v>
      </c>
      <c r="GU17" s="3">
        <f>$H17*factors!GO$3</f>
        <v>1.0109956158</v>
      </c>
      <c r="GV17" s="3">
        <f>$H17*factors!GP$3</f>
        <v>0.97055579116800006</v>
      </c>
      <c r="GW17" s="3">
        <f>$H17*factors!GQ$3</f>
        <v>1.0049296421052001</v>
      </c>
      <c r="GX17" s="3">
        <f>$H17*factors!GR$3</f>
        <v>0.98875371225239994</v>
      </c>
      <c r="GY17" s="3">
        <f>$H17*factors!GS$3</f>
        <v>0.98369873417340004</v>
      </c>
      <c r="GZ17" s="3">
        <f>$H17*factors!GT$3</f>
        <v>1.0200945763421998</v>
      </c>
      <c r="HA17" s="3">
        <f>$H17*factors!GU$3</f>
        <v>0.98673172102079998</v>
      </c>
      <c r="HB17" s="3">
        <f>$H17*factors!GV$3</f>
        <v>1.0200945763421998</v>
      </c>
      <c r="HC17" s="3">
        <f>$H17*factors!GW$3</f>
        <v>0.99481968594719994</v>
      </c>
      <c r="HD17" s="3">
        <f>$H17*factors!GX$3</f>
        <v>1.0241385588053999</v>
      </c>
      <c r="HE17" s="3">
        <f>$H17*factors!GY$3</f>
        <v>1.0109956158</v>
      </c>
      <c r="HF17" s="3">
        <f>$H17*factors!GZ$3</f>
        <v>1.0423364798898</v>
      </c>
      <c r="HG17" s="3">
        <f>$H17*factors!HA$3</f>
        <v>1.0018966552577999</v>
      </c>
      <c r="HH17" s="3">
        <f>$H17*factors!HB$3</f>
        <v>0.98875371225239994</v>
      </c>
      <c r="HI17" s="3">
        <f>$H17*factors!HC$3</f>
        <v>0.97662176486280006</v>
      </c>
      <c r="HJ17" s="3">
        <f>$H17*factors!HD$3</f>
        <v>0.96550081308900004</v>
      </c>
      <c r="HK17" s="3">
        <f>$H17*factors!HE$3</f>
        <v>1.021105571958</v>
      </c>
      <c r="HL17" s="3">
        <f>$H17*factors!HF$3</f>
        <v>0.96246782624159988</v>
      </c>
      <c r="HM17" s="3">
        <f>$H17*factors!HG$3</f>
        <v>0.97257778239960002</v>
      </c>
      <c r="HN17" s="3">
        <f>$H17*factors!HH$3</f>
        <v>1.0372815018108001</v>
      </c>
      <c r="HO17" s="3">
        <f>$H17*factors!HI$3</f>
        <v>0.99481968594719994</v>
      </c>
      <c r="HP17" s="3">
        <f>$H17*factors!HJ$3</f>
        <v>1.0615453965900001</v>
      </c>
      <c r="HQ17" s="3">
        <f>$H17*factors!HK$3</f>
        <v>0.97055579116800006</v>
      </c>
      <c r="HR17" s="3">
        <f>$H17*factors!HL$3</f>
        <v>1.0291935368844001</v>
      </c>
      <c r="HS17" s="3">
        <f>$H17*factors!HM$3</f>
        <v>1.0473914579688</v>
      </c>
      <c r="HT17" s="3">
        <f>$H17*factors!HN$3</f>
        <v>0.97662176486280006</v>
      </c>
      <c r="HU17" s="3">
        <f>$H17*factors!HO$3</f>
        <v>0.98673172102079998</v>
      </c>
      <c r="HV17" s="3">
        <f>$H17*factors!HP$3</f>
        <v>0.99886366841040009</v>
      </c>
      <c r="HW17" s="3">
        <f>$H17*factors!HQ$3</f>
        <v>1.0130176070315999</v>
      </c>
      <c r="HX17" s="3">
        <f>$H17*factors!HR$3</f>
        <v>1.0544684272793998</v>
      </c>
      <c r="HY17" s="3">
        <f>$H17*factors!HS$3</f>
        <v>1.0018966552577999</v>
      </c>
      <c r="HZ17" s="3">
        <f>$H17*factors!HT$3</f>
        <v>1.0403144886581999</v>
      </c>
      <c r="IA17" s="3">
        <f>$H17*factors!HU$3</f>
        <v>0.98976470786820003</v>
      </c>
      <c r="IB17" s="3">
        <f>$H17*factors!HV$3</f>
        <v>1.0241385588053999</v>
      </c>
      <c r="IC17" s="3">
        <f>$H17*factors!HW$3</f>
        <v>1.0342485149634</v>
      </c>
      <c r="ID17" s="3">
        <f>$H17*factors!HX$3</f>
        <v>0.96044583500999992</v>
      </c>
      <c r="IE17" s="3">
        <f>$H17*factors!HY$3</f>
        <v>1.0200945763421998</v>
      </c>
      <c r="IF17" s="3">
        <f>$H17*factors!HZ$3</f>
        <v>1.0140286026473999</v>
      </c>
      <c r="IG17" s="3">
        <f>$H17*factors!IA$3</f>
        <v>1.0049296421052001</v>
      </c>
      <c r="IH17" s="3">
        <f>$H17*factors!IB$3</f>
        <v>1.0423364798898</v>
      </c>
      <c r="II17" s="3">
        <f>$H17*factors!IC$3</f>
        <v>0.99785267279459999</v>
      </c>
      <c r="IJ17" s="3">
        <f>$H17*factors!ID$3</f>
        <v>1.0069516333368</v>
      </c>
      <c r="IK17" s="3">
        <f>$H17*factors!IE$3</f>
        <v>1.0433474755056</v>
      </c>
      <c r="IL17" s="3">
        <f>$H17*factors!IF$3</f>
        <v>0.99886366841040009</v>
      </c>
      <c r="IM17" s="3">
        <f>$H17*factors!IG$3</f>
        <v>0.98976470786820003</v>
      </c>
      <c r="IN17" s="3">
        <f>$H17*factors!IH$3</f>
        <v>0.99583068156300003</v>
      </c>
      <c r="IO17" s="3">
        <f>$H17*factors!II$3</f>
        <v>1.0059406377210001</v>
      </c>
      <c r="IP17" s="3">
        <f>$H17*factors!IJ$3</f>
        <v>0.97257778239960002</v>
      </c>
      <c r="IQ17" s="3">
        <f>$H17*factors!IK$3</f>
        <v>0.96954479555219997</v>
      </c>
      <c r="IR17" s="3">
        <f>$H17*factors!IL$3</f>
        <v>0.99785267279459999</v>
      </c>
      <c r="IS17" s="3">
        <f>$H17*factors!IM$3</f>
        <v>1.0059406377210001</v>
      </c>
      <c r="IT17" s="3">
        <f>$H17*factors!IN$3</f>
        <v>1.0130176070315999</v>
      </c>
      <c r="IU17" s="3">
        <f>$H17*factors!IO$3</f>
        <v>1.0352595105792002</v>
      </c>
      <c r="IV17" s="3">
        <f>$H17*factors!IP$3</f>
        <v>1.0484024535845999</v>
      </c>
      <c r="IW17" s="3">
        <f>$H17*factors!IQ$3</f>
        <v>0.9907757034839999</v>
      </c>
      <c r="IX17" s="3">
        <f>$H17*factors!IR$3</f>
        <v>1.0352595105792002</v>
      </c>
      <c r="IY17" s="3">
        <f>$H17*factors!IS$3</f>
        <v>1.0200945763421998</v>
      </c>
      <c r="IZ17" s="3">
        <f>$H17*factors!IT$3</f>
        <v>1.0372815018108001</v>
      </c>
      <c r="JA17" s="3">
        <f>$H17*factors!IU$3</f>
        <v>0.97965475171019989</v>
      </c>
      <c r="JB17" s="3">
        <f>$H17*factors!IV$3</f>
        <v>0.99785267279459999</v>
      </c>
      <c r="JC17" s="3">
        <f>$H17*factors!IW$3</f>
        <v>0.97459977363120009</v>
      </c>
      <c r="JD17" s="3">
        <f>$H17*factors!IX$3</f>
        <v>1.0615453965900001</v>
      </c>
      <c r="JE17" s="3">
        <f>$H17*factors!IY$3</f>
        <v>0.97763276047859993</v>
      </c>
      <c r="JF17" s="3">
        <f>$H17*factors!IZ$3</f>
        <v>1.0261605500369999</v>
      </c>
      <c r="JG17" s="3">
        <f>$H17*factors!JA$3</f>
        <v>1.0079626289526</v>
      </c>
      <c r="JH17" s="3">
        <f>$H17*factors!JB$3</f>
        <v>1.0271715456528001</v>
      </c>
      <c r="JI17" s="3">
        <f>$H17*factors!JC$3</f>
        <v>0.96145683062580001</v>
      </c>
      <c r="JJ17" s="3">
        <f>$H17*factors!JD$3</f>
        <v>1.0352595105792002</v>
      </c>
      <c r="JK17" s="3">
        <f>$H17*factors!JE$3</f>
        <v>1.0018966552577999</v>
      </c>
      <c r="JL17" s="3">
        <f>$H17*factors!JF$3</f>
        <v>1.0423364798898</v>
      </c>
      <c r="JM17" s="3">
        <f>$H17*factors!JG$3</f>
        <v>0.97257778239960002</v>
      </c>
      <c r="JN17" s="3">
        <f>$H17*factors!JH$3</f>
        <v>0.97257778239960002</v>
      </c>
      <c r="JO17" s="3">
        <f>$H17*factors!JI$3</f>
        <v>0.96044583500999992</v>
      </c>
      <c r="JP17" s="3">
        <f>$H17*factors!JJ$3</f>
        <v>1.0382924974265999</v>
      </c>
      <c r="JQ17" s="3">
        <f>$H17*factors!JK$3</f>
        <v>1.0120066114158</v>
      </c>
      <c r="JR17" s="3">
        <f>$H17*factors!JL$3</f>
        <v>1.0514354404320001</v>
      </c>
      <c r="JS17" s="3">
        <f>$H17*factors!JM$3</f>
        <v>0.96044583500999992</v>
      </c>
      <c r="JT17" s="3">
        <f>$H17*factors!JN$3</f>
        <v>1.0089736245684</v>
      </c>
      <c r="JU17" s="3">
        <f>$H17*factors!JO$3</f>
        <v>0.97561076924699996</v>
      </c>
      <c r="JV17" s="3">
        <f>$H17*factors!JP$3</f>
        <v>0.9917866990998</v>
      </c>
      <c r="JW17" s="3">
        <f>$H17*factors!JQ$3</f>
        <v>1.0595234053584002</v>
      </c>
      <c r="JX17" s="3">
        <f>$H17*factors!JR$3</f>
        <v>1.0494134492003999</v>
      </c>
      <c r="JY17" s="3">
        <f>$H17*factors!JS$3</f>
        <v>0.98774271663660007</v>
      </c>
      <c r="JZ17" s="3">
        <f>$H17*factors!JT$3</f>
        <v>0.99886366841040009</v>
      </c>
      <c r="KA17" s="3">
        <f>$H17*factors!JU$3</f>
        <v>1.0029076508736001</v>
      </c>
      <c r="KB17" s="3">
        <f>$H17*factors!JV$3</f>
        <v>0.96954479555219997</v>
      </c>
      <c r="KC17" s="3">
        <f>$H17*factors!JW$3</f>
        <v>0.97459977363120009</v>
      </c>
      <c r="KD17" s="3">
        <f>$H17*factors!JX$3</f>
        <v>0.97561076924699996</v>
      </c>
      <c r="KE17" s="3">
        <f>$H17*factors!JY$3</f>
        <v>1.0382924974265999</v>
      </c>
      <c r="KF17" s="3">
        <f>$H17*factors!JZ$3</f>
        <v>1.0504244448161999</v>
      </c>
      <c r="KG17" s="3">
        <f>$H17*factors!KA$3</f>
        <v>1.0130176070315999</v>
      </c>
      <c r="KH17" s="3">
        <f>$H17*factors!KB$3</f>
        <v>0.9907757034839999</v>
      </c>
      <c r="KI17" s="3">
        <f>$H17*factors!KC$3</f>
        <v>0.98167674294179996</v>
      </c>
    </row>
    <row r="18" spans="1:295" x14ac:dyDescent="0.55000000000000004">
      <c r="A18" t="s">
        <v>394</v>
      </c>
      <c r="B18">
        <v>17</v>
      </c>
      <c r="C18">
        <v>287</v>
      </c>
      <c r="D18" t="s">
        <v>377</v>
      </c>
      <c r="E18">
        <v>3.431E-3</v>
      </c>
      <c r="F18">
        <v>17</v>
      </c>
      <c r="G18">
        <f>VLOOKUP(D18,demand_forecasted!$A$2:$G$11,2)</f>
        <v>11098</v>
      </c>
      <c r="H18" s="3">
        <f t="shared" si="0"/>
        <v>0.38077238000000002</v>
      </c>
      <c r="I18" s="3">
        <f>$H18*factors!C$3</f>
        <v>0.42151502466000002</v>
      </c>
      <c r="J18" s="3">
        <f>$H18*factors!D$3</f>
        <v>0.40629936035520003</v>
      </c>
      <c r="K18" s="3">
        <f>$H18*factors!E$3</f>
        <v>0.39930837945840003</v>
      </c>
      <c r="L18" s="3">
        <f>$H18*factors!F$3</f>
        <v>0.39807467694720006</v>
      </c>
      <c r="M18" s="3">
        <f>$H18*factors!G$3</f>
        <v>0.39766344277679999</v>
      </c>
      <c r="N18" s="3">
        <f>$H18*factors!H$3</f>
        <v>0.40917799954800005</v>
      </c>
      <c r="O18" s="3">
        <f>$H18*factors!I$3</f>
        <v>0.41822515129680005</v>
      </c>
      <c r="P18" s="3">
        <f>$H18*factors!J$3</f>
        <v>0.42315996134160005</v>
      </c>
      <c r="Q18" s="3">
        <f>$H18*factors!K$3</f>
        <v>0.39725220860640004</v>
      </c>
      <c r="R18" s="3">
        <f>$H18*factors!L$3</f>
        <v>0.39067246188000004</v>
      </c>
      <c r="S18" s="3">
        <f>$H18*factors!M$3</f>
        <v>0.40671059452559999</v>
      </c>
      <c r="T18" s="3">
        <f>$H18*factors!N$3</f>
        <v>0.42069255631920005</v>
      </c>
      <c r="U18" s="3">
        <f>$H18*factors!O$3</f>
        <v>0.39848591111760007</v>
      </c>
      <c r="V18" s="3">
        <f>$H18*factors!P$3</f>
        <v>0.41452404376320007</v>
      </c>
      <c r="W18" s="3">
        <f>$H18*factors!Q$3</f>
        <v>0.41822515129680005</v>
      </c>
      <c r="X18" s="3">
        <f>$H18*factors!R$3</f>
        <v>0.4001308477992</v>
      </c>
      <c r="Y18" s="3">
        <f>$H18*factors!S$3</f>
        <v>0.39642974026560002</v>
      </c>
      <c r="Z18" s="3">
        <f>$H18*factors!T$3</f>
        <v>0.42768353721600011</v>
      </c>
      <c r="AA18" s="3">
        <f>$H18*factors!U$3</f>
        <v>0.40383195533280003</v>
      </c>
      <c r="AB18" s="3">
        <f>$H18*factors!V$3</f>
        <v>0.4042431895032001</v>
      </c>
      <c r="AC18" s="3">
        <f>$H18*factors!W$3</f>
        <v>0.40465442367360005</v>
      </c>
      <c r="AD18" s="3">
        <f>$H18*factors!X$3</f>
        <v>0.39601850609520006</v>
      </c>
      <c r="AE18" s="3">
        <f>$H18*factors!Y$3</f>
        <v>0.39930837945840003</v>
      </c>
      <c r="AF18" s="3">
        <f>$H18*factors!Z$3</f>
        <v>0.40753306286640006</v>
      </c>
      <c r="AG18" s="3">
        <f>$H18*factors!AA$3</f>
        <v>0.39725220860640004</v>
      </c>
      <c r="AH18" s="3">
        <f>$H18*factors!AB$3</f>
        <v>0.39560727192480005</v>
      </c>
      <c r="AI18" s="3">
        <f>$H18*factors!AC$3</f>
        <v>0.40835553120720003</v>
      </c>
      <c r="AJ18" s="3">
        <f>$H18*factors!AD$3</f>
        <v>0.42398242968240002</v>
      </c>
      <c r="AK18" s="3">
        <f>$H18*factors!AE$3</f>
        <v>0.40794429703680007</v>
      </c>
      <c r="AL18" s="3">
        <f>$H18*factors!AF$3</f>
        <v>0.39190616439120002</v>
      </c>
      <c r="AM18" s="3">
        <f>$H18*factors!AG$3</f>
        <v>0.40300948699200001</v>
      </c>
      <c r="AN18" s="3">
        <f>$H18*factors!AH$3</f>
        <v>0.39642974026560002</v>
      </c>
      <c r="AO18" s="3">
        <f>$H18*factors!AI$3</f>
        <v>0.41534651210400003</v>
      </c>
      <c r="AP18" s="3">
        <f>$H18*factors!AJ$3</f>
        <v>0.39807467694720006</v>
      </c>
      <c r="AQ18" s="3">
        <f>$H18*factors!AK$3</f>
        <v>0.41082293622960009</v>
      </c>
      <c r="AR18" s="3">
        <f>$H18*factors!AL$3</f>
        <v>0.40177578448080004</v>
      </c>
      <c r="AS18" s="3">
        <f>$H18*factors!AM$3</f>
        <v>0.39190616439120002</v>
      </c>
      <c r="AT18" s="3">
        <f>$H18*factors!AN$3</f>
        <v>0.4042431895032001</v>
      </c>
      <c r="AU18" s="3">
        <f>$H18*factors!AO$3</f>
        <v>0.42809477138640001</v>
      </c>
      <c r="AV18" s="3">
        <f>$H18*factors!AP$3</f>
        <v>0.40465442367360005</v>
      </c>
      <c r="AW18" s="3">
        <f>$H18*factors!AQ$3</f>
        <v>0.40054208196960001</v>
      </c>
      <c r="AX18" s="3">
        <f>$H18*factors!AR$3</f>
        <v>0.42357119551200006</v>
      </c>
      <c r="AY18" s="3">
        <f>$H18*factors!AS$3</f>
        <v>0.39067246188000004</v>
      </c>
      <c r="AZ18" s="3">
        <f>$H18*factors!AT$3</f>
        <v>0.41863638546720011</v>
      </c>
      <c r="BA18" s="3">
        <f>$H18*factors!AU$3</f>
        <v>0.4095892337184</v>
      </c>
      <c r="BB18" s="3">
        <f>$H18*factors!AV$3</f>
        <v>0.4042431895032001</v>
      </c>
      <c r="BC18" s="3">
        <f>$H18*factors!AW$3</f>
        <v>0.42768353721600011</v>
      </c>
      <c r="BD18" s="3">
        <f>$H18*factors!AX$3</f>
        <v>0.39478480358399998</v>
      </c>
      <c r="BE18" s="3">
        <f>$H18*factors!AY$3</f>
        <v>0.4641386848772</v>
      </c>
      <c r="BF18" s="3">
        <f>$H18*factors!AZ$3</f>
        <v>0.4322375748808</v>
      </c>
      <c r="BG18" s="3">
        <f>$H18*factors!BA$3</f>
        <v>0.43852793459839995</v>
      </c>
      <c r="BH18" s="3">
        <f>$H18*factors!BB$3</f>
        <v>0.44436898290760002</v>
      </c>
      <c r="BI18" s="3">
        <f>$H18*factors!BC$3</f>
        <v>0.46054419360999993</v>
      </c>
      <c r="BJ18" s="3">
        <f>$H18*factors!BD$3</f>
        <v>0.43987586882359997</v>
      </c>
      <c r="BK18" s="3">
        <f>$H18*factors!BE$3</f>
        <v>0.44077449164039995</v>
      </c>
      <c r="BL18" s="3">
        <f>$H18*factors!BF$3</f>
        <v>0.43583206614799996</v>
      </c>
      <c r="BM18" s="3">
        <f>$H18*factors!BG$3</f>
        <v>0.46548661910240002</v>
      </c>
      <c r="BN18" s="3">
        <f>$H18*factors!BH$3</f>
        <v>0.45964557079319995</v>
      </c>
      <c r="BO18" s="3">
        <f>$H18*factors!BI$3</f>
        <v>0.4322375748808</v>
      </c>
      <c r="BP18" s="3">
        <f>$H18*factors!BJ$3</f>
        <v>0.43088964065559998</v>
      </c>
      <c r="BQ18" s="3">
        <f>$H18*factors!BK$3</f>
        <v>0.43807862318999996</v>
      </c>
      <c r="BR18" s="3">
        <f>$H18*factors!BL$3</f>
        <v>0.45380452248399999</v>
      </c>
      <c r="BS18" s="3">
        <f>$H18*factors!BM$3</f>
        <v>0.46099350501840003</v>
      </c>
      <c r="BT18" s="3">
        <f>$H18*factors!BN$3</f>
        <v>0.46234143924359999</v>
      </c>
      <c r="BU18" s="3">
        <f>$H18*factors!BO$3</f>
        <v>0.46997973318640002</v>
      </c>
      <c r="BV18" s="3">
        <f>$H18*factors!BP$3</f>
        <v>0.43718000037319998</v>
      </c>
      <c r="BW18" s="3">
        <f>$H18*factors!BQ$3</f>
        <v>0.447064851358</v>
      </c>
      <c r="BX18" s="3">
        <f>$H18*factors!BR$3</f>
        <v>0.43852793459839995</v>
      </c>
      <c r="BY18" s="3">
        <f>$H18*factors!BS$3</f>
        <v>0.45874694797639992</v>
      </c>
      <c r="BZ18" s="3">
        <f>$H18*factors!BT$3</f>
        <v>0.45021003121679998</v>
      </c>
      <c r="CA18" s="3">
        <f>$H18*factors!BU$3</f>
        <v>0.44436898290760002</v>
      </c>
      <c r="CB18" s="3">
        <f>$H18*factors!BV$3</f>
        <v>0.4299910178388</v>
      </c>
      <c r="CC18" s="3">
        <f>$H18*factors!BW$3</f>
        <v>0.44257173727400001</v>
      </c>
      <c r="CD18" s="3">
        <f>$H18*factors!BX$3</f>
        <v>0.44391967149920003</v>
      </c>
      <c r="CE18" s="3">
        <f>$H18*factors!BY$3</f>
        <v>0.45021003121679998</v>
      </c>
      <c r="CF18" s="3">
        <f>$H18*factors!BZ$3</f>
        <v>0.44347036009080004</v>
      </c>
      <c r="CG18" s="3">
        <f>$H18*factors!CA$3</f>
        <v>0.42864308361359998</v>
      </c>
      <c r="CH18" s="3">
        <f>$H18*factors!CB$3</f>
        <v>0.42909239502199992</v>
      </c>
      <c r="CI18" s="3">
        <f>$H18*factors!CC$3</f>
        <v>0.42684583798000003</v>
      </c>
      <c r="CJ18" s="3">
        <f>$H18*factors!CD$3</f>
        <v>0.44436898290760002</v>
      </c>
      <c r="CK18" s="3">
        <f>$H18*factors!CE$3</f>
        <v>0.4641386848772</v>
      </c>
      <c r="CL18" s="3">
        <f>$H18*factors!CF$3</f>
        <v>0.43493344333119999</v>
      </c>
      <c r="CM18" s="3">
        <f>$H18*factors!CG$3</f>
        <v>0.4452676057244</v>
      </c>
      <c r="CN18" s="3">
        <f>$H18*factors!CH$3</f>
        <v>0.43044032924719999</v>
      </c>
      <c r="CO18" s="3">
        <f>$H18*factors!CI$3</f>
        <v>0.43358550910599997</v>
      </c>
      <c r="CP18" s="3">
        <f>$H18*factors!CJ$3</f>
        <v>0.45425383389239993</v>
      </c>
      <c r="CQ18" s="3">
        <f>$H18*factors!CK$3</f>
        <v>0.44077449164039995</v>
      </c>
      <c r="CR18" s="3">
        <f>$H18*factors!CL$3</f>
        <v>0.45470314530079997</v>
      </c>
      <c r="CS18" s="3">
        <f>$H18*factors!CM$3</f>
        <v>0.46908111036959999</v>
      </c>
      <c r="CT18" s="3">
        <f>$H18*factors!CN$3</f>
        <v>0.46368937346880001</v>
      </c>
      <c r="CU18" s="3">
        <f>$H18*factors!CO$3</f>
        <v>0.45335521107559995</v>
      </c>
      <c r="CV18" s="3">
        <f>$H18*factors!CP$3</f>
        <v>0.47177697881999997</v>
      </c>
      <c r="CW18" s="3">
        <f>$H18*factors!CQ$3</f>
        <v>0.44616622854120003</v>
      </c>
      <c r="CX18" s="3">
        <f>$H18*factors!CR$3</f>
        <v>0.43942655741519998</v>
      </c>
      <c r="CY18" s="3">
        <f>$H18*factors!CS$3</f>
        <v>0.43538275473959998</v>
      </c>
      <c r="CZ18" s="3">
        <f>$H18*factors!CT$3</f>
        <v>0.42909239502199992</v>
      </c>
      <c r="DA18" s="3">
        <f>$H18*factors!CU$3</f>
        <v>0.44550368460000001</v>
      </c>
      <c r="DB18" s="3">
        <f>$H18*factors!CV$3</f>
        <v>0.47429007652800004</v>
      </c>
      <c r="DC18" s="3">
        <f>$H18*factors!CW$3</f>
        <v>0.454185294864</v>
      </c>
      <c r="DD18" s="3">
        <f>$H18*factors!CX$3</f>
        <v>0.45098680687199999</v>
      </c>
      <c r="DE18" s="3">
        <f>$H18*factors!CY$3</f>
        <v>0.46423768569600005</v>
      </c>
      <c r="DF18" s="3">
        <f>$H18*factors!CZ$3</f>
        <v>0.46332383198399996</v>
      </c>
      <c r="DG18" s="3">
        <f>$H18*factors!DA$3</f>
        <v>0.46149612456</v>
      </c>
      <c r="DH18" s="3">
        <f>$H18*factors!DB$3</f>
        <v>0.46149612456</v>
      </c>
      <c r="DI18" s="3">
        <f>$H18*factors!DC$3</f>
        <v>0.44413290403199995</v>
      </c>
      <c r="DJ18" s="3">
        <f>$H18*factors!DD$3</f>
        <v>0.47063466168000001</v>
      </c>
      <c r="DK18" s="3">
        <f>$H18*factors!DE$3</f>
        <v>0.47063466168000001</v>
      </c>
      <c r="DL18" s="3">
        <f>$H18*factors!DF$3</f>
        <v>0.46515153940800003</v>
      </c>
      <c r="DM18" s="3">
        <f>$H18*factors!DG$3</f>
        <v>0.43819285490399995</v>
      </c>
      <c r="DN18" s="3">
        <f>$H18*factors!DH$3</f>
        <v>0.45966841713600004</v>
      </c>
      <c r="DO18" s="3">
        <f>$H18*factors!DI$3</f>
        <v>0.474747003384</v>
      </c>
      <c r="DP18" s="3">
        <f>$H18*factors!DJ$3</f>
        <v>0.47063466168000001</v>
      </c>
      <c r="DQ18" s="3">
        <f>$H18*factors!DK$3</f>
        <v>0.44870217259199996</v>
      </c>
      <c r="DR18" s="3">
        <f>$H18*factors!DL$3</f>
        <v>0.44367597717600005</v>
      </c>
      <c r="DS18" s="3">
        <f>$H18*factors!DM$3</f>
        <v>0.47931627194400001</v>
      </c>
      <c r="DT18" s="3">
        <f>$H18*factors!DN$3</f>
        <v>0.45052988001600003</v>
      </c>
      <c r="DU18" s="3">
        <f>$H18*factors!DO$3</f>
        <v>0.47154851539199999</v>
      </c>
      <c r="DV18" s="3">
        <f>$H18*factors!DP$3</f>
        <v>0.46058227084800002</v>
      </c>
      <c r="DW18" s="3">
        <f>$H18*factors!DQ$3</f>
        <v>0.439563635472</v>
      </c>
      <c r="DX18" s="3">
        <f>$H18*factors!DR$3</f>
        <v>0.46560846626399999</v>
      </c>
      <c r="DY18" s="3">
        <f>$H18*factors!DS$3</f>
        <v>0.44184826975199998</v>
      </c>
      <c r="DZ18" s="3">
        <f>$H18*factors!DT$3</f>
        <v>0.47246236910399997</v>
      </c>
      <c r="EA18" s="3">
        <f>$H18*factors!DU$3</f>
        <v>0.44504675774399999</v>
      </c>
      <c r="EB18" s="3">
        <f>$H18*factors!DV$3</f>
        <v>0.43408051319999996</v>
      </c>
      <c r="EC18" s="3">
        <f>$H18*factors!DW$3</f>
        <v>0.46697924683199998</v>
      </c>
      <c r="ED18" s="3">
        <f>$H18*factors!DX$3</f>
        <v>0.43819285490399995</v>
      </c>
      <c r="EE18" s="3">
        <f>$H18*factors!DY$3</f>
        <v>0.44184826975199998</v>
      </c>
      <c r="EF18" s="3">
        <f>$H18*factors!DZ$3</f>
        <v>0.47931627194400001</v>
      </c>
      <c r="EG18" s="3">
        <f>$H18*factors!EA$3</f>
        <v>0.44778831887999998</v>
      </c>
      <c r="EH18" s="3">
        <f>$H18*factors!EB$3</f>
        <v>0.44915909944800003</v>
      </c>
      <c r="EI18" s="3">
        <f>$H18*factors!EC$3</f>
        <v>0.44824524573600005</v>
      </c>
      <c r="EJ18" s="3">
        <f>$H18*factors!ED$3</f>
        <v>0.43682207433600001</v>
      </c>
      <c r="EK18" s="3">
        <f>$H18*factors!EE$3</f>
        <v>0.46697924683199998</v>
      </c>
      <c r="EL18" s="3">
        <f>$H18*factors!EF$3</f>
        <v>0.44413290403199995</v>
      </c>
      <c r="EM18" s="3">
        <f>$H18*factors!EG$3</f>
        <v>0.46195305141599996</v>
      </c>
      <c r="EN18" s="3">
        <f>$H18*factors!EH$3</f>
        <v>0.43408051319999996</v>
      </c>
      <c r="EO18" s="3">
        <f>$H18*factors!EI$3</f>
        <v>0.44047748918399998</v>
      </c>
      <c r="EP18" s="3">
        <f>$H18*factors!EJ$3</f>
        <v>0.46469461255200001</v>
      </c>
      <c r="EQ18" s="3">
        <f>$H18*factors!EK$3</f>
        <v>0.45190066058399997</v>
      </c>
      <c r="ER18" s="3">
        <f>$H18*factors!EL$3</f>
        <v>0.47063466168000001</v>
      </c>
      <c r="ES18" s="3">
        <f>$H18*factors!EM$3</f>
        <v>0.46469461255200001</v>
      </c>
      <c r="ET18" s="3">
        <f>$H18*factors!EN$3</f>
        <v>0.47520393024000002</v>
      </c>
      <c r="EU18" s="3">
        <f>$H18*factors!EO$3</f>
        <v>0.47977319880000002</v>
      </c>
      <c r="EV18" s="3">
        <f>$H18*factors!EP$3</f>
        <v>0.44961602630399999</v>
      </c>
      <c r="EW18" s="3">
        <f>$H18*factors!EQ$3</f>
        <v>0.49452812852499994</v>
      </c>
      <c r="EX18" s="3">
        <f>$H18*factors!ER$3</f>
        <v>0.4892925083000001</v>
      </c>
      <c r="EY18" s="3">
        <f>$H18*factors!ES$3</f>
        <v>0.49928778327499995</v>
      </c>
      <c r="EZ18" s="3">
        <f>$H18*factors!ET$3</f>
        <v>0.49452812852499994</v>
      </c>
      <c r="FA18" s="3">
        <f>$H18*factors!EU$3</f>
        <v>0.45454702862499996</v>
      </c>
      <c r="FB18" s="3">
        <f>$H18*factors!EV$3</f>
        <v>0.47501354405000007</v>
      </c>
      <c r="FC18" s="3">
        <f>$H18*factors!EW$3</f>
        <v>0.48834057735000003</v>
      </c>
      <c r="FD18" s="3">
        <f>$H18*factors!EX$3</f>
        <v>0.47120582025000002</v>
      </c>
      <c r="FE18" s="3">
        <f>$H18*factors!EY$3</f>
        <v>0.49643199042500002</v>
      </c>
      <c r="FF18" s="3">
        <f>$H18*factors!EZ$3</f>
        <v>0.49690795590000009</v>
      </c>
      <c r="FG18" s="3">
        <f>$H18*factors!FA$3</f>
        <v>0.45454702862499996</v>
      </c>
      <c r="FH18" s="3">
        <f>$H18*factors!FB$3</f>
        <v>0.478345302375</v>
      </c>
      <c r="FI18" s="3">
        <f>$H18*factors!FC$3</f>
        <v>0.49833585232499999</v>
      </c>
      <c r="FJ18" s="3">
        <f>$H18*factors!FD$3</f>
        <v>0.478345302375</v>
      </c>
      <c r="FK18" s="3">
        <f>$H18*factors!FE$3</f>
        <v>0.48643671545000006</v>
      </c>
      <c r="FL18" s="3">
        <f>$H18*factors!FF$3</f>
        <v>0.48786461187500002</v>
      </c>
      <c r="FM18" s="3">
        <f>$H18*factors!FG$3</f>
        <v>0.49310023209999998</v>
      </c>
      <c r="FN18" s="3">
        <f>$H18*factors!FH$3</f>
        <v>0.46121054527499999</v>
      </c>
      <c r="FO18" s="3">
        <f>$H18*factors!FI$3</f>
        <v>0.48976847377499999</v>
      </c>
      <c r="FP18" s="3">
        <f>$H18*factors!FJ$3</f>
        <v>0.47596547500000003</v>
      </c>
      <c r="FQ18" s="3">
        <f>$H18*factors!FK$3</f>
        <v>0.47120582025000002</v>
      </c>
      <c r="FR18" s="3">
        <f>$H18*factors!FL$3</f>
        <v>0.48072512975000004</v>
      </c>
      <c r="FS18" s="3">
        <f>$H18*factors!FM$3</f>
        <v>0.4778693369</v>
      </c>
      <c r="FT18" s="3">
        <f>$H18*factors!FN$3</f>
        <v>0.48834057735000003</v>
      </c>
      <c r="FU18" s="3">
        <f>$H18*factors!FO$3</f>
        <v>0.46930195834999999</v>
      </c>
      <c r="FV18" s="3">
        <f>$H18*factors!FP$3</f>
        <v>0.46549423455</v>
      </c>
      <c r="FW18" s="3">
        <f>$H18*factors!FQ$3</f>
        <v>0.49833585232499999</v>
      </c>
      <c r="FX18" s="3">
        <f>$H18*factors!FR$3</f>
        <v>0.4892925083000001</v>
      </c>
      <c r="FY18" s="3">
        <f>$H18*factors!FS$3</f>
        <v>0.47929723332499996</v>
      </c>
      <c r="FZ18" s="3">
        <f>$H18*factors!FT$3</f>
        <v>0.45549895957500003</v>
      </c>
      <c r="GA18" s="3">
        <f>$H18*factors!FU$3</f>
        <v>0.47929723332499996</v>
      </c>
      <c r="GB18" s="3">
        <f>$H18*factors!FV$3</f>
        <v>0.49690795590000009</v>
      </c>
      <c r="GC18" s="3">
        <f>$H18*factors!FW$3</f>
        <v>0.46549423455</v>
      </c>
      <c r="GD18" s="3">
        <f>$H18*factors!FX$3</f>
        <v>0.47358564762499999</v>
      </c>
      <c r="GE18" s="3">
        <f>$H18*factors!FY$3</f>
        <v>0.47358564762499999</v>
      </c>
      <c r="GF18" s="3">
        <f>$H18*factors!FZ$3</f>
        <v>0.47215775120000003</v>
      </c>
      <c r="GG18" s="3">
        <f>$H18*factors!GA$3</f>
        <v>0.453595097675</v>
      </c>
      <c r="GH18" s="3">
        <f>$H18*factors!GB$3</f>
        <v>0.48262899165000006</v>
      </c>
      <c r="GI18" s="3">
        <f>$H18*factors!GC$3</f>
        <v>0.45264316672499999</v>
      </c>
      <c r="GJ18" s="3">
        <f>$H18*factors!GD$3</f>
        <v>0.453595097675</v>
      </c>
      <c r="GK18" s="3">
        <f>$H18*factors!GE$3</f>
        <v>0.46501826907499999</v>
      </c>
      <c r="GL18" s="3">
        <f>$H18*factors!GF$3</f>
        <v>0.49262426662500003</v>
      </c>
      <c r="GM18" s="3">
        <f>$H18*factors!GG$3</f>
        <v>0.46692213097500007</v>
      </c>
      <c r="GN18" s="3">
        <f>$H18*factors!GH$3</f>
        <v>0.48167706070000005</v>
      </c>
      <c r="GO18" s="3">
        <f>$H18*factors!GI$3</f>
        <v>0.45502299409999997</v>
      </c>
      <c r="GP18" s="3">
        <f>$H18*factors!GJ$3</f>
        <v>0.48786461187500002</v>
      </c>
      <c r="GQ18" s="3">
        <f>$H18*factors!GK$3</f>
        <v>0.49785988685000004</v>
      </c>
      <c r="GR18" s="3">
        <f>$H18*factors!GL$3</f>
        <v>0.48834057735000003</v>
      </c>
      <c r="GS18" s="3">
        <f>$H18*factors!GM$3</f>
        <v>0.46181978108300004</v>
      </c>
      <c r="GT18" s="3">
        <f>$H18*factors!GN$3</f>
        <v>0.47245856138020004</v>
      </c>
      <c r="GU18" s="3">
        <f>$H18*factors!GO$3</f>
        <v>0.48358092260000002</v>
      </c>
      <c r="GV18" s="3">
        <f>$H18*factors!GP$3</f>
        <v>0.46423768569600005</v>
      </c>
      <c r="GW18" s="3">
        <f>$H18*factors!GQ$3</f>
        <v>0.48067943706440003</v>
      </c>
      <c r="GX18" s="3">
        <f>$H18*factors!GR$3</f>
        <v>0.47294214230280002</v>
      </c>
      <c r="GY18" s="3">
        <f>$H18*factors!GS$3</f>
        <v>0.47052423768980006</v>
      </c>
      <c r="GZ18" s="3">
        <f>$H18*factors!GT$3</f>
        <v>0.48793315090339995</v>
      </c>
      <c r="HA18" s="3">
        <f>$H18*factors!GU$3</f>
        <v>0.4719749804576</v>
      </c>
      <c r="HB18" s="3">
        <f>$H18*factors!GV$3</f>
        <v>0.48793315090339995</v>
      </c>
      <c r="HC18" s="3">
        <f>$H18*factors!GW$3</f>
        <v>0.47584362783840001</v>
      </c>
      <c r="HD18" s="3">
        <f>$H18*factors!GX$3</f>
        <v>0.48986747459379998</v>
      </c>
      <c r="HE18" s="3">
        <f>$H18*factors!GY$3</f>
        <v>0.48358092260000002</v>
      </c>
      <c r="HF18" s="3">
        <f>$H18*factors!GZ$3</f>
        <v>0.4985719312006</v>
      </c>
      <c r="HG18" s="3">
        <f>$H18*factors!HA$3</f>
        <v>0.47922869429660003</v>
      </c>
      <c r="HH18" s="3">
        <f>$H18*factors!HB$3</f>
        <v>0.47294214230280002</v>
      </c>
      <c r="HI18" s="3">
        <f>$H18*factors!HC$3</f>
        <v>0.46713917123160004</v>
      </c>
      <c r="HJ18" s="3">
        <f>$H18*factors!HD$3</f>
        <v>0.46181978108300004</v>
      </c>
      <c r="HK18" s="3">
        <f>$H18*factors!HE$3</f>
        <v>0.48841673182599998</v>
      </c>
      <c r="HL18" s="3">
        <f>$H18*factors!HF$3</f>
        <v>0.46036903831519999</v>
      </c>
      <c r="HM18" s="3">
        <f>$H18*factors!HG$3</f>
        <v>0.46520484754120006</v>
      </c>
      <c r="HN18" s="3">
        <f>$H18*factors!HH$3</f>
        <v>0.49615402658760005</v>
      </c>
      <c r="HO18" s="3">
        <f>$H18*factors!HI$3</f>
        <v>0.47584362783840001</v>
      </c>
      <c r="HP18" s="3">
        <f>$H18*factors!HJ$3</f>
        <v>0.50775996873000007</v>
      </c>
      <c r="HQ18" s="3">
        <f>$H18*factors!HK$3</f>
        <v>0.46423768569600005</v>
      </c>
      <c r="HR18" s="3">
        <f>$H18*factors!HL$3</f>
        <v>0.4922853792068001</v>
      </c>
      <c r="HS18" s="3">
        <f>$H18*factors!HM$3</f>
        <v>0.50098983581360002</v>
      </c>
      <c r="HT18" s="3">
        <f>$H18*factors!HN$3</f>
        <v>0.46713917123160004</v>
      </c>
      <c r="HU18" s="3">
        <f>$H18*factors!HO$3</f>
        <v>0.4719749804576</v>
      </c>
      <c r="HV18" s="3">
        <f>$H18*factors!HP$3</f>
        <v>0.47777795152880004</v>
      </c>
      <c r="HW18" s="3">
        <f>$H18*factors!HQ$3</f>
        <v>0.48454808444520003</v>
      </c>
      <c r="HX18" s="3">
        <f>$H18*factors!HR$3</f>
        <v>0.50437490227179993</v>
      </c>
      <c r="HY18" s="3">
        <f>$H18*factors!HS$3</f>
        <v>0.47922869429660003</v>
      </c>
      <c r="HZ18" s="3">
        <f>$H18*factors!HT$3</f>
        <v>0.49760476935539999</v>
      </c>
      <c r="IA18" s="3">
        <f>$H18*factors!HU$3</f>
        <v>0.47342572322540005</v>
      </c>
      <c r="IB18" s="3">
        <f>$H18*factors!HV$3</f>
        <v>0.48986747459379998</v>
      </c>
      <c r="IC18" s="3">
        <f>$H18*factors!HW$3</f>
        <v>0.4947032838198</v>
      </c>
      <c r="ID18" s="3">
        <f>$H18*factors!HX$3</f>
        <v>0.45940187646999997</v>
      </c>
      <c r="IE18" s="3">
        <f>$H18*factors!HY$3</f>
        <v>0.48793315090339995</v>
      </c>
      <c r="IF18" s="3">
        <f>$H18*factors!HZ$3</f>
        <v>0.48503166536779996</v>
      </c>
      <c r="IG18" s="3">
        <f>$H18*factors!IA$3</f>
        <v>0.48067943706440003</v>
      </c>
      <c r="IH18" s="3">
        <f>$H18*factors!IB$3</f>
        <v>0.4985719312006</v>
      </c>
      <c r="II18" s="3">
        <f>$H18*factors!IC$3</f>
        <v>0.4772943706062</v>
      </c>
      <c r="IJ18" s="3">
        <f>$H18*factors!ID$3</f>
        <v>0.48164659890960004</v>
      </c>
      <c r="IK18" s="3">
        <f>$H18*factors!IE$3</f>
        <v>0.49905551212320004</v>
      </c>
      <c r="IL18" s="3">
        <f>$H18*factors!IF$3</f>
        <v>0.47777795152880004</v>
      </c>
      <c r="IM18" s="3">
        <f>$H18*factors!IG$3</f>
        <v>0.47342572322540005</v>
      </c>
      <c r="IN18" s="3">
        <f>$H18*factors!IH$3</f>
        <v>0.47632720876100004</v>
      </c>
      <c r="IO18" s="3">
        <f>$H18*factors!II$3</f>
        <v>0.48116301798700001</v>
      </c>
      <c r="IP18" s="3">
        <f>$H18*factors!IJ$3</f>
        <v>0.46520484754120006</v>
      </c>
      <c r="IQ18" s="3">
        <f>$H18*factors!IK$3</f>
        <v>0.46375410477340001</v>
      </c>
      <c r="IR18" s="3">
        <f>$H18*factors!IL$3</f>
        <v>0.4772943706062</v>
      </c>
      <c r="IS18" s="3">
        <f>$H18*factors!IM$3</f>
        <v>0.48116301798700001</v>
      </c>
      <c r="IT18" s="3">
        <f>$H18*factors!IN$3</f>
        <v>0.48454808444520003</v>
      </c>
      <c r="IU18" s="3">
        <f>$H18*factors!IO$3</f>
        <v>0.49518686474240003</v>
      </c>
      <c r="IV18" s="3">
        <f>$H18*factors!IP$3</f>
        <v>0.50147341673619994</v>
      </c>
      <c r="IW18" s="3">
        <f>$H18*factors!IQ$3</f>
        <v>0.47390930414799998</v>
      </c>
      <c r="IX18" s="3">
        <f>$H18*factors!IR$3</f>
        <v>0.49518686474240003</v>
      </c>
      <c r="IY18" s="3">
        <f>$H18*factors!IS$3</f>
        <v>0.48793315090339995</v>
      </c>
      <c r="IZ18" s="3">
        <f>$H18*factors!IT$3</f>
        <v>0.49615402658760005</v>
      </c>
      <c r="JA18" s="3">
        <f>$H18*factors!IU$3</f>
        <v>0.46858991399939998</v>
      </c>
      <c r="JB18" s="3">
        <f>$H18*factors!IV$3</f>
        <v>0.4772943706062</v>
      </c>
      <c r="JC18" s="3">
        <f>$H18*factors!IW$3</f>
        <v>0.46617200938640002</v>
      </c>
      <c r="JD18" s="3">
        <f>$H18*factors!IX$3</f>
        <v>0.50775996873000007</v>
      </c>
      <c r="JE18" s="3">
        <f>$H18*factors!IY$3</f>
        <v>0.46762275215420002</v>
      </c>
      <c r="JF18" s="3">
        <f>$H18*factors!IZ$3</f>
        <v>0.49083463643899994</v>
      </c>
      <c r="JG18" s="3">
        <f>$H18*factors!JA$3</f>
        <v>0.48213017983220002</v>
      </c>
      <c r="JH18" s="3">
        <f>$H18*factors!JB$3</f>
        <v>0.49131821736160008</v>
      </c>
      <c r="JI18" s="3">
        <f>$H18*factors!JC$3</f>
        <v>0.45988545739260001</v>
      </c>
      <c r="JJ18" s="3">
        <f>$H18*factors!JD$3</f>
        <v>0.49518686474240003</v>
      </c>
      <c r="JK18" s="3">
        <f>$H18*factors!JE$3</f>
        <v>0.47922869429660003</v>
      </c>
      <c r="JL18" s="3">
        <f>$H18*factors!JF$3</f>
        <v>0.4985719312006</v>
      </c>
      <c r="JM18" s="3">
        <f>$H18*factors!JG$3</f>
        <v>0.46520484754120006</v>
      </c>
      <c r="JN18" s="3">
        <f>$H18*factors!JH$3</f>
        <v>0.46520484754120006</v>
      </c>
      <c r="JO18" s="3">
        <f>$H18*factors!JI$3</f>
        <v>0.45940187646999997</v>
      </c>
      <c r="JP18" s="3">
        <f>$H18*factors!JJ$3</f>
        <v>0.49663760751020003</v>
      </c>
      <c r="JQ18" s="3">
        <f>$H18*factors!JK$3</f>
        <v>0.4840645035226</v>
      </c>
      <c r="JR18" s="3">
        <f>$H18*factors!JL$3</f>
        <v>0.50292415950400005</v>
      </c>
      <c r="JS18" s="3">
        <f>$H18*factors!JM$3</f>
        <v>0.45940187646999997</v>
      </c>
      <c r="JT18" s="3">
        <f>$H18*factors!JN$3</f>
        <v>0.48261376075480006</v>
      </c>
      <c r="JU18" s="3">
        <f>$H18*factors!JO$3</f>
        <v>0.466655590309</v>
      </c>
      <c r="JV18" s="3">
        <f>$H18*factors!JP$3</f>
        <v>0.47439288507060001</v>
      </c>
      <c r="JW18" s="3">
        <f>$H18*factors!JQ$3</f>
        <v>0.50679280688480011</v>
      </c>
      <c r="JX18" s="3">
        <f>$H18*factors!JR$3</f>
        <v>0.50195699765879997</v>
      </c>
      <c r="JY18" s="3">
        <f>$H18*factors!JS$3</f>
        <v>0.47245856138020004</v>
      </c>
      <c r="JZ18" s="3">
        <f>$H18*factors!JT$3</f>
        <v>0.47777795152880004</v>
      </c>
      <c r="KA18" s="3">
        <f>$H18*factors!JU$3</f>
        <v>0.47971227521920007</v>
      </c>
      <c r="KB18" s="3">
        <f>$H18*factors!JV$3</f>
        <v>0.46375410477340001</v>
      </c>
      <c r="KC18" s="3">
        <f>$H18*factors!JW$3</f>
        <v>0.46617200938640002</v>
      </c>
      <c r="KD18" s="3">
        <f>$H18*factors!JX$3</f>
        <v>0.466655590309</v>
      </c>
      <c r="KE18" s="3">
        <f>$H18*factors!JY$3</f>
        <v>0.49663760751020003</v>
      </c>
      <c r="KF18" s="3">
        <f>$H18*factors!JZ$3</f>
        <v>0.50244057858140001</v>
      </c>
      <c r="KG18" s="3">
        <f>$H18*factors!KA$3</f>
        <v>0.48454808444520003</v>
      </c>
      <c r="KH18" s="3">
        <f>$H18*factors!KB$3</f>
        <v>0.47390930414799998</v>
      </c>
      <c r="KI18" s="3">
        <f>$H18*factors!KC$3</f>
        <v>0.46955707584459999</v>
      </c>
    </row>
    <row r="19" spans="1:295" x14ac:dyDescent="0.55000000000000004">
      <c r="A19" t="s">
        <v>395</v>
      </c>
      <c r="B19">
        <v>18</v>
      </c>
      <c r="C19">
        <v>230</v>
      </c>
      <c r="D19" t="s">
        <v>377</v>
      </c>
      <c r="E19">
        <v>3.0869999999999999E-3</v>
      </c>
      <c r="F19">
        <v>18</v>
      </c>
      <c r="G19">
        <f>VLOOKUP(D19,demand_forecasted!$A$2:$G$11,2)</f>
        <v>11098</v>
      </c>
      <c r="H19" s="3">
        <f t="shared" si="0"/>
        <v>0.34259526000000001</v>
      </c>
      <c r="I19" s="3">
        <f>$H19*factors!C$3</f>
        <v>0.37925295281999999</v>
      </c>
      <c r="J19" s="3">
        <f>$H19*factors!D$3</f>
        <v>0.36556284623040003</v>
      </c>
      <c r="K19" s="3">
        <f>$H19*factors!E$3</f>
        <v>0.35927279725680006</v>
      </c>
      <c r="L19" s="3">
        <f>$H19*factors!F$3</f>
        <v>0.35816278861440004</v>
      </c>
      <c r="M19" s="3">
        <f>$H19*factors!G$3</f>
        <v>0.35779278573360002</v>
      </c>
      <c r="N19" s="3">
        <f>$H19*factors!H$3</f>
        <v>0.36815286639600003</v>
      </c>
      <c r="O19" s="3">
        <f>$H19*factors!I$3</f>
        <v>0.37629292977360002</v>
      </c>
      <c r="P19" s="3">
        <f>$H19*factors!J$3</f>
        <v>0.38073296434320003</v>
      </c>
      <c r="Q19" s="3">
        <f>$H19*factors!K$3</f>
        <v>0.35742278285279999</v>
      </c>
      <c r="R19" s="3">
        <f>$H19*factors!L$3</f>
        <v>0.35150273676000005</v>
      </c>
      <c r="S19" s="3">
        <f>$H19*factors!M$3</f>
        <v>0.3659328491112</v>
      </c>
      <c r="T19" s="3">
        <f>$H19*factors!N$3</f>
        <v>0.37851294705840005</v>
      </c>
      <c r="U19" s="3">
        <f>$H19*factors!O$3</f>
        <v>0.35853279149520006</v>
      </c>
      <c r="V19" s="3">
        <f>$H19*factors!P$3</f>
        <v>0.37296290384640002</v>
      </c>
      <c r="W19" s="3">
        <f>$H19*factors!Q$3</f>
        <v>0.37629292977360002</v>
      </c>
      <c r="X19" s="3">
        <f>$H19*factors!R$3</f>
        <v>0.3600128030184</v>
      </c>
      <c r="Y19" s="3">
        <f>$H19*factors!S$3</f>
        <v>0.35668277709120005</v>
      </c>
      <c r="Z19" s="3">
        <f>$H19*factors!T$3</f>
        <v>0.38480299603200008</v>
      </c>
      <c r="AA19" s="3">
        <f>$H19*factors!U$3</f>
        <v>0.36334282894559999</v>
      </c>
      <c r="AB19" s="3">
        <f>$H19*factors!V$3</f>
        <v>0.36371283182640007</v>
      </c>
      <c r="AC19" s="3">
        <f>$H19*factors!W$3</f>
        <v>0.36408283470720004</v>
      </c>
      <c r="AD19" s="3">
        <f>$H19*factors!X$3</f>
        <v>0.35631277421040003</v>
      </c>
      <c r="AE19" s="3">
        <f>$H19*factors!Y$3</f>
        <v>0.35927279725680006</v>
      </c>
      <c r="AF19" s="3">
        <f>$H19*factors!Z$3</f>
        <v>0.36667285487280005</v>
      </c>
      <c r="AG19" s="3">
        <f>$H19*factors!AA$3</f>
        <v>0.35742278285279999</v>
      </c>
      <c r="AH19" s="3">
        <f>$H19*factors!AB$3</f>
        <v>0.35594277132960006</v>
      </c>
      <c r="AI19" s="3">
        <f>$H19*factors!AC$3</f>
        <v>0.36741286063440004</v>
      </c>
      <c r="AJ19" s="3">
        <f>$H19*factors!AD$3</f>
        <v>0.38147297010480002</v>
      </c>
      <c r="AK19" s="3">
        <f>$H19*factors!AE$3</f>
        <v>0.36704285775360007</v>
      </c>
      <c r="AL19" s="3">
        <f>$H19*factors!AF$3</f>
        <v>0.35261274540240001</v>
      </c>
      <c r="AM19" s="3">
        <f>$H19*factors!AG$3</f>
        <v>0.362602823184</v>
      </c>
      <c r="AN19" s="3">
        <f>$H19*factors!AH$3</f>
        <v>0.35668277709120005</v>
      </c>
      <c r="AO19" s="3">
        <f>$H19*factors!AI$3</f>
        <v>0.37370290960800001</v>
      </c>
      <c r="AP19" s="3">
        <f>$H19*factors!AJ$3</f>
        <v>0.35816278861440004</v>
      </c>
      <c r="AQ19" s="3">
        <f>$H19*factors!AK$3</f>
        <v>0.36963287791920008</v>
      </c>
      <c r="AR19" s="3">
        <f>$H19*factors!AL$3</f>
        <v>0.36149281454160004</v>
      </c>
      <c r="AS19" s="3">
        <f>$H19*factors!AM$3</f>
        <v>0.35261274540240001</v>
      </c>
      <c r="AT19" s="3">
        <f>$H19*factors!AN$3</f>
        <v>0.36371283182640007</v>
      </c>
      <c r="AU19" s="3">
        <f>$H19*factors!AO$3</f>
        <v>0.38517299891279999</v>
      </c>
      <c r="AV19" s="3">
        <f>$H19*factors!AP$3</f>
        <v>0.36408283470720004</v>
      </c>
      <c r="AW19" s="3">
        <f>$H19*factors!AQ$3</f>
        <v>0.36038280589920002</v>
      </c>
      <c r="AX19" s="3">
        <f>$H19*factors!AR$3</f>
        <v>0.38110296722400006</v>
      </c>
      <c r="AY19" s="3">
        <f>$H19*factors!AS$3</f>
        <v>0.35150273676000005</v>
      </c>
      <c r="AZ19" s="3">
        <f>$H19*factors!AT$3</f>
        <v>0.3766629326544001</v>
      </c>
      <c r="BA19" s="3">
        <f>$H19*factors!AU$3</f>
        <v>0.3685228692768</v>
      </c>
      <c r="BB19" s="3">
        <f>$H19*factors!AV$3</f>
        <v>0.36371283182640007</v>
      </c>
      <c r="BC19" s="3">
        <f>$H19*factors!AW$3</f>
        <v>0.38480299603200008</v>
      </c>
      <c r="BD19" s="3">
        <f>$H19*factors!AX$3</f>
        <v>0.35520276556800001</v>
      </c>
      <c r="BE19" s="3">
        <f>$H19*factors!AY$3</f>
        <v>0.41760306622439997</v>
      </c>
      <c r="BF19" s="3">
        <f>$H19*factors!AZ$3</f>
        <v>0.38890043534160001</v>
      </c>
      <c r="BG19" s="3">
        <f>$H19*factors!BA$3</f>
        <v>0.39456010903679994</v>
      </c>
      <c r="BH19" s="3">
        <f>$H19*factors!BB$3</f>
        <v>0.39981552032520001</v>
      </c>
      <c r="BI19" s="3">
        <f>$H19*factors!BC$3</f>
        <v>0.41436896696999992</v>
      </c>
      <c r="BJ19" s="3">
        <f>$H19*factors!BD$3</f>
        <v>0.39577289625719997</v>
      </c>
      <c r="BK19" s="3">
        <f>$H19*factors!BE$3</f>
        <v>0.39658142107079997</v>
      </c>
      <c r="BL19" s="3">
        <f>$H19*factors!BF$3</f>
        <v>0.39213453459599995</v>
      </c>
      <c r="BM19" s="3">
        <f>$H19*factors!BG$3</f>
        <v>0.41881585344480005</v>
      </c>
      <c r="BN19" s="3">
        <f>$H19*factors!BH$3</f>
        <v>0.41356044215639998</v>
      </c>
      <c r="BO19" s="3">
        <f>$H19*factors!BI$3</f>
        <v>0.38890043534160001</v>
      </c>
      <c r="BP19" s="3">
        <f>$H19*factors!BJ$3</f>
        <v>0.38768764812119993</v>
      </c>
      <c r="BQ19" s="3">
        <f>$H19*factors!BK$3</f>
        <v>0.39415584662999997</v>
      </c>
      <c r="BR19" s="3">
        <f>$H19*factors!BL$3</f>
        <v>0.40830503086800002</v>
      </c>
      <c r="BS19" s="3">
        <f>$H19*factors!BM$3</f>
        <v>0.4147732293768</v>
      </c>
      <c r="BT19" s="3">
        <f>$H19*factors!BN$3</f>
        <v>0.41598601659719997</v>
      </c>
      <c r="BU19" s="3">
        <f>$H19*factors!BO$3</f>
        <v>0.42285847751280004</v>
      </c>
      <c r="BV19" s="3">
        <f>$H19*factors!BP$3</f>
        <v>0.39334732181639998</v>
      </c>
      <c r="BW19" s="3">
        <f>$H19*factors!BQ$3</f>
        <v>0.40224109476600001</v>
      </c>
      <c r="BX19" s="3">
        <f>$H19*factors!BR$3</f>
        <v>0.39456010903679994</v>
      </c>
      <c r="BY19" s="3">
        <f>$H19*factors!BS$3</f>
        <v>0.41275191734279992</v>
      </c>
      <c r="BZ19" s="3">
        <f>$H19*factors!BT$3</f>
        <v>0.40507093161359997</v>
      </c>
      <c r="CA19" s="3">
        <f>$H19*factors!BU$3</f>
        <v>0.39981552032520001</v>
      </c>
      <c r="CB19" s="3">
        <f>$H19*factors!BV$3</f>
        <v>0.38687912330759999</v>
      </c>
      <c r="CC19" s="3">
        <f>$H19*factors!BW$3</f>
        <v>0.39819847069799996</v>
      </c>
      <c r="CD19" s="3">
        <f>$H19*factors!BX$3</f>
        <v>0.39941125791839999</v>
      </c>
      <c r="CE19" s="3">
        <f>$H19*factors!BY$3</f>
        <v>0.40507093161359997</v>
      </c>
      <c r="CF19" s="3">
        <f>$H19*factors!BZ$3</f>
        <v>0.39900699551160002</v>
      </c>
      <c r="CG19" s="3">
        <f>$H19*factors!CA$3</f>
        <v>0.38566633608719997</v>
      </c>
      <c r="CH19" s="3">
        <f>$H19*factors!CB$3</f>
        <v>0.38607059849399994</v>
      </c>
      <c r="CI19" s="3">
        <f>$H19*factors!CC$3</f>
        <v>0.38404928646000003</v>
      </c>
      <c r="CJ19" s="3">
        <f>$H19*factors!CD$3</f>
        <v>0.39981552032520001</v>
      </c>
      <c r="CK19" s="3">
        <f>$H19*factors!CE$3</f>
        <v>0.41760306622439997</v>
      </c>
      <c r="CL19" s="3">
        <f>$H19*factors!CF$3</f>
        <v>0.39132600978240001</v>
      </c>
      <c r="CM19" s="3">
        <f>$H19*factors!CG$3</f>
        <v>0.40062404513879996</v>
      </c>
      <c r="CN19" s="3">
        <f>$H19*factors!CH$3</f>
        <v>0.38728338571439996</v>
      </c>
      <c r="CO19" s="3">
        <f>$H19*factors!CI$3</f>
        <v>0.39011322256199993</v>
      </c>
      <c r="CP19" s="3">
        <f>$H19*factors!CJ$3</f>
        <v>0.40870929327479993</v>
      </c>
      <c r="CQ19" s="3">
        <f>$H19*factors!CK$3</f>
        <v>0.39658142107079997</v>
      </c>
      <c r="CR19" s="3">
        <f>$H19*factors!CL$3</f>
        <v>0.40911355568159996</v>
      </c>
      <c r="CS19" s="3">
        <f>$H19*factors!CM$3</f>
        <v>0.42204995269919998</v>
      </c>
      <c r="CT19" s="3">
        <f>$H19*factors!CN$3</f>
        <v>0.41719880381759999</v>
      </c>
      <c r="CU19" s="3">
        <f>$H19*factors!CO$3</f>
        <v>0.40790076846119994</v>
      </c>
      <c r="CV19" s="3">
        <f>$H19*factors!CP$3</f>
        <v>0.42447552713999998</v>
      </c>
      <c r="CW19" s="3">
        <f>$H19*factors!CQ$3</f>
        <v>0.40143256995240001</v>
      </c>
      <c r="CX19" s="3">
        <f>$H19*factors!CR$3</f>
        <v>0.3953686338504</v>
      </c>
      <c r="CY19" s="3">
        <f>$H19*factors!CS$3</f>
        <v>0.39173027218919998</v>
      </c>
      <c r="CZ19" s="3">
        <f>$H19*factors!CT$3</f>
        <v>0.38607059849399994</v>
      </c>
      <c r="DA19" s="3">
        <f>$H19*factors!CU$3</f>
        <v>0.40083645419999997</v>
      </c>
      <c r="DB19" s="3">
        <f>$H19*factors!CV$3</f>
        <v>0.42673665585600001</v>
      </c>
      <c r="DC19" s="3">
        <f>$H19*factors!CW$3</f>
        <v>0.40864762612799999</v>
      </c>
      <c r="DD19" s="3">
        <f>$H19*factors!CX$3</f>
        <v>0.40576982594399996</v>
      </c>
      <c r="DE19" s="3">
        <f>$H19*factors!CY$3</f>
        <v>0.41769214099200003</v>
      </c>
      <c r="DF19" s="3">
        <f>$H19*factors!CZ$3</f>
        <v>0.41686991236799997</v>
      </c>
      <c r="DG19" s="3">
        <f>$H19*factors!DA$3</f>
        <v>0.41522545512000003</v>
      </c>
      <c r="DH19" s="3">
        <f>$H19*factors!DB$3</f>
        <v>0.41522545512000003</v>
      </c>
      <c r="DI19" s="3">
        <f>$H19*factors!DC$3</f>
        <v>0.399603111264</v>
      </c>
      <c r="DJ19" s="3">
        <f>$H19*factors!DD$3</f>
        <v>0.42344774136000002</v>
      </c>
      <c r="DK19" s="3">
        <f>$H19*factors!DE$3</f>
        <v>0.42344774136000002</v>
      </c>
      <c r="DL19" s="3">
        <f>$H19*factors!DF$3</f>
        <v>0.41851436961600003</v>
      </c>
      <c r="DM19" s="3">
        <f>$H19*factors!DG$3</f>
        <v>0.39425862520799998</v>
      </c>
      <c r="DN19" s="3">
        <f>$H19*factors!DH$3</f>
        <v>0.41358099787200003</v>
      </c>
      <c r="DO19" s="3">
        <f>$H19*factors!DI$3</f>
        <v>0.42714777016799998</v>
      </c>
      <c r="DP19" s="3">
        <f>$H19*factors!DJ$3</f>
        <v>0.42344774136000002</v>
      </c>
      <c r="DQ19" s="3">
        <f>$H19*factors!DK$3</f>
        <v>0.40371425438399999</v>
      </c>
      <c r="DR19" s="3">
        <f>$H19*factors!DL$3</f>
        <v>0.39919199695200003</v>
      </c>
      <c r="DS19" s="3">
        <f>$H19*factors!DM$3</f>
        <v>0.43125891328799998</v>
      </c>
      <c r="DT19" s="3">
        <f>$H19*factors!DN$3</f>
        <v>0.40535871163200005</v>
      </c>
      <c r="DU19" s="3">
        <f>$H19*factors!DO$3</f>
        <v>0.42426996998400002</v>
      </c>
      <c r="DV19" s="3">
        <f>$H19*factors!DP$3</f>
        <v>0.41440322649600003</v>
      </c>
      <c r="DW19" s="3">
        <f>$H19*factors!DQ$3</f>
        <v>0.39549196814399995</v>
      </c>
      <c r="DX19" s="3">
        <f>$H19*factors!DR$3</f>
        <v>0.418925483928</v>
      </c>
      <c r="DY19" s="3">
        <f>$H19*factors!DS$3</f>
        <v>0.39754753970399997</v>
      </c>
      <c r="DZ19" s="3">
        <f>$H19*factors!DT$3</f>
        <v>0.42509219860799996</v>
      </c>
      <c r="EA19" s="3">
        <f>$H19*factors!DU$3</f>
        <v>0.40042533988799994</v>
      </c>
      <c r="EB19" s="3">
        <f>$H19*factors!DV$3</f>
        <v>0.39055859639999996</v>
      </c>
      <c r="EC19" s="3">
        <f>$H19*factors!DW$3</f>
        <v>0.42015882686399997</v>
      </c>
      <c r="ED19" s="3">
        <f>$H19*factors!DX$3</f>
        <v>0.39425862520799998</v>
      </c>
      <c r="EE19" s="3">
        <f>$H19*factors!DY$3</f>
        <v>0.39754753970399997</v>
      </c>
      <c r="EF19" s="3">
        <f>$H19*factors!DZ$3</f>
        <v>0.43125891328799998</v>
      </c>
      <c r="EG19" s="3">
        <f>$H19*factors!EA$3</f>
        <v>0.40289202575999999</v>
      </c>
      <c r="EH19" s="3">
        <f>$H19*factors!EB$3</f>
        <v>0.40412536869600002</v>
      </c>
      <c r="EI19" s="3">
        <f>$H19*factors!EC$3</f>
        <v>0.40330314007200002</v>
      </c>
      <c r="EJ19" s="3">
        <f>$H19*factors!ED$3</f>
        <v>0.39302528227200001</v>
      </c>
      <c r="EK19" s="3">
        <f>$H19*factors!EE$3</f>
        <v>0.42015882686399997</v>
      </c>
      <c r="EL19" s="3">
        <f>$H19*factors!EF$3</f>
        <v>0.399603111264</v>
      </c>
      <c r="EM19" s="3">
        <f>$H19*factors!EG$3</f>
        <v>0.41563656943199995</v>
      </c>
      <c r="EN19" s="3">
        <f>$H19*factors!EH$3</f>
        <v>0.39055859639999996</v>
      </c>
      <c r="EO19" s="3">
        <f>$H19*factors!EI$3</f>
        <v>0.39631419676799995</v>
      </c>
      <c r="EP19" s="3">
        <f>$H19*factors!EJ$3</f>
        <v>0.418103255304</v>
      </c>
      <c r="EQ19" s="3">
        <f>$H19*factors!EK$3</f>
        <v>0.40659205456799996</v>
      </c>
      <c r="ER19" s="3">
        <f>$H19*factors!EL$3</f>
        <v>0.42344774136000002</v>
      </c>
      <c r="ES19" s="3">
        <f>$H19*factors!EM$3</f>
        <v>0.418103255304</v>
      </c>
      <c r="ET19" s="3">
        <f>$H19*factors!EN$3</f>
        <v>0.42755888448000001</v>
      </c>
      <c r="EU19" s="3">
        <f>$H19*factors!EO$3</f>
        <v>0.43167002760000001</v>
      </c>
      <c r="EV19" s="3">
        <f>$H19*factors!EP$3</f>
        <v>0.40453648300799994</v>
      </c>
      <c r="EW19" s="3">
        <f>$H19*factors!EQ$3</f>
        <v>0.44494559392499994</v>
      </c>
      <c r="EX19" s="3">
        <f>$H19*factors!ER$3</f>
        <v>0.44023490910000007</v>
      </c>
      <c r="EY19" s="3">
        <f>$H19*factors!ES$3</f>
        <v>0.44922803467499994</v>
      </c>
      <c r="EZ19" s="3">
        <f>$H19*factors!ET$3</f>
        <v>0.44494559392499994</v>
      </c>
      <c r="FA19" s="3">
        <f>$H19*factors!EU$3</f>
        <v>0.40897309162499995</v>
      </c>
      <c r="FB19" s="3">
        <f>$H19*factors!EV$3</f>
        <v>0.42738758685000006</v>
      </c>
      <c r="FC19" s="3">
        <f>$H19*factors!EW$3</f>
        <v>0.43937842095000001</v>
      </c>
      <c r="FD19" s="3">
        <f>$H19*factors!EX$3</f>
        <v>0.42396163425000005</v>
      </c>
      <c r="FE19" s="3">
        <f>$H19*factors!EY$3</f>
        <v>0.446658570225</v>
      </c>
      <c r="FF19" s="3">
        <f>$H19*factors!EZ$3</f>
        <v>0.44708681430000008</v>
      </c>
      <c r="FG19" s="3">
        <f>$H19*factors!FA$3</f>
        <v>0.40897309162499995</v>
      </c>
      <c r="FH19" s="3">
        <f>$H19*factors!FB$3</f>
        <v>0.43038529537499998</v>
      </c>
      <c r="FI19" s="3">
        <f>$H19*factors!FC$3</f>
        <v>0.44837154652499994</v>
      </c>
      <c r="FJ19" s="3">
        <f>$H19*factors!FD$3</f>
        <v>0.43038529537499998</v>
      </c>
      <c r="FK19" s="3">
        <f>$H19*factors!FE$3</f>
        <v>0.43766544465000007</v>
      </c>
      <c r="FL19" s="3">
        <f>$H19*factors!FF$3</f>
        <v>0.43895017687500004</v>
      </c>
      <c r="FM19" s="3">
        <f>$H19*factors!FG$3</f>
        <v>0.44366086169999996</v>
      </c>
      <c r="FN19" s="3">
        <f>$H19*factors!FH$3</f>
        <v>0.41496850867500001</v>
      </c>
      <c r="FO19" s="3">
        <f>$H19*factors!FI$3</f>
        <v>0.44066315317499999</v>
      </c>
      <c r="FP19" s="3">
        <f>$H19*factors!FJ$3</f>
        <v>0.428244075</v>
      </c>
      <c r="FQ19" s="3">
        <f>$H19*factors!FK$3</f>
        <v>0.42396163425000005</v>
      </c>
      <c r="FR19" s="3">
        <f>$H19*factors!FL$3</f>
        <v>0.43252651575000001</v>
      </c>
      <c r="FS19" s="3">
        <f>$H19*factors!FM$3</f>
        <v>0.4299570513</v>
      </c>
      <c r="FT19" s="3">
        <f>$H19*factors!FN$3</f>
        <v>0.43937842095000001</v>
      </c>
      <c r="FU19" s="3">
        <f>$H19*factors!FO$3</f>
        <v>0.42224865794999999</v>
      </c>
      <c r="FV19" s="3">
        <f>$H19*factors!FP$3</f>
        <v>0.41882270534999999</v>
      </c>
      <c r="FW19" s="3">
        <f>$H19*factors!FQ$3</f>
        <v>0.44837154652499994</v>
      </c>
      <c r="FX19" s="3">
        <f>$H19*factors!FR$3</f>
        <v>0.44023490910000007</v>
      </c>
      <c r="FY19" s="3">
        <f>$H19*factors!FS$3</f>
        <v>0.43124178352499998</v>
      </c>
      <c r="FZ19" s="3">
        <f>$H19*factors!FT$3</f>
        <v>0.40982957977500001</v>
      </c>
      <c r="GA19" s="3">
        <f>$H19*factors!FU$3</f>
        <v>0.43124178352499998</v>
      </c>
      <c r="GB19" s="3">
        <f>$H19*factors!FV$3</f>
        <v>0.44708681430000008</v>
      </c>
      <c r="GC19" s="3">
        <f>$H19*factors!FW$3</f>
        <v>0.41882270534999999</v>
      </c>
      <c r="GD19" s="3">
        <f>$H19*factors!FX$3</f>
        <v>0.42610285462499997</v>
      </c>
      <c r="GE19" s="3">
        <f>$H19*factors!FY$3</f>
        <v>0.42610285462499997</v>
      </c>
      <c r="GF19" s="3">
        <f>$H19*factors!FZ$3</f>
        <v>0.4248181224</v>
      </c>
      <c r="GG19" s="3">
        <f>$H19*factors!GA$3</f>
        <v>0.40811660347500001</v>
      </c>
      <c r="GH19" s="3">
        <f>$H19*factors!GB$3</f>
        <v>0.43423949205000006</v>
      </c>
      <c r="GI19" s="3">
        <f>$H19*factors!GC$3</f>
        <v>0.40726011532500001</v>
      </c>
      <c r="GJ19" s="3">
        <f>$H19*factors!GD$3</f>
        <v>0.40811660347500001</v>
      </c>
      <c r="GK19" s="3">
        <f>$H19*factors!GE$3</f>
        <v>0.41839446127500002</v>
      </c>
      <c r="GL19" s="3">
        <f>$H19*factors!GF$3</f>
        <v>0.44323261762499999</v>
      </c>
      <c r="GM19" s="3">
        <f>$H19*factors!GG$3</f>
        <v>0.42010743757500002</v>
      </c>
      <c r="GN19" s="3">
        <f>$H19*factors!GH$3</f>
        <v>0.43338300390000006</v>
      </c>
      <c r="GO19" s="3">
        <f>$H19*factors!GI$3</f>
        <v>0.40940133569999998</v>
      </c>
      <c r="GP19" s="3">
        <f>$H19*factors!GJ$3</f>
        <v>0.43895017687500004</v>
      </c>
      <c r="GQ19" s="3">
        <f>$H19*factors!GK$3</f>
        <v>0.44794330245000008</v>
      </c>
      <c r="GR19" s="3">
        <f>$H19*factors!GL$3</f>
        <v>0.43937842095000001</v>
      </c>
      <c r="GS19" s="3">
        <f>$H19*factors!GM$3</f>
        <v>0.41551666109099999</v>
      </c>
      <c r="GT19" s="3">
        <f>$H19*factors!GN$3</f>
        <v>0.42508877265540002</v>
      </c>
      <c r="GU19" s="3">
        <f>$H19*factors!GO$3</f>
        <v>0.43509598020000001</v>
      </c>
      <c r="GV19" s="3">
        <f>$H19*factors!GP$3</f>
        <v>0.41769214099200003</v>
      </c>
      <c r="GW19" s="3">
        <f>$H19*factors!GQ$3</f>
        <v>0.43248540431880006</v>
      </c>
      <c r="GX19" s="3">
        <f>$H19*factors!GR$3</f>
        <v>0.42552386863559999</v>
      </c>
      <c r="GY19" s="3">
        <f>$H19*factors!GS$3</f>
        <v>0.42334838873460007</v>
      </c>
      <c r="GZ19" s="3">
        <f>$H19*factors!GT$3</f>
        <v>0.43901184402179999</v>
      </c>
      <c r="HA19" s="3">
        <f>$H19*factors!GU$3</f>
        <v>0.42465367667519999</v>
      </c>
      <c r="HB19" s="3">
        <f>$H19*factors!GV$3</f>
        <v>0.43901184402179999</v>
      </c>
      <c r="HC19" s="3">
        <f>$H19*factors!GW$3</f>
        <v>0.42813444451679999</v>
      </c>
      <c r="HD19" s="3">
        <f>$H19*factors!GX$3</f>
        <v>0.44075222794259994</v>
      </c>
      <c r="HE19" s="3">
        <f>$H19*factors!GY$3</f>
        <v>0.43509598020000001</v>
      </c>
      <c r="HF19" s="3">
        <f>$H19*factors!GZ$3</f>
        <v>0.44858395558620001</v>
      </c>
      <c r="HG19" s="3">
        <f>$H19*factors!HA$3</f>
        <v>0.43118011637820003</v>
      </c>
      <c r="HH19" s="3">
        <f>$H19*factors!HB$3</f>
        <v>0.42552386863559999</v>
      </c>
      <c r="HI19" s="3">
        <f>$H19*factors!HC$3</f>
        <v>0.42030271687320003</v>
      </c>
      <c r="HJ19" s="3">
        <f>$H19*factors!HD$3</f>
        <v>0.41551666109099999</v>
      </c>
      <c r="HK19" s="3">
        <f>$H19*factors!HE$3</f>
        <v>0.43944694000200002</v>
      </c>
      <c r="HL19" s="3">
        <f>$H19*factors!HF$3</f>
        <v>0.41421137315039996</v>
      </c>
      <c r="HM19" s="3">
        <f>$H19*factors!HG$3</f>
        <v>0.41856233295240003</v>
      </c>
      <c r="HN19" s="3">
        <f>$H19*factors!HH$3</f>
        <v>0.44640847568520003</v>
      </c>
      <c r="HO19" s="3">
        <f>$H19*factors!HI$3</f>
        <v>0.42813444451679999</v>
      </c>
      <c r="HP19" s="3">
        <f>$H19*factors!HJ$3</f>
        <v>0.45685077921000006</v>
      </c>
      <c r="HQ19" s="3">
        <f>$H19*factors!HK$3</f>
        <v>0.41769214099200003</v>
      </c>
      <c r="HR19" s="3">
        <f>$H19*factors!HL$3</f>
        <v>0.44292770784360008</v>
      </c>
      <c r="HS19" s="3">
        <f>$H19*factors!HM$3</f>
        <v>0.45075943548720004</v>
      </c>
      <c r="HT19" s="3">
        <f>$H19*factors!HN$3</f>
        <v>0.42030271687320003</v>
      </c>
      <c r="HU19" s="3">
        <f>$H19*factors!HO$3</f>
        <v>0.42465367667519999</v>
      </c>
      <c r="HV19" s="3">
        <f>$H19*factors!HP$3</f>
        <v>0.42987482843760005</v>
      </c>
      <c r="HW19" s="3">
        <f>$H19*factors!HQ$3</f>
        <v>0.43596617216040001</v>
      </c>
      <c r="HX19" s="3">
        <f>$H19*factors!HR$3</f>
        <v>0.45380510734859997</v>
      </c>
      <c r="HY19" s="3">
        <f>$H19*factors!HS$3</f>
        <v>0.43118011637820003</v>
      </c>
      <c r="HZ19" s="3">
        <f>$H19*factors!HT$3</f>
        <v>0.44771376362580001</v>
      </c>
      <c r="IA19" s="3">
        <f>$H19*factors!HU$3</f>
        <v>0.42595896461580002</v>
      </c>
      <c r="IB19" s="3">
        <f>$H19*factors!HV$3</f>
        <v>0.44075222794259994</v>
      </c>
      <c r="IC19" s="3">
        <f>$H19*factors!HW$3</f>
        <v>0.4451031877446</v>
      </c>
      <c r="ID19" s="3">
        <f>$H19*factors!HX$3</f>
        <v>0.41334118118999996</v>
      </c>
      <c r="IE19" s="3">
        <f>$H19*factors!HY$3</f>
        <v>0.43901184402179999</v>
      </c>
      <c r="IF19" s="3">
        <f>$H19*factors!HZ$3</f>
        <v>0.43640126814059998</v>
      </c>
      <c r="IG19" s="3">
        <f>$H19*factors!IA$3</f>
        <v>0.43248540431880006</v>
      </c>
      <c r="IH19" s="3">
        <f>$H19*factors!IB$3</f>
        <v>0.44858395558620001</v>
      </c>
      <c r="II19" s="3">
        <f>$H19*factors!IC$3</f>
        <v>0.42943973245740003</v>
      </c>
      <c r="IJ19" s="3">
        <f>$H19*factors!ID$3</f>
        <v>0.43335559627920001</v>
      </c>
      <c r="IK19" s="3">
        <f>$H19*factors!IE$3</f>
        <v>0.44901905156640004</v>
      </c>
      <c r="IL19" s="3">
        <f>$H19*factors!IF$3</f>
        <v>0.42987482843760005</v>
      </c>
      <c r="IM19" s="3">
        <f>$H19*factors!IG$3</f>
        <v>0.42595896461580002</v>
      </c>
      <c r="IN19" s="3">
        <f>$H19*factors!IH$3</f>
        <v>0.42856954049700002</v>
      </c>
      <c r="IO19" s="3">
        <f>$H19*factors!II$3</f>
        <v>0.43292050029899998</v>
      </c>
      <c r="IP19" s="3">
        <f>$H19*factors!IJ$3</f>
        <v>0.41856233295240003</v>
      </c>
      <c r="IQ19" s="3">
        <f>$H19*factors!IK$3</f>
        <v>0.4172570450118</v>
      </c>
      <c r="IR19" s="3">
        <f>$H19*factors!IL$3</f>
        <v>0.42943973245740003</v>
      </c>
      <c r="IS19" s="3">
        <f>$H19*factors!IM$3</f>
        <v>0.43292050029899998</v>
      </c>
      <c r="IT19" s="3">
        <f>$H19*factors!IN$3</f>
        <v>0.43596617216040001</v>
      </c>
      <c r="IU19" s="3">
        <f>$H19*factors!IO$3</f>
        <v>0.44553828372480003</v>
      </c>
      <c r="IV19" s="3">
        <f>$H19*factors!IP$3</f>
        <v>0.45119453146739996</v>
      </c>
      <c r="IW19" s="3">
        <f>$H19*factors!IQ$3</f>
        <v>0.42639406059599999</v>
      </c>
      <c r="IX19" s="3">
        <f>$H19*factors!IR$3</f>
        <v>0.44553828372480003</v>
      </c>
      <c r="IY19" s="3">
        <f>$H19*factors!IS$3</f>
        <v>0.43901184402179999</v>
      </c>
      <c r="IZ19" s="3">
        <f>$H19*factors!IT$3</f>
        <v>0.44640847568520003</v>
      </c>
      <c r="JA19" s="3">
        <f>$H19*factors!IU$3</f>
        <v>0.42160800481379995</v>
      </c>
      <c r="JB19" s="3">
        <f>$H19*factors!IV$3</f>
        <v>0.42943973245740003</v>
      </c>
      <c r="JC19" s="3">
        <f>$H19*factors!IW$3</f>
        <v>0.41943252491280003</v>
      </c>
      <c r="JD19" s="3">
        <f>$H19*factors!IX$3</f>
        <v>0.45685077921000006</v>
      </c>
      <c r="JE19" s="3">
        <f>$H19*factors!IY$3</f>
        <v>0.42073781285340001</v>
      </c>
      <c r="JF19" s="3">
        <f>$H19*factors!IZ$3</f>
        <v>0.44162241990299994</v>
      </c>
      <c r="JG19" s="3">
        <f>$H19*factors!JA$3</f>
        <v>0.43379069225939998</v>
      </c>
      <c r="JH19" s="3">
        <f>$H19*factors!JB$3</f>
        <v>0.44205751588320008</v>
      </c>
      <c r="JI19" s="3">
        <f>$H19*factors!JC$3</f>
        <v>0.41377627717020005</v>
      </c>
      <c r="JJ19" s="3">
        <f>$H19*factors!JD$3</f>
        <v>0.44553828372480003</v>
      </c>
      <c r="JK19" s="3">
        <f>$H19*factors!JE$3</f>
        <v>0.43118011637820003</v>
      </c>
      <c r="JL19" s="3">
        <f>$H19*factors!JF$3</f>
        <v>0.44858395558620001</v>
      </c>
      <c r="JM19" s="3">
        <f>$H19*factors!JG$3</f>
        <v>0.41856233295240003</v>
      </c>
      <c r="JN19" s="3">
        <f>$H19*factors!JH$3</f>
        <v>0.41856233295240003</v>
      </c>
      <c r="JO19" s="3">
        <f>$H19*factors!JI$3</f>
        <v>0.41334118118999996</v>
      </c>
      <c r="JP19" s="3">
        <f>$H19*factors!JJ$3</f>
        <v>0.44684357166540001</v>
      </c>
      <c r="JQ19" s="3">
        <f>$H19*factors!JK$3</f>
        <v>0.43553107618019998</v>
      </c>
      <c r="JR19" s="3">
        <f>$H19*factors!JL$3</f>
        <v>0.45249981940799999</v>
      </c>
      <c r="JS19" s="3">
        <f>$H19*factors!JM$3</f>
        <v>0.41334118118999996</v>
      </c>
      <c r="JT19" s="3">
        <f>$H19*factors!JN$3</f>
        <v>0.43422578823960001</v>
      </c>
      <c r="JU19" s="3">
        <f>$H19*factors!JO$3</f>
        <v>0.419867620893</v>
      </c>
      <c r="JV19" s="3">
        <f>$H19*factors!JP$3</f>
        <v>0.42682915657620002</v>
      </c>
      <c r="JW19" s="3">
        <f>$H19*factors!JQ$3</f>
        <v>0.45598058724960006</v>
      </c>
      <c r="JX19" s="3">
        <f>$H19*factors!JR$3</f>
        <v>0.45162962744759999</v>
      </c>
      <c r="JY19" s="3">
        <f>$H19*factors!JS$3</f>
        <v>0.42508877265540002</v>
      </c>
      <c r="JZ19" s="3">
        <f>$H19*factors!JT$3</f>
        <v>0.42987482843760005</v>
      </c>
      <c r="KA19" s="3">
        <f>$H19*factors!JU$3</f>
        <v>0.43161521235840006</v>
      </c>
      <c r="KB19" s="3">
        <f>$H19*factors!JV$3</f>
        <v>0.4172570450118</v>
      </c>
      <c r="KC19" s="3">
        <f>$H19*factors!JW$3</f>
        <v>0.41943252491280003</v>
      </c>
      <c r="KD19" s="3">
        <f>$H19*factors!JX$3</f>
        <v>0.419867620893</v>
      </c>
      <c r="KE19" s="3">
        <f>$H19*factors!JY$3</f>
        <v>0.44684357166540001</v>
      </c>
      <c r="KF19" s="3">
        <f>$H19*factors!JZ$3</f>
        <v>0.45206472342779996</v>
      </c>
      <c r="KG19" s="3">
        <f>$H19*factors!KA$3</f>
        <v>0.43596617216040001</v>
      </c>
      <c r="KH19" s="3">
        <f>$H19*factors!KB$3</f>
        <v>0.42639406059599999</v>
      </c>
      <c r="KI19" s="3">
        <f>$H19*factors!KC$3</f>
        <v>0.42247819677419995</v>
      </c>
    </row>
    <row r="20" spans="1:295" x14ac:dyDescent="0.55000000000000004">
      <c r="A20" t="s">
        <v>396</v>
      </c>
      <c r="B20">
        <v>19</v>
      </c>
      <c r="C20">
        <v>360</v>
      </c>
      <c r="D20" t="s">
        <v>377</v>
      </c>
      <c r="E20">
        <v>4.8320000000000004E-3</v>
      </c>
      <c r="F20">
        <v>19</v>
      </c>
      <c r="G20">
        <f>VLOOKUP(D20,demand_forecasted!$A$2:$G$11,2)</f>
        <v>11098</v>
      </c>
      <c r="H20" s="3">
        <f t="shared" si="0"/>
        <v>0.53625536000000007</v>
      </c>
      <c r="I20" s="3">
        <f>$H20*factors!C$3</f>
        <v>0.59363468352000004</v>
      </c>
      <c r="J20" s="3">
        <f>$H20*factors!D$3</f>
        <v>0.57220591933440001</v>
      </c>
      <c r="K20" s="3">
        <f>$H20*factors!E$3</f>
        <v>0.56236027092480012</v>
      </c>
      <c r="L20" s="3">
        <f>$H20*factors!F$3</f>
        <v>0.56062280355840011</v>
      </c>
      <c r="M20" s="3">
        <f>$H20*factors!G$3</f>
        <v>0.56004364776960003</v>
      </c>
      <c r="N20" s="3">
        <f>$H20*factors!H$3</f>
        <v>0.57626000985600012</v>
      </c>
      <c r="O20" s="3">
        <f>$H20*factors!I$3</f>
        <v>0.58900143720960008</v>
      </c>
      <c r="P20" s="3">
        <f>$H20*factors!J$3</f>
        <v>0.59595130667520013</v>
      </c>
      <c r="Q20" s="3">
        <f>$H20*factors!K$3</f>
        <v>0.55946449198080006</v>
      </c>
      <c r="R20" s="3">
        <f>$H20*factors!L$3</f>
        <v>0.55019799936000013</v>
      </c>
      <c r="S20" s="3">
        <f>$H20*factors!M$3</f>
        <v>0.57278507512320009</v>
      </c>
      <c r="T20" s="3">
        <f>$H20*factors!N$3</f>
        <v>0.5924763719424001</v>
      </c>
      <c r="U20" s="3">
        <f>$H20*factors!O$3</f>
        <v>0.56120195934720019</v>
      </c>
      <c r="V20" s="3">
        <f>$H20*factors!P$3</f>
        <v>0.58378903511040015</v>
      </c>
      <c r="W20" s="3">
        <f>$H20*factors!Q$3</f>
        <v>0.58900143720960008</v>
      </c>
      <c r="X20" s="3">
        <f>$H20*factors!R$3</f>
        <v>0.56351858250240006</v>
      </c>
      <c r="Y20" s="3">
        <f>$H20*factors!S$3</f>
        <v>0.55830618040320013</v>
      </c>
      <c r="Z20" s="3">
        <f>$H20*factors!T$3</f>
        <v>0.60232202035200022</v>
      </c>
      <c r="AA20" s="3">
        <f>$H20*factors!U$3</f>
        <v>0.5687309846016001</v>
      </c>
      <c r="AB20" s="3">
        <f>$H20*factors!V$3</f>
        <v>0.56931014039040018</v>
      </c>
      <c r="AC20" s="3">
        <f>$H20*factors!W$3</f>
        <v>0.56988929617920014</v>
      </c>
      <c r="AD20" s="3">
        <f>$H20*factors!X$3</f>
        <v>0.55772702461440016</v>
      </c>
      <c r="AE20" s="3">
        <f>$H20*factors!Y$3</f>
        <v>0.56236027092480012</v>
      </c>
      <c r="AF20" s="3">
        <f>$H20*factors!Z$3</f>
        <v>0.57394338670080014</v>
      </c>
      <c r="AG20" s="3">
        <f>$H20*factors!AA$3</f>
        <v>0.55946449198080006</v>
      </c>
      <c r="AH20" s="3">
        <f>$H20*factors!AB$3</f>
        <v>0.55714786882560008</v>
      </c>
      <c r="AI20" s="3">
        <f>$H20*factors!AC$3</f>
        <v>0.57510169827840008</v>
      </c>
      <c r="AJ20" s="3">
        <f>$H20*factors!AD$3</f>
        <v>0.59710961825280007</v>
      </c>
      <c r="AK20" s="3">
        <f>$H20*factors!AE$3</f>
        <v>0.57452254248960011</v>
      </c>
      <c r="AL20" s="3">
        <f>$H20*factors!AF$3</f>
        <v>0.55193546672640004</v>
      </c>
      <c r="AM20" s="3">
        <f>$H20*factors!AG$3</f>
        <v>0.56757267302400005</v>
      </c>
      <c r="AN20" s="3">
        <f>$H20*factors!AH$3</f>
        <v>0.55830618040320013</v>
      </c>
      <c r="AO20" s="3">
        <f>$H20*factors!AI$3</f>
        <v>0.58494734668800008</v>
      </c>
      <c r="AP20" s="3">
        <f>$H20*factors!AJ$3</f>
        <v>0.56062280355840011</v>
      </c>
      <c r="AQ20" s="3">
        <f>$H20*factors!AK$3</f>
        <v>0.5785766330112001</v>
      </c>
      <c r="AR20" s="3">
        <f>$H20*factors!AL$3</f>
        <v>0.56583520565760015</v>
      </c>
      <c r="AS20" s="3">
        <f>$H20*factors!AM$3</f>
        <v>0.55193546672640004</v>
      </c>
      <c r="AT20" s="3">
        <f>$H20*factors!AN$3</f>
        <v>0.56931014039040018</v>
      </c>
      <c r="AU20" s="3">
        <f>$H20*factors!AO$3</f>
        <v>0.60290117614080008</v>
      </c>
      <c r="AV20" s="3">
        <f>$H20*factors!AP$3</f>
        <v>0.56988929617920014</v>
      </c>
      <c r="AW20" s="3">
        <f>$H20*factors!AQ$3</f>
        <v>0.56409773829120002</v>
      </c>
      <c r="AX20" s="3">
        <f>$H20*factors!AR$3</f>
        <v>0.5965304624640001</v>
      </c>
      <c r="AY20" s="3">
        <f>$H20*factors!AS$3</f>
        <v>0.55019799936000013</v>
      </c>
      <c r="AZ20" s="3">
        <f>$H20*factors!AT$3</f>
        <v>0.58958059299840015</v>
      </c>
      <c r="BA20" s="3">
        <f>$H20*factors!AU$3</f>
        <v>0.57683916564480009</v>
      </c>
      <c r="BB20" s="3">
        <f>$H20*factors!AV$3</f>
        <v>0.56931014039040018</v>
      </c>
      <c r="BC20" s="3">
        <f>$H20*factors!AW$3</f>
        <v>0.60232202035200022</v>
      </c>
      <c r="BD20" s="3">
        <f>$H20*factors!AX$3</f>
        <v>0.55598955724800003</v>
      </c>
      <c r="BE20" s="3">
        <f>$H20*factors!AY$3</f>
        <v>0.65366310851840004</v>
      </c>
      <c r="BF20" s="3">
        <f>$H20*factors!AZ$3</f>
        <v>0.60873563445760004</v>
      </c>
      <c r="BG20" s="3">
        <f>$H20*factors!BA$3</f>
        <v>0.61759457300480003</v>
      </c>
      <c r="BH20" s="3">
        <f>$H20*factors!BB$3</f>
        <v>0.62582073022720008</v>
      </c>
      <c r="BI20" s="3">
        <f>$H20*factors!BC$3</f>
        <v>0.64860085792</v>
      </c>
      <c r="BJ20" s="3">
        <f>$H20*factors!BD$3</f>
        <v>0.61949291697920006</v>
      </c>
      <c r="BK20" s="3">
        <f>$H20*factors!BE$3</f>
        <v>0.62075847962880004</v>
      </c>
      <c r="BL20" s="3">
        <f>$H20*factors!BF$3</f>
        <v>0.61379788505599997</v>
      </c>
      <c r="BM20" s="3">
        <f>$H20*factors!BG$3</f>
        <v>0.65556145249280007</v>
      </c>
      <c r="BN20" s="3">
        <f>$H20*factors!BH$3</f>
        <v>0.64733529527040001</v>
      </c>
      <c r="BO20" s="3">
        <f>$H20*factors!BI$3</f>
        <v>0.60873563445760004</v>
      </c>
      <c r="BP20" s="3">
        <f>$H20*factors!BJ$3</f>
        <v>0.60683729048320001</v>
      </c>
      <c r="BQ20" s="3">
        <f>$H20*factors!BK$3</f>
        <v>0.61696179167999998</v>
      </c>
      <c r="BR20" s="3">
        <f>$H20*factors!BL$3</f>
        <v>0.63910913804800007</v>
      </c>
      <c r="BS20" s="3">
        <f>$H20*factors!BM$3</f>
        <v>0.64923363924480004</v>
      </c>
      <c r="BT20" s="3">
        <f>$H20*factors!BN$3</f>
        <v>0.65113198321919996</v>
      </c>
      <c r="BU20" s="3">
        <f>$H20*factors!BO$3</f>
        <v>0.66188926574080009</v>
      </c>
      <c r="BV20" s="3">
        <f>$H20*factors!BP$3</f>
        <v>0.6156962290304</v>
      </c>
      <c r="BW20" s="3">
        <f>$H20*factors!BQ$3</f>
        <v>0.62961741817600003</v>
      </c>
      <c r="BX20" s="3">
        <f>$H20*factors!BR$3</f>
        <v>0.61759457300480003</v>
      </c>
      <c r="BY20" s="3">
        <f>$H20*factors!BS$3</f>
        <v>0.64606973262079992</v>
      </c>
      <c r="BZ20" s="3">
        <f>$H20*factors!BT$3</f>
        <v>0.63404688744960003</v>
      </c>
      <c r="CA20" s="3">
        <f>$H20*factors!BU$3</f>
        <v>0.62582073022720008</v>
      </c>
      <c r="CB20" s="3">
        <f>$H20*factors!BV$3</f>
        <v>0.60557172783360003</v>
      </c>
      <c r="CC20" s="3">
        <f>$H20*factors!BW$3</f>
        <v>0.62328960492800001</v>
      </c>
      <c r="CD20" s="3">
        <f>$H20*factors!BX$3</f>
        <v>0.62518794890240004</v>
      </c>
      <c r="CE20" s="3">
        <f>$H20*factors!BY$3</f>
        <v>0.63404688744960003</v>
      </c>
      <c r="CF20" s="3">
        <f>$H20*factors!BZ$3</f>
        <v>0.6245551675776001</v>
      </c>
      <c r="CG20" s="3">
        <f>$H20*factors!CA$3</f>
        <v>0.6036733838592</v>
      </c>
      <c r="CH20" s="3">
        <f>$H20*factors!CB$3</f>
        <v>0.60430616518399993</v>
      </c>
      <c r="CI20" s="3">
        <f>$H20*factors!CC$3</f>
        <v>0.60114225856000003</v>
      </c>
      <c r="CJ20" s="3">
        <f>$H20*factors!CD$3</f>
        <v>0.62582073022720008</v>
      </c>
      <c r="CK20" s="3">
        <f>$H20*factors!CE$3</f>
        <v>0.65366310851840004</v>
      </c>
      <c r="CL20" s="3">
        <f>$H20*factors!CF$3</f>
        <v>0.61253232240639999</v>
      </c>
      <c r="CM20" s="3">
        <f>$H20*factors!CG$3</f>
        <v>0.62708629287679996</v>
      </c>
      <c r="CN20" s="3">
        <f>$H20*factors!CH$3</f>
        <v>0.60620450915840007</v>
      </c>
      <c r="CO20" s="3">
        <f>$H20*factors!CI$3</f>
        <v>0.61063397843199996</v>
      </c>
      <c r="CP20" s="3">
        <f>$H20*factors!CJ$3</f>
        <v>0.63974191937279989</v>
      </c>
      <c r="CQ20" s="3">
        <f>$H20*factors!CK$3</f>
        <v>0.62075847962880004</v>
      </c>
      <c r="CR20" s="3">
        <f>$H20*factors!CL$3</f>
        <v>0.64037470069760005</v>
      </c>
      <c r="CS20" s="3">
        <f>$H20*factors!CM$3</f>
        <v>0.6606237030912</v>
      </c>
      <c r="CT20" s="3">
        <f>$H20*factors!CN$3</f>
        <v>0.6530303271936001</v>
      </c>
      <c r="CU20" s="3">
        <f>$H20*factors!CO$3</f>
        <v>0.63847635672320002</v>
      </c>
      <c r="CV20" s="3">
        <f>$H20*factors!CP$3</f>
        <v>0.66442039104000006</v>
      </c>
      <c r="CW20" s="3">
        <f>$H20*factors!CQ$3</f>
        <v>0.62835185552640005</v>
      </c>
      <c r="CX20" s="3">
        <f>$H20*factors!CR$3</f>
        <v>0.61886013565440001</v>
      </c>
      <c r="CY20" s="3">
        <f>$H20*factors!CS$3</f>
        <v>0.61316510373120003</v>
      </c>
      <c r="CZ20" s="3">
        <f>$H20*factors!CT$3</f>
        <v>0.60430616518399993</v>
      </c>
      <c r="DA20" s="3">
        <f>$H20*factors!CU$3</f>
        <v>0.6274187712</v>
      </c>
      <c r="DB20" s="3">
        <f>$H20*factors!CV$3</f>
        <v>0.66795967641600007</v>
      </c>
      <c r="DC20" s="3">
        <f>$H20*factors!CW$3</f>
        <v>0.63964539340799997</v>
      </c>
      <c r="DD20" s="3">
        <f>$H20*factors!CX$3</f>
        <v>0.63514084838399998</v>
      </c>
      <c r="DE20" s="3">
        <f>$H20*factors!CY$3</f>
        <v>0.65380253491200013</v>
      </c>
      <c r="DF20" s="3">
        <f>$H20*factors!CZ$3</f>
        <v>0.65251552204800001</v>
      </c>
      <c r="DG20" s="3">
        <f>$H20*factors!DA$3</f>
        <v>0.64994149632000009</v>
      </c>
      <c r="DH20" s="3">
        <f>$H20*factors!DB$3</f>
        <v>0.64994149632000009</v>
      </c>
      <c r="DI20" s="3">
        <f>$H20*factors!DC$3</f>
        <v>0.62548825190400004</v>
      </c>
      <c r="DJ20" s="3">
        <f>$H20*factors!DD$3</f>
        <v>0.66281162496000012</v>
      </c>
      <c r="DK20" s="3">
        <f>$H20*factors!DE$3</f>
        <v>0.66281162496000012</v>
      </c>
      <c r="DL20" s="3">
        <f>$H20*factors!DF$3</f>
        <v>0.65508954777600015</v>
      </c>
      <c r="DM20" s="3">
        <f>$H20*factors!DG$3</f>
        <v>0.617122668288</v>
      </c>
      <c r="DN20" s="3">
        <f>$H20*factors!DH$3</f>
        <v>0.64736747059200006</v>
      </c>
      <c r="DO20" s="3">
        <f>$H20*factors!DI$3</f>
        <v>0.66860318284800002</v>
      </c>
      <c r="DP20" s="3">
        <f>$H20*factors!DJ$3</f>
        <v>0.66281162496000012</v>
      </c>
      <c r="DQ20" s="3">
        <f>$H20*factors!DK$3</f>
        <v>0.631923316224</v>
      </c>
      <c r="DR20" s="3">
        <f>$H20*factors!DL$3</f>
        <v>0.62484474547200008</v>
      </c>
      <c r="DS20" s="3">
        <f>$H20*factors!DM$3</f>
        <v>0.67503824716800009</v>
      </c>
      <c r="DT20" s="3">
        <f>$H20*factors!DN$3</f>
        <v>0.63449734195200014</v>
      </c>
      <c r="DU20" s="3">
        <f>$H20*factors!DO$3</f>
        <v>0.66409863782400003</v>
      </c>
      <c r="DV20" s="3">
        <f>$H20*factors!DP$3</f>
        <v>0.64865448345600007</v>
      </c>
      <c r="DW20" s="3">
        <f>$H20*factors!DQ$3</f>
        <v>0.61905318758399996</v>
      </c>
      <c r="DX20" s="3">
        <f>$H20*factors!DR$3</f>
        <v>0.65573305420799999</v>
      </c>
      <c r="DY20" s="3">
        <f>$H20*factors!DS$3</f>
        <v>0.62227071974400006</v>
      </c>
      <c r="DZ20" s="3">
        <f>$H20*factors!DT$3</f>
        <v>0.66538565068800004</v>
      </c>
      <c r="EA20" s="3">
        <f>$H20*factors!DU$3</f>
        <v>0.62677526476799994</v>
      </c>
      <c r="EB20" s="3">
        <f>$H20*factors!DV$3</f>
        <v>0.61133111039999999</v>
      </c>
      <c r="EC20" s="3">
        <f>$H20*factors!DW$3</f>
        <v>0.65766357350400007</v>
      </c>
      <c r="ED20" s="3">
        <f>$H20*factors!DX$3</f>
        <v>0.617122668288</v>
      </c>
      <c r="EE20" s="3">
        <f>$H20*factors!DY$3</f>
        <v>0.62227071974400006</v>
      </c>
      <c r="EF20" s="3">
        <f>$H20*factors!DZ$3</f>
        <v>0.67503824716800009</v>
      </c>
      <c r="EG20" s="3">
        <f>$H20*factors!EA$3</f>
        <v>0.63063630336000009</v>
      </c>
      <c r="EH20" s="3">
        <f>$H20*factors!EB$3</f>
        <v>0.63256682265600006</v>
      </c>
      <c r="EI20" s="3">
        <f>$H20*factors!EC$3</f>
        <v>0.63127980979200005</v>
      </c>
      <c r="EJ20" s="3">
        <f>$H20*factors!ED$3</f>
        <v>0.61519214899200003</v>
      </c>
      <c r="EK20" s="3">
        <f>$H20*factors!EE$3</f>
        <v>0.65766357350400007</v>
      </c>
      <c r="EL20" s="3">
        <f>$H20*factors!EF$3</f>
        <v>0.62548825190400004</v>
      </c>
      <c r="EM20" s="3">
        <f>$H20*factors!EG$3</f>
        <v>0.65058500275200004</v>
      </c>
      <c r="EN20" s="3">
        <f>$H20*factors!EH$3</f>
        <v>0.61133111039999999</v>
      </c>
      <c r="EO20" s="3">
        <f>$H20*factors!EI$3</f>
        <v>0.62034020044799998</v>
      </c>
      <c r="EP20" s="3">
        <f>$H20*factors!EJ$3</f>
        <v>0.65444604134400008</v>
      </c>
      <c r="EQ20" s="3">
        <f>$H20*factors!EK$3</f>
        <v>0.63642786124799999</v>
      </c>
      <c r="ER20" s="3">
        <f>$H20*factors!EL$3</f>
        <v>0.66281162496000012</v>
      </c>
      <c r="ES20" s="3">
        <f>$H20*factors!EM$3</f>
        <v>0.65444604134400008</v>
      </c>
      <c r="ET20" s="3">
        <f>$H20*factors!EN$3</f>
        <v>0.66924668928000008</v>
      </c>
      <c r="EU20" s="3">
        <f>$H20*factors!EO$3</f>
        <v>0.67568175360000005</v>
      </c>
      <c r="EV20" s="3">
        <f>$H20*factors!EP$3</f>
        <v>0.63321032908800001</v>
      </c>
      <c r="EW20" s="3">
        <f>$H20*factors!EQ$3</f>
        <v>0.69646164880000005</v>
      </c>
      <c r="EX20" s="3">
        <f>$H20*factors!ER$3</f>
        <v>0.68908813760000021</v>
      </c>
      <c r="EY20" s="3">
        <f>$H20*factors!ES$3</f>
        <v>0.70316484079999997</v>
      </c>
      <c r="EZ20" s="3">
        <f>$H20*factors!ET$3</f>
        <v>0.69646164880000005</v>
      </c>
      <c r="FA20" s="3">
        <f>$H20*factors!EU$3</f>
        <v>0.640154836</v>
      </c>
      <c r="FB20" s="3">
        <f>$H20*factors!EV$3</f>
        <v>0.66897856160000013</v>
      </c>
      <c r="FC20" s="3">
        <f>$H20*factors!EW$3</f>
        <v>0.68774749920000011</v>
      </c>
      <c r="FD20" s="3">
        <f>$H20*factors!EX$3</f>
        <v>0.66361600800000009</v>
      </c>
      <c r="FE20" s="3">
        <f>$H20*factors!EY$3</f>
        <v>0.69914292560000002</v>
      </c>
      <c r="FF20" s="3">
        <f>$H20*factors!EZ$3</f>
        <v>0.69981324480000018</v>
      </c>
      <c r="FG20" s="3">
        <f>$H20*factors!FA$3</f>
        <v>0.640154836</v>
      </c>
      <c r="FH20" s="3">
        <f>$H20*factors!FB$3</f>
        <v>0.67367079600000002</v>
      </c>
      <c r="FI20" s="3">
        <f>$H20*factors!FC$3</f>
        <v>0.70182420239999999</v>
      </c>
      <c r="FJ20" s="3">
        <f>$H20*factors!FD$3</f>
        <v>0.67367079600000002</v>
      </c>
      <c r="FK20" s="3">
        <f>$H20*factors!FE$3</f>
        <v>0.68506622240000015</v>
      </c>
      <c r="FL20" s="3">
        <f>$H20*factors!FF$3</f>
        <v>0.68707718000000007</v>
      </c>
      <c r="FM20" s="3">
        <f>$H20*factors!FG$3</f>
        <v>0.69445069120000003</v>
      </c>
      <c r="FN20" s="3">
        <f>$H20*factors!FH$3</f>
        <v>0.64953930480000011</v>
      </c>
      <c r="FO20" s="3">
        <f>$H20*factors!FI$3</f>
        <v>0.68975845680000003</v>
      </c>
      <c r="FP20" s="3">
        <f>$H20*factors!FJ$3</f>
        <v>0.67031920000000011</v>
      </c>
      <c r="FQ20" s="3">
        <f>$H20*factors!FK$3</f>
        <v>0.66361600800000009</v>
      </c>
      <c r="FR20" s="3">
        <f>$H20*factors!FL$3</f>
        <v>0.67702239200000003</v>
      </c>
      <c r="FS20" s="3">
        <f>$H20*factors!FM$3</f>
        <v>0.67300047680000008</v>
      </c>
      <c r="FT20" s="3">
        <f>$H20*factors!FN$3</f>
        <v>0.68774749920000011</v>
      </c>
      <c r="FU20" s="3">
        <f>$H20*factors!FO$3</f>
        <v>0.66093473120000001</v>
      </c>
      <c r="FV20" s="3">
        <f>$H20*factors!FP$3</f>
        <v>0.65557217760000008</v>
      </c>
      <c r="FW20" s="3">
        <f>$H20*factors!FQ$3</f>
        <v>0.70182420239999999</v>
      </c>
      <c r="FX20" s="3">
        <f>$H20*factors!FR$3</f>
        <v>0.68908813760000021</v>
      </c>
      <c r="FY20" s="3">
        <f>$H20*factors!FS$3</f>
        <v>0.6750114344</v>
      </c>
      <c r="FZ20" s="3">
        <f>$H20*factors!FT$3</f>
        <v>0.6414954744000001</v>
      </c>
      <c r="GA20" s="3">
        <f>$H20*factors!FU$3</f>
        <v>0.6750114344</v>
      </c>
      <c r="GB20" s="3">
        <f>$H20*factors!FV$3</f>
        <v>0.69981324480000018</v>
      </c>
      <c r="GC20" s="3">
        <f>$H20*factors!FW$3</f>
        <v>0.65557217760000008</v>
      </c>
      <c r="GD20" s="3">
        <f>$H20*factors!FX$3</f>
        <v>0.66696760399999999</v>
      </c>
      <c r="GE20" s="3">
        <f>$H20*factors!FY$3</f>
        <v>0.66696760399999999</v>
      </c>
      <c r="GF20" s="3">
        <f>$H20*factors!FZ$3</f>
        <v>0.66495664640000007</v>
      </c>
      <c r="GG20" s="3">
        <f>$H20*factors!GA$3</f>
        <v>0.63881419760000002</v>
      </c>
      <c r="GH20" s="3">
        <f>$H20*factors!GB$3</f>
        <v>0.6797036688000001</v>
      </c>
      <c r="GI20" s="3">
        <f>$H20*factors!GC$3</f>
        <v>0.63747355920000004</v>
      </c>
      <c r="GJ20" s="3">
        <f>$H20*factors!GD$3</f>
        <v>0.63881419760000002</v>
      </c>
      <c r="GK20" s="3">
        <f>$H20*factors!GE$3</f>
        <v>0.65490185840000004</v>
      </c>
      <c r="GL20" s="3">
        <f>$H20*factors!GF$3</f>
        <v>0.69378037200000009</v>
      </c>
      <c r="GM20" s="3">
        <f>$H20*factors!GG$3</f>
        <v>0.65758313520000011</v>
      </c>
      <c r="GN20" s="3">
        <f>$H20*factors!GH$3</f>
        <v>0.67836303040000012</v>
      </c>
      <c r="GO20" s="3">
        <f>$H20*factors!GI$3</f>
        <v>0.64082515520000005</v>
      </c>
      <c r="GP20" s="3">
        <f>$H20*factors!GJ$3</f>
        <v>0.68707718000000007</v>
      </c>
      <c r="GQ20" s="3">
        <f>$H20*factors!GK$3</f>
        <v>0.70115388320000016</v>
      </c>
      <c r="GR20" s="3">
        <f>$H20*factors!GL$3</f>
        <v>0.68774749920000011</v>
      </c>
      <c r="GS20" s="3">
        <f>$H20*factors!GM$3</f>
        <v>0.65039731337600004</v>
      </c>
      <c r="GT20" s="3">
        <f>$H20*factors!GN$3</f>
        <v>0.66538028813440009</v>
      </c>
      <c r="GU20" s="3">
        <f>$H20*factors!GO$3</f>
        <v>0.68104430720000009</v>
      </c>
      <c r="GV20" s="3">
        <f>$H20*factors!GP$3</f>
        <v>0.65380253491200013</v>
      </c>
      <c r="GW20" s="3">
        <f>$H20*factors!GQ$3</f>
        <v>0.67695804135680016</v>
      </c>
      <c r="GX20" s="3">
        <f>$H20*factors!GR$3</f>
        <v>0.66606133244160004</v>
      </c>
      <c r="GY20" s="3">
        <f>$H20*factors!GS$3</f>
        <v>0.66265611090560017</v>
      </c>
      <c r="GZ20" s="3">
        <f>$H20*factors!GT$3</f>
        <v>0.68717370596479999</v>
      </c>
      <c r="HA20" s="3">
        <f>$H20*factors!GU$3</f>
        <v>0.66469924382720003</v>
      </c>
      <c r="HB20" s="3">
        <f>$H20*factors!GV$3</f>
        <v>0.68717370596479999</v>
      </c>
      <c r="HC20" s="3">
        <f>$H20*factors!GW$3</f>
        <v>0.67014759828480008</v>
      </c>
      <c r="HD20" s="3">
        <f>$H20*factors!GX$3</f>
        <v>0.68989788319360001</v>
      </c>
      <c r="HE20" s="3">
        <f>$H20*factors!GY$3</f>
        <v>0.68104430720000009</v>
      </c>
      <c r="HF20" s="3">
        <f>$H20*factors!GZ$3</f>
        <v>0.70215668072320003</v>
      </c>
      <c r="HG20" s="3">
        <f>$H20*factors!HA$3</f>
        <v>0.67491490843520008</v>
      </c>
      <c r="HH20" s="3">
        <f>$H20*factors!HB$3</f>
        <v>0.66606133244160004</v>
      </c>
      <c r="HI20" s="3">
        <f>$H20*factors!HC$3</f>
        <v>0.65788880075520006</v>
      </c>
      <c r="HJ20" s="3">
        <f>$H20*factors!HD$3</f>
        <v>0.65039731337600004</v>
      </c>
      <c r="HK20" s="3">
        <f>$H20*factors!HE$3</f>
        <v>0.68785475027200005</v>
      </c>
      <c r="HL20" s="3">
        <f>$H20*factors!HF$3</f>
        <v>0.64835418045440008</v>
      </c>
      <c r="HM20" s="3">
        <f>$H20*factors!HG$3</f>
        <v>0.65516462352640015</v>
      </c>
      <c r="HN20" s="3">
        <f>$H20*factors!HH$3</f>
        <v>0.69875145918720016</v>
      </c>
      <c r="HO20" s="3">
        <f>$H20*factors!HI$3</f>
        <v>0.67014759828480008</v>
      </c>
      <c r="HP20" s="3">
        <f>$H20*factors!HJ$3</f>
        <v>0.71509652256000011</v>
      </c>
      <c r="HQ20" s="3">
        <f>$H20*factors!HK$3</f>
        <v>0.65380253491200013</v>
      </c>
      <c r="HR20" s="3">
        <f>$H20*factors!HL$3</f>
        <v>0.69330310472960011</v>
      </c>
      <c r="HS20" s="3">
        <f>$H20*factors!HM$3</f>
        <v>0.70556190225920012</v>
      </c>
      <c r="HT20" s="3">
        <f>$H20*factors!HN$3</f>
        <v>0.65788880075520006</v>
      </c>
      <c r="HU20" s="3">
        <f>$H20*factors!HO$3</f>
        <v>0.66469924382720003</v>
      </c>
      <c r="HV20" s="3">
        <f>$H20*factors!HP$3</f>
        <v>0.67287177551360011</v>
      </c>
      <c r="HW20" s="3">
        <f>$H20*factors!HQ$3</f>
        <v>0.6824063958144001</v>
      </c>
      <c r="HX20" s="3">
        <f>$H20*factors!HR$3</f>
        <v>0.71032921240960001</v>
      </c>
      <c r="HY20" s="3">
        <f>$H20*factors!HS$3</f>
        <v>0.67491490843520008</v>
      </c>
      <c r="HZ20" s="3">
        <f>$H20*factors!HT$3</f>
        <v>0.70079459210880002</v>
      </c>
      <c r="IA20" s="3">
        <f>$H20*factors!HU$3</f>
        <v>0.6667423767488001</v>
      </c>
      <c r="IB20" s="3">
        <f>$H20*factors!HV$3</f>
        <v>0.68989788319360001</v>
      </c>
      <c r="IC20" s="3">
        <f>$H20*factors!HW$3</f>
        <v>0.69670832626560009</v>
      </c>
      <c r="ID20" s="3">
        <f>$H20*factors!HX$3</f>
        <v>0.64699209184000006</v>
      </c>
      <c r="IE20" s="3">
        <f>$H20*factors!HY$3</f>
        <v>0.68717370596479999</v>
      </c>
      <c r="IF20" s="3">
        <f>$H20*factors!HZ$3</f>
        <v>0.68308744012160005</v>
      </c>
      <c r="IG20" s="3">
        <f>$H20*factors!IA$3</f>
        <v>0.67695804135680016</v>
      </c>
      <c r="IH20" s="3">
        <f>$H20*factors!IB$3</f>
        <v>0.70215668072320003</v>
      </c>
      <c r="II20" s="3">
        <f>$H20*factors!IC$3</f>
        <v>0.67219073120640005</v>
      </c>
      <c r="IJ20" s="3">
        <f>$H20*factors!ID$3</f>
        <v>0.67832012997120006</v>
      </c>
      <c r="IK20" s="3">
        <f>$H20*factors!IE$3</f>
        <v>0.7028377250304001</v>
      </c>
      <c r="IL20" s="3">
        <f>$H20*factors!IF$3</f>
        <v>0.67287177551360011</v>
      </c>
      <c r="IM20" s="3">
        <f>$H20*factors!IG$3</f>
        <v>0.6667423767488001</v>
      </c>
      <c r="IN20" s="3">
        <f>$H20*factors!IH$3</f>
        <v>0.67082864259200015</v>
      </c>
      <c r="IO20" s="3">
        <f>$H20*factors!II$3</f>
        <v>0.67763908566400011</v>
      </c>
      <c r="IP20" s="3">
        <f>$H20*factors!IJ$3</f>
        <v>0.65516462352640015</v>
      </c>
      <c r="IQ20" s="3">
        <f>$H20*factors!IK$3</f>
        <v>0.65312149060480007</v>
      </c>
      <c r="IR20" s="3">
        <f>$H20*factors!IL$3</f>
        <v>0.67219073120640005</v>
      </c>
      <c r="IS20" s="3">
        <f>$H20*factors!IM$3</f>
        <v>0.67763908566400011</v>
      </c>
      <c r="IT20" s="3">
        <f>$H20*factors!IN$3</f>
        <v>0.6824063958144001</v>
      </c>
      <c r="IU20" s="3">
        <f>$H20*factors!IO$3</f>
        <v>0.69738937057280015</v>
      </c>
      <c r="IV20" s="3">
        <f>$H20*factors!IP$3</f>
        <v>0.70624294656640008</v>
      </c>
      <c r="IW20" s="3">
        <f>$H20*factors!IQ$3</f>
        <v>0.66742342105600005</v>
      </c>
      <c r="IX20" s="3">
        <f>$H20*factors!IR$3</f>
        <v>0.69738937057280015</v>
      </c>
      <c r="IY20" s="3">
        <f>$H20*factors!IS$3</f>
        <v>0.68717370596479999</v>
      </c>
      <c r="IZ20" s="3">
        <f>$H20*factors!IT$3</f>
        <v>0.69875145918720016</v>
      </c>
      <c r="JA20" s="3">
        <f>$H20*factors!IU$3</f>
        <v>0.65993193367680003</v>
      </c>
      <c r="JB20" s="3">
        <f>$H20*factors!IV$3</f>
        <v>0.67219073120640005</v>
      </c>
      <c r="JC20" s="3">
        <f>$H20*factors!IW$3</f>
        <v>0.65652671214080005</v>
      </c>
      <c r="JD20" s="3">
        <f>$H20*factors!IX$3</f>
        <v>0.71509652256000011</v>
      </c>
      <c r="JE20" s="3">
        <f>$H20*factors!IY$3</f>
        <v>0.65856984506240002</v>
      </c>
      <c r="JF20" s="3">
        <f>$H20*factors!IZ$3</f>
        <v>0.69125997180800003</v>
      </c>
      <c r="JG20" s="3">
        <f>$H20*factors!JA$3</f>
        <v>0.67900117427840001</v>
      </c>
      <c r="JH20" s="3">
        <f>$H20*factors!JB$3</f>
        <v>0.6919410161152002</v>
      </c>
      <c r="JI20" s="3">
        <f>$H20*factors!JC$3</f>
        <v>0.64767313614720012</v>
      </c>
      <c r="JJ20" s="3">
        <f>$H20*factors!JD$3</f>
        <v>0.69738937057280015</v>
      </c>
      <c r="JK20" s="3">
        <f>$H20*factors!JE$3</f>
        <v>0.67491490843520008</v>
      </c>
      <c r="JL20" s="3">
        <f>$H20*factors!JF$3</f>
        <v>0.70215668072320003</v>
      </c>
      <c r="JM20" s="3">
        <f>$H20*factors!JG$3</f>
        <v>0.65516462352640015</v>
      </c>
      <c r="JN20" s="3">
        <f>$H20*factors!JH$3</f>
        <v>0.65516462352640015</v>
      </c>
      <c r="JO20" s="3">
        <f>$H20*factors!JI$3</f>
        <v>0.64699209184000006</v>
      </c>
      <c r="JP20" s="3">
        <f>$H20*factors!JJ$3</f>
        <v>0.69943250349440012</v>
      </c>
      <c r="JQ20" s="3">
        <f>$H20*factors!JK$3</f>
        <v>0.68172535150720004</v>
      </c>
      <c r="JR20" s="3">
        <f>$H20*factors!JL$3</f>
        <v>0.70828607948800004</v>
      </c>
      <c r="JS20" s="3">
        <f>$H20*factors!JM$3</f>
        <v>0.64699209184000006</v>
      </c>
      <c r="JT20" s="3">
        <f>$H20*factors!JN$3</f>
        <v>0.67968221858560007</v>
      </c>
      <c r="JU20" s="3">
        <f>$H20*factors!JO$3</f>
        <v>0.657207756448</v>
      </c>
      <c r="JV20" s="3">
        <f>$H20*factors!JP$3</f>
        <v>0.66810446536320012</v>
      </c>
      <c r="JW20" s="3">
        <f>$H20*factors!JQ$3</f>
        <v>0.71373443394560021</v>
      </c>
      <c r="JX20" s="3">
        <f>$H20*factors!JR$3</f>
        <v>0.70692399087360014</v>
      </c>
      <c r="JY20" s="3">
        <f>$H20*factors!JS$3</f>
        <v>0.66538028813440009</v>
      </c>
      <c r="JZ20" s="3">
        <f>$H20*factors!JT$3</f>
        <v>0.67287177551360011</v>
      </c>
      <c r="KA20" s="3">
        <f>$H20*factors!JU$3</f>
        <v>0.67559595274240014</v>
      </c>
      <c r="KB20" s="3">
        <f>$H20*factors!JV$3</f>
        <v>0.65312149060480007</v>
      </c>
      <c r="KC20" s="3">
        <f>$H20*factors!JW$3</f>
        <v>0.65652671214080005</v>
      </c>
      <c r="KD20" s="3">
        <f>$H20*factors!JX$3</f>
        <v>0.657207756448</v>
      </c>
      <c r="KE20" s="3">
        <f>$H20*factors!JY$3</f>
        <v>0.69943250349440012</v>
      </c>
      <c r="KF20" s="3">
        <f>$H20*factors!JZ$3</f>
        <v>0.70760503518079998</v>
      </c>
      <c r="KG20" s="3">
        <f>$H20*factors!KA$3</f>
        <v>0.6824063958144001</v>
      </c>
      <c r="KH20" s="3">
        <f>$H20*factors!KB$3</f>
        <v>0.66742342105600005</v>
      </c>
      <c r="KI20" s="3">
        <f>$H20*factors!KC$3</f>
        <v>0.66129402229120005</v>
      </c>
    </row>
    <row r="21" spans="1:295" x14ac:dyDescent="0.55000000000000004">
      <c r="A21" t="s">
        <v>397</v>
      </c>
      <c r="B21">
        <v>20</v>
      </c>
      <c r="C21">
        <v>230</v>
      </c>
      <c r="D21" t="s">
        <v>377</v>
      </c>
      <c r="E21">
        <v>3.0869999999999999E-3</v>
      </c>
      <c r="F21">
        <v>20</v>
      </c>
      <c r="G21">
        <f>VLOOKUP(D21,demand_forecasted!$A$2:$G$11,2)</f>
        <v>11098</v>
      </c>
      <c r="H21" s="3">
        <f t="shared" si="0"/>
        <v>0.34259526000000001</v>
      </c>
      <c r="I21" s="3">
        <f>$H21*factors!C$3</f>
        <v>0.37925295281999999</v>
      </c>
      <c r="J21" s="3">
        <f>$H21*factors!D$3</f>
        <v>0.36556284623040003</v>
      </c>
      <c r="K21" s="3">
        <f>$H21*factors!E$3</f>
        <v>0.35927279725680006</v>
      </c>
      <c r="L21" s="3">
        <f>$H21*factors!F$3</f>
        <v>0.35816278861440004</v>
      </c>
      <c r="M21" s="3">
        <f>$H21*factors!G$3</f>
        <v>0.35779278573360002</v>
      </c>
      <c r="N21" s="3">
        <f>$H21*factors!H$3</f>
        <v>0.36815286639600003</v>
      </c>
      <c r="O21" s="3">
        <f>$H21*factors!I$3</f>
        <v>0.37629292977360002</v>
      </c>
      <c r="P21" s="3">
        <f>$H21*factors!J$3</f>
        <v>0.38073296434320003</v>
      </c>
      <c r="Q21" s="3">
        <f>$H21*factors!K$3</f>
        <v>0.35742278285279999</v>
      </c>
      <c r="R21" s="3">
        <f>$H21*factors!L$3</f>
        <v>0.35150273676000005</v>
      </c>
      <c r="S21" s="3">
        <f>$H21*factors!M$3</f>
        <v>0.3659328491112</v>
      </c>
      <c r="T21" s="3">
        <f>$H21*factors!N$3</f>
        <v>0.37851294705840005</v>
      </c>
      <c r="U21" s="3">
        <f>$H21*factors!O$3</f>
        <v>0.35853279149520006</v>
      </c>
      <c r="V21" s="3">
        <f>$H21*factors!P$3</f>
        <v>0.37296290384640002</v>
      </c>
      <c r="W21" s="3">
        <f>$H21*factors!Q$3</f>
        <v>0.37629292977360002</v>
      </c>
      <c r="X21" s="3">
        <f>$H21*factors!R$3</f>
        <v>0.3600128030184</v>
      </c>
      <c r="Y21" s="3">
        <f>$H21*factors!S$3</f>
        <v>0.35668277709120005</v>
      </c>
      <c r="Z21" s="3">
        <f>$H21*factors!T$3</f>
        <v>0.38480299603200008</v>
      </c>
      <c r="AA21" s="3">
        <f>$H21*factors!U$3</f>
        <v>0.36334282894559999</v>
      </c>
      <c r="AB21" s="3">
        <f>$H21*factors!V$3</f>
        <v>0.36371283182640007</v>
      </c>
      <c r="AC21" s="3">
        <f>$H21*factors!W$3</f>
        <v>0.36408283470720004</v>
      </c>
      <c r="AD21" s="3">
        <f>$H21*factors!X$3</f>
        <v>0.35631277421040003</v>
      </c>
      <c r="AE21" s="3">
        <f>$H21*factors!Y$3</f>
        <v>0.35927279725680006</v>
      </c>
      <c r="AF21" s="3">
        <f>$H21*factors!Z$3</f>
        <v>0.36667285487280005</v>
      </c>
      <c r="AG21" s="3">
        <f>$H21*factors!AA$3</f>
        <v>0.35742278285279999</v>
      </c>
      <c r="AH21" s="3">
        <f>$H21*factors!AB$3</f>
        <v>0.35594277132960006</v>
      </c>
      <c r="AI21" s="3">
        <f>$H21*factors!AC$3</f>
        <v>0.36741286063440004</v>
      </c>
      <c r="AJ21" s="3">
        <f>$H21*factors!AD$3</f>
        <v>0.38147297010480002</v>
      </c>
      <c r="AK21" s="3">
        <f>$H21*factors!AE$3</f>
        <v>0.36704285775360007</v>
      </c>
      <c r="AL21" s="3">
        <f>$H21*factors!AF$3</f>
        <v>0.35261274540240001</v>
      </c>
      <c r="AM21" s="3">
        <f>$H21*factors!AG$3</f>
        <v>0.362602823184</v>
      </c>
      <c r="AN21" s="3">
        <f>$H21*factors!AH$3</f>
        <v>0.35668277709120005</v>
      </c>
      <c r="AO21" s="3">
        <f>$H21*factors!AI$3</f>
        <v>0.37370290960800001</v>
      </c>
      <c r="AP21" s="3">
        <f>$H21*factors!AJ$3</f>
        <v>0.35816278861440004</v>
      </c>
      <c r="AQ21" s="3">
        <f>$H21*factors!AK$3</f>
        <v>0.36963287791920008</v>
      </c>
      <c r="AR21" s="3">
        <f>$H21*factors!AL$3</f>
        <v>0.36149281454160004</v>
      </c>
      <c r="AS21" s="3">
        <f>$H21*factors!AM$3</f>
        <v>0.35261274540240001</v>
      </c>
      <c r="AT21" s="3">
        <f>$H21*factors!AN$3</f>
        <v>0.36371283182640007</v>
      </c>
      <c r="AU21" s="3">
        <f>$H21*factors!AO$3</f>
        <v>0.38517299891279999</v>
      </c>
      <c r="AV21" s="3">
        <f>$H21*factors!AP$3</f>
        <v>0.36408283470720004</v>
      </c>
      <c r="AW21" s="3">
        <f>$H21*factors!AQ$3</f>
        <v>0.36038280589920002</v>
      </c>
      <c r="AX21" s="3">
        <f>$H21*factors!AR$3</f>
        <v>0.38110296722400006</v>
      </c>
      <c r="AY21" s="3">
        <f>$H21*factors!AS$3</f>
        <v>0.35150273676000005</v>
      </c>
      <c r="AZ21" s="3">
        <f>$H21*factors!AT$3</f>
        <v>0.3766629326544001</v>
      </c>
      <c r="BA21" s="3">
        <f>$H21*factors!AU$3</f>
        <v>0.3685228692768</v>
      </c>
      <c r="BB21" s="3">
        <f>$H21*factors!AV$3</f>
        <v>0.36371283182640007</v>
      </c>
      <c r="BC21" s="3">
        <f>$H21*factors!AW$3</f>
        <v>0.38480299603200008</v>
      </c>
      <c r="BD21" s="3">
        <f>$H21*factors!AX$3</f>
        <v>0.35520276556800001</v>
      </c>
      <c r="BE21" s="3">
        <f>$H21*factors!AY$3</f>
        <v>0.41760306622439997</v>
      </c>
      <c r="BF21" s="3">
        <f>$H21*factors!AZ$3</f>
        <v>0.38890043534160001</v>
      </c>
      <c r="BG21" s="3">
        <f>$H21*factors!BA$3</f>
        <v>0.39456010903679994</v>
      </c>
      <c r="BH21" s="3">
        <f>$H21*factors!BB$3</f>
        <v>0.39981552032520001</v>
      </c>
      <c r="BI21" s="3">
        <f>$H21*factors!BC$3</f>
        <v>0.41436896696999992</v>
      </c>
      <c r="BJ21" s="3">
        <f>$H21*factors!BD$3</f>
        <v>0.39577289625719997</v>
      </c>
      <c r="BK21" s="3">
        <f>$H21*factors!BE$3</f>
        <v>0.39658142107079997</v>
      </c>
      <c r="BL21" s="3">
        <f>$H21*factors!BF$3</f>
        <v>0.39213453459599995</v>
      </c>
      <c r="BM21" s="3">
        <f>$H21*factors!BG$3</f>
        <v>0.41881585344480005</v>
      </c>
      <c r="BN21" s="3">
        <f>$H21*factors!BH$3</f>
        <v>0.41356044215639998</v>
      </c>
      <c r="BO21" s="3">
        <f>$H21*factors!BI$3</f>
        <v>0.38890043534160001</v>
      </c>
      <c r="BP21" s="3">
        <f>$H21*factors!BJ$3</f>
        <v>0.38768764812119993</v>
      </c>
      <c r="BQ21" s="3">
        <f>$H21*factors!BK$3</f>
        <v>0.39415584662999997</v>
      </c>
      <c r="BR21" s="3">
        <f>$H21*factors!BL$3</f>
        <v>0.40830503086800002</v>
      </c>
      <c r="BS21" s="3">
        <f>$H21*factors!BM$3</f>
        <v>0.4147732293768</v>
      </c>
      <c r="BT21" s="3">
        <f>$H21*factors!BN$3</f>
        <v>0.41598601659719997</v>
      </c>
      <c r="BU21" s="3">
        <f>$H21*factors!BO$3</f>
        <v>0.42285847751280004</v>
      </c>
      <c r="BV21" s="3">
        <f>$H21*factors!BP$3</f>
        <v>0.39334732181639998</v>
      </c>
      <c r="BW21" s="3">
        <f>$H21*factors!BQ$3</f>
        <v>0.40224109476600001</v>
      </c>
      <c r="BX21" s="3">
        <f>$H21*factors!BR$3</f>
        <v>0.39456010903679994</v>
      </c>
      <c r="BY21" s="3">
        <f>$H21*factors!BS$3</f>
        <v>0.41275191734279992</v>
      </c>
      <c r="BZ21" s="3">
        <f>$H21*factors!BT$3</f>
        <v>0.40507093161359997</v>
      </c>
      <c r="CA21" s="3">
        <f>$H21*factors!BU$3</f>
        <v>0.39981552032520001</v>
      </c>
      <c r="CB21" s="3">
        <f>$H21*factors!BV$3</f>
        <v>0.38687912330759999</v>
      </c>
      <c r="CC21" s="3">
        <f>$H21*factors!BW$3</f>
        <v>0.39819847069799996</v>
      </c>
      <c r="CD21" s="3">
        <f>$H21*factors!BX$3</f>
        <v>0.39941125791839999</v>
      </c>
      <c r="CE21" s="3">
        <f>$H21*factors!BY$3</f>
        <v>0.40507093161359997</v>
      </c>
      <c r="CF21" s="3">
        <f>$H21*factors!BZ$3</f>
        <v>0.39900699551160002</v>
      </c>
      <c r="CG21" s="3">
        <f>$H21*factors!CA$3</f>
        <v>0.38566633608719997</v>
      </c>
      <c r="CH21" s="3">
        <f>$H21*factors!CB$3</f>
        <v>0.38607059849399994</v>
      </c>
      <c r="CI21" s="3">
        <f>$H21*factors!CC$3</f>
        <v>0.38404928646000003</v>
      </c>
      <c r="CJ21" s="3">
        <f>$H21*factors!CD$3</f>
        <v>0.39981552032520001</v>
      </c>
      <c r="CK21" s="3">
        <f>$H21*factors!CE$3</f>
        <v>0.41760306622439997</v>
      </c>
      <c r="CL21" s="3">
        <f>$H21*factors!CF$3</f>
        <v>0.39132600978240001</v>
      </c>
      <c r="CM21" s="3">
        <f>$H21*factors!CG$3</f>
        <v>0.40062404513879996</v>
      </c>
      <c r="CN21" s="3">
        <f>$H21*factors!CH$3</f>
        <v>0.38728338571439996</v>
      </c>
      <c r="CO21" s="3">
        <f>$H21*factors!CI$3</f>
        <v>0.39011322256199993</v>
      </c>
      <c r="CP21" s="3">
        <f>$H21*factors!CJ$3</f>
        <v>0.40870929327479993</v>
      </c>
      <c r="CQ21" s="3">
        <f>$H21*factors!CK$3</f>
        <v>0.39658142107079997</v>
      </c>
      <c r="CR21" s="3">
        <f>$H21*factors!CL$3</f>
        <v>0.40911355568159996</v>
      </c>
      <c r="CS21" s="3">
        <f>$H21*factors!CM$3</f>
        <v>0.42204995269919998</v>
      </c>
      <c r="CT21" s="3">
        <f>$H21*factors!CN$3</f>
        <v>0.41719880381759999</v>
      </c>
      <c r="CU21" s="3">
        <f>$H21*factors!CO$3</f>
        <v>0.40790076846119994</v>
      </c>
      <c r="CV21" s="3">
        <f>$H21*factors!CP$3</f>
        <v>0.42447552713999998</v>
      </c>
      <c r="CW21" s="3">
        <f>$H21*factors!CQ$3</f>
        <v>0.40143256995240001</v>
      </c>
      <c r="CX21" s="3">
        <f>$H21*factors!CR$3</f>
        <v>0.3953686338504</v>
      </c>
      <c r="CY21" s="3">
        <f>$H21*factors!CS$3</f>
        <v>0.39173027218919998</v>
      </c>
      <c r="CZ21" s="3">
        <f>$H21*factors!CT$3</f>
        <v>0.38607059849399994</v>
      </c>
      <c r="DA21" s="3">
        <f>$H21*factors!CU$3</f>
        <v>0.40083645419999997</v>
      </c>
      <c r="DB21" s="3">
        <f>$H21*factors!CV$3</f>
        <v>0.42673665585600001</v>
      </c>
      <c r="DC21" s="3">
        <f>$H21*factors!CW$3</f>
        <v>0.40864762612799999</v>
      </c>
      <c r="DD21" s="3">
        <f>$H21*factors!CX$3</f>
        <v>0.40576982594399996</v>
      </c>
      <c r="DE21" s="3">
        <f>$H21*factors!CY$3</f>
        <v>0.41769214099200003</v>
      </c>
      <c r="DF21" s="3">
        <f>$H21*factors!CZ$3</f>
        <v>0.41686991236799997</v>
      </c>
      <c r="DG21" s="3">
        <f>$H21*factors!DA$3</f>
        <v>0.41522545512000003</v>
      </c>
      <c r="DH21" s="3">
        <f>$H21*factors!DB$3</f>
        <v>0.41522545512000003</v>
      </c>
      <c r="DI21" s="3">
        <f>$H21*factors!DC$3</f>
        <v>0.399603111264</v>
      </c>
      <c r="DJ21" s="3">
        <f>$H21*factors!DD$3</f>
        <v>0.42344774136000002</v>
      </c>
      <c r="DK21" s="3">
        <f>$H21*factors!DE$3</f>
        <v>0.42344774136000002</v>
      </c>
      <c r="DL21" s="3">
        <f>$H21*factors!DF$3</f>
        <v>0.41851436961600003</v>
      </c>
      <c r="DM21" s="3">
        <f>$H21*factors!DG$3</f>
        <v>0.39425862520799998</v>
      </c>
      <c r="DN21" s="3">
        <f>$H21*factors!DH$3</f>
        <v>0.41358099787200003</v>
      </c>
      <c r="DO21" s="3">
        <f>$H21*factors!DI$3</f>
        <v>0.42714777016799998</v>
      </c>
      <c r="DP21" s="3">
        <f>$H21*factors!DJ$3</f>
        <v>0.42344774136000002</v>
      </c>
      <c r="DQ21" s="3">
        <f>$H21*factors!DK$3</f>
        <v>0.40371425438399999</v>
      </c>
      <c r="DR21" s="3">
        <f>$H21*factors!DL$3</f>
        <v>0.39919199695200003</v>
      </c>
      <c r="DS21" s="3">
        <f>$H21*factors!DM$3</f>
        <v>0.43125891328799998</v>
      </c>
      <c r="DT21" s="3">
        <f>$H21*factors!DN$3</f>
        <v>0.40535871163200005</v>
      </c>
      <c r="DU21" s="3">
        <f>$H21*factors!DO$3</f>
        <v>0.42426996998400002</v>
      </c>
      <c r="DV21" s="3">
        <f>$H21*factors!DP$3</f>
        <v>0.41440322649600003</v>
      </c>
      <c r="DW21" s="3">
        <f>$H21*factors!DQ$3</f>
        <v>0.39549196814399995</v>
      </c>
      <c r="DX21" s="3">
        <f>$H21*factors!DR$3</f>
        <v>0.418925483928</v>
      </c>
      <c r="DY21" s="3">
        <f>$H21*factors!DS$3</f>
        <v>0.39754753970399997</v>
      </c>
      <c r="DZ21" s="3">
        <f>$H21*factors!DT$3</f>
        <v>0.42509219860799996</v>
      </c>
      <c r="EA21" s="3">
        <f>$H21*factors!DU$3</f>
        <v>0.40042533988799994</v>
      </c>
      <c r="EB21" s="3">
        <f>$H21*factors!DV$3</f>
        <v>0.39055859639999996</v>
      </c>
      <c r="EC21" s="3">
        <f>$H21*factors!DW$3</f>
        <v>0.42015882686399997</v>
      </c>
      <c r="ED21" s="3">
        <f>$H21*factors!DX$3</f>
        <v>0.39425862520799998</v>
      </c>
      <c r="EE21" s="3">
        <f>$H21*factors!DY$3</f>
        <v>0.39754753970399997</v>
      </c>
      <c r="EF21" s="3">
        <f>$H21*factors!DZ$3</f>
        <v>0.43125891328799998</v>
      </c>
      <c r="EG21" s="3">
        <f>$H21*factors!EA$3</f>
        <v>0.40289202575999999</v>
      </c>
      <c r="EH21" s="3">
        <f>$H21*factors!EB$3</f>
        <v>0.40412536869600002</v>
      </c>
      <c r="EI21" s="3">
        <f>$H21*factors!EC$3</f>
        <v>0.40330314007200002</v>
      </c>
      <c r="EJ21" s="3">
        <f>$H21*factors!ED$3</f>
        <v>0.39302528227200001</v>
      </c>
      <c r="EK21" s="3">
        <f>$H21*factors!EE$3</f>
        <v>0.42015882686399997</v>
      </c>
      <c r="EL21" s="3">
        <f>$H21*factors!EF$3</f>
        <v>0.399603111264</v>
      </c>
      <c r="EM21" s="3">
        <f>$H21*factors!EG$3</f>
        <v>0.41563656943199995</v>
      </c>
      <c r="EN21" s="3">
        <f>$H21*factors!EH$3</f>
        <v>0.39055859639999996</v>
      </c>
      <c r="EO21" s="3">
        <f>$H21*factors!EI$3</f>
        <v>0.39631419676799995</v>
      </c>
      <c r="EP21" s="3">
        <f>$H21*factors!EJ$3</f>
        <v>0.418103255304</v>
      </c>
      <c r="EQ21" s="3">
        <f>$H21*factors!EK$3</f>
        <v>0.40659205456799996</v>
      </c>
      <c r="ER21" s="3">
        <f>$H21*factors!EL$3</f>
        <v>0.42344774136000002</v>
      </c>
      <c r="ES21" s="3">
        <f>$H21*factors!EM$3</f>
        <v>0.418103255304</v>
      </c>
      <c r="ET21" s="3">
        <f>$H21*factors!EN$3</f>
        <v>0.42755888448000001</v>
      </c>
      <c r="EU21" s="3">
        <f>$H21*factors!EO$3</f>
        <v>0.43167002760000001</v>
      </c>
      <c r="EV21" s="3">
        <f>$H21*factors!EP$3</f>
        <v>0.40453648300799994</v>
      </c>
      <c r="EW21" s="3">
        <f>$H21*factors!EQ$3</f>
        <v>0.44494559392499994</v>
      </c>
      <c r="EX21" s="3">
        <f>$H21*factors!ER$3</f>
        <v>0.44023490910000007</v>
      </c>
      <c r="EY21" s="3">
        <f>$H21*factors!ES$3</f>
        <v>0.44922803467499994</v>
      </c>
      <c r="EZ21" s="3">
        <f>$H21*factors!ET$3</f>
        <v>0.44494559392499994</v>
      </c>
      <c r="FA21" s="3">
        <f>$H21*factors!EU$3</f>
        <v>0.40897309162499995</v>
      </c>
      <c r="FB21" s="3">
        <f>$H21*factors!EV$3</f>
        <v>0.42738758685000006</v>
      </c>
      <c r="FC21" s="3">
        <f>$H21*factors!EW$3</f>
        <v>0.43937842095000001</v>
      </c>
      <c r="FD21" s="3">
        <f>$H21*factors!EX$3</f>
        <v>0.42396163425000005</v>
      </c>
      <c r="FE21" s="3">
        <f>$H21*factors!EY$3</f>
        <v>0.446658570225</v>
      </c>
      <c r="FF21" s="3">
        <f>$H21*factors!EZ$3</f>
        <v>0.44708681430000008</v>
      </c>
      <c r="FG21" s="3">
        <f>$H21*factors!FA$3</f>
        <v>0.40897309162499995</v>
      </c>
      <c r="FH21" s="3">
        <f>$H21*factors!FB$3</f>
        <v>0.43038529537499998</v>
      </c>
      <c r="FI21" s="3">
        <f>$H21*factors!FC$3</f>
        <v>0.44837154652499994</v>
      </c>
      <c r="FJ21" s="3">
        <f>$H21*factors!FD$3</f>
        <v>0.43038529537499998</v>
      </c>
      <c r="FK21" s="3">
        <f>$H21*factors!FE$3</f>
        <v>0.43766544465000007</v>
      </c>
      <c r="FL21" s="3">
        <f>$H21*factors!FF$3</f>
        <v>0.43895017687500004</v>
      </c>
      <c r="FM21" s="3">
        <f>$H21*factors!FG$3</f>
        <v>0.44366086169999996</v>
      </c>
      <c r="FN21" s="3">
        <f>$H21*factors!FH$3</f>
        <v>0.41496850867500001</v>
      </c>
      <c r="FO21" s="3">
        <f>$H21*factors!FI$3</f>
        <v>0.44066315317499999</v>
      </c>
      <c r="FP21" s="3">
        <f>$H21*factors!FJ$3</f>
        <v>0.428244075</v>
      </c>
      <c r="FQ21" s="3">
        <f>$H21*factors!FK$3</f>
        <v>0.42396163425000005</v>
      </c>
      <c r="FR21" s="3">
        <f>$H21*factors!FL$3</f>
        <v>0.43252651575000001</v>
      </c>
      <c r="FS21" s="3">
        <f>$H21*factors!FM$3</f>
        <v>0.4299570513</v>
      </c>
      <c r="FT21" s="3">
        <f>$H21*factors!FN$3</f>
        <v>0.43937842095000001</v>
      </c>
      <c r="FU21" s="3">
        <f>$H21*factors!FO$3</f>
        <v>0.42224865794999999</v>
      </c>
      <c r="FV21" s="3">
        <f>$H21*factors!FP$3</f>
        <v>0.41882270534999999</v>
      </c>
      <c r="FW21" s="3">
        <f>$H21*factors!FQ$3</f>
        <v>0.44837154652499994</v>
      </c>
      <c r="FX21" s="3">
        <f>$H21*factors!FR$3</f>
        <v>0.44023490910000007</v>
      </c>
      <c r="FY21" s="3">
        <f>$H21*factors!FS$3</f>
        <v>0.43124178352499998</v>
      </c>
      <c r="FZ21" s="3">
        <f>$H21*factors!FT$3</f>
        <v>0.40982957977500001</v>
      </c>
      <c r="GA21" s="3">
        <f>$H21*factors!FU$3</f>
        <v>0.43124178352499998</v>
      </c>
      <c r="GB21" s="3">
        <f>$H21*factors!FV$3</f>
        <v>0.44708681430000008</v>
      </c>
      <c r="GC21" s="3">
        <f>$H21*factors!FW$3</f>
        <v>0.41882270534999999</v>
      </c>
      <c r="GD21" s="3">
        <f>$H21*factors!FX$3</f>
        <v>0.42610285462499997</v>
      </c>
      <c r="GE21" s="3">
        <f>$H21*factors!FY$3</f>
        <v>0.42610285462499997</v>
      </c>
      <c r="GF21" s="3">
        <f>$H21*factors!FZ$3</f>
        <v>0.4248181224</v>
      </c>
      <c r="GG21" s="3">
        <f>$H21*factors!GA$3</f>
        <v>0.40811660347500001</v>
      </c>
      <c r="GH21" s="3">
        <f>$H21*factors!GB$3</f>
        <v>0.43423949205000006</v>
      </c>
      <c r="GI21" s="3">
        <f>$H21*factors!GC$3</f>
        <v>0.40726011532500001</v>
      </c>
      <c r="GJ21" s="3">
        <f>$H21*factors!GD$3</f>
        <v>0.40811660347500001</v>
      </c>
      <c r="GK21" s="3">
        <f>$H21*factors!GE$3</f>
        <v>0.41839446127500002</v>
      </c>
      <c r="GL21" s="3">
        <f>$H21*factors!GF$3</f>
        <v>0.44323261762499999</v>
      </c>
      <c r="GM21" s="3">
        <f>$H21*factors!GG$3</f>
        <v>0.42010743757500002</v>
      </c>
      <c r="GN21" s="3">
        <f>$H21*factors!GH$3</f>
        <v>0.43338300390000006</v>
      </c>
      <c r="GO21" s="3">
        <f>$H21*factors!GI$3</f>
        <v>0.40940133569999998</v>
      </c>
      <c r="GP21" s="3">
        <f>$H21*factors!GJ$3</f>
        <v>0.43895017687500004</v>
      </c>
      <c r="GQ21" s="3">
        <f>$H21*factors!GK$3</f>
        <v>0.44794330245000008</v>
      </c>
      <c r="GR21" s="3">
        <f>$H21*factors!GL$3</f>
        <v>0.43937842095000001</v>
      </c>
      <c r="GS21" s="3">
        <f>$H21*factors!GM$3</f>
        <v>0.41551666109099999</v>
      </c>
      <c r="GT21" s="3">
        <f>$H21*factors!GN$3</f>
        <v>0.42508877265540002</v>
      </c>
      <c r="GU21" s="3">
        <f>$H21*factors!GO$3</f>
        <v>0.43509598020000001</v>
      </c>
      <c r="GV21" s="3">
        <f>$H21*factors!GP$3</f>
        <v>0.41769214099200003</v>
      </c>
      <c r="GW21" s="3">
        <f>$H21*factors!GQ$3</f>
        <v>0.43248540431880006</v>
      </c>
      <c r="GX21" s="3">
        <f>$H21*factors!GR$3</f>
        <v>0.42552386863559999</v>
      </c>
      <c r="GY21" s="3">
        <f>$H21*factors!GS$3</f>
        <v>0.42334838873460007</v>
      </c>
      <c r="GZ21" s="3">
        <f>$H21*factors!GT$3</f>
        <v>0.43901184402179999</v>
      </c>
      <c r="HA21" s="3">
        <f>$H21*factors!GU$3</f>
        <v>0.42465367667519999</v>
      </c>
      <c r="HB21" s="3">
        <f>$H21*factors!GV$3</f>
        <v>0.43901184402179999</v>
      </c>
      <c r="HC21" s="3">
        <f>$H21*factors!GW$3</f>
        <v>0.42813444451679999</v>
      </c>
      <c r="HD21" s="3">
        <f>$H21*factors!GX$3</f>
        <v>0.44075222794259994</v>
      </c>
      <c r="HE21" s="3">
        <f>$H21*factors!GY$3</f>
        <v>0.43509598020000001</v>
      </c>
      <c r="HF21" s="3">
        <f>$H21*factors!GZ$3</f>
        <v>0.44858395558620001</v>
      </c>
      <c r="HG21" s="3">
        <f>$H21*factors!HA$3</f>
        <v>0.43118011637820003</v>
      </c>
      <c r="HH21" s="3">
        <f>$H21*factors!HB$3</f>
        <v>0.42552386863559999</v>
      </c>
      <c r="HI21" s="3">
        <f>$H21*factors!HC$3</f>
        <v>0.42030271687320003</v>
      </c>
      <c r="HJ21" s="3">
        <f>$H21*factors!HD$3</f>
        <v>0.41551666109099999</v>
      </c>
      <c r="HK21" s="3">
        <f>$H21*factors!HE$3</f>
        <v>0.43944694000200002</v>
      </c>
      <c r="HL21" s="3">
        <f>$H21*factors!HF$3</f>
        <v>0.41421137315039996</v>
      </c>
      <c r="HM21" s="3">
        <f>$H21*factors!HG$3</f>
        <v>0.41856233295240003</v>
      </c>
      <c r="HN21" s="3">
        <f>$H21*factors!HH$3</f>
        <v>0.44640847568520003</v>
      </c>
      <c r="HO21" s="3">
        <f>$H21*factors!HI$3</f>
        <v>0.42813444451679999</v>
      </c>
      <c r="HP21" s="3">
        <f>$H21*factors!HJ$3</f>
        <v>0.45685077921000006</v>
      </c>
      <c r="HQ21" s="3">
        <f>$H21*factors!HK$3</f>
        <v>0.41769214099200003</v>
      </c>
      <c r="HR21" s="3">
        <f>$H21*factors!HL$3</f>
        <v>0.44292770784360008</v>
      </c>
      <c r="HS21" s="3">
        <f>$H21*factors!HM$3</f>
        <v>0.45075943548720004</v>
      </c>
      <c r="HT21" s="3">
        <f>$H21*factors!HN$3</f>
        <v>0.42030271687320003</v>
      </c>
      <c r="HU21" s="3">
        <f>$H21*factors!HO$3</f>
        <v>0.42465367667519999</v>
      </c>
      <c r="HV21" s="3">
        <f>$H21*factors!HP$3</f>
        <v>0.42987482843760005</v>
      </c>
      <c r="HW21" s="3">
        <f>$H21*factors!HQ$3</f>
        <v>0.43596617216040001</v>
      </c>
      <c r="HX21" s="3">
        <f>$H21*factors!HR$3</f>
        <v>0.45380510734859997</v>
      </c>
      <c r="HY21" s="3">
        <f>$H21*factors!HS$3</f>
        <v>0.43118011637820003</v>
      </c>
      <c r="HZ21" s="3">
        <f>$H21*factors!HT$3</f>
        <v>0.44771376362580001</v>
      </c>
      <c r="IA21" s="3">
        <f>$H21*factors!HU$3</f>
        <v>0.42595896461580002</v>
      </c>
      <c r="IB21" s="3">
        <f>$H21*factors!HV$3</f>
        <v>0.44075222794259994</v>
      </c>
      <c r="IC21" s="3">
        <f>$H21*factors!HW$3</f>
        <v>0.4451031877446</v>
      </c>
      <c r="ID21" s="3">
        <f>$H21*factors!HX$3</f>
        <v>0.41334118118999996</v>
      </c>
      <c r="IE21" s="3">
        <f>$H21*factors!HY$3</f>
        <v>0.43901184402179999</v>
      </c>
      <c r="IF21" s="3">
        <f>$H21*factors!HZ$3</f>
        <v>0.43640126814059998</v>
      </c>
      <c r="IG21" s="3">
        <f>$H21*factors!IA$3</f>
        <v>0.43248540431880006</v>
      </c>
      <c r="IH21" s="3">
        <f>$H21*factors!IB$3</f>
        <v>0.44858395558620001</v>
      </c>
      <c r="II21" s="3">
        <f>$H21*factors!IC$3</f>
        <v>0.42943973245740003</v>
      </c>
      <c r="IJ21" s="3">
        <f>$H21*factors!ID$3</f>
        <v>0.43335559627920001</v>
      </c>
      <c r="IK21" s="3">
        <f>$H21*factors!IE$3</f>
        <v>0.44901905156640004</v>
      </c>
      <c r="IL21" s="3">
        <f>$H21*factors!IF$3</f>
        <v>0.42987482843760005</v>
      </c>
      <c r="IM21" s="3">
        <f>$H21*factors!IG$3</f>
        <v>0.42595896461580002</v>
      </c>
      <c r="IN21" s="3">
        <f>$H21*factors!IH$3</f>
        <v>0.42856954049700002</v>
      </c>
      <c r="IO21" s="3">
        <f>$H21*factors!II$3</f>
        <v>0.43292050029899998</v>
      </c>
      <c r="IP21" s="3">
        <f>$H21*factors!IJ$3</f>
        <v>0.41856233295240003</v>
      </c>
      <c r="IQ21" s="3">
        <f>$H21*factors!IK$3</f>
        <v>0.4172570450118</v>
      </c>
      <c r="IR21" s="3">
        <f>$H21*factors!IL$3</f>
        <v>0.42943973245740003</v>
      </c>
      <c r="IS21" s="3">
        <f>$H21*factors!IM$3</f>
        <v>0.43292050029899998</v>
      </c>
      <c r="IT21" s="3">
        <f>$H21*factors!IN$3</f>
        <v>0.43596617216040001</v>
      </c>
      <c r="IU21" s="3">
        <f>$H21*factors!IO$3</f>
        <v>0.44553828372480003</v>
      </c>
      <c r="IV21" s="3">
        <f>$H21*factors!IP$3</f>
        <v>0.45119453146739996</v>
      </c>
      <c r="IW21" s="3">
        <f>$H21*factors!IQ$3</f>
        <v>0.42639406059599999</v>
      </c>
      <c r="IX21" s="3">
        <f>$H21*factors!IR$3</f>
        <v>0.44553828372480003</v>
      </c>
      <c r="IY21" s="3">
        <f>$H21*factors!IS$3</f>
        <v>0.43901184402179999</v>
      </c>
      <c r="IZ21" s="3">
        <f>$H21*factors!IT$3</f>
        <v>0.44640847568520003</v>
      </c>
      <c r="JA21" s="3">
        <f>$H21*factors!IU$3</f>
        <v>0.42160800481379995</v>
      </c>
      <c r="JB21" s="3">
        <f>$H21*factors!IV$3</f>
        <v>0.42943973245740003</v>
      </c>
      <c r="JC21" s="3">
        <f>$H21*factors!IW$3</f>
        <v>0.41943252491280003</v>
      </c>
      <c r="JD21" s="3">
        <f>$H21*factors!IX$3</f>
        <v>0.45685077921000006</v>
      </c>
      <c r="JE21" s="3">
        <f>$H21*factors!IY$3</f>
        <v>0.42073781285340001</v>
      </c>
      <c r="JF21" s="3">
        <f>$H21*factors!IZ$3</f>
        <v>0.44162241990299994</v>
      </c>
      <c r="JG21" s="3">
        <f>$H21*factors!JA$3</f>
        <v>0.43379069225939998</v>
      </c>
      <c r="JH21" s="3">
        <f>$H21*factors!JB$3</f>
        <v>0.44205751588320008</v>
      </c>
      <c r="JI21" s="3">
        <f>$H21*factors!JC$3</f>
        <v>0.41377627717020005</v>
      </c>
      <c r="JJ21" s="3">
        <f>$H21*factors!JD$3</f>
        <v>0.44553828372480003</v>
      </c>
      <c r="JK21" s="3">
        <f>$H21*factors!JE$3</f>
        <v>0.43118011637820003</v>
      </c>
      <c r="JL21" s="3">
        <f>$H21*factors!JF$3</f>
        <v>0.44858395558620001</v>
      </c>
      <c r="JM21" s="3">
        <f>$H21*factors!JG$3</f>
        <v>0.41856233295240003</v>
      </c>
      <c r="JN21" s="3">
        <f>$H21*factors!JH$3</f>
        <v>0.41856233295240003</v>
      </c>
      <c r="JO21" s="3">
        <f>$H21*factors!JI$3</f>
        <v>0.41334118118999996</v>
      </c>
      <c r="JP21" s="3">
        <f>$H21*factors!JJ$3</f>
        <v>0.44684357166540001</v>
      </c>
      <c r="JQ21" s="3">
        <f>$H21*factors!JK$3</f>
        <v>0.43553107618019998</v>
      </c>
      <c r="JR21" s="3">
        <f>$H21*factors!JL$3</f>
        <v>0.45249981940799999</v>
      </c>
      <c r="JS21" s="3">
        <f>$H21*factors!JM$3</f>
        <v>0.41334118118999996</v>
      </c>
      <c r="JT21" s="3">
        <f>$H21*factors!JN$3</f>
        <v>0.43422578823960001</v>
      </c>
      <c r="JU21" s="3">
        <f>$H21*factors!JO$3</f>
        <v>0.419867620893</v>
      </c>
      <c r="JV21" s="3">
        <f>$H21*factors!JP$3</f>
        <v>0.42682915657620002</v>
      </c>
      <c r="JW21" s="3">
        <f>$H21*factors!JQ$3</f>
        <v>0.45598058724960006</v>
      </c>
      <c r="JX21" s="3">
        <f>$H21*factors!JR$3</f>
        <v>0.45162962744759999</v>
      </c>
      <c r="JY21" s="3">
        <f>$H21*factors!JS$3</f>
        <v>0.42508877265540002</v>
      </c>
      <c r="JZ21" s="3">
        <f>$H21*factors!JT$3</f>
        <v>0.42987482843760005</v>
      </c>
      <c r="KA21" s="3">
        <f>$H21*factors!JU$3</f>
        <v>0.43161521235840006</v>
      </c>
      <c r="KB21" s="3">
        <f>$H21*factors!JV$3</f>
        <v>0.4172570450118</v>
      </c>
      <c r="KC21" s="3">
        <f>$H21*factors!JW$3</f>
        <v>0.41943252491280003</v>
      </c>
      <c r="KD21" s="3">
        <f>$H21*factors!JX$3</f>
        <v>0.419867620893</v>
      </c>
      <c r="KE21" s="3">
        <f>$H21*factors!JY$3</f>
        <v>0.44684357166540001</v>
      </c>
      <c r="KF21" s="3">
        <f>$H21*factors!JZ$3</f>
        <v>0.45206472342779996</v>
      </c>
      <c r="KG21" s="3">
        <f>$H21*factors!KA$3</f>
        <v>0.43596617216040001</v>
      </c>
      <c r="KH21" s="3">
        <f>$H21*factors!KB$3</f>
        <v>0.42639406059599999</v>
      </c>
      <c r="KI21" s="3">
        <f>$H21*factors!KC$3</f>
        <v>0.42247819677419995</v>
      </c>
    </row>
    <row r="22" spans="1:295" x14ac:dyDescent="0.55000000000000004">
      <c r="A22" t="s">
        <v>398</v>
      </c>
      <c r="B22">
        <v>21</v>
      </c>
      <c r="C22">
        <v>230</v>
      </c>
      <c r="D22" t="s">
        <v>377</v>
      </c>
      <c r="E22">
        <v>3.3630000000000001E-3</v>
      </c>
      <c r="F22">
        <v>21</v>
      </c>
      <c r="G22">
        <f>VLOOKUP(D22,demand_forecasted!$A$2:$G$11,2)</f>
        <v>11098</v>
      </c>
      <c r="H22" s="3">
        <f t="shared" si="0"/>
        <v>0.37322574000000003</v>
      </c>
      <c r="I22" s="3">
        <f>$H22*factors!C$3</f>
        <v>0.41316089418000002</v>
      </c>
      <c r="J22" s="3">
        <f>$H22*factors!D$3</f>
        <v>0.39824679360960002</v>
      </c>
      <c r="K22" s="3">
        <f>$H22*factors!E$3</f>
        <v>0.39139436902320007</v>
      </c>
      <c r="L22" s="3">
        <f>$H22*factors!F$3</f>
        <v>0.3901851176256001</v>
      </c>
      <c r="M22" s="3">
        <f>$H22*factors!G$3</f>
        <v>0.38978203382640003</v>
      </c>
      <c r="N22" s="3">
        <f>$H22*factors!H$3</f>
        <v>0.40106838020400004</v>
      </c>
      <c r="O22" s="3">
        <f>$H22*factors!I$3</f>
        <v>0.40993622378640004</v>
      </c>
      <c r="P22" s="3">
        <f>$H22*factors!J$3</f>
        <v>0.41477322937680006</v>
      </c>
      <c r="Q22" s="3">
        <f>$H22*factors!K$3</f>
        <v>0.38937895002720002</v>
      </c>
      <c r="R22" s="3">
        <f>$H22*factors!L$3</f>
        <v>0.38292960924000002</v>
      </c>
      <c r="S22" s="3">
        <f>$H22*factors!M$3</f>
        <v>0.39864987740880004</v>
      </c>
      <c r="T22" s="3">
        <f>$H22*factors!N$3</f>
        <v>0.41235472658160005</v>
      </c>
      <c r="U22" s="3">
        <f>$H22*factors!O$3</f>
        <v>0.39058820142480005</v>
      </c>
      <c r="V22" s="3">
        <f>$H22*factors!P$3</f>
        <v>0.40630846959360006</v>
      </c>
      <c r="W22" s="3">
        <f>$H22*factors!Q$3</f>
        <v>0.40993622378640004</v>
      </c>
      <c r="X22" s="3">
        <f>$H22*factors!R$3</f>
        <v>0.39220053662160004</v>
      </c>
      <c r="Y22" s="3">
        <f>$H22*factors!S$3</f>
        <v>0.38857278242880006</v>
      </c>
      <c r="Z22" s="3">
        <f>$H22*factors!T$3</f>
        <v>0.41920715116800011</v>
      </c>
      <c r="AA22" s="3">
        <f>$H22*factors!U$3</f>
        <v>0.39582829081440002</v>
      </c>
      <c r="AB22" s="3">
        <f>$H22*factors!V$3</f>
        <v>0.39623137461360008</v>
      </c>
      <c r="AC22" s="3">
        <f>$H22*factors!W$3</f>
        <v>0.39663445841280009</v>
      </c>
      <c r="AD22" s="3">
        <f>$H22*factors!X$3</f>
        <v>0.38816969862960005</v>
      </c>
      <c r="AE22" s="3">
        <f>$H22*factors!Y$3</f>
        <v>0.39139436902320007</v>
      </c>
      <c r="AF22" s="3">
        <f>$H22*factors!Z$3</f>
        <v>0.39945604500720006</v>
      </c>
      <c r="AG22" s="3">
        <f>$H22*factors!AA$3</f>
        <v>0.38937895002720002</v>
      </c>
      <c r="AH22" s="3">
        <f>$H22*factors!AB$3</f>
        <v>0.38776661483040009</v>
      </c>
      <c r="AI22" s="3">
        <f>$H22*factors!AC$3</f>
        <v>0.40026221260560008</v>
      </c>
      <c r="AJ22" s="3">
        <f>$H22*factors!AD$3</f>
        <v>0.41557939697520002</v>
      </c>
      <c r="AK22" s="3">
        <f>$H22*factors!AE$3</f>
        <v>0.39985912880640007</v>
      </c>
      <c r="AL22" s="3">
        <f>$H22*factors!AF$3</f>
        <v>0.3841388606376</v>
      </c>
      <c r="AM22" s="3">
        <f>$H22*factors!AG$3</f>
        <v>0.39502212321600005</v>
      </c>
      <c r="AN22" s="3">
        <f>$H22*factors!AH$3</f>
        <v>0.38857278242880006</v>
      </c>
      <c r="AO22" s="3">
        <f>$H22*factors!AI$3</f>
        <v>0.40711463719200003</v>
      </c>
      <c r="AP22" s="3">
        <f>$H22*factors!AJ$3</f>
        <v>0.3901851176256001</v>
      </c>
      <c r="AQ22" s="3">
        <f>$H22*factors!AK$3</f>
        <v>0.40268071540080008</v>
      </c>
      <c r="AR22" s="3">
        <f>$H22*factors!AL$3</f>
        <v>0.39381287181840008</v>
      </c>
      <c r="AS22" s="3">
        <f>$H22*factors!AM$3</f>
        <v>0.3841388606376</v>
      </c>
      <c r="AT22" s="3">
        <f>$H22*factors!AN$3</f>
        <v>0.39623137461360008</v>
      </c>
      <c r="AU22" s="3">
        <f>$H22*factors!AO$3</f>
        <v>0.41961023496720001</v>
      </c>
      <c r="AV22" s="3">
        <f>$H22*factors!AP$3</f>
        <v>0.39663445841280009</v>
      </c>
      <c r="AW22" s="3">
        <f>$H22*factors!AQ$3</f>
        <v>0.39260362042079999</v>
      </c>
      <c r="AX22" s="3">
        <f>$H22*factors!AR$3</f>
        <v>0.41517631317600007</v>
      </c>
      <c r="AY22" s="3">
        <f>$H22*factors!AS$3</f>
        <v>0.38292960924000002</v>
      </c>
      <c r="AZ22" s="3">
        <f>$H22*factors!AT$3</f>
        <v>0.41033930758560011</v>
      </c>
      <c r="BA22" s="3">
        <f>$H22*factors!AU$3</f>
        <v>0.4014714640032</v>
      </c>
      <c r="BB22" s="3">
        <f>$H22*factors!AV$3</f>
        <v>0.39623137461360008</v>
      </c>
      <c r="BC22" s="3">
        <f>$H22*factors!AW$3</f>
        <v>0.41920715116800011</v>
      </c>
      <c r="BD22" s="3">
        <f>$H22*factors!AX$3</f>
        <v>0.38696044723200002</v>
      </c>
      <c r="BE22" s="3">
        <f>$H22*factors!AY$3</f>
        <v>0.45493978351559999</v>
      </c>
      <c r="BF22" s="3">
        <f>$H22*factors!AZ$3</f>
        <v>0.42367093101840003</v>
      </c>
      <c r="BG22" s="3">
        <f>$H22*factors!BA$3</f>
        <v>0.42983662024319996</v>
      </c>
      <c r="BH22" s="3">
        <f>$H22*factors!BB$3</f>
        <v>0.43556190309480003</v>
      </c>
      <c r="BI22" s="3">
        <f>$H22*factors!BC$3</f>
        <v>0.45141653252999997</v>
      </c>
      <c r="BJ22" s="3">
        <f>$H22*factors!BD$3</f>
        <v>0.4311578393628</v>
      </c>
      <c r="BK22" s="3">
        <f>$H22*factors!BE$3</f>
        <v>0.43203865210919995</v>
      </c>
      <c r="BL22" s="3">
        <f>$H22*factors!BF$3</f>
        <v>0.42719418200399994</v>
      </c>
      <c r="BM22" s="3">
        <f>$H22*factors!BG$3</f>
        <v>0.45626100263520003</v>
      </c>
      <c r="BN22" s="3">
        <f>$H22*factors!BH$3</f>
        <v>0.45053571978359996</v>
      </c>
      <c r="BO22" s="3">
        <f>$H22*factors!BI$3</f>
        <v>0.42367093101840003</v>
      </c>
      <c r="BP22" s="3">
        <f>$H22*factors!BJ$3</f>
        <v>0.4223497118988</v>
      </c>
      <c r="BQ22" s="3">
        <f>$H22*factors!BK$3</f>
        <v>0.42939621386999999</v>
      </c>
      <c r="BR22" s="3">
        <f>$H22*factors!BL$3</f>
        <v>0.44481043693200001</v>
      </c>
      <c r="BS22" s="3">
        <f>$H22*factors!BM$3</f>
        <v>0.4518569389032</v>
      </c>
      <c r="BT22" s="3">
        <f>$H22*factors!BN$3</f>
        <v>0.45317815802279998</v>
      </c>
      <c r="BU22" s="3">
        <f>$H22*factors!BO$3</f>
        <v>0.46066506636720006</v>
      </c>
      <c r="BV22" s="3">
        <f>$H22*factors!BP$3</f>
        <v>0.42851540112359998</v>
      </c>
      <c r="BW22" s="3">
        <f>$H22*factors!BQ$3</f>
        <v>0.43820434133399999</v>
      </c>
      <c r="BX22" s="3">
        <f>$H22*factors!BR$3</f>
        <v>0.42983662024319996</v>
      </c>
      <c r="BY22" s="3">
        <f>$H22*factors!BS$3</f>
        <v>0.44965490703719996</v>
      </c>
      <c r="BZ22" s="3">
        <f>$H22*factors!BT$3</f>
        <v>0.44128718594639998</v>
      </c>
      <c r="CA22" s="3">
        <f>$H22*factors!BU$3</f>
        <v>0.43556190309480003</v>
      </c>
      <c r="CB22" s="3">
        <f>$H22*factors!BV$3</f>
        <v>0.42146889915239999</v>
      </c>
      <c r="CC22" s="3">
        <f>$H22*factors!BW$3</f>
        <v>0.43380027760200002</v>
      </c>
      <c r="CD22" s="3">
        <f>$H22*factors!BX$3</f>
        <v>0.43512149672160005</v>
      </c>
      <c r="CE22" s="3">
        <f>$H22*factors!BY$3</f>
        <v>0.44128718594639998</v>
      </c>
      <c r="CF22" s="3">
        <f>$H22*factors!BZ$3</f>
        <v>0.43468109034840002</v>
      </c>
      <c r="CG22" s="3">
        <f>$H22*factors!CA$3</f>
        <v>0.42014768003279995</v>
      </c>
      <c r="CH22" s="3">
        <f>$H22*factors!CB$3</f>
        <v>0.42058808640599993</v>
      </c>
      <c r="CI22" s="3">
        <f>$H22*factors!CC$3</f>
        <v>0.41838605454000005</v>
      </c>
      <c r="CJ22" s="3">
        <f>$H22*factors!CD$3</f>
        <v>0.43556190309480003</v>
      </c>
      <c r="CK22" s="3">
        <f>$H22*factors!CE$3</f>
        <v>0.45493978351559999</v>
      </c>
      <c r="CL22" s="3">
        <f>$H22*factors!CF$3</f>
        <v>0.42631336925759999</v>
      </c>
      <c r="CM22" s="3">
        <f>$H22*factors!CG$3</f>
        <v>0.43644271584119998</v>
      </c>
      <c r="CN22" s="3">
        <f>$H22*factors!CH$3</f>
        <v>0.42190930552559996</v>
      </c>
      <c r="CO22" s="3">
        <f>$H22*factors!CI$3</f>
        <v>0.42499215013799996</v>
      </c>
      <c r="CP22" s="3">
        <f>$H22*factors!CJ$3</f>
        <v>0.44525084330519993</v>
      </c>
      <c r="CQ22" s="3">
        <f>$H22*factors!CK$3</f>
        <v>0.43203865210919995</v>
      </c>
      <c r="CR22" s="3">
        <f>$H22*factors!CL$3</f>
        <v>0.44569124967840001</v>
      </c>
      <c r="CS22" s="3">
        <f>$H22*factors!CM$3</f>
        <v>0.4597842536208</v>
      </c>
      <c r="CT22" s="3">
        <f>$H22*factors!CN$3</f>
        <v>0.45449937714240002</v>
      </c>
      <c r="CU22" s="3">
        <f>$H22*factors!CO$3</f>
        <v>0.44437003055879998</v>
      </c>
      <c r="CV22" s="3">
        <f>$H22*factors!CP$3</f>
        <v>0.46242669186000002</v>
      </c>
      <c r="CW22" s="3">
        <f>$H22*factors!CQ$3</f>
        <v>0.43732352858760004</v>
      </c>
      <c r="CX22" s="3">
        <f>$H22*factors!CR$3</f>
        <v>0.43071743298960002</v>
      </c>
      <c r="CY22" s="3">
        <f>$H22*factors!CS$3</f>
        <v>0.42675377563079997</v>
      </c>
      <c r="CZ22" s="3">
        <f>$H22*factors!CT$3</f>
        <v>0.42058808640599993</v>
      </c>
      <c r="DA22" s="3">
        <f>$H22*factors!CU$3</f>
        <v>0.43667411579999998</v>
      </c>
      <c r="DB22" s="3">
        <f>$H22*factors!CV$3</f>
        <v>0.46488998174400004</v>
      </c>
      <c r="DC22" s="3">
        <f>$H22*factors!CW$3</f>
        <v>0.44518366267199999</v>
      </c>
      <c r="DD22" s="3">
        <f>$H22*factors!CX$3</f>
        <v>0.44204856645599999</v>
      </c>
      <c r="DE22" s="3">
        <f>$H22*factors!CY$3</f>
        <v>0.45503682220800007</v>
      </c>
      <c r="DF22" s="3">
        <f>$H22*factors!CZ$3</f>
        <v>0.45414108043199997</v>
      </c>
      <c r="DG22" s="3">
        <f>$H22*factors!DA$3</f>
        <v>0.45234959688000004</v>
      </c>
      <c r="DH22" s="3">
        <f>$H22*factors!DB$3</f>
        <v>0.45234959688000004</v>
      </c>
      <c r="DI22" s="3">
        <f>$H22*factors!DC$3</f>
        <v>0.43533050313599997</v>
      </c>
      <c r="DJ22" s="3">
        <f>$H22*factors!DD$3</f>
        <v>0.46130701464000001</v>
      </c>
      <c r="DK22" s="3">
        <f>$H22*factors!DE$3</f>
        <v>0.46130701464000001</v>
      </c>
      <c r="DL22" s="3">
        <f>$H22*factors!DF$3</f>
        <v>0.45593256398400006</v>
      </c>
      <c r="DM22" s="3">
        <f>$H22*factors!DG$3</f>
        <v>0.42950818159199999</v>
      </c>
      <c r="DN22" s="3">
        <f>$H22*factors!DH$3</f>
        <v>0.45055811332800005</v>
      </c>
      <c r="DO22" s="3">
        <f>$H22*factors!DI$3</f>
        <v>0.465337852632</v>
      </c>
      <c r="DP22" s="3">
        <f>$H22*factors!DJ$3</f>
        <v>0.46130701464000001</v>
      </c>
      <c r="DQ22" s="3">
        <f>$H22*factors!DK$3</f>
        <v>0.43980921201599998</v>
      </c>
      <c r="DR22" s="3">
        <f>$H22*factors!DL$3</f>
        <v>0.43488263224800006</v>
      </c>
      <c r="DS22" s="3">
        <f>$H22*factors!DM$3</f>
        <v>0.46981656151200002</v>
      </c>
      <c r="DT22" s="3">
        <f>$H22*factors!DN$3</f>
        <v>0.44160069556800002</v>
      </c>
      <c r="DU22" s="3">
        <f>$H22*factors!DO$3</f>
        <v>0.462202756416</v>
      </c>
      <c r="DV22" s="3">
        <f>$H22*factors!DP$3</f>
        <v>0.45145385510400005</v>
      </c>
      <c r="DW22" s="3">
        <f>$H22*factors!DQ$3</f>
        <v>0.43085179425600001</v>
      </c>
      <c r="DX22" s="3">
        <f>$H22*factors!DR$3</f>
        <v>0.45638043487199997</v>
      </c>
      <c r="DY22" s="3">
        <f>$H22*factors!DS$3</f>
        <v>0.43309114869599996</v>
      </c>
      <c r="DZ22" s="3">
        <f>$H22*factors!DT$3</f>
        <v>0.463098498192</v>
      </c>
      <c r="EA22" s="3">
        <f>$H22*factors!DU$3</f>
        <v>0.43622624491199996</v>
      </c>
      <c r="EB22" s="3">
        <f>$H22*factors!DV$3</f>
        <v>0.4254773436</v>
      </c>
      <c r="EC22" s="3">
        <f>$H22*factors!DW$3</f>
        <v>0.45772404753599999</v>
      </c>
      <c r="ED22" s="3">
        <f>$H22*factors!DX$3</f>
        <v>0.42950818159199999</v>
      </c>
      <c r="EE22" s="3">
        <f>$H22*factors!DY$3</f>
        <v>0.43309114869599996</v>
      </c>
      <c r="EF22" s="3">
        <f>$H22*factors!DZ$3</f>
        <v>0.46981656151200002</v>
      </c>
      <c r="EG22" s="3">
        <f>$H22*factors!EA$3</f>
        <v>0.43891347023999999</v>
      </c>
      <c r="EH22" s="3">
        <f>$H22*factors!EB$3</f>
        <v>0.44025708290400001</v>
      </c>
      <c r="EI22" s="3">
        <f>$H22*factors!EC$3</f>
        <v>0.43936134112800002</v>
      </c>
      <c r="EJ22" s="3">
        <f>$H22*factors!ED$3</f>
        <v>0.42816456892800003</v>
      </c>
      <c r="EK22" s="3">
        <f>$H22*factors!EE$3</f>
        <v>0.45772404753599999</v>
      </c>
      <c r="EL22" s="3">
        <f>$H22*factors!EF$3</f>
        <v>0.43533050313599997</v>
      </c>
      <c r="EM22" s="3">
        <f>$H22*factors!EG$3</f>
        <v>0.45279746776799995</v>
      </c>
      <c r="EN22" s="3">
        <f>$H22*factors!EH$3</f>
        <v>0.4254773436</v>
      </c>
      <c r="EO22" s="3">
        <f>$H22*factors!EI$3</f>
        <v>0.43174753603199995</v>
      </c>
      <c r="EP22" s="3">
        <f>$H22*factors!EJ$3</f>
        <v>0.45548469309599998</v>
      </c>
      <c r="EQ22" s="3">
        <f>$H22*factors!EK$3</f>
        <v>0.44294430823199998</v>
      </c>
      <c r="ER22" s="3">
        <f>$H22*factors!EL$3</f>
        <v>0.46130701464000001</v>
      </c>
      <c r="ES22" s="3">
        <f>$H22*factors!EM$3</f>
        <v>0.45548469309599998</v>
      </c>
      <c r="ET22" s="3">
        <f>$H22*factors!EN$3</f>
        <v>0.46578572352000003</v>
      </c>
      <c r="EU22" s="3">
        <f>$H22*factors!EO$3</f>
        <v>0.47026443240000004</v>
      </c>
      <c r="EV22" s="3">
        <f>$H22*factors!EP$3</f>
        <v>0.44070495379199998</v>
      </c>
      <c r="EW22" s="3">
        <f>$H22*factors!EQ$3</f>
        <v>0.48472692982499999</v>
      </c>
      <c r="EX22" s="3">
        <f>$H22*factors!ER$3</f>
        <v>0.47959507590000011</v>
      </c>
      <c r="EY22" s="3">
        <f>$H22*factors!ES$3</f>
        <v>0.48939225157499994</v>
      </c>
      <c r="EZ22" s="3">
        <f>$H22*factors!ET$3</f>
        <v>0.48472692982499999</v>
      </c>
      <c r="FA22" s="3">
        <f>$H22*factors!EU$3</f>
        <v>0.44553822712499996</v>
      </c>
      <c r="FB22" s="3">
        <f>$H22*factors!EV$3</f>
        <v>0.46559911065000004</v>
      </c>
      <c r="FC22" s="3">
        <f>$H22*factors!EW$3</f>
        <v>0.47866201155000004</v>
      </c>
      <c r="FD22" s="3">
        <f>$H22*factors!EX$3</f>
        <v>0.46186685325000004</v>
      </c>
      <c r="FE22" s="3">
        <f>$H22*factors!EY$3</f>
        <v>0.48659305852500001</v>
      </c>
      <c r="FF22" s="3">
        <f>$H22*factors!EZ$3</f>
        <v>0.4870595907000001</v>
      </c>
      <c r="FG22" s="3">
        <f>$H22*factors!FA$3</f>
        <v>0.44553822712499996</v>
      </c>
      <c r="FH22" s="3">
        <f>$H22*factors!FB$3</f>
        <v>0.468864835875</v>
      </c>
      <c r="FI22" s="3">
        <f>$H22*factors!FC$3</f>
        <v>0.48845918722499998</v>
      </c>
      <c r="FJ22" s="3">
        <f>$H22*factors!FD$3</f>
        <v>0.468864835875</v>
      </c>
      <c r="FK22" s="3">
        <f>$H22*factors!FE$3</f>
        <v>0.47679588285000007</v>
      </c>
      <c r="FL22" s="3">
        <f>$H22*factors!FF$3</f>
        <v>0.47819547937500001</v>
      </c>
      <c r="FM22" s="3">
        <f>$H22*factors!FG$3</f>
        <v>0.48332733329999999</v>
      </c>
      <c r="FN22" s="3">
        <f>$H22*factors!FH$3</f>
        <v>0.452069677575</v>
      </c>
      <c r="FO22" s="3">
        <f>$H22*factors!FI$3</f>
        <v>0.48006160807499998</v>
      </c>
      <c r="FP22" s="3">
        <f>$H22*factors!FJ$3</f>
        <v>0.46653217500000005</v>
      </c>
      <c r="FQ22" s="3">
        <f>$H22*factors!FK$3</f>
        <v>0.46186685325000004</v>
      </c>
      <c r="FR22" s="3">
        <f>$H22*factors!FL$3</f>
        <v>0.47119749675</v>
      </c>
      <c r="FS22" s="3">
        <f>$H22*factors!FM$3</f>
        <v>0.46839830370000002</v>
      </c>
      <c r="FT22" s="3">
        <f>$H22*factors!FN$3</f>
        <v>0.47866201155000004</v>
      </c>
      <c r="FU22" s="3">
        <f>$H22*factors!FO$3</f>
        <v>0.46000072455000002</v>
      </c>
      <c r="FV22" s="3">
        <f>$H22*factors!FP$3</f>
        <v>0.45626846715000002</v>
      </c>
      <c r="FW22" s="3">
        <f>$H22*factors!FQ$3</f>
        <v>0.48845918722499998</v>
      </c>
      <c r="FX22" s="3">
        <f>$H22*factors!FR$3</f>
        <v>0.47959507590000011</v>
      </c>
      <c r="FY22" s="3">
        <f>$H22*factors!FS$3</f>
        <v>0.46979790022499995</v>
      </c>
      <c r="FZ22" s="3">
        <f>$H22*factors!FT$3</f>
        <v>0.44647129147500003</v>
      </c>
      <c r="GA22" s="3">
        <f>$H22*factors!FU$3</f>
        <v>0.46979790022499995</v>
      </c>
      <c r="GB22" s="3">
        <f>$H22*factors!FV$3</f>
        <v>0.4870595907000001</v>
      </c>
      <c r="GC22" s="3">
        <f>$H22*factors!FW$3</f>
        <v>0.45626846715000002</v>
      </c>
      <c r="GD22" s="3">
        <f>$H22*factors!FX$3</f>
        <v>0.46419951412499999</v>
      </c>
      <c r="GE22" s="3">
        <f>$H22*factors!FY$3</f>
        <v>0.46419951412499999</v>
      </c>
      <c r="GF22" s="3">
        <f>$H22*factors!FZ$3</f>
        <v>0.46279991760000005</v>
      </c>
      <c r="GG22" s="3">
        <f>$H22*factors!GA$3</f>
        <v>0.44460516277500001</v>
      </c>
      <c r="GH22" s="3">
        <f>$H22*factors!GB$3</f>
        <v>0.47306362545000008</v>
      </c>
      <c r="GI22" s="3">
        <f>$H22*factors!GC$3</f>
        <v>0.44367209842500005</v>
      </c>
      <c r="GJ22" s="3">
        <f>$H22*factors!GD$3</f>
        <v>0.44460516277500001</v>
      </c>
      <c r="GK22" s="3">
        <f>$H22*factors!GE$3</f>
        <v>0.45580193497499999</v>
      </c>
      <c r="GL22" s="3">
        <f>$H22*factors!GF$3</f>
        <v>0.48286080112500002</v>
      </c>
      <c r="GM22" s="3">
        <f>$H22*factors!GG$3</f>
        <v>0.45766806367500007</v>
      </c>
      <c r="GN22" s="3">
        <f>$H22*factors!GH$3</f>
        <v>0.47213056110000007</v>
      </c>
      <c r="GO22" s="3">
        <f>$H22*factors!GI$3</f>
        <v>0.4460047593</v>
      </c>
      <c r="GP22" s="3">
        <f>$H22*factors!GJ$3</f>
        <v>0.47819547937500001</v>
      </c>
      <c r="GQ22" s="3">
        <f>$H22*factors!GK$3</f>
        <v>0.48799265505000006</v>
      </c>
      <c r="GR22" s="3">
        <f>$H22*factors!GL$3</f>
        <v>0.47866201155000004</v>
      </c>
      <c r="GS22" s="3">
        <f>$H22*factors!GM$3</f>
        <v>0.45266683875900005</v>
      </c>
      <c r="GT22" s="3">
        <f>$H22*factors!GN$3</f>
        <v>0.46309476593460008</v>
      </c>
      <c r="GU22" s="3">
        <f>$H22*factors!GO$3</f>
        <v>0.47399668980000004</v>
      </c>
      <c r="GV22" s="3">
        <f>$H22*factors!GP$3</f>
        <v>0.45503682220800007</v>
      </c>
      <c r="GW22" s="3">
        <f>$H22*factors!GQ$3</f>
        <v>0.47115270966120004</v>
      </c>
      <c r="GX22" s="3">
        <f>$H22*factors!GR$3</f>
        <v>0.4635687626244</v>
      </c>
      <c r="GY22" s="3">
        <f>$H22*factors!GS$3</f>
        <v>0.46119877917540009</v>
      </c>
      <c r="GZ22" s="3">
        <f>$H22*factors!GT$3</f>
        <v>0.4782626600082</v>
      </c>
      <c r="HA22" s="3">
        <f>$H22*factors!GU$3</f>
        <v>0.4626207692448</v>
      </c>
      <c r="HB22" s="3">
        <f>$H22*factors!GV$3</f>
        <v>0.4782626600082</v>
      </c>
      <c r="HC22" s="3">
        <f>$H22*factors!GW$3</f>
        <v>0.46641274276319999</v>
      </c>
      <c r="HD22" s="3">
        <f>$H22*factors!GX$3</f>
        <v>0.48015864676739994</v>
      </c>
      <c r="HE22" s="3">
        <f>$H22*factors!GY$3</f>
        <v>0.47399668980000004</v>
      </c>
      <c r="HF22" s="3">
        <f>$H22*factors!GZ$3</f>
        <v>0.48869058718379998</v>
      </c>
      <c r="HG22" s="3">
        <f>$H22*factors!HA$3</f>
        <v>0.46973071959180002</v>
      </c>
      <c r="HH22" s="3">
        <f>$H22*factors!HB$3</f>
        <v>0.4635687626244</v>
      </c>
      <c r="HI22" s="3">
        <f>$H22*factors!HC$3</f>
        <v>0.45788080234680006</v>
      </c>
      <c r="HJ22" s="3">
        <f>$H22*factors!HD$3</f>
        <v>0.45266683875900005</v>
      </c>
      <c r="HK22" s="3">
        <f>$H22*factors!HE$3</f>
        <v>0.47873665669800003</v>
      </c>
      <c r="HL22" s="3">
        <f>$H22*factors!HF$3</f>
        <v>0.45124484868960002</v>
      </c>
      <c r="HM22" s="3">
        <f>$H22*factors!HG$3</f>
        <v>0.45598481558760007</v>
      </c>
      <c r="HN22" s="3">
        <f>$H22*factors!HH$3</f>
        <v>0.48632060373480007</v>
      </c>
      <c r="HO22" s="3">
        <f>$H22*factors!HI$3</f>
        <v>0.46641274276319999</v>
      </c>
      <c r="HP22" s="3">
        <f>$H22*factors!HJ$3</f>
        <v>0.49769652429000011</v>
      </c>
      <c r="HQ22" s="3">
        <f>$H22*factors!HK$3</f>
        <v>0.45503682220800007</v>
      </c>
      <c r="HR22" s="3">
        <f>$H22*factors!HL$3</f>
        <v>0.48252863021640008</v>
      </c>
      <c r="HS22" s="3">
        <f>$H22*factors!HM$3</f>
        <v>0.49106057063280006</v>
      </c>
      <c r="HT22" s="3">
        <f>$H22*factors!HN$3</f>
        <v>0.45788080234680006</v>
      </c>
      <c r="HU22" s="3">
        <f>$H22*factors!HO$3</f>
        <v>0.4626207692448</v>
      </c>
      <c r="HV22" s="3">
        <f>$H22*factors!HP$3</f>
        <v>0.46830872952240005</v>
      </c>
      <c r="HW22" s="3">
        <f>$H22*factors!HQ$3</f>
        <v>0.47494468317960004</v>
      </c>
      <c r="HX22" s="3">
        <f>$H22*factors!HR$3</f>
        <v>0.49437854746139998</v>
      </c>
      <c r="HY22" s="3">
        <f>$H22*factors!HS$3</f>
        <v>0.46973071959180002</v>
      </c>
      <c r="HZ22" s="3">
        <f>$H22*factors!HT$3</f>
        <v>0.48774259380419999</v>
      </c>
      <c r="IA22" s="3">
        <f>$H22*factors!HU$3</f>
        <v>0.46404275931420003</v>
      </c>
      <c r="IB22" s="3">
        <f>$H22*factors!HV$3</f>
        <v>0.48015864676739994</v>
      </c>
      <c r="IC22" s="3">
        <f>$H22*factors!HW$3</f>
        <v>0.48489861366540005</v>
      </c>
      <c r="ID22" s="3">
        <f>$H22*factors!HX$3</f>
        <v>0.45029685531000002</v>
      </c>
      <c r="IE22" s="3">
        <f>$H22*factors!HY$3</f>
        <v>0.4782626600082</v>
      </c>
      <c r="IF22" s="3">
        <f>$H22*factors!HZ$3</f>
        <v>0.47541867986940001</v>
      </c>
      <c r="IG22" s="3">
        <f>$H22*factors!IA$3</f>
        <v>0.47115270966120004</v>
      </c>
      <c r="IH22" s="3">
        <f>$H22*factors!IB$3</f>
        <v>0.48869058718379998</v>
      </c>
      <c r="II22" s="3">
        <f>$H22*factors!IC$3</f>
        <v>0.46783473283260002</v>
      </c>
      <c r="IJ22" s="3">
        <f>$H22*factors!ID$3</f>
        <v>0.47210070304080004</v>
      </c>
      <c r="IK22" s="3">
        <f>$H22*factors!IE$3</f>
        <v>0.48916458387360007</v>
      </c>
      <c r="IL22" s="3">
        <f>$H22*factors!IF$3</f>
        <v>0.46830872952240005</v>
      </c>
      <c r="IM22" s="3">
        <f>$H22*factors!IG$3</f>
        <v>0.46404275931420003</v>
      </c>
      <c r="IN22" s="3">
        <f>$H22*factors!IH$3</f>
        <v>0.46688673945300002</v>
      </c>
      <c r="IO22" s="3">
        <f>$H22*factors!II$3</f>
        <v>0.47162670635100001</v>
      </c>
      <c r="IP22" s="3">
        <f>$H22*factors!IJ$3</f>
        <v>0.45598481558760007</v>
      </c>
      <c r="IQ22" s="3">
        <f>$H22*factors!IK$3</f>
        <v>0.45456282551820004</v>
      </c>
      <c r="IR22" s="3">
        <f>$H22*factors!IL$3</f>
        <v>0.46783473283260002</v>
      </c>
      <c r="IS22" s="3">
        <f>$H22*factors!IM$3</f>
        <v>0.47162670635100001</v>
      </c>
      <c r="IT22" s="3">
        <f>$H22*factors!IN$3</f>
        <v>0.47494468317960004</v>
      </c>
      <c r="IU22" s="3">
        <f>$H22*factors!IO$3</f>
        <v>0.48537261035520007</v>
      </c>
      <c r="IV22" s="3">
        <f>$H22*factors!IP$3</f>
        <v>0.49153456732259998</v>
      </c>
      <c r="IW22" s="3">
        <f>$H22*factors!IQ$3</f>
        <v>0.464516756004</v>
      </c>
      <c r="IX22" s="3">
        <f>$H22*factors!IR$3</f>
        <v>0.48537261035520007</v>
      </c>
      <c r="IY22" s="3">
        <f>$H22*factors!IS$3</f>
        <v>0.4782626600082</v>
      </c>
      <c r="IZ22" s="3">
        <f>$H22*factors!IT$3</f>
        <v>0.48632060373480007</v>
      </c>
      <c r="JA22" s="3">
        <f>$H22*factors!IU$3</f>
        <v>0.45930279241619998</v>
      </c>
      <c r="JB22" s="3">
        <f>$H22*factors!IV$3</f>
        <v>0.46783473283260002</v>
      </c>
      <c r="JC22" s="3">
        <f>$H22*factors!IW$3</f>
        <v>0.45693280896720007</v>
      </c>
      <c r="JD22" s="3">
        <f>$H22*factors!IX$3</f>
        <v>0.49769652429000011</v>
      </c>
      <c r="JE22" s="3">
        <f>$H22*factors!IY$3</f>
        <v>0.45835479903659998</v>
      </c>
      <c r="JF22" s="3">
        <f>$H22*factors!IZ$3</f>
        <v>0.48110664014699994</v>
      </c>
      <c r="JG22" s="3">
        <f>$H22*factors!JA$3</f>
        <v>0.47257469973060001</v>
      </c>
      <c r="JH22" s="3">
        <f>$H22*factors!JB$3</f>
        <v>0.48158063683680008</v>
      </c>
      <c r="JI22" s="3">
        <f>$H22*factors!JC$3</f>
        <v>0.45077085199980005</v>
      </c>
      <c r="JJ22" s="3">
        <f>$H22*factors!JD$3</f>
        <v>0.48537261035520007</v>
      </c>
      <c r="JK22" s="3">
        <f>$H22*factors!JE$3</f>
        <v>0.46973071959180002</v>
      </c>
      <c r="JL22" s="3">
        <f>$H22*factors!JF$3</f>
        <v>0.48869058718379998</v>
      </c>
      <c r="JM22" s="3">
        <f>$H22*factors!JG$3</f>
        <v>0.45598481558760007</v>
      </c>
      <c r="JN22" s="3">
        <f>$H22*factors!JH$3</f>
        <v>0.45598481558760007</v>
      </c>
      <c r="JO22" s="3">
        <f>$H22*factors!JI$3</f>
        <v>0.45029685531000002</v>
      </c>
      <c r="JP22" s="3">
        <f>$H22*factors!JJ$3</f>
        <v>0.48679460042460004</v>
      </c>
      <c r="JQ22" s="3">
        <f>$H22*factors!JK$3</f>
        <v>0.47447068648980001</v>
      </c>
      <c r="JR22" s="3">
        <f>$H22*factors!JL$3</f>
        <v>0.49295655739200001</v>
      </c>
      <c r="JS22" s="3">
        <f>$H22*factors!JM$3</f>
        <v>0.45029685531000002</v>
      </c>
      <c r="JT22" s="3">
        <f>$H22*factors!JN$3</f>
        <v>0.47304869642040004</v>
      </c>
      <c r="JU22" s="3">
        <f>$H22*factors!JO$3</f>
        <v>0.45740680565699998</v>
      </c>
      <c r="JV22" s="3">
        <f>$H22*factors!JP$3</f>
        <v>0.46499075269380002</v>
      </c>
      <c r="JW22" s="3">
        <f>$H22*factors!JQ$3</f>
        <v>0.49674853091040011</v>
      </c>
      <c r="JX22" s="3">
        <f>$H22*factors!JR$3</f>
        <v>0.49200856401240001</v>
      </c>
      <c r="JY22" s="3">
        <f>$H22*factors!JS$3</f>
        <v>0.46309476593460008</v>
      </c>
      <c r="JZ22" s="3">
        <f>$H22*factors!JT$3</f>
        <v>0.46830872952240005</v>
      </c>
      <c r="KA22" s="3">
        <f>$H22*factors!JU$3</f>
        <v>0.47020471628160004</v>
      </c>
      <c r="KB22" s="3">
        <f>$H22*factors!JV$3</f>
        <v>0.45456282551820004</v>
      </c>
      <c r="KC22" s="3">
        <f>$H22*factors!JW$3</f>
        <v>0.45693280896720007</v>
      </c>
      <c r="KD22" s="3">
        <f>$H22*factors!JX$3</f>
        <v>0.45740680565699998</v>
      </c>
      <c r="KE22" s="3">
        <f>$H22*factors!JY$3</f>
        <v>0.48679460042460004</v>
      </c>
      <c r="KF22" s="3">
        <f>$H22*factors!JZ$3</f>
        <v>0.49248256070219998</v>
      </c>
      <c r="KG22" s="3">
        <f>$H22*factors!KA$3</f>
        <v>0.47494468317960004</v>
      </c>
      <c r="KH22" s="3">
        <f>$H22*factors!KB$3</f>
        <v>0.464516756004</v>
      </c>
      <c r="KI22" s="3">
        <f>$H22*factors!KC$3</f>
        <v>0.46025078579579998</v>
      </c>
    </row>
    <row r="23" spans="1:295" x14ac:dyDescent="0.55000000000000004">
      <c r="A23" t="s">
        <v>399</v>
      </c>
      <c r="B23">
        <v>22</v>
      </c>
      <c r="C23">
        <v>230</v>
      </c>
      <c r="D23" t="s">
        <v>377</v>
      </c>
      <c r="E23">
        <v>1.5035E-2</v>
      </c>
      <c r="F23">
        <v>22</v>
      </c>
      <c r="G23">
        <f>VLOOKUP(D23,demand_forecasted!$A$2:$G$11,2)</f>
        <v>11098</v>
      </c>
      <c r="H23" s="3">
        <f t="shared" si="0"/>
        <v>1.6685843</v>
      </c>
      <c r="I23" s="3">
        <f>$H23*factors!C$3</f>
        <v>1.8471228201000001</v>
      </c>
      <c r="J23" s="3">
        <f>$H23*factors!D$3</f>
        <v>1.780446191472</v>
      </c>
      <c r="K23" s="3">
        <f>$H23*factors!E$3</f>
        <v>1.7498109837240001</v>
      </c>
      <c r="L23" s="3">
        <f>$H23*factors!F$3</f>
        <v>1.7444047705920003</v>
      </c>
      <c r="M23" s="3">
        <f>$H23*factors!G$3</f>
        <v>1.742602699548</v>
      </c>
      <c r="N23" s="3">
        <f>$H23*factors!H$3</f>
        <v>1.79306068878</v>
      </c>
      <c r="O23" s="3">
        <f>$H23*factors!I$3</f>
        <v>1.8327062517479999</v>
      </c>
      <c r="P23" s="3">
        <f>$H23*factors!J$3</f>
        <v>1.8543311042760002</v>
      </c>
      <c r="Q23" s="3">
        <f>$H23*factors!K$3</f>
        <v>1.7408006285040001</v>
      </c>
      <c r="R23" s="3">
        <f>$H23*factors!L$3</f>
        <v>1.7119674918000001</v>
      </c>
      <c r="S23" s="3">
        <f>$H23*factors!M$3</f>
        <v>1.7822482625159999</v>
      </c>
      <c r="T23" s="3">
        <f>$H23*factors!N$3</f>
        <v>1.8435186780120001</v>
      </c>
      <c r="U23" s="3">
        <f>$H23*factors!O$3</f>
        <v>1.7462068416360002</v>
      </c>
      <c r="V23" s="3">
        <f>$H23*factors!P$3</f>
        <v>1.8164876123520002</v>
      </c>
      <c r="W23" s="3">
        <f>$H23*factors!Q$3</f>
        <v>1.8327062517479999</v>
      </c>
      <c r="X23" s="3">
        <f>$H23*factors!R$3</f>
        <v>1.7534151258120001</v>
      </c>
      <c r="Y23" s="3">
        <f>$H23*factors!S$3</f>
        <v>1.7371964864160001</v>
      </c>
      <c r="Z23" s="3">
        <f>$H23*factors!T$3</f>
        <v>1.8741538857600004</v>
      </c>
      <c r="AA23" s="3">
        <f>$H23*factors!U$3</f>
        <v>1.7696337652079999</v>
      </c>
      <c r="AB23" s="3">
        <f>$H23*factors!V$3</f>
        <v>1.7714358362520002</v>
      </c>
      <c r="AC23" s="3">
        <f>$H23*factors!W$3</f>
        <v>1.7732379072960003</v>
      </c>
      <c r="AD23" s="3">
        <f>$H23*factors!X$3</f>
        <v>1.7353944153720002</v>
      </c>
      <c r="AE23" s="3">
        <f>$H23*factors!Y$3</f>
        <v>1.7498109837240001</v>
      </c>
      <c r="AF23" s="3">
        <f>$H23*factors!Z$3</f>
        <v>1.7858524046040003</v>
      </c>
      <c r="AG23" s="3">
        <f>$H23*factors!AA$3</f>
        <v>1.7408006285040001</v>
      </c>
      <c r="AH23" s="3">
        <f>$H23*factors!AB$3</f>
        <v>1.7335923443280001</v>
      </c>
      <c r="AI23" s="3">
        <f>$H23*factors!AC$3</f>
        <v>1.789456546692</v>
      </c>
      <c r="AJ23" s="3">
        <f>$H23*factors!AD$3</f>
        <v>1.857935246364</v>
      </c>
      <c r="AK23" s="3">
        <f>$H23*factors!AE$3</f>
        <v>1.7876544756480002</v>
      </c>
      <c r="AL23" s="3">
        <f>$H23*factors!AF$3</f>
        <v>1.7173737049319999</v>
      </c>
      <c r="AM23" s="3">
        <f>$H23*factors!AG$3</f>
        <v>1.7660296231200001</v>
      </c>
      <c r="AN23" s="3">
        <f>$H23*factors!AH$3</f>
        <v>1.7371964864160001</v>
      </c>
      <c r="AO23" s="3">
        <f>$H23*factors!AI$3</f>
        <v>1.8200917544399999</v>
      </c>
      <c r="AP23" s="3">
        <f>$H23*factors!AJ$3</f>
        <v>1.7444047705920003</v>
      </c>
      <c r="AQ23" s="3">
        <f>$H23*factors!AK$3</f>
        <v>1.8002689729560002</v>
      </c>
      <c r="AR23" s="3">
        <f>$H23*factors!AL$3</f>
        <v>1.7606234099880003</v>
      </c>
      <c r="AS23" s="3">
        <f>$H23*factors!AM$3</f>
        <v>1.7173737049319999</v>
      </c>
      <c r="AT23" s="3">
        <f>$H23*factors!AN$3</f>
        <v>1.7714358362520002</v>
      </c>
      <c r="AU23" s="3">
        <f>$H23*factors!AO$3</f>
        <v>1.8759559568039998</v>
      </c>
      <c r="AV23" s="3">
        <f>$H23*factors!AP$3</f>
        <v>1.7732379072960003</v>
      </c>
      <c r="AW23" s="3">
        <f>$H23*factors!AQ$3</f>
        <v>1.755217196856</v>
      </c>
      <c r="AX23" s="3">
        <f>$H23*factors!AR$3</f>
        <v>1.8561331753200001</v>
      </c>
      <c r="AY23" s="3">
        <f>$H23*factors!AS$3</f>
        <v>1.7119674918000001</v>
      </c>
      <c r="AZ23" s="3">
        <f>$H23*factors!AT$3</f>
        <v>1.8345083227920003</v>
      </c>
      <c r="BA23" s="3">
        <f>$H23*factors!AU$3</f>
        <v>1.7948627598239999</v>
      </c>
      <c r="BB23" s="3">
        <f>$H23*factors!AV$3</f>
        <v>1.7714358362520002</v>
      </c>
      <c r="BC23" s="3">
        <f>$H23*factors!AW$3</f>
        <v>1.8741538857600004</v>
      </c>
      <c r="BD23" s="3">
        <f>$H23*factors!AX$3</f>
        <v>1.7299882022399999</v>
      </c>
      <c r="BE23" s="3">
        <f>$H23*factors!AY$3</f>
        <v>2.033904146642</v>
      </c>
      <c r="BF23" s="3">
        <f>$H23*factors!AZ$3</f>
        <v>1.8941101539879999</v>
      </c>
      <c r="BG23" s="3">
        <f>$H23*factors!BA$3</f>
        <v>1.9216751666239997</v>
      </c>
      <c r="BH23" s="3">
        <f>$H23*factors!BB$3</f>
        <v>1.9472712497859999</v>
      </c>
      <c r="BI23" s="3">
        <f>$H23*factors!BC$3</f>
        <v>2.0181527108499995</v>
      </c>
      <c r="BJ23" s="3">
        <f>$H23*factors!BD$3</f>
        <v>1.9275819550459998</v>
      </c>
      <c r="BK23" s="3">
        <f>$H23*factors!BE$3</f>
        <v>1.9315198139939997</v>
      </c>
      <c r="BL23" s="3">
        <f>$H23*factors!BF$3</f>
        <v>1.9098615897799998</v>
      </c>
      <c r="BM23" s="3">
        <f>$H23*factors!BG$3</f>
        <v>2.0398109350640001</v>
      </c>
      <c r="BN23" s="3">
        <f>$H23*factors!BH$3</f>
        <v>2.014214851902</v>
      </c>
      <c r="BO23" s="3">
        <f>$H23*factors!BI$3</f>
        <v>1.8941101539879999</v>
      </c>
      <c r="BP23" s="3">
        <f>$H23*factors!BJ$3</f>
        <v>1.8882033655659998</v>
      </c>
      <c r="BQ23" s="3">
        <f>$H23*factors!BK$3</f>
        <v>1.9197062371499998</v>
      </c>
      <c r="BR23" s="3">
        <f>$H23*factors!BL$3</f>
        <v>1.9886187687399999</v>
      </c>
      <c r="BS23" s="3">
        <f>$H23*factors!BM$3</f>
        <v>2.0201216403240001</v>
      </c>
      <c r="BT23" s="3">
        <f>$H23*factors!BN$3</f>
        <v>2.0260284287459998</v>
      </c>
      <c r="BU23" s="3">
        <f>$H23*factors!BO$3</f>
        <v>2.0595002298040002</v>
      </c>
      <c r="BV23" s="3">
        <f>$H23*factors!BP$3</f>
        <v>1.9157683782019999</v>
      </c>
      <c r="BW23" s="3">
        <f>$H23*factors!BQ$3</f>
        <v>1.9590848266299998</v>
      </c>
      <c r="BX23" s="3">
        <f>$H23*factors!BR$3</f>
        <v>1.9216751666239997</v>
      </c>
      <c r="BY23" s="3">
        <f>$H23*factors!BS$3</f>
        <v>2.0102769929539996</v>
      </c>
      <c r="BZ23" s="3">
        <f>$H23*factors!BT$3</f>
        <v>1.9728673329479998</v>
      </c>
      <c r="CA23" s="3">
        <f>$H23*factors!BU$3</f>
        <v>1.9472712497859999</v>
      </c>
      <c r="CB23" s="3">
        <f>$H23*factors!BV$3</f>
        <v>1.8842655066179999</v>
      </c>
      <c r="CC23" s="3">
        <f>$H23*factors!BW$3</f>
        <v>1.9393955318899998</v>
      </c>
      <c r="CD23" s="3">
        <f>$H23*factors!BX$3</f>
        <v>1.9453023203119999</v>
      </c>
      <c r="CE23" s="3">
        <f>$H23*factors!BY$3</f>
        <v>1.9728673329479998</v>
      </c>
      <c r="CF23" s="3">
        <f>$H23*factors!BZ$3</f>
        <v>1.9433333908380002</v>
      </c>
      <c r="CG23" s="3">
        <f>$H23*factors!CA$3</f>
        <v>1.8783587181959998</v>
      </c>
      <c r="CH23" s="3">
        <f>$H23*factors!CB$3</f>
        <v>1.8803276476699997</v>
      </c>
      <c r="CI23" s="3">
        <f>$H23*factors!CC$3</f>
        <v>1.8704830002999999</v>
      </c>
      <c r="CJ23" s="3">
        <f>$H23*factors!CD$3</f>
        <v>1.9472712497859999</v>
      </c>
      <c r="CK23" s="3">
        <f>$H23*factors!CE$3</f>
        <v>2.033904146642</v>
      </c>
      <c r="CL23" s="3">
        <f>$H23*factors!CF$3</f>
        <v>1.9059237308319998</v>
      </c>
      <c r="CM23" s="3">
        <f>$H23*factors!CG$3</f>
        <v>1.9512091087339998</v>
      </c>
      <c r="CN23" s="3">
        <f>$H23*factors!CH$3</f>
        <v>1.8862344360919998</v>
      </c>
      <c r="CO23" s="3">
        <f>$H23*factors!CI$3</f>
        <v>1.9000169424099997</v>
      </c>
      <c r="CP23" s="3">
        <f>$H23*factors!CJ$3</f>
        <v>1.9905876982139996</v>
      </c>
      <c r="CQ23" s="3">
        <f>$H23*factors!CK$3</f>
        <v>1.9315198139939997</v>
      </c>
      <c r="CR23" s="3">
        <f>$H23*factors!CL$3</f>
        <v>1.9925566276879998</v>
      </c>
      <c r="CS23" s="3">
        <f>$H23*factors!CM$3</f>
        <v>2.0555623708559998</v>
      </c>
      <c r="CT23" s="3">
        <f>$H23*factors!CN$3</f>
        <v>2.0319352171679999</v>
      </c>
      <c r="CU23" s="3">
        <f>$H23*factors!CO$3</f>
        <v>1.9866498392659997</v>
      </c>
      <c r="CV23" s="3">
        <f>$H23*factors!CP$3</f>
        <v>2.0673759477</v>
      </c>
      <c r="CW23" s="3">
        <f>$H23*factors!CQ$3</f>
        <v>1.9551469676820001</v>
      </c>
      <c r="CX23" s="3">
        <f>$H23*factors!CR$3</f>
        <v>1.9256130255719999</v>
      </c>
      <c r="CY23" s="3">
        <f>$H23*factors!CS$3</f>
        <v>1.9078926603059998</v>
      </c>
      <c r="CZ23" s="3">
        <f>$H23*factors!CT$3</f>
        <v>1.8803276476699997</v>
      </c>
      <c r="DA23" s="3">
        <f>$H23*factors!CU$3</f>
        <v>1.952243631</v>
      </c>
      <c r="DB23" s="3">
        <f>$H23*factors!CV$3</f>
        <v>2.0783886040800001</v>
      </c>
      <c r="DC23" s="3">
        <f>$H23*factors!CW$3</f>
        <v>1.9902873530399998</v>
      </c>
      <c r="DD23" s="3">
        <f>$H23*factors!CX$3</f>
        <v>1.9762712449199999</v>
      </c>
      <c r="DE23" s="3">
        <f>$H23*factors!CY$3</f>
        <v>2.03433797856</v>
      </c>
      <c r="DF23" s="3">
        <f>$H23*factors!CZ$3</f>
        <v>2.0303333762399998</v>
      </c>
      <c r="DG23" s="3">
        <f>$H23*factors!DA$3</f>
        <v>2.0223241715999998</v>
      </c>
      <c r="DH23" s="3">
        <f>$H23*factors!DB$3</f>
        <v>2.0223241715999998</v>
      </c>
      <c r="DI23" s="3">
        <f>$H23*factors!DC$3</f>
        <v>1.9462367275199999</v>
      </c>
      <c r="DJ23" s="3">
        <f>$H23*factors!DD$3</f>
        <v>2.0623701948000002</v>
      </c>
      <c r="DK23" s="3">
        <f>$H23*factors!DE$3</f>
        <v>2.0623701948000002</v>
      </c>
      <c r="DL23" s="3">
        <f>$H23*factors!DF$3</f>
        <v>2.0383425808800002</v>
      </c>
      <c r="DM23" s="3">
        <f>$H23*factors!DG$3</f>
        <v>1.9202068124399998</v>
      </c>
      <c r="DN23" s="3">
        <f>$H23*factors!DH$3</f>
        <v>2.0143149669600002</v>
      </c>
      <c r="DO23" s="3">
        <f>$H23*factors!DI$3</f>
        <v>2.0803909052399998</v>
      </c>
      <c r="DP23" s="3">
        <f>$H23*factors!DJ$3</f>
        <v>2.0623701948000002</v>
      </c>
      <c r="DQ23" s="3">
        <f>$H23*factors!DK$3</f>
        <v>1.9662597391199998</v>
      </c>
      <c r="DR23" s="3">
        <f>$H23*factors!DL$3</f>
        <v>1.94423442636</v>
      </c>
      <c r="DS23" s="3">
        <f>$H23*factors!DM$3</f>
        <v>2.10041391684</v>
      </c>
      <c r="DT23" s="3">
        <f>$H23*factors!DN$3</f>
        <v>1.9742689437600001</v>
      </c>
      <c r="DU23" s="3">
        <f>$H23*factors!DO$3</f>
        <v>2.0663747971199999</v>
      </c>
      <c r="DV23" s="3">
        <f>$H23*factors!DP$3</f>
        <v>2.01831956928</v>
      </c>
      <c r="DW23" s="3">
        <f>$H23*factors!DQ$3</f>
        <v>1.9262137159199999</v>
      </c>
      <c r="DX23" s="3">
        <f>$H23*factors!DR$3</f>
        <v>2.0403448820399999</v>
      </c>
      <c r="DY23" s="3">
        <f>$H23*factors!DS$3</f>
        <v>1.9362252217199998</v>
      </c>
      <c r="DZ23" s="3">
        <f>$H23*factors!DT$3</f>
        <v>2.0703793994399997</v>
      </c>
      <c r="EA23" s="3">
        <f>$H23*factors!DU$3</f>
        <v>1.9502413298399996</v>
      </c>
      <c r="EB23" s="3">
        <f>$H23*factors!DV$3</f>
        <v>1.9021861019999999</v>
      </c>
      <c r="EC23" s="3">
        <f>$H23*factors!DW$3</f>
        <v>2.0463517855199997</v>
      </c>
      <c r="ED23" s="3">
        <f>$H23*factors!DX$3</f>
        <v>1.9202068124399998</v>
      </c>
      <c r="EE23" s="3">
        <f>$H23*factors!DY$3</f>
        <v>1.9362252217199998</v>
      </c>
      <c r="EF23" s="3">
        <f>$H23*factors!DZ$3</f>
        <v>2.10041391684</v>
      </c>
      <c r="EG23" s="3">
        <f>$H23*factors!EA$3</f>
        <v>1.9622551367999999</v>
      </c>
      <c r="EH23" s="3">
        <f>$H23*factors!EB$3</f>
        <v>1.96826204028</v>
      </c>
      <c r="EI23" s="3">
        <f>$H23*factors!EC$3</f>
        <v>1.96425743796</v>
      </c>
      <c r="EJ23" s="3">
        <f>$H23*factors!ED$3</f>
        <v>1.9141999089599999</v>
      </c>
      <c r="EK23" s="3">
        <f>$H23*factors!EE$3</f>
        <v>2.0463517855199997</v>
      </c>
      <c r="EL23" s="3">
        <f>$H23*factors!EF$3</f>
        <v>1.9462367275199999</v>
      </c>
      <c r="EM23" s="3">
        <f>$H23*factors!EG$3</f>
        <v>2.0243264727599999</v>
      </c>
      <c r="EN23" s="3">
        <f>$H23*factors!EH$3</f>
        <v>1.9021861019999999</v>
      </c>
      <c r="EO23" s="3">
        <f>$H23*factors!EI$3</f>
        <v>1.9302183182399997</v>
      </c>
      <c r="EP23" s="3">
        <f>$H23*factors!EJ$3</f>
        <v>2.0363402797200001</v>
      </c>
      <c r="EQ23" s="3">
        <f>$H23*factors!EK$3</f>
        <v>1.9802758472399997</v>
      </c>
      <c r="ER23" s="3">
        <f>$H23*factors!EL$3</f>
        <v>2.0623701948000002</v>
      </c>
      <c r="ES23" s="3">
        <f>$H23*factors!EM$3</f>
        <v>2.0363402797200001</v>
      </c>
      <c r="ET23" s="3">
        <f>$H23*factors!EN$3</f>
        <v>2.0823932063999999</v>
      </c>
      <c r="EU23" s="3">
        <f>$H23*factors!EO$3</f>
        <v>2.1024162180000001</v>
      </c>
      <c r="EV23" s="3">
        <f>$H23*factors!EP$3</f>
        <v>1.9702643414399998</v>
      </c>
      <c r="EW23" s="3">
        <f>$H23*factors!EQ$3</f>
        <v>2.1670738596249999</v>
      </c>
      <c r="EX23" s="3">
        <f>$H23*factors!ER$3</f>
        <v>2.1441308255000004</v>
      </c>
      <c r="EY23" s="3">
        <f>$H23*factors!ES$3</f>
        <v>2.1879311633749996</v>
      </c>
      <c r="EZ23" s="3">
        <f>$H23*factors!ET$3</f>
        <v>2.1670738596249999</v>
      </c>
      <c r="FA23" s="3">
        <f>$H23*factors!EU$3</f>
        <v>1.9918725081249997</v>
      </c>
      <c r="FB23" s="3">
        <f>$H23*factors!EV$3</f>
        <v>2.0815589142499999</v>
      </c>
      <c r="FC23" s="3">
        <f>$H23*factors!EW$3</f>
        <v>2.1399593647500001</v>
      </c>
      <c r="FD23" s="3">
        <f>$H23*factors!EX$3</f>
        <v>2.0648730712500001</v>
      </c>
      <c r="FE23" s="3">
        <f>$H23*factors!EY$3</f>
        <v>2.175416781125</v>
      </c>
      <c r="FF23" s="3">
        <f>$H23*factors!EZ$3</f>
        <v>2.1775025115000002</v>
      </c>
      <c r="FG23" s="3">
        <f>$H23*factors!FA$3</f>
        <v>1.9918725081249997</v>
      </c>
      <c r="FH23" s="3">
        <f>$H23*factors!FB$3</f>
        <v>2.0961590268749997</v>
      </c>
      <c r="FI23" s="3">
        <f>$H23*factors!FC$3</f>
        <v>2.1837597026249997</v>
      </c>
      <c r="FJ23" s="3">
        <f>$H23*factors!FD$3</f>
        <v>2.0961590268749997</v>
      </c>
      <c r="FK23" s="3">
        <f>$H23*factors!FE$3</f>
        <v>2.13161644325</v>
      </c>
      <c r="FL23" s="3">
        <f>$H23*factors!FF$3</f>
        <v>2.137873634375</v>
      </c>
      <c r="FM23" s="3">
        <f>$H23*factors!FG$3</f>
        <v>2.1608166684999999</v>
      </c>
      <c r="FN23" s="3">
        <f>$H23*factors!FH$3</f>
        <v>2.021072733375</v>
      </c>
      <c r="FO23" s="3">
        <f>$H23*factors!FI$3</f>
        <v>2.1462165558749997</v>
      </c>
      <c r="FP23" s="3">
        <f>$H23*factors!FJ$3</f>
        <v>2.0857303749999998</v>
      </c>
      <c r="FQ23" s="3">
        <f>$H23*factors!FK$3</f>
        <v>2.0648730712500001</v>
      </c>
      <c r="FR23" s="3">
        <f>$H23*factors!FL$3</f>
        <v>2.10658767875</v>
      </c>
      <c r="FS23" s="3">
        <f>$H23*factors!FM$3</f>
        <v>2.0940732965</v>
      </c>
      <c r="FT23" s="3">
        <f>$H23*factors!FN$3</f>
        <v>2.1399593647500001</v>
      </c>
      <c r="FU23" s="3">
        <f>$H23*factors!FO$3</f>
        <v>2.0565301497499999</v>
      </c>
      <c r="FV23" s="3">
        <f>$H23*factors!FP$3</f>
        <v>2.0398443067500001</v>
      </c>
      <c r="FW23" s="3">
        <f>$H23*factors!FQ$3</f>
        <v>2.1837597026249997</v>
      </c>
      <c r="FX23" s="3">
        <f>$H23*factors!FR$3</f>
        <v>2.1441308255000004</v>
      </c>
      <c r="FY23" s="3">
        <f>$H23*factors!FS$3</f>
        <v>2.1003304876249995</v>
      </c>
      <c r="FZ23" s="3">
        <f>$H23*factors!FT$3</f>
        <v>1.996043968875</v>
      </c>
      <c r="GA23" s="3">
        <f>$H23*factors!FU$3</f>
        <v>2.1003304876249995</v>
      </c>
      <c r="GB23" s="3">
        <f>$H23*factors!FV$3</f>
        <v>2.1775025115000002</v>
      </c>
      <c r="GC23" s="3">
        <f>$H23*factors!FW$3</f>
        <v>2.0398443067500001</v>
      </c>
      <c r="GD23" s="3">
        <f>$H23*factors!FX$3</f>
        <v>2.0753017231249999</v>
      </c>
      <c r="GE23" s="3">
        <f>$H23*factors!FY$3</f>
        <v>2.0753017231249999</v>
      </c>
      <c r="GF23" s="3">
        <f>$H23*factors!FZ$3</f>
        <v>2.0690445319999999</v>
      </c>
      <c r="GG23" s="3">
        <f>$H23*factors!GA$3</f>
        <v>1.9877010473749999</v>
      </c>
      <c r="GH23" s="3">
        <f>$H23*factors!GB$3</f>
        <v>2.1149306002500001</v>
      </c>
      <c r="GI23" s="3">
        <f>$H23*factors!GC$3</f>
        <v>1.983529586625</v>
      </c>
      <c r="GJ23" s="3">
        <f>$H23*factors!GD$3</f>
        <v>1.9877010473749999</v>
      </c>
      <c r="GK23" s="3">
        <f>$H23*factors!GE$3</f>
        <v>2.0377585763749999</v>
      </c>
      <c r="GL23" s="3">
        <f>$H23*factors!GF$3</f>
        <v>2.1587309381250002</v>
      </c>
      <c r="GM23" s="3">
        <f>$H23*factors!GG$3</f>
        <v>2.0461014978750001</v>
      </c>
      <c r="GN23" s="3">
        <f>$H23*factors!GH$3</f>
        <v>2.1107591395000003</v>
      </c>
      <c r="GO23" s="3">
        <f>$H23*factors!GI$3</f>
        <v>1.9939582384999996</v>
      </c>
      <c r="GP23" s="3">
        <f>$H23*factors!GJ$3</f>
        <v>2.137873634375</v>
      </c>
      <c r="GQ23" s="3">
        <f>$H23*factors!GK$3</f>
        <v>2.18167397225</v>
      </c>
      <c r="GR23" s="3">
        <f>$H23*factors!GL$3</f>
        <v>2.1399593647500001</v>
      </c>
      <c r="GS23" s="3">
        <f>$H23*factors!GM$3</f>
        <v>2.023742468255</v>
      </c>
      <c r="GT23" s="3">
        <f>$H23*factors!GN$3</f>
        <v>2.070362713597</v>
      </c>
      <c r="GU23" s="3">
        <f>$H23*factors!GO$3</f>
        <v>2.119102061</v>
      </c>
      <c r="GV23" s="3">
        <f>$H23*factors!GP$3</f>
        <v>2.03433797856</v>
      </c>
      <c r="GW23" s="3">
        <f>$H23*factors!GQ$3</f>
        <v>2.106387448634</v>
      </c>
      <c r="GX23" s="3">
        <f>$H23*factors!GR$3</f>
        <v>2.072481815658</v>
      </c>
      <c r="GY23" s="3">
        <f>$H23*factors!GS$3</f>
        <v>2.0618863053530001</v>
      </c>
      <c r="GZ23" s="3">
        <f>$H23*factors!GT$3</f>
        <v>2.1381739795489998</v>
      </c>
      <c r="HA23" s="3">
        <f>$H23*factors!GU$3</f>
        <v>2.0682436115359999</v>
      </c>
      <c r="HB23" s="3">
        <f>$H23*factors!GV$3</f>
        <v>2.1381739795489998</v>
      </c>
      <c r="HC23" s="3">
        <f>$H23*factors!GW$3</f>
        <v>2.0851964280240001</v>
      </c>
      <c r="HD23" s="3">
        <f>$H23*factors!GX$3</f>
        <v>2.1466503877929997</v>
      </c>
      <c r="HE23" s="3">
        <f>$H23*factors!GY$3</f>
        <v>2.119102061</v>
      </c>
      <c r="HF23" s="3">
        <f>$H23*factors!GZ$3</f>
        <v>2.1847942248909997</v>
      </c>
      <c r="HG23" s="3">
        <f>$H23*factors!HA$3</f>
        <v>2.1000301424510002</v>
      </c>
      <c r="HH23" s="3">
        <f>$H23*factors!HB$3</f>
        <v>2.072481815658</v>
      </c>
      <c r="HI23" s="3">
        <f>$H23*factors!HC$3</f>
        <v>2.047052590926</v>
      </c>
      <c r="HJ23" s="3">
        <f>$H23*factors!HD$3</f>
        <v>2.023742468255</v>
      </c>
      <c r="HK23" s="3">
        <f>$H23*factors!HE$3</f>
        <v>2.1402930816099999</v>
      </c>
      <c r="HL23" s="3">
        <f>$H23*factors!HF$3</f>
        <v>2.0173851620719998</v>
      </c>
      <c r="HM23" s="3">
        <f>$H23*factors!HG$3</f>
        <v>2.0385761826820001</v>
      </c>
      <c r="HN23" s="3">
        <f>$H23*factors!HH$3</f>
        <v>2.1741987145860002</v>
      </c>
      <c r="HO23" s="3">
        <f>$H23*factors!HI$3</f>
        <v>2.0851964280240001</v>
      </c>
      <c r="HP23" s="3">
        <f>$H23*factors!HJ$3</f>
        <v>2.2250571640500003</v>
      </c>
      <c r="HQ23" s="3">
        <f>$H23*factors!HK$3</f>
        <v>2.03433797856</v>
      </c>
      <c r="HR23" s="3">
        <f>$H23*factors!HL$3</f>
        <v>2.157245898098</v>
      </c>
      <c r="HS23" s="3">
        <f>$H23*factors!HM$3</f>
        <v>2.1953897351960001</v>
      </c>
      <c r="HT23" s="3">
        <f>$H23*factors!HN$3</f>
        <v>2.047052590926</v>
      </c>
      <c r="HU23" s="3">
        <f>$H23*factors!HO$3</f>
        <v>2.0682436115359999</v>
      </c>
      <c r="HV23" s="3">
        <f>$H23*factors!HP$3</f>
        <v>2.0936728362680004</v>
      </c>
      <c r="HW23" s="3">
        <f>$H23*factors!HQ$3</f>
        <v>2.1233402651220001</v>
      </c>
      <c r="HX23" s="3">
        <f>$H23*factors!HR$3</f>
        <v>2.2102234496229998</v>
      </c>
      <c r="HY23" s="3">
        <f>$H23*factors!HS$3</f>
        <v>2.1000301424510002</v>
      </c>
      <c r="HZ23" s="3">
        <f>$H23*factors!HT$3</f>
        <v>2.180556020769</v>
      </c>
      <c r="IA23" s="3">
        <f>$H23*factors!HU$3</f>
        <v>2.0746009177190001</v>
      </c>
      <c r="IB23" s="3">
        <f>$H23*factors!HV$3</f>
        <v>2.1466503877929997</v>
      </c>
      <c r="IC23" s="3">
        <f>$H23*factors!HW$3</f>
        <v>2.167841408403</v>
      </c>
      <c r="ID23" s="3">
        <f>$H23*factors!HX$3</f>
        <v>2.0131469579499996</v>
      </c>
      <c r="IE23" s="3">
        <f>$H23*factors!HY$3</f>
        <v>2.1381739795489998</v>
      </c>
      <c r="IF23" s="3">
        <f>$H23*factors!HZ$3</f>
        <v>2.1254593671829998</v>
      </c>
      <c r="IG23" s="3">
        <f>$H23*factors!IA$3</f>
        <v>2.106387448634</v>
      </c>
      <c r="IH23" s="3">
        <f>$H23*factors!IB$3</f>
        <v>2.1847942248909997</v>
      </c>
      <c r="II23" s="3">
        <f>$H23*factors!IC$3</f>
        <v>2.0915537342069999</v>
      </c>
      <c r="IJ23" s="3">
        <f>$H23*factors!ID$3</f>
        <v>2.1106256527560001</v>
      </c>
      <c r="IK23" s="3">
        <f>$H23*factors!IE$3</f>
        <v>2.1869133269520002</v>
      </c>
      <c r="IL23" s="3">
        <f>$H23*factors!IF$3</f>
        <v>2.0936728362680004</v>
      </c>
      <c r="IM23" s="3">
        <f>$H23*factors!IG$3</f>
        <v>2.0746009177190001</v>
      </c>
      <c r="IN23" s="3">
        <f>$H23*factors!IH$3</f>
        <v>2.0873155300850001</v>
      </c>
      <c r="IO23" s="3">
        <f>$H23*factors!II$3</f>
        <v>2.108506550695</v>
      </c>
      <c r="IP23" s="3">
        <f>$H23*factors!IJ$3</f>
        <v>2.0385761826820001</v>
      </c>
      <c r="IQ23" s="3">
        <f>$H23*factors!IK$3</f>
        <v>2.0322188764989999</v>
      </c>
      <c r="IR23" s="3">
        <f>$H23*factors!IL$3</f>
        <v>2.0915537342069999</v>
      </c>
      <c r="IS23" s="3">
        <f>$H23*factors!IM$3</f>
        <v>2.108506550695</v>
      </c>
      <c r="IT23" s="3">
        <f>$H23*factors!IN$3</f>
        <v>2.1233402651220001</v>
      </c>
      <c r="IU23" s="3">
        <f>$H23*factors!IO$3</f>
        <v>2.1699605104640001</v>
      </c>
      <c r="IV23" s="3">
        <f>$H23*factors!IP$3</f>
        <v>2.1975088372569997</v>
      </c>
      <c r="IW23" s="3">
        <f>$H23*factors!IQ$3</f>
        <v>2.0767200197799998</v>
      </c>
      <c r="IX23" s="3">
        <f>$H23*factors!IR$3</f>
        <v>2.1699605104640001</v>
      </c>
      <c r="IY23" s="3">
        <f>$H23*factors!IS$3</f>
        <v>2.1381739795489998</v>
      </c>
      <c r="IZ23" s="3">
        <f>$H23*factors!IT$3</f>
        <v>2.1741987145860002</v>
      </c>
      <c r="JA23" s="3">
        <f>$H23*factors!IU$3</f>
        <v>2.0534098971089998</v>
      </c>
      <c r="JB23" s="3">
        <f>$H23*factors!IV$3</f>
        <v>2.0915537342069999</v>
      </c>
      <c r="JC23" s="3">
        <f>$H23*factors!IW$3</f>
        <v>2.0428143868040003</v>
      </c>
      <c r="JD23" s="3">
        <f>$H23*factors!IX$3</f>
        <v>2.2250571640500003</v>
      </c>
      <c r="JE23" s="3">
        <f>$H23*factors!IY$3</f>
        <v>2.0491716929870001</v>
      </c>
      <c r="JF23" s="3">
        <f>$H23*factors!IZ$3</f>
        <v>2.1508885919149998</v>
      </c>
      <c r="JG23" s="3">
        <f>$H23*factors!JA$3</f>
        <v>2.1127447548169997</v>
      </c>
      <c r="JH23" s="3">
        <f>$H23*factors!JB$3</f>
        <v>2.1530076939760003</v>
      </c>
      <c r="JI23" s="3">
        <f>$H23*factors!JC$3</f>
        <v>2.0152660600110002</v>
      </c>
      <c r="JJ23" s="3">
        <f>$H23*factors!JD$3</f>
        <v>2.1699605104640001</v>
      </c>
      <c r="JK23" s="3">
        <f>$H23*factors!JE$3</f>
        <v>2.1000301424510002</v>
      </c>
      <c r="JL23" s="3">
        <f>$H23*factors!JF$3</f>
        <v>2.1847942248909997</v>
      </c>
      <c r="JM23" s="3">
        <f>$H23*factors!JG$3</f>
        <v>2.0385761826820001</v>
      </c>
      <c r="JN23" s="3">
        <f>$H23*factors!JH$3</f>
        <v>2.0385761826820001</v>
      </c>
      <c r="JO23" s="3">
        <f>$H23*factors!JI$3</f>
        <v>2.0131469579499996</v>
      </c>
      <c r="JP23" s="3">
        <f>$H23*factors!JJ$3</f>
        <v>2.1763178166469999</v>
      </c>
      <c r="JQ23" s="3">
        <f>$H23*factors!JK$3</f>
        <v>2.1212211630610001</v>
      </c>
      <c r="JR23" s="3">
        <f>$H23*factors!JL$3</f>
        <v>2.20386614344</v>
      </c>
      <c r="JS23" s="3">
        <f>$H23*factors!JM$3</f>
        <v>2.0131469579499996</v>
      </c>
      <c r="JT23" s="3">
        <f>$H23*factors!JN$3</f>
        <v>2.1148638568780003</v>
      </c>
      <c r="JU23" s="3">
        <f>$H23*factors!JO$3</f>
        <v>2.0449334888649999</v>
      </c>
      <c r="JV23" s="3">
        <f>$H23*factors!JP$3</f>
        <v>2.0788391218410003</v>
      </c>
      <c r="JW23" s="3">
        <f>$H23*factors!JQ$3</f>
        <v>2.2208189599280002</v>
      </c>
      <c r="JX23" s="3">
        <f>$H23*factors!JR$3</f>
        <v>2.1996279393179998</v>
      </c>
      <c r="JY23" s="3">
        <f>$H23*factors!JS$3</f>
        <v>2.070362713597</v>
      </c>
      <c r="JZ23" s="3">
        <f>$H23*factors!JT$3</f>
        <v>2.0936728362680004</v>
      </c>
      <c r="KA23" s="3">
        <f>$H23*factors!JU$3</f>
        <v>2.1021492445120002</v>
      </c>
      <c r="KB23" s="3">
        <f>$H23*factors!JV$3</f>
        <v>2.0322188764989999</v>
      </c>
      <c r="KC23" s="3">
        <f>$H23*factors!JW$3</f>
        <v>2.0428143868040003</v>
      </c>
      <c r="KD23" s="3">
        <f>$H23*factors!JX$3</f>
        <v>2.0449334888649999</v>
      </c>
      <c r="KE23" s="3">
        <f>$H23*factors!JY$3</f>
        <v>2.1763178166469999</v>
      </c>
      <c r="KF23" s="3">
        <f>$H23*factors!JZ$3</f>
        <v>2.2017470413789999</v>
      </c>
      <c r="KG23" s="3">
        <f>$H23*factors!KA$3</f>
        <v>2.1233402651220001</v>
      </c>
      <c r="KH23" s="3">
        <f>$H23*factors!KB$3</f>
        <v>2.0767200197799998</v>
      </c>
      <c r="KI23" s="3">
        <f>$H23*factors!KC$3</f>
        <v>2.0576481012309999</v>
      </c>
    </row>
    <row r="24" spans="1:295" x14ac:dyDescent="0.55000000000000004">
      <c r="A24" t="s">
        <v>400</v>
      </c>
      <c r="B24">
        <v>23</v>
      </c>
      <c r="C24">
        <v>230</v>
      </c>
      <c r="D24" t="s">
        <v>377</v>
      </c>
      <c r="E24">
        <v>3.3630000000000001E-3</v>
      </c>
      <c r="F24">
        <v>23</v>
      </c>
      <c r="G24">
        <f>VLOOKUP(D24,demand_forecasted!$A$2:$G$11,2)</f>
        <v>11098</v>
      </c>
      <c r="H24" s="3">
        <f t="shared" ref="H24:H87" si="1">G24*E24/100</f>
        <v>0.37322574000000003</v>
      </c>
      <c r="I24" s="3">
        <f>$H24*factors!C$3</f>
        <v>0.41316089418000002</v>
      </c>
      <c r="J24" s="3">
        <f>$H24*factors!D$3</f>
        <v>0.39824679360960002</v>
      </c>
      <c r="K24" s="3">
        <f>$H24*factors!E$3</f>
        <v>0.39139436902320007</v>
      </c>
      <c r="L24" s="3">
        <f>$H24*factors!F$3</f>
        <v>0.3901851176256001</v>
      </c>
      <c r="M24" s="3">
        <f>$H24*factors!G$3</f>
        <v>0.38978203382640003</v>
      </c>
      <c r="N24" s="3">
        <f>$H24*factors!H$3</f>
        <v>0.40106838020400004</v>
      </c>
      <c r="O24" s="3">
        <f>$H24*factors!I$3</f>
        <v>0.40993622378640004</v>
      </c>
      <c r="P24" s="3">
        <f>$H24*factors!J$3</f>
        <v>0.41477322937680006</v>
      </c>
      <c r="Q24" s="3">
        <f>$H24*factors!K$3</f>
        <v>0.38937895002720002</v>
      </c>
      <c r="R24" s="3">
        <f>$H24*factors!L$3</f>
        <v>0.38292960924000002</v>
      </c>
      <c r="S24" s="3">
        <f>$H24*factors!M$3</f>
        <v>0.39864987740880004</v>
      </c>
      <c r="T24" s="3">
        <f>$H24*factors!N$3</f>
        <v>0.41235472658160005</v>
      </c>
      <c r="U24" s="3">
        <f>$H24*factors!O$3</f>
        <v>0.39058820142480005</v>
      </c>
      <c r="V24" s="3">
        <f>$H24*factors!P$3</f>
        <v>0.40630846959360006</v>
      </c>
      <c r="W24" s="3">
        <f>$H24*factors!Q$3</f>
        <v>0.40993622378640004</v>
      </c>
      <c r="X24" s="3">
        <f>$H24*factors!R$3</f>
        <v>0.39220053662160004</v>
      </c>
      <c r="Y24" s="3">
        <f>$H24*factors!S$3</f>
        <v>0.38857278242880006</v>
      </c>
      <c r="Z24" s="3">
        <f>$H24*factors!T$3</f>
        <v>0.41920715116800011</v>
      </c>
      <c r="AA24" s="3">
        <f>$H24*factors!U$3</f>
        <v>0.39582829081440002</v>
      </c>
      <c r="AB24" s="3">
        <f>$H24*factors!V$3</f>
        <v>0.39623137461360008</v>
      </c>
      <c r="AC24" s="3">
        <f>$H24*factors!W$3</f>
        <v>0.39663445841280009</v>
      </c>
      <c r="AD24" s="3">
        <f>$H24*factors!X$3</f>
        <v>0.38816969862960005</v>
      </c>
      <c r="AE24" s="3">
        <f>$H24*factors!Y$3</f>
        <v>0.39139436902320007</v>
      </c>
      <c r="AF24" s="3">
        <f>$H24*factors!Z$3</f>
        <v>0.39945604500720006</v>
      </c>
      <c r="AG24" s="3">
        <f>$H24*factors!AA$3</f>
        <v>0.38937895002720002</v>
      </c>
      <c r="AH24" s="3">
        <f>$H24*factors!AB$3</f>
        <v>0.38776661483040009</v>
      </c>
      <c r="AI24" s="3">
        <f>$H24*factors!AC$3</f>
        <v>0.40026221260560008</v>
      </c>
      <c r="AJ24" s="3">
        <f>$H24*factors!AD$3</f>
        <v>0.41557939697520002</v>
      </c>
      <c r="AK24" s="3">
        <f>$H24*factors!AE$3</f>
        <v>0.39985912880640007</v>
      </c>
      <c r="AL24" s="3">
        <f>$H24*factors!AF$3</f>
        <v>0.3841388606376</v>
      </c>
      <c r="AM24" s="3">
        <f>$H24*factors!AG$3</f>
        <v>0.39502212321600005</v>
      </c>
      <c r="AN24" s="3">
        <f>$H24*factors!AH$3</f>
        <v>0.38857278242880006</v>
      </c>
      <c r="AO24" s="3">
        <f>$H24*factors!AI$3</f>
        <v>0.40711463719200003</v>
      </c>
      <c r="AP24" s="3">
        <f>$H24*factors!AJ$3</f>
        <v>0.3901851176256001</v>
      </c>
      <c r="AQ24" s="3">
        <f>$H24*factors!AK$3</f>
        <v>0.40268071540080008</v>
      </c>
      <c r="AR24" s="3">
        <f>$H24*factors!AL$3</f>
        <v>0.39381287181840008</v>
      </c>
      <c r="AS24" s="3">
        <f>$H24*factors!AM$3</f>
        <v>0.3841388606376</v>
      </c>
      <c r="AT24" s="3">
        <f>$H24*factors!AN$3</f>
        <v>0.39623137461360008</v>
      </c>
      <c r="AU24" s="3">
        <f>$H24*factors!AO$3</f>
        <v>0.41961023496720001</v>
      </c>
      <c r="AV24" s="3">
        <f>$H24*factors!AP$3</f>
        <v>0.39663445841280009</v>
      </c>
      <c r="AW24" s="3">
        <f>$H24*factors!AQ$3</f>
        <v>0.39260362042079999</v>
      </c>
      <c r="AX24" s="3">
        <f>$H24*factors!AR$3</f>
        <v>0.41517631317600007</v>
      </c>
      <c r="AY24" s="3">
        <f>$H24*factors!AS$3</f>
        <v>0.38292960924000002</v>
      </c>
      <c r="AZ24" s="3">
        <f>$H24*factors!AT$3</f>
        <v>0.41033930758560011</v>
      </c>
      <c r="BA24" s="3">
        <f>$H24*factors!AU$3</f>
        <v>0.4014714640032</v>
      </c>
      <c r="BB24" s="3">
        <f>$H24*factors!AV$3</f>
        <v>0.39623137461360008</v>
      </c>
      <c r="BC24" s="3">
        <f>$H24*factors!AW$3</f>
        <v>0.41920715116800011</v>
      </c>
      <c r="BD24" s="3">
        <f>$H24*factors!AX$3</f>
        <v>0.38696044723200002</v>
      </c>
      <c r="BE24" s="3">
        <f>$H24*factors!AY$3</f>
        <v>0.45493978351559999</v>
      </c>
      <c r="BF24" s="3">
        <f>$H24*factors!AZ$3</f>
        <v>0.42367093101840003</v>
      </c>
      <c r="BG24" s="3">
        <f>$H24*factors!BA$3</f>
        <v>0.42983662024319996</v>
      </c>
      <c r="BH24" s="3">
        <f>$H24*factors!BB$3</f>
        <v>0.43556190309480003</v>
      </c>
      <c r="BI24" s="3">
        <f>$H24*factors!BC$3</f>
        <v>0.45141653252999997</v>
      </c>
      <c r="BJ24" s="3">
        <f>$H24*factors!BD$3</f>
        <v>0.4311578393628</v>
      </c>
      <c r="BK24" s="3">
        <f>$H24*factors!BE$3</f>
        <v>0.43203865210919995</v>
      </c>
      <c r="BL24" s="3">
        <f>$H24*factors!BF$3</f>
        <v>0.42719418200399994</v>
      </c>
      <c r="BM24" s="3">
        <f>$H24*factors!BG$3</f>
        <v>0.45626100263520003</v>
      </c>
      <c r="BN24" s="3">
        <f>$H24*factors!BH$3</f>
        <v>0.45053571978359996</v>
      </c>
      <c r="BO24" s="3">
        <f>$H24*factors!BI$3</f>
        <v>0.42367093101840003</v>
      </c>
      <c r="BP24" s="3">
        <f>$H24*factors!BJ$3</f>
        <v>0.4223497118988</v>
      </c>
      <c r="BQ24" s="3">
        <f>$H24*factors!BK$3</f>
        <v>0.42939621386999999</v>
      </c>
      <c r="BR24" s="3">
        <f>$H24*factors!BL$3</f>
        <v>0.44481043693200001</v>
      </c>
      <c r="BS24" s="3">
        <f>$H24*factors!BM$3</f>
        <v>0.4518569389032</v>
      </c>
      <c r="BT24" s="3">
        <f>$H24*factors!BN$3</f>
        <v>0.45317815802279998</v>
      </c>
      <c r="BU24" s="3">
        <f>$H24*factors!BO$3</f>
        <v>0.46066506636720006</v>
      </c>
      <c r="BV24" s="3">
        <f>$H24*factors!BP$3</f>
        <v>0.42851540112359998</v>
      </c>
      <c r="BW24" s="3">
        <f>$H24*factors!BQ$3</f>
        <v>0.43820434133399999</v>
      </c>
      <c r="BX24" s="3">
        <f>$H24*factors!BR$3</f>
        <v>0.42983662024319996</v>
      </c>
      <c r="BY24" s="3">
        <f>$H24*factors!BS$3</f>
        <v>0.44965490703719996</v>
      </c>
      <c r="BZ24" s="3">
        <f>$H24*factors!BT$3</f>
        <v>0.44128718594639998</v>
      </c>
      <c r="CA24" s="3">
        <f>$H24*factors!BU$3</f>
        <v>0.43556190309480003</v>
      </c>
      <c r="CB24" s="3">
        <f>$H24*factors!BV$3</f>
        <v>0.42146889915239999</v>
      </c>
      <c r="CC24" s="3">
        <f>$H24*factors!BW$3</f>
        <v>0.43380027760200002</v>
      </c>
      <c r="CD24" s="3">
        <f>$H24*factors!BX$3</f>
        <v>0.43512149672160005</v>
      </c>
      <c r="CE24" s="3">
        <f>$H24*factors!BY$3</f>
        <v>0.44128718594639998</v>
      </c>
      <c r="CF24" s="3">
        <f>$H24*factors!BZ$3</f>
        <v>0.43468109034840002</v>
      </c>
      <c r="CG24" s="3">
        <f>$H24*factors!CA$3</f>
        <v>0.42014768003279995</v>
      </c>
      <c r="CH24" s="3">
        <f>$H24*factors!CB$3</f>
        <v>0.42058808640599993</v>
      </c>
      <c r="CI24" s="3">
        <f>$H24*factors!CC$3</f>
        <v>0.41838605454000005</v>
      </c>
      <c r="CJ24" s="3">
        <f>$H24*factors!CD$3</f>
        <v>0.43556190309480003</v>
      </c>
      <c r="CK24" s="3">
        <f>$H24*factors!CE$3</f>
        <v>0.45493978351559999</v>
      </c>
      <c r="CL24" s="3">
        <f>$H24*factors!CF$3</f>
        <v>0.42631336925759999</v>
      </c>
      <c r="CM24" s="3">
        <f>$H24*factors!CG$3</f>
        <v>0.43644271584119998</v>
      </c>
      <c r="CN24" s="3">
        <f>$H24*factors!CH$3</f>
        <v>0.42190930552559996</v>
      </c>
      <c r="CO24" s="3">
        <f>$H24*factors!CI$3</f>
        <v>0.42499215013799996</v>
      </c>
      <c r="CP24" s="3">
        <f>$H24*factors!CJ$3</f>
        <v>0.44525084330519993</v>
      </c>
      <c r="CQ24" s="3">
        <f>$H24*factors!CK$3</f>
        <v>0.43203865210919995</v>
      </c>
      <c r="CR24" s="3">
        <f>$H24*factors!CL$3</f>
        <v>0.44569124967840001</v>
      </c>
      <c r="CS24" s="3">
        <f>$H24*factors!CM$3</f>
        <v>0.4597842536208</v>
      </c>
      <c r="CT24" s="3">
        <f>$H24*factors!CN$3</f>
        <v>0.45449937714240002</v>
      </c>
      <c r="CU24" s="3">
        <f>$H24*factors!CO$3</f>
        <v>0.44437003055879998</v>
      </c>
      <c r="CV24" s="3">
        <f>$H24*factors!CP$3</f>
        <v>0.46242669186000002</v>
      </c>
      <c r="CW24" s="3">
        <f>$H24*factors!CQ$3</f>
        <v>0.43732352858760004</v>
      </c>
      <c r="CX24" s="3">
        <f>$H24*factors!CR$3</f>
        <v>0.43071743298960002</v>
      </c>
      <c r="CY24" s="3">
        <f>$H24*factors!CS$3</f>
        <v>0.42675377563079997</v>
      </c>
      <c r="CZ24" s="3">
        <f>$H24*factors!CT$3</f>
        <v>0.42058808640599993</v>
      </c>
      <c r="DA24" s="3">
        <f>$H24*factors!CU$3</f>
        <v>0.43667411579999998</v>
      </c>
      <c r="DB24" s="3">
        <f>$H24*factors!CV$3</f>
        <v>0.46488998174400004</v>
      </c>
      <c r="DC24" s="3">
        <f>$H24*factors!CW$3</f>
        <v>0.44518366267199999</v>
      </c>
      <c r="DD24" s="3">
        <f>$H24*factors!CX$3</f>
        <v>0.44204856645599999</v>
      </c>
      <c r="DE24" s="3">
        <f>$H24*factors!CY$3</f>
        <v>0.45503682220800007</v>
      </c>
      <c r="DF24" s="3">
        <f>$H24*factors!CZ$3</f>
        <v>0.45414108043199997</v>
      </c>
      <c r="DG24" s="3">
        <f>$H24*factors!DA$3</f>
        <v>0.45234959688000004</v>
      </c>
      <c r="DH24" s="3">
        <f>$H24*factors!DB$3</f>
        <v>0.45234959688000004</v>
      </c>
      <c r="DI24" s="3">
        <f>$H24*factors!DC$3</f>
        <v>0.43533050313599997</v>
      </c>
      <c r="DJ24" s="3">
        <f>$H24*factors!DD$3</f>
        <v>0.46130701464000001</v>
      </c>
      <c r="DK24" s="3">
        <f>$H24*factors!DE$3</f>
        <v>0.46130701464000001</v>
      </c>
      <c r="DL24" s="3">
        <f>$H24*factors!DF$3</f>
        <v>0.45593256398400006</v>
      </c>
      <c r="DM24" s="3">
        <f>$H24*factors!DG$3</f>
        <v>0.42950818159199999</v>
      </c>
      <c r="DN24" s="3">
        <f>$H24*factors!DH$3</f>
        <v>0.45055811332800005</v>
      </c>
      <c r="DO24" s="3">
        <f>$H24*factors!DI$3</f>
        <v>0.465337852632</v>
      </c>
      <c r="DP24" s="3">
        <f>$H24*factors!DJ$3</f>
        <v>0.46130701464000001</v>
      </c>
      <c r="DQ24" s="3">
        <f>$H24*factors!DK$3</f>
        <v>0.43980921201599998</v>
      </c>
      <c r="DR24" s="3">
        <f>$H24*factors!DL$3</f>
        <v>0.43488263224800006</v>
      </c>
      <c r="DS24" s="3">
        <f>$H24*factors!DM$3</f>
        <v>0.46981656151200002</v>
      </c>
      <c r="DT24" s="3">
        <f>$H24*factors!DN$3</f>
        <v>0.44160069556800002</v>
      </c>
      <c r="DU24" s="3">
        <f>$H24*factors!DO$3</f>
        <v>0.462202756416</v>
      </c>
      <c r="DV24" s="3">
        <f>$H24*factors!DP$3</f>
        <v>0.45145385510400005</v>
      </c>
      <c r="DW24" s="3">
        <f>$H24*factors!DQ$3</f>
        <v>0.43085179425600001</v>
      </c>
      <c r="DX24" s="3">
        <f>$H24*factors!DR$3</f>
        <v>0.45638043487199997</v>
      </c>
      <c r="DY24" s="3">
        <f>$H24*factors!DS$3</f>
        <v>0.43309114869599996</v>
      </c>
      <c r="DZ24" s="3">
        <f>$H24*factors!DT$3</f>
        <v>0.463098498192</v>
      </c>
      <c r="EA24" s="3">
        <f>$H24*factors!DU$3</f>
        <v>0.43622624491199996</v>
      </c>
      <c r="EB24" s="3">
        <f>$H24*factors!DV$3</f>
        <v>0.4254773436</v>
      </c>
      <c r="EC24" s="3">
        <f>$H24*factors!DW$3</f>
        <v>0.45772404753599999</v>
      </c>
      <c r="ED24" s="3">
        <f>$H24*factors!DX$3</f>
        <v>0.42950818159199999</v>
      </c>
      <c r="EE24" s="3">
        <f>$H24*factors!DY$3</f>
        <v>0.43309114869599996</v>
      </c>
      <c r="EF24" s="3">
        <f>$H24*factors!DZ$3</f>
        <v>0.46981656151200002</v>
      </c>
      <c r="EG24" s="3">
        <f>$H24*factors!EA$3</f>
        <v>0.43891347023999999</v>
      </c>
      <c r="EH24" s="3">
        <f>$H24*factors!EB$3</f>
        <v>0.44025708290400001</v>
      </c>
      <c r="EI24" s="3">
        <f>$H24*factors!EC$3</f>
        <v>0.43936134112800002</v>
      </c>
      <c r="EJ24" s="3">
        <f>$H24*factors!ED$3</f>
        <v>0.42816456892800003</v>
      </c>
      <c r="EK24" s="3">
        <f>$H24*factors!EE$3</f>
        <v>0.45772404753599999</v>
      </c>
      <c r="EL24" s="3">
        <f>$H24*factors!EF$3</f>
        <v>0.43533050313599997</v>
      </c>
      <c r="EM24" s="3">
        <f>$H24*factors!EG$3</f>
        <v>0.45279746776799995</v>
      </c>
      <c r="EN24" s="3">
        <f>$H24*factors!EH$3</f>
        <v>0.4254773436</v>
      </c>
      <c r="EO24" s="3">
        <f>$H24*factors!EI$3</f>
        <v>0.43174753603199995</v>
      </c>
      <c r="EP24" s="3">
        <f>$H24*factors!EJ$3</f>
        <v>0.45548469309599998</v>
      </c>
      <c r="EQ24" s="3">
        <f>$H24*factors!EK$3</f>
        <v>0.44294430823199998</v>
      </c>
      <c r="ER24" s="3">
        <f>$H24*factors!EL$3</f>
        <v>0.46130701464000001</v>
      </c>
      <c r="ES24" s="3">
        <f>$H24*factors!EM$3</f>
        <v>0.45548469309599998</v>
      </c>
      <c r="ET24" s="3">
        <f>$H24*factors!EN$3</f>
        <v>0.46578572352000003</v>
      </c>
      <c r="EU24" s="3">
        <f>$H24*factors!EO$3</f>
        <v>0.47026443240000004</v>
      </c>
      <c r="EV24" s="3">
        <f>$H24*factors!EP$3</f>
        <v>0.44070495379199998</v>
      </c>
      <c r="EW24" s="3">
        <f>$H24*factors!EQ$3</f>
        <v>0.48472692982499999</v>
      </c>
      <c r="EX24" s="3">
        <f>$H24*factors!ER$3</f>
        <v>0.47959507590000011</v>
      </c>
      <c r="EY24" s="3">
        <f>$H24*factors!ES$3</f>
        <v>0.48939225157499994</v>
      </c>
      <c r="EZ24" s="3">
        <f>$H24*factors!ET$3</f>
        <v>0.48472692982499999</v>
      </c>
      <c r="FA24" s="3">
        <f>$H24*factors!EU$3</f>
        <v>0.44553822712499996</v>
      </c>
      <c r="FB24" s="3">
        <f>$H24*factors!EV$3</f>
        <v>0.46559911065000004</v>
      </c>
      <c r="FC24" s="3">
        <f>$H24*factors!EW$3</f>
        <v>0.47866201155000004</v>
      </c>
      <c r="FD24" s="3">
        <f>$H24*factors!EX$3</f>
        <v>0.46186685325000004</v>
      </c>
      <c r="FE24" s="3">
        <f>$H24*factors!EY$3</f>
        <v>0.48659305852500001</v>
      </c>
      <c r="FF24" s="3">
        <f>$H24*factors!EZ$3</f>
        <v>0.4870595907000001</v>
      </c>
      <c r="FG24" s="3">
        <f>$H24*factors!FA$3</f>
        <v>0.44553822712499996</v>
      </c>
      <c r="FH24" s="3">
        <f>$H24*factors!FB$3</f>
        <v>0.468864835875</v>
      </c>
      <c r="FI24" s="3">
        <f>$H24*factors!FC$3</f>
        <v>0.48845918722499998</v>
      </c>
      <c r="FJ24" s="3">
        <f>$H24*factors!FD$3</f>
        <v>0.468864835875</v>
      </c>
      <c r="FK24" s="3">
        <f>$H24*factors!FE$3</f>
        <v>0.47679588285000007</v>
      </c>
      <c r="FL24" s="3">
        <f>$H24*factors!FF$3</f>
        <v>0.47819547937500001</v>
      </c>
      <c r="FM24" s="3">
        <f>$H24*factors!FG$3</f>
        <v>0.48332733329999999</v>
      </c>
      <c r="FN24" s="3">
        <f>$H24*factors!FH$3</f>
        <v>0.452069677575</v>
      </c>
      <c r="FO24" s="3">
        <f>$H24*factors!FI$3</f>
        <v>0.48006160807499998</v>
      </c>
      <c r="FP24" s="3">
        <f>$H24*factors!FJ$3</f>
        <v>0.46653217500000005</v>
      </c>
      <c r="FQ24" s="3">
        <f>$H24*factors!FK$3</f>
        <v>0.46186685325000004</v>
      </c>
      <c r="FR24" s="3">
        <f>$H24*factors!FL$3</f>
        <v>0.47119749675</v>
      </c>
      <c r="FS24" s="3">
        <f>$H24*factors!FM$3</f>
        <v>0.46839830370000002</v>
      </c>
      <c r="FT24" s="3">
        <f>$H24*factors!FN$3</f>
        <v>0.47866201155000004</v>
      </c>
      <c r="FU24" s="3">
        <f>$H24*factors!FO$3</f>
        <v>0.46000072455000002</v>
      </c>
      <c r="FV24" s="3">
        <f>$H24*factors!FP$3</f>
        <v>0.45626846715000002</v>
      </c>
      <c r="FW24" s="3">
        <f>$H24*factors!FQ$3</f>
        <v>0.48845918722499998</v>
      </c>
      <c r="FX24" s="3">
        <f>$H24*factors!FR$3</f>
        <v>0.47959507590000011</v>
      </c>
      <c r="FY24" s="3">
        <f>$H24*factors!FS$3</f>
        <v>0.46979790022499995</v>
      </c>
      <c r="FZ24" s="3">
        <f>$H24*factors!FT$3</f>
        <v>0.44647129147500003</v>
      </c>
      <c r="GA24" s="3">
        <f>$H24*factors!FU$3</f>
        <v>0.46979790022499995</v>
      </c>
      <c r="GB24" s="3">
        <f>$H24*factors!FV$3</f>
        <v>0.4870595907000001</v>
      </c>
      <c r="GC24" s="3">
        <f>$H24*factors!FW$3</f>
        <v>0.45626846715000002</v>
      </c>
      <c r="GD24" s="3">
        <f>$H24*factors!FX$3</f>
        <v>0.46419951412499999</v>
      </c>
      <c r="GE24" s="3">
        <f>$H24*factors!FY$3</f>
        <v>0.46419951412499999</v>
      </c>
      <c r="GF24" s="3">
        <f>$H24*factors!FZ$3</f>
        <v>0.46279991760000005</v>
      </c>
      <c r="GG24" s="3">
        <f>$H24*factors!GA$3</f>
        <v>0.44460516277500001</v>
      </c>
      <c r="GH24" s="3">
        <f>$H24*factors!GB$3</f>
        <v>0.47306362545000008</v>
      </c>
      <c r="GI24" s="3">
        <f>$H24*factors!GC$3</f>
        <v>0.44367209842500005</v>
      </c>
      <c r="GJ24" s="3">
        <f>$H24*factors!GD$3</f>
        <v>0.44460516277500001</v>
      </c>
      <c r="GK24" s="3">
        <f>$H24*factors!GE$3</f>
        <v>0.45580193497499999</v>
      </c>
      <c r="GL24" s="3">
        <f>$H24*factors!GF$3</f>
        <v>0.48286080112500002</v>
      </c>
      <c r="GM24" s="3">
        <f>$H24*factors!GG$3</f>
        <v>0.45766806367500007</v>
      </c>
      <c r="GN24" s="3">
        <f>$H24*factors!GH$3</f>
        <v>0.47213056110000007</v>
      </c>
      <c r="GO24" s="3">
        <f>$H24*factors!GI$3</f>
        <v>0.4460047593</v>
      </c>
      <c r="GP24" s="3">
        <f>$H24*factors!GJ$3</f>
        <v>0.47819547937500001</v>
      </c>
      <c r="GQ24" s="3">
        <f>$H24*factors!GK$3</f>
        <v>0.48799265505000006</v>
      </c>
      <c r="GR24" s="3">
        <f>$H24*factors!GL$3</f>
        <v>0.47866201155000004</v>
      </c>
      <c r="GS24" s="3">
        <f>$H24*factors!GM$3</f>
        <v>0.45266683875900005</v>
      </c>
      <c r="GT24" s="3">
        <f>$H24*factors!GN$3</f>
        <v>0.46309476593460008</v>
      </c>
      <c r="GU24" s="3">
        <f>$H24*factors!GO$3</f>
        <v>0.47399668980000004</v>
      </c>
      <c r="GV24" s="3">
        <f>$H24*factors!GP$3</f>
        <v>0.45503682220800007</v>
      </c>
      <c r="GW24" s="3">
        <f>$H24*factors!GQ$3</f>
        <v>0.47115270966120004</v>
      </c>
      <c r="GX24" s="3">
        <f>$H24*factors!GR$3</f>
        <v>0.4635687626244</v>
      </c>
      <c r="GY24" s="3">
        <f>$H24*factors!GS$3</f>
        <v>0.46119877917540009</v>
      </c>
      <c r="GZ24" s="3">
        <f>$H24*factors!GT$3</f>
        <v>0.4782626600082</v>
      </c>
      <c r="HA24" s="3">
        <f>$H24*factors!GU$3</f>
        <v>0.4626207692448</v>
      </c>
      <c r="HB24" s="3">
        <f>$H24*factors!GV$3</f>
        <v>0.4782626600082</v>
      </c>
      <c r="HC24" s="3">
        <f>$H24*factors!GW$3</f>
        <v>0.46641274276319999</v>
      </c>
      <c r="HD24" s="3">
        <f>$H24*factors!GX$3</f>
        <v>0.48015864676739994</v>
      </c>
      <c r="HE24" s="3">
        <f>$H24*factors!GY$3</f>
        <v>0.47399668980000004</v>
      </c>
      <c r="HF24" s="3">
        <f>$H24*factors!GZ$3</f>
        <v>0.48869058718379998</v>
      </c>
      <c r="HG24" s="3">
        <f>$H24*factors!HA$3</f>
        <v>0.46973071959180002</v>
      </c>
      <c r="HH24" s="3">
        <f>$H24*factors!HB$3</f>
        <v>0.4635687626244</v>
      </c>
      <c r="HI24" s="3">
        <f>$H24*factors!HC$3</f>
        <v>0.45788080234680006</v>
      </c>
      <c r="HJ24" s="3">
        <f>$H24*factors!HD$3</f>
        <v>0.45266683875900005</v>
      </c>
      <c r="HK24" s="3">
        <f>$H24*factors!HE$3</f>
        <v>0.47873665669800003</v>
      </c>
      <c r="HL24" s="3">
        <f>$H24*factors!HF$3</f>
        <v>0.45124484868960002</v>
      </c>
      <c r="HM24" s="3">
        <f>$H24*factors!HG$3</f>
        <v>0.45598481558760007</v>
      </c>
      <c r="HN24" s="3">
        <f>$H24*factors!HH$3</f>
        <v>0.48632060373480007</v>
      </c>
      <c r="HO24" s="3">
        <f>$H24*factors!HI$3</f>
        <v>0.46641274276319999</v>
      </c>
      <c r="HP24" s="3">
        <f>$H24*factors!HJ$3</f>
        <v>0.49769652429000011</v>
      </c>
      <c r="HQ24" s="3">
        <f>$H24*factors!HK$3</f>
        <v>0.45503682220800007</v>
      </c>
      <c r="HR24" s="3">
        <f>$H24*factors!HL$3</f>
        <v>0.48252863021640008</v>
      </c>
      <c r="HS24" s="3">
        <f>$H24*factors!HM$3</f>
        <v>0.49106057063280006</v>
      </c>
      <c r="HT24" s="3">
        <f>$H24*factors!HN$3</f>
        <v>0.45788080234680006</v>
      </c>
      <c r="HU24" s="3">
        <f>$H24*factors!HO$3</f>
        <v>0.4626207692448</v>
      </c>
      <c r="HV24" s="3">
        <f>$H24*factors!HP$3</f>
        <v>0.46830872952240005</v>
      </c>
      <c r="HW24" s="3">
        <f>$H24*factors!HQ$3</f>
        <v>0.47494468317960004</v>
      </c>
      <c r="HX24" s="3">
        <f>$H24*factors!HR$3</f>
        <v>0.49437854746139998</v>
      </c>
      <c r="HY24" s="3">
        <f>$H24*factors!HS$3</f>
        <v>0.46973071959180002</v>
      </c>
      <c r="HZ24" s="3">
        <f>$H24*factors!HT$3</f>
        <v>0.48774259380419999</v>
      </c>
      <c r="IA24" s="3">
        <f>$H24*factors!HU$3</f>
        <v>0.46404275931420003</v>
      </c>
      <c r="IB24" s="3">
        <f>$H24*factors!HV$3</f>
        <v>0.48015864676739994</v>
      </c>
      <c r="IC24" s="3">
        <f>$H24*factors!HW$3</f>
        <v>0.48489861366540005</v>
      </c>
      <c r="ID24" s="3">
        <f>$H24*factors!HX$3</f>
        <v>0.45029685531000002</v>
      </c>
      <c r="IE24" s="3">
        <f>$H24*factors!HY$3</f>
        <v>0.4782626600082</v>
      </c>
      <c r="IF24" s="3">
        <f>$H24*factors!HZ$3</f>
        <v>0.47541867986940001</v>
      </c>
      <c r="IG24" s="3">
        <f>$H24*factors!IA$3</f>
        <v>0.47115270966120004</v>
      </c>
      <c r="IH24" s="3">
        <f>$H24*factors!IB$3</f>
        <v>0.48869058718379998</v>
      </c>
      <c r="II24" s="3">
        <f>$H24*factors!IC$3</f>
        <v>0.46783473283260002</v>
      </c>
      <c r="IJ24" s="3">
        <f>$H24*factors!ID$3</f>
        <v>0.47210070304080004</v>
      </c>
      <c r="IK24" s="3">
        <f>$H24*factors!IE$3</f>
        <v>0.48916458387360007</v>
      </c>
      <c r="IL24" s="3">
        <f>$H24*factors!IF$3</f>
        <v>0.46830872952240005</v>
      </c>
      <c r="IM24" s="3">
        <f>$H24*factors!IG$3</f>
        <v>0.46404275931420003</v>
      </c>
      <c r="IN24" s="3">
        <f>$H24*factors!IH$3</f>
        <v>0.46688673945300002</v>
      </c>
      <c r="IO24" s="3">
        <f>$H24*factors!II$3</f>
        <v>0.47162670635100001</v>
      </c>
      <c r="IP24" s="3">
        <f>$H24*factors!IJ$3</f>
        <v>0.45598481558760007</v>
      </c>
      <c r="IQ24" s="3">
        <f>$H24*factors!IK$3</f>
        <v>0.45456282551820004</v>
      </c>
      <c r="IR24" s="3">
        <f>$H24*factors!IL$3</f>
        <v>0.46783473283260002</v>
      </c>
      <c r="IS24" s="3">
        <f>$H24*factors!IM$3</f>
        <v>0.47162670635100001</v>
      </c>
      <c r="IT24" s="3">
        <f>$H24*factors!IN$3</f>
        <v>0.47494468317960004</v>
      </c>
      <c r="IU24" s="3">
        <f>$H24*factors!IO$3</f>
        <v>0.48537261035520007</v>
      </c>
      <c r="IV24" s="3">
        <f>$H24*factors!IP$3</f>
        <v>0.49153456732259998</v>
      </c>
      <c r="IW24" s="3">
        <f>$H24*factors!IQ$3</f>
        <v>0.464516756004</v>
      </c>
      <c r="IX24" s="3">
        <f>$H24*factors!IR$3</f>
        <v>0.48537261035520007</v>
      </c>
      <c r="IY24" s="3">
        <f>$H24*factors!IS$3</f>
        <v>0.4782626600082</v>
      </c>
      <c r="IZ24" s="3">
        <f>$H24*factors!IT$3</f>
        <v>0.48632060373480007</v>
      </c>
      <c r="JA24" s="3">
        <f>$H24*factors!IU$3</f>
        <v>0.45930279241619998</v>
      </c>
      <c r="JB24" s="3">
        <f>$H24*factors!IV$3</f>
        <v>0.46783473283260002</v>
      </c>
      <c r="JC24" s="3">
        <f>$H24*factors!IW$3</f>
        <v>0.45693280896720007</v>
      </c>
      <c r="JD24" s="3">
        <f>$H24*factors!IX$3</f>
        <v>0.49769652429000011</v>
      </c>
      <c r="JE24" s="3">
        <f>$H24*factors!IY$3</f>
        <v>0.45835479903659998</v>
      </c>
      <c r="JF24" s="3">
        <f>$H24*factors!IZ$3</f>
        <v>0.48110664014699994</v>
      </c>
      <c r="JG24" s="3">
        <f>$H24*factors!JA$3</f>
        <v>0.47257469973060001</v>
      </c>
      <c r="JH24" s="3">
        <f>$H24*factors!JB$3</f>
        <v>0.48158063683680008</v>
      </c>
      <c r="JI24" s="3">
        <f>$H24*factors!JC$3</f>
        <v>0.45077085199980005</v>
      </c>
      <c r="JJ24" s="3">
        <f>$H24*factors!JD$3</f>
        <v>0.48537261035520007</v>
      </c>
      <c r="JK24" s="3">
        <f>$H24*factors!JE$3</f>
        <v>0.46973071959180002</v>
      </c>
      <c r="JL24" s="3">
        <f>$H24*factors!JF$3</f>
        <v>0.48869058718379998</v>
      </c>
      <c r="JM24" s="3">
        <f>$H24*factors!JG$3</f>
        <v>0.45598481558760007</v>
      </c>
      <c r="JN24" s="3">
        <f>$H24*factors!JH$3</f>
        <v>0.45598481558760007</v>
      </c>
      <c r="JO24" s="3">
        <f>$H24*factors!JI$3</f>
        <v>0.45029685531000002</v>
      </c>
      <c r="JP24" s="3">
        <f>$H24*factors!JJ$3</f>
        <v>0.48679460042460004</v>
      </c>
      <c r="JQ24" s="3">
        <f>$H24*factors!JK$3</f>
        <v>0.47447068648980001</v>
      </c>
      <c r="JR24" s="3">
        <f>$H24*factors!JL$3</f>
        <v>0.49295655739200001</v>
      </c>
      <c r="JS24" s="3">
        <f>$H24*factors!JM$3</f>
        <v>0.45029685531000002</v>
      </c>
      <c r="JT24" s="3">
        <f>$H24*factors!JN$3</f>
        <v>0.47304869642040004</v>
      </c>
      <c r="JU24" s="3">
        <f>$H24*factors!JO$3</f>
        <v>0.45740680565699998</v>
      </c>
      <c r="JV24" s="3">
        <f>$H24*factors!JP$3</f>
        <v>0.46499075269380002</v>
      </c>
      <c r="JW24" s="3">
        <f>$H24*factors!JQ$3</f>
        <v>0.49674853091040011</v>
      </c>
      <c r="JX24" s="3">
        <f>$H24*factors!JR$3</f>
        <v>0.49200856401240001</v>
      </c>
      <c r="JY24" s="3">
        <f>$H24*factors!JS$3</f>
        <v>0.46309476593460008</v>
      </c>
      <c r="JZ24" s="3">
        <f>$H24*factors!JT$3</f>
        <v>0.46830872952240005</v>
      </c>
      <c r="KA24" s="3">
        <f>$H24*factors!JU$3</f>
        <v>0.47020471628160004</v>
      </c>
      <c r="KB24" s="3">
        <f>$H24*factors!JV$3</f>
        <v>0.45456282551820004</v>
      </c>
      <c r="KC24" s="3">
        <f>$H24*factors!JW$3</f>
        <v>0.45693280896720007</v>
      </c>
      <c r="KD24" s="3">
        <f>$H24*factors!JX$3</f>
        <v>0.45740680565699998</v>
      </c>
      <c r="KE24" s="3">
        <f>$H24*factors!JY$3</f>
        <v>0.48679460042460004</v>
      </c>
      <c r="KF24" s="3">
        <f>$H24*factors!JZ$3</f>
        <v>0.49248256070219998</v>
      </c>
      <c r="KG24" s="3">
        <f>$H24*factors!KA$3</f>
        <v>0.47494468317960004</v>
      </c>
      <c r="KH24" s="3">
        <f>$H24*factors!KB$3</f>
        <v>0.464516756004</v>
      </c>
      <c r="KI24" s="3">
        <f>$H24*factors!KC$3</f>
        <v>0.46025078579579998</v>
      </c>
    </row>
    <row r="25" spans="1:295" x14ac:dyDescent="0.55000000000000004">
      <c r="A25" t="s">
        <v>401</v>
      </c>
      <c r="B25">
        <v>24</v>
      </c>
      <c r="C25">
        <v>230</v>
      </c>
      <c r="D25" t="s">
        <v>377</v>
      </c>
      <c r="E25">
        <v>1.5035E-2</v>
      </c>
      <c r="F25">
        <v>24</v>
      </c>
      <c r="G25">
        <f>VLOOKUP(D25,demand_forecasted!$A$2:$G$11,2)</f>
        <v>11098</v>
      </c>
      <c r="H25" s="3">
        <f t="shared" si="1"/>
        <v>1.6685843</v>
      </c>
      <c r="I25" s="3">
        <f>$H25*factors!C$3</f>
        <v>1.8471228201000001</v>
      </c>
      <c r="J25" s="3">
        <f>$H25*factors!D$3</f>
        <v>1.780446191472</v>
      </c>
      <c r="K25" s="3">
        <f>$H25*factors!E$3</f>
        <v>1.7498109837240001</v>
      </c>
      <c r="L25" s="3">
        <f>$H25*factors!F$3</f>
        <v>1.7444047705920003</v>
      </c>
      <c r="M25" s="3">
        <f>$H25*factors!G$3</f>
        <v>1.742602699548</v>
      </c>
      <c r="N25" s="3">
        <f>$H25*factors!H$3</f>
        <v>1.79306068878</v>
      </c>
      <c r="O25" s="3">
        <f>$H25*factors!I$3</f>
        <v>1.8327062517479999</v>
      </c>
      <c r="P25" s="3">
        <f>$H25*factors!J$3</f>
        <v>1.8543311042760002</v>
      </c>
      <c r="Q25" s="3">
        <f>$H25*factors!K$3</f>
        <v>1.7408006285040001</v>
      </c>
      <c r="R25" s="3">
        <f>$H25*factors!L$3</f>
        <v>1.7119674918000001</v>
      </c>
      <c r="S25" s="3">
        <f>$H25*factors!M$3</f>
        <v>1.7822482625159999</v>
      </c>
      <c r="T25" s="3">
        <f>$H25*factors!N$3</f>
        <v>1.8435186780120001</v>
      </c>
      <c r="U25" s="3">
        <f>$H25*factors!O$3</f>
        <v>1.7462068416360002</v>
      </c>
      <c r="V25" s="3">
        <f>$H25*factors!P$3</f>
        <v>1.8164876123520002</v>
      </c>
      <c r="W25" s="3">
        <f>$H25*factors!Q$3</f>
        <v>1.8327062517479999</v>
      </c>
      <c r="X25" s="3">
        <f>$H25*factors!R$3</f>
        <v>1.7534151258120001</v>
      </c>
      <c r="Y25" s="3">
        <f>$H25*factors!S$3</f>
        <v>1.7371964864160001</v>
      </c>
      <c r="Z25" s="3">
        <f>$H25*factors!T$3</f>
        <v>1.8741538857600004</v>
      </c>
      <c r="AA25" s="3">
        <f>$H25*factors!U$3</f>
        <v>1.7696337652079999</v>
      </c>
      <c r="AB25" s="3">
        <f>$H25*factors!V$3</f>
        <v>1.7714358362520002</v>
      </c>
      <c r="AC25" s="3">
        <f>$H25*factors!W$3</f>
        <v>1.7732379072960003</v>
      </c>
      <c r="AD25" s="3">
        <f>$H25*factors!X$3</f>
        <v>1.7353944153720002</v>
      </c>
      <c r="AE25" s="3">
        <f>$H25*factors!Y$3</f>
        <v>1.7498109837240001</v>
      </c>
      <c r="AF25" s="3">
        <f>$H25*factors!Z$3</f>
        <v>1.7858524046040003</v>
      </c>
      <c r="AG25" s="3">
        <f>$H25*factors!AA$3</f>
        <v>1.7408006285040001</v>
      </c>
      <c r="AH25" s="3">
        <f>$H25*factors!AB$3</f>
        <v>1.7335923443280001</v>
      </c>
      <c r="AI25" s="3">
        <f>$H25*factors!AC$3</f>
        <v>1.789456546692</v>
      </c>
      <c r="AJ25" s="3">
        <f>$H25*factors!AD$3</f>
        <v>1.857935246364</v>
      </c>
      <c r="AK25" s="3">
        <f>$H25*factors!AE$3</f>
        <v>1.7876544756480002</v>
      </c>
      <c r="AL25" s="3">
        <f>$H25*factors!AF$3</f>
        <v>1.7173737049319999</v>
      </c>
      <c r="AM25" s="3">
        <f>$H25*factors!AG$3</f>
        <v>1.7660296231200001</v>
      </c>
      <c r="AN25" s="3">
        <f>$H25*factors!AH$3</f>
        <v>1.7371964864160001</v>
      </c>
      <c r="AO25" s="3">
        <f>$H25*factors!AI$3</f>
        <v>1.8200917544399999</v>
      </c>
      <c r="AP25" s="3">
        <f>$H25*factors!AJ$3</f>
        <v>1.7444047705920003</v>
      </c>
      <c r="AQ25" s="3">
        <f>$H25*factors!AK$3</f>
        <v>1.8002689729560002</v>
      </c>
      <c r="AR25" s="3">
        <f>$H25*factors!AL$3</f>
        <v>1.7606234099880003</v>
      </c>
      <c r="AS25" s="3">
        <f>$H25*factors!AM$3</f>
        <v>1.7173737049319999</v>
      </c>
      <c r="AT25" s="3">
        <f>$H25*factors!AN$3</f>
        <v>1.7714358362520002</v>
      </c>
      <c r="AU25" s="3">
        <f>$H25*factors!AO$3</f>
        <v>1.8759559568039998</v>
      </c>
      <c r="AV25" s="3">
        <f>$H25*factors!AP$3</f>
        <v>1.7732379072960003</v>
      </c>
      <c r="AW25" s="3">
        <f>$H25*factors!AQ$3</f>
        <v>1.755217196856</v>
      </c>
      <c r="AX25" s="3">
        <f>$H25*factors!AR$3</f>
        <v>1.8561331753200001</v>
      </c>
      <c r="AY25" s="3">
        <f>$H25*factors!AS$3</f>
        <v>1.7119674918000001</v>
      </c>
      <c r="AZ25" s="3">
        <f>$H25*factors!AT$3</f>
        <v>1.8345083227920003</v>
      </c>
      <c r="BA25" s="3">
        <f>$H25*factors!AU$3</f>
        <v>1.7948627598239999</v>
      </c>
      <c r="BB25" s="3">
        <f>$H25*factors!AV$3</f>
        <v>1.7714358362520002</v>
      </c>
      <c r="BC25" s="3">
        <f>$H25*factors!AW$3</f>
        <v>1.8741538857600004</v>
      </c>
      <c r="BD25" s="3">
        <f>$H25*factors!AX$3</f>
        <v>1.7299882022399999</v>
      </c>
      <c r="BE25" s="3">
        <f>$H25*factors!AY$3</f>
        <v>2.033904146642</v>
      </c>
      <c r="BF25" s="3">
        <f>$H25*factors!AZ$3</f>
        <v>1.8941101539879999</v>
      </c>
      <c r="BG25" s="3">
        <f>$H25*factors!BA$3</f>
        <v>1.9216751666239997</v>
      </c>
      <c r="BH25" s="3">
        <f>$H25*factors!BB$3</f>
        <v>1.9472712497859999</v>
      </c>
      <c r="BI25" s="3">
        <f>$H25*factors!BC$3</f>
        <v>2.0181527108499995</v>
      </c>
      <c r="BJ25" s="3">
        <f>$H25*factors!BD$3</f>
        <v>1.9275819550459998</v>
      </c>
      <c r="BK25" s="3">
        <f>$H25*factors!BE$3</f>
        <v>1.9315198139939997</v>
      </c>
      <c r="BL25" s="3">
        <f>$H25*factors!BF$3</f>
        <v>1.9098615897799998</v>
      </c>
      <c r="BM25" s="3">
        <f>$H25*factors!BG$3</f>
        <v>2.0398109350640001</v>
      </c>
      <c r="BN25" s="3">
        <f>$H25*factors!BH$3</f>
        <v>2.014214851902</v>
      </c>
      <c r="BO25" s="3">
        <f>$H25*factors!BI$3</f>
        <v>1.8941101539879999</v>
      </c>
      <c r="BP25" s="3">
        <f>$H25*factors!BJ$3</f>
        <v>1.8882033655659998</v>
      </c>
      <c r="BQ25" s="3">
        <f>$H25*factors!BK$3</f>
        <v>1.9197062371499998</v>
      </c>
      <c r="BR25" s="3">
        <f>$H25*factors!BL$3</f>
        <v>1.9886187687399999</v>
      </c>
      <c r="BS25" s="3">
        <f>$H25*factors!BM$3</f>
        <v>2.0201216403240001</v>
      </c>
      <c r="BT25" s="3">
        <f>$H25*factors!BN$3</f>
        <v>2.0260284287459998</v>
      </c>
      <c r="BU25" s="3">
        <f>$H25*factors!BO$3</f>
        <v>2.0595002298040002</v>
      </c>
      <c r="BV25" s="3">
        <f>$H25*factors!BP$3</f>
        <v>1.9157683782019999</v>
      </c>
      <c r="BW25" s="3">
        <f>$H25*factors!BQ$3</f>
        <v>1.9590848266299998</v>
      </c>
      <c r="BX25" s="3">
        <f>$H25*factors!BR$3</f>
        <v>1.9216751666239997</v>
      </c>
      <c r="BY25" s="3">
        <f>$H25*factors!BS$3</f>
        <v>2.0102769929539996</v>
      </c>
      <c r="BZ25" s="3">
        <f>$H25*factors!BT$3</f>
        <v>1.9728673329479998</v>
      </c>
      <c r="CA25" s="3">
        <f>$H25*factors!BU$3</f>
        <v>1.9472712497859999</v>
      </c>
      <c r="CB25" s="3">
        <f>$H25*factors!BV$3</f>
        <v>1.8842655066179999</v>
      </c>
      <c r="CC25" s="3">
        <f>$H25*factors!BW$3</f>
        <v>1.9393955318899998</v>
      </c>
      <c r="CD25" s="3">
        <f>$H25*factors!BX$3</f>
        <v>1.9453023203119999</v>
      </c>
      <c r="CE25" s="3">
        <f>$H25*factors!BY$3</f>
        <v>1.9728673329479998</v>
      </c>
      <c r="CF25" s="3">
        <f>$H25*factors!BZ$3</f>
        <v>1.9433333908380002</v>
      </c>
      <c r="CG25" s="3">
        <f>$H25*factors!CA$3</f>
        <v>1.8783587181959998</v>
      </c>
      <c r="CH25" s="3">
        <f>$H25*factors!CB$3</f>
        <v>1.8803276476699997</v>
      </c>
      <c r="CI25" s="3">
        <f>$H25*factors!CC$3</f>
        <v>1.8704830002999999</v>
      </c>
      <c r="CJ25" s="3">
        <f>$H25*factors!CD$3</f>
        <v>1.9472712497859999</v>
      </c>
      <c r="CK25" s="3">
        <f>$H25*factors!CE$3</f>
        <v>2.033904146642</v>
      </c>
      <c r="CL25" s="3">
        <f>$H25*factors!CF$3</f>
        <v>1.9059237308319998</v>
      </c>
      <c r="CM25" s="3">
        <f>$H25*factors!CG$3</f>
        <v>1.9512091087339998</v>
      </c>
      <c r="CN25" s="3">
        <f>$H25*factors!CH$3</f>
        <v>1.8862344360919998</v>
      </c>
      <c r="CO25" s="3">
        <f>$H25*factors!CI$3</f>
        <v>1.9000169424099997</v>
      </c>
      <c r="CP25" s="3">
        <f>$H25*factors!CJ$3</f>
        <v>1.9905876982139996</v>
      </c>
      <c r="CQ25" s="3">
        <f>$H25*factors!CK$3</f>
        <v>1.9315198139939997</v>
      </c>
      <c r="CR25" s="3">
        <f>$H25*factors!CL$3</f>
        <v>1.9925566276879998</v>
      </c>
      <c r="CS25" s="3">
        <f>$H25*factors!CM$3</f>
        <v>2.0555623708559998</v>
      </c>
      <c r="CT25" s="3">
        <f>$H25*factors!CN$3</f>
        <v>2.0319352171679999</v>
      </c>
      <c r="CU25" s="3">
        <f>$H25*factors!CO$3</f>
        <v>1.9866498392659997</v>
      </c>
      <c r="CV25" s="3">
        <f>$H25*factors!CP$3</f>
        <v>2.0673759477</v>
      </c>
      <c r="CW25" s="3">
        <f>$H25*factors!CQ$3</f>
        <v>1.9551469676820001</v>
      </c>
      <c r="CX25" s="3">
        <f>$H25*factors!CR$3</f>
        <v>1.9256130255719999</v>
      </c>
      <c r="CY25" s="3">
        <f>$H25*factors!CS$3</f>
        <v>1.9078926603059998</v>
      </c>
      <c r="CZ25" s="3">
        <f>$H25*factors!CT$3</f>
        <v>1.8803276476699997</v>
      </c>
      <c r="DA25" s="3">
        <f>$H25*factors!CU$3</f>
        <v>1.952243631</v>
      </c>
      <c r="DB25" s="3">
        <f>$H25*factors!CV$3</f>
        <v>2.0783886040800001</v>
      </c>
      <c r="DC25" s="3">
        <f>$H25*factors!CW$3</f>
        <v>1.9902873530399998</v>
      </c>
      <c r="DD25" s="3">
        <f>$H25*factors!CX$3</f>
        <v>1.9762712449199999</v>
      </c>
      <c r="DE25" s="3">
        <f>$H25*factors!CY$3</f>
        <v>2.03433797856</v>
      </c>
      <c r="DF25" s="3">
        <f>$H25*factors!CZ$3</f>
        <v>2.0303333762399998</v>
      </c>
      <c r="DG25" s="3">
        <f>$H25*factors!DA$3</f>
        <v>2.0223241715999998</v>
      </c>
      <c r="DH25" s="3">
        <f>$H25*factors!DB$3</f>
        <v>2.0223241715999998</v>
      </c>
      <c r="DI25" s="3">
        <f>$H25*factors!DC$3</f>
        <v>1.9462367275199999</v>
      </c>
      <c r="DJ25" s="3">
        <f>$H25*factors!DD$3</f>
        <v>2.0623701948000002</v>
      </c>
      <c r="DK25" s="3">
        <f>$H25*factors!DE$3</f>
        <v>2.0623701948000002</v>
      </c>
      <c r="DL25" s="3">
        <f>$H25*factors!DF$3</f>
        <v>2.0383425808800002</v>
      </c>
      <c r="DM25" s="3">
        <f>$H25*factors!DG$3</f>
        <v>1.9202068124399998</v>
      </c>
      <c r="DN25" s="3">
        <f>$H25*factors!DH$3</f>
        <v>2.0143149669600002</v>
      </c>
      <c r="DO25" s="3">
        <f>$H25*factors!DI$3</f>
        <v>2.0803909052399998</v>
      </c>
      <c r="DP25" s="3">
        <f>$H25*factors!DJ$3</f>
        <v>2.0623701948000002</v>
      </c>
      <c r="DQ25" s="3">
        <f>$H25*factors!DK$3</f>
        <v>1.9662597391199998</v>
      </c>
      <c r="DR25" s="3">
        <f>$H25*factors!DL$3</f>
        <v>1.94423442636</v>
      </c>
      <c r="DS25" s="3">
        <f>$H25*factors!DM$3</f>
        <v>2.10041391684</v>
      </c>
      <c r="DT25" s="3">
        <f>$H25*factors!DN$3</f>
        <v>1.9742689437600001</v>
      </c>
      <c r="DU25" s="3">
        <f>$H25*factors!DO$3</f>
        <v>2.0663747971199999</v>
      </c>
      <c r="DV25" s="3">
        <f>$H25*factors!DP$3</f>
        <v>2.01831956928</v>
      </c>
      <c r="DW25" s="3">
        <f>$H25*factors!DQ$3</f>
        <v>1.9262137159199999</v>
      </c>
      <c r="DX25" s="3">
        <f>$H25*factors!DR$3</f>
        <v>2.0403448820399999</v>
      </c>
      <c r="DY25" s="3">
        <f>$H25*factors!DS$3</f>
        <v>1.9362252217199998</v>
      </c>
      <c r="DZ25" s="3">
        <f>$H25*factors!DT$3</f>
        <v>2.0703793994399997</v>
      </c>
      <c r="EA25" s="3">
        <f>$H25*factors!DU$3</f>
        <v>1.9502413298399996</v>
      </c>
      <c r="EB25" s="3">
        <f>$H25*factors!DV$3</f>
        <v>1.9021861019999999</v>
      </c>
      <c r="EC25" s="3">
        <f>$H25*factors!DW$3</f>
        <v>2.0463517855199997</v>
      </c>
      <c r="ED25" s="3">
        <f>$H25*factors!DX$3</f>
        <v>1.9202068124399998</v>
      </c>
      <c r="EE25" s="3">
        <f>$H25*factors!DY$3</f>
        <v>1.9362252217199998</v>
      </c>
      <c r="EF25" s="3">
        <f>$H25*factors!DZ$3</f>
        <v>2.10041391684</v>
      </c>
      <c r="EG25" s="3">
        <f>$H25*factors!EA$3</f>
        <v>1.9622551367999999</v>
      </c>
      <c r="EH25" s="3">
        <f>$H25*factors!EB$3</f>
        <v>1.96826204028</v>
      </c>
      <c r="EI25" s="3">
        <f>$H25*factors!EC$3</f>
        <v>1.96425743796</v>
      </c>
      <c r="EJ25" s="3">
        <f>$H25*factors!ED$3</f>
        <v>1.9141999089599999</v>
      </c>
      <c r="EK25" s="3">
        <f>$H25*factors!EE$3</f>
        <v>2.0463517855199997</v>
      </c>
      <c r="EL25" s="3">
        <f>$H25*factors!EF$3</f>
        <v>1.9462367275199999</v>
      </c>
      <c r="EM25" s="3">
        <f>$H25*factors!EG$3</f>
        <v>2.0243264727599999</v>
      </c>
      <c r="EN25" s="3">
        <f>$H25*factors!EH$3</f>
        <v>1.9021861019999999</v>
      </c>
      <c r="EO25" s="3">
        <f>$H25*factors!EI$3</f>
        <v>1.9302183182399997</v>
      </c>
      <c r="EP25" s="3">
        <f>$H25*factors!EJ$3</f>
        <v>2.0363402797200001</v>
      </c>
      <c r="EQ25" s="3">
        <f>$H25*factors!EK$3</f>
        <v>1.9802758472399997</v>
      </c>
      <c r="ER25" s="3">
        <f>$H25*factors!EL$3</f>
        <v>2.0623701948000002</v>
      </c>
      <c r="ES25" s="3">
        <f>$H25*factors!EM$3</f>
        <v>2.0363402797200001</v>
      </c>
      <c r="ET25" s="3">
        <f>$H25*factors!EN$3</f>
        <v>2.0823932063999999</v>
      </c>
      <c r="EU25" s="3">
        <f>$H25*factors!EO$3</f>
        <v>2.1024162180000001</v>
      </c>
      <c r="EV25" s="3">
        <f>$H25*factors!EP$3</f>
        <v>1.9702643414399998</v>
      </c>
      <c r="EW25" s="3">
        <f>$H25*factors!EQ$3</f>
        <v>2.1670738596249999</v>
      </c>
      <c r="EX25" s="3">
        <f>$H25*factors!ER$3</f>
        <v>2.1441308255000004</v>
      </c>
      <c r="EY25" s="3">
        <f>$H25*factors!ES$3</f>
        <v>2.1879311633749996</v>
      </c>
      <c r="EZ25" s="3">
        <f>$H25*factors!ET$3</f>
        <v>2.1670738596249999</v>
      </c>
      <c r="FA25" s="3">
        <f>$H25*factors!EU$3</f>
        <v>1.9918725081249997</v>
      </c>
      <c r="FB25" s="3">
        <f>$H25*factors!EV$3</f>
        <v>2.0815589142499999</v>
      </c>
      <c r="FC25" s="3">
        <f>$H25*factors!EW$3</f>
        <v>2.1399593647500001</v>
      </c>
      <c r="FD25" s="3">
        <f>$H25*factors!EX$3</f>
        <v>2.0648730712500001</v>
      </c>
      <c r="FE25" s="3">
        <f>$H25*factors!EY$3</f>
        <v>2.175416781125</v>
      </c>
      <c r="FF25" s="3">
        <f>$H25*factors!EZ$3</f>
        <v>2.1775025115000002</v>
      </c>
      <c r="FG25" s="3">
        <f>$H25*factors!FA$3</f>
        <v>1.9918725081249997</v>
      </c>
      <c r="FH25" s="3">
        <f>$H25*factors!FB$3</f>
        <v>2.0961590268749997</v>
      </c>
      <c r="FI25" s="3">
        <f>$H25*factors!FC$3</f>
        <v>2.1837597026249997</v>
      </c>
      <c r="FJ25" s="3">
        <f>$H25*factors!FD$3</f>
        <v>2.0961590268749997</v>
      </c>
      <c r="FK25" s="3">
        <f>$H25*factors!FE$3</f>
        <v>2.13161644325</v>
      </c>
      <c r="FL25" s="3">
        <f>$H25*factors!FF$3</f>
        <v>2.137873634375</v>
      </c>
      <c r="FM25" s="3">
        <f>$H25*factors!FG$3</f>
        <v>2.1608166684999999</v>
      </c>
      <c r="FN25" s="3">
        <f>$H25*factors!FH$3</f>
        <v>2.021072733375</v>
      </c>
      <c r="FO25" s="3">
        <f>$H25*factors!FI$3</f>
        <v>2.1462165558749997</v>
      </c>
      <c r="FP25" s="3">
        <f>$H25*factors!FJ$3</f>
        <v>2.0857303749999998</v>
      </c>
      <c r="FQ25" s="3">
        <f>$H25*factors!FK$3</f>
        <v>2.0648730712500001</v>
      </c>
      <c r="FR25" s="3">
        <f>$H25*factors!FL$3</f>
        <v>2.10658767875</v>
      </c>
      <c r="FS25" s="3">
        <f>$H25*factors!FM$3</f>
        <v>2.0940732965</v>
      </c>
      <c r="FT25" s="3">
        <f>$H25*factors!FN$3</f>
        <v>2.1399593647500001</v>
      </c>
      <c r="FU25" s="3">
        <f>$H25*factors!FO$3</f>
        <v>2.0565301497499999</v>
      </c>
      <c r="FV25" s="3">
        <f>$H25*factors!FP$3</f>
        <v>2.0398443067500001</v>
      </c>
      <c r="FW25" s="3">
        <f>$H25*factors!FQ$3</f>
        <v>2.1837597026249997</v>
      </c>
      <c r="FX25" s="3">
        <f>$H25*factors!FR$3</f>
        <v>2.1441308255000004</v>
      </c>
      <c r="FY25" s="3">
        <f>$H25*factors!FS$3</f>
        <v>2.1003304876249995</v>
      </c>
      <c r="FZ25" s="3">
        <f>$H25*factors!FT$3</f>
        <v>1.996043968875</v>
      </c>
      <c r="GA25" s="3">
        <f>$H25*factors!FU$3</f>
        <v>2.1003304876249995</v>
      </c>
      <c r="GB25" s="3">
        <f>$H25*factors!FV$3</f>
        <v>2.1775025115000002</v>
      </c>
      <c r="GC25" s="3">
        <f>$H25*factors!FW$3</f>
        <v>2.0398443067500001</v>
      </c>
      <c r="GD25" s="3">
        <f>$H25*factors!FX$3</f>
        <v>2.0753017231249999</v>
      </c>
      <c r="GE25" s="3">
        <f>$H25*factors!FY$3</f>
        <v>2.0753017231249999</v>
      </c>
      <c r="GF25" s="3">
        <f>$H25*factors!FZ$3</f>
        <v>2.0690445319999999</v>
      </c>
      <c r="GG25" s="3">
        <f>$H25*factors!GA$3</f>
        <v>1.9877010473749999</v>
      </c>
      <c r="GH25" s="3">
        <f>$H25*factors!GB$3</f>
        <v>2.1149306002500001</v>
      </c>
      <c r="GI25" s="3">
        <f>$H25*factors!GC$3</f>
        <v>1.983529586625</v>
      </c>
      <c r="GJ25" s="3">
        <f>$H25*factors!GD$3</f>
        <v>1.9877010473749999</v>
      </c>
      <c r="GK25" s="3">
        <f>$H25*factors!GE$3</f>
        <v>2.0377585763749999</v>
      </c>
      <c r="GL25" s="3">
        <f>$H25*factors!GF$3</f>
        <v>2.1587309381250002</v>
      </c>
      <c r="GM25" s="3">
        <f>$H25*factors!GG$3</f>
        <v>2.0461014978750001</v>
      </c>
      <c r="GN25" s="3">
        <f>$H25*factors!GH$3</f>
        <v>2.1107591395000003</v>
      </c>
      <c r="GO25" s="3">
        <f>$H25*factors!GI$3</f>
        <v>1.9939582384999996</v>
      </c>
      <c r="GP25" s="3">
        <f>$H25*factors!GJ$3</f>
        <v>2.137873634375</v>
      </c>
      <c r="GQ25" s="3">
        <f>$H25*factors!GK$3</f>
        <v>2.18167397225</v>
      </c>
      <c r="GR25" s="3">
        <f>$H25*factors!GL$3</f>
        <v>2.1399593647500001</v>
      </c>
      <c r="GS25" s="3">
        <f>$H25*factors!GM$3</f>
        <v>2.023742468255</v>
      </c>
      <c r="GT25" s="3">
        <f>$H25*factors!GN$3</f>
        <v>2.070362713597</v>
      </c>
      <c r="GU25" s="3">
        <f>$H25*factors!GO$3</f>
        <v>2.119102061</v>
      </c>
      <c r="GV25" s="3">
        <f>$H25*factors!GP$3</f>
        <v>2.03433797856</v>
      </c>
      <c r="GW25" s="3">
        <f>$H25*factors!GQ$3</f>
        <v>2.106387448634</v>
      </c>
      <c r="GX25" s="3">
        <f>$H25*factors!GR$3</f>
        <v>2.072481815658</v>
      </c>
      <c r="GY25" s="3">
        <f>$H25*factors!GS$3</f>
        <v>2.0618863053530001</v>
      </c>
      <c r="GZ25" s="3">
        <f>$H25*factors!GT$3</f>
        <v>2.1381739795489998</v>
      </c>
      <c r="HA25" s="3">
        <f>$H25*factors!GU$3</f>
        <v>2.0682436115359999</v>
      </c>
      <c r="HB25" s="3">
        <f>$H25*factors!GV$3</f>
        <v>2.1381739795489998</v>
      </c>
      <c r="HC25" s="3">
        <f>$H25*factors!GW$3</f>
        <v>2.0851964280240001</v>
      </c>
      <c r="HD25" s="3">
        <f>$H25*factors!GX$3</f>
        <v>2.1466503877929997</v>
      </c>
      <c r="HE25" s="3">
        <f>$H25*factors!GY$3</f>
        <v>2.119102061</v>
      </c>
      <c r="HF25" s="3">
        <f>$H25*factors!GZ$3</f>
        <v>2.1847942248909997</v>
      </c>
      <c r="HG25" s="3">
        <f>$H25*factors!HA$3</f>
        <v>2.1000301424510002</v>
      </c>
      <c r="HH25" s="3">
        <f>$H25*factors!HB$3</f>
        <v>2.072481815658</v>
      </c>
      <c r="HI25" s="3">
        <f>$H25*factors!HC$3</f>
        <v>2.047052590926</v>
      </c>
      <c r="HJ25" s="3">
        <f>$H25*factors!HD$3</f>
        <v>2.023742468255</v>
      </c>
      <c r="HK25" s="3">
        <f>$H25*factors!HE$3</f>
        <v>2.1402930816099999</v>
      </c>
      <c r="HL25" s="3">
        <f>$H25*factors!HF$3</f>
        <v>2.0173851620719998</v>
      </c>
      <c r="HM25" s="3">
        <f>$H25*factors!HG$3</f>
        <v>2.0385761826820001</v>
      </c>
      <c r="HN25" s="3">
        <f>$H25*factors!HH$3</f>
        <v>2.1741987145860002</v>
      </c>
      <c r="HO25" s="3">
        <f>$H25*factors!HI$3</f>
        <v>2.0851964280240001</v>
      </c>
      <c r="HP25" s="3">
        <f>$H25*factors!HJ$3</f>
        <v>2.2250571640500003</v>
      </c>
      <c r="HQ25" s="3">
        <f>$H25*factors!HK$3</f>
        <v>2.03433797856</v>
      </c>
      <c r="HR25" s="3">
        <f>$H25*factors!HL$3</f>
        <v>2.157245898098</v>
      </c>
      <c r="HS25" s="3">
        <f>$H25*factors!HM$3</f>
        <v>2.1953897351960001</v>
      </c>
      <c r="HT25" s="3">
        <f>$H25*factors!HN$3</f>
        <v>2.047052590926</v>
      </c>
      <c r="HU25" s="3">
        <f>$H25*factors!HO$3</f>
        <v>2.0682436115359999</v>
      </c>
      <c r="HV25" s="3">
        <f>$H25*factors!HP$3</f>
        <v>2.0936728362680004</v>
      </c>
      <c r="HW25" s="3">
        <f>$H25*factors!HQ$3</f>
        <v>2.1233402651220001</v>
      </c>
      <c r="HX25" s="3">
        <f>$H25*factors!HR$3</f>
        <v>2.2102234496229998</v>
      </c>
      <c r="HY25" s="3">
        <f>$H25*factors!HS$3</f>
        <v>2.1000301424510002</v>
      </c>
      <c r="HZ25" s="3">
        <f>$H25*factors!HT$3</f>
        <v>2.180556020769</v>
      </c>
      <c r="IA25" s="3">
        <f>$H25*factors!HU$3</f>
        <v>2.0746009177190001</v>
      </c>
      <c r="IB25" s="3">
        <f>$H25*factors!HV$3</f>
        <v>2.1466503877929997</v>
      </c>
      <c r="IC25" s="3">
        <f>$H25*factors!HW$3</f>
        <v>2.167841408403</v>
      </c>
      <c r="ID25" s="3">
        <f>$H25*factors!HX$3</f>
        <v>2.0131469579499996</v>
      </c>
      <c r="IE25" s="3">
        <f>$H25*factors!HY$3</f>
        <v>2.1381739795489998</v>
      </c>
      <c r="IF25" s="3">
        <f>$H25*factors!HZ$3</f>
        <v>2.1254593671829998</v>
      </c>
      <c r="IG25" s="3">
        <f>$H25*factors!IA$3</f>
        <v>2.106387448634</v>
      </c>
      <c r="IH25" s="3">
        <f>$H25*factors!IB$3</f>
        <v>2.1847942248909997</v>
      </c>
      <c r="II25" s="3">
        <f>$H25*factors!IC$3</f>
        <v>2.0915537342069999</v>
      </c>
      <c r="IJ25" s="3">
        <f>$H25*factors!ID$3</f>
        <v>2.1106256527560001</v>
      </c>
      <c r="IK25" s="3">
        <f>$H25*factors!IE$3</f>
        <v>2.1869133269520002</v>
      </c>
      <c r="IL25" s="3">
        <f>$H25*factors!IF$3</f>
        <v>2.0936728362680004</v>
      </c>
      <c r="IM25" s="3">
        <f>$H25*factors!IG$3</f>
        <v>2.0746009177190001</v>
      </c>
      <c r="IN25" s="3">
        <f>$H25*factors!IH$3</f>
        <v>2.0873155300850001</v>
      </c>
      <c r="IO25" s="3">
        <f>$H25*factors!II$3</f>
        <v>2.108506550695</v>
      </c>
      <c r="IP25" s="3">
        <f>$H25*factors!IJ$3</f>
        <v>2.0385761826820001</v>
      </c>
      <c r="IQ25" s="3">
        <f>$H25*factors!IK$3</f>
        <v>2.0322188764989999</v>
      </c>
      <c r="IR25" s="3">
        <f>$H25*factors!IL$3</f>
        <v>2.0915537342069999</v>
      </c>
      <c r="IS25" s="3">
        <f>$H25*factors!IM$3</f>
        <v>2.108506550695</v>
      </c>
      <c r="IT25" s="3">
        <f>$H25*factors!IN$3</f>
        <v>2.1233402651220001</v>
      </c>
      <c r="IU25" s="3">
        <f>$H25*factors!IO$3</f>
        <v>2.1699605104640001</v>
      </c>
      <c r="IV25" s="3">
        <f>$H25*factors!IP$3</f>
        <v>2.1975088372569997</v>
      </c>
      <c r="IW25" s="3">
        <f>$H25*factors!IQ$3</f>
        <v>2.0767200197799998</v>
      </c>
      <c r="IX25" s="3">
        <f>$H25*factors!IR$3</f>
        <v>2.1699605104640001</v>
      </c>
      <c r="IY25" s="3">
        <f>$H25*factors!IS$3</f>
        <v>2.1381739795489998</v>
      </c>
      <c r="IZ25" s="3">
        <f>$H25*factors!IT$3</f>
        <v>2.1741987145860002</v>
      </c>
      <c r="JA25" s="3">
        <f>$H25*factors!IU$3</f>
        <v>2.0534098971089998</v>
      </c>
      <c r="JB25" s="3">
        <f>$H25*factors!IV$3</f>
        <v>2.0915537342069999</v>
      </c>
      <c r="JC25" s="3">
        <f>$H25*factors!IW$3</f>
        <v>2.0428143868040003</v>
      </c>
      <c r="JD25" s="3">
        <f>$H25*factors!IX$3</f>
        <v>2.2250571640500003</v>
      </c>
      <c r="JE25" s="3">
        <f>$H25*factors!IY$3</f>
        <v>2.0491716929870001</v>
      </c>
      <c r="JF25" s="3">
        <f>$H25*factors!IZ$3</f>
        <v>2.1508885919149998</v>
      </c>
      <c r="JG25" s="3">
        <f>$H25*factors!JA$3</f>
        <v>2.1127447548169997</v>
      </c>
      <c r="JH25" s="3">
        <f>$H25*factors!JB$3</f>
        <v>2.1530076939760003</v>
      </c>
      <c r="JI25" s="3">
        <f>$H25*factors!JC$3</f>
        <v>2.0152660600110002</v>
      </c>
      <c r="JJ25" s="3">
        <f>$H25*factors!JD$3</f>
        <v>2.1699605104640001</v>
      </c>
      <c r="JK25" s="3">
        <f>$H25*factors!JE$3</f>
        <v>2.1000301424510002</v>
      </c>
      <c r="JL25" s="3">
        <f>$H25*factors!JF$3</f>
        <v>2.1847942248909997</v>
      </c>
      <c r="JM25" s="3">
        <f>$H25*factors!JG$3</f>
        <v>2.0385761826820001</v>
      </c>
      <c r="JN25" s="3">
        <f>$H25*factors!JH$3</f>
        <v>2.0385761826820001</v>
      </c>
      <c r="JO25" s="3">
        <f>$H25*factors!JI$3</f>
        <v>2.0131469579499996</v>
      </c>
      <c r="JP25" s="3">
        <f>$H25*factors!JJ$3</f>
        <v>2.1763178166469999</v>
      </c>
      <c r="JQ25" s="3">
        <f>$H25*factors!JK$3</f>
        <v>2.1212211630610001</v>
      </c>
      <c r="JR25" s="3">
        <f>$H25*factors!JL$3</f>
        <v>2.20386614344</v>
      </c>
      <c r="JS25" s="3">
        <f>$H25*factors!JM$3</f>
        <v>2.0131469579499996</v>
      </c>
      <c r="JT25" s="3">
        <f>$H25*factors!JN$3</f>
        <v>2.1148638568780003</v>
      </c>
      <c r="JU25" s="3">
        <f>$H25*factors!JO$3</f>
        <v>2.0449334888649999</v>
      </c>
      <c r="JV25" s="3">
        <f>$H25*factors!JP$3</f>
        <v>2.0788391218410003</v>
      </c>
      <c r="JW25" s="3">
        <f>$H25*factors!JQ$3</f>
        <v>2.2208189599280002</v>
      </c>
      <c r="JX25" s="3">
        <f>$H25*factors!JR$3</f>
        <v>2.1996279393179998</v>
      </c>
      <c r="JY25" s="3">
        <f>$H25*factors!JS$3</f>
        <v>2.070362713597</v>
      </c>
      <c r="JZ25" s="3">
        <f>$H25*factors!JT$3</f>
        <v>2.0936728362680004</v>
      </c>
      <c r="KA25" s="3">
        <f>$H25*factors!JU$3</f>
        <v>2.1021492445120002</v>
      </c>
      <c r="KB25" s="3">
        <f>$H25*factors!JV$3</f>
        <v>2.0322188764989999</v>
      </c>
      <c r="KC25" s="3">
        <f>$H25*factors!JW$3</f>
        <v>2.0428143868040003</v>
      </c>
      <c r="KD25" s="3">
        <f>$H25*factors!JX$3</f>
        <v>2.0449334888649999</v>
      </c>
      <c r="KE25" s="3">
        <f>$H25*factors!JY$3</f>
        <v>2.1763178166469999</v>
      </c>
      <c r="KF25" s="3">
        <f>$H25*factors!JZ$3</f>
        <v>2.2017470413789999</v>
      </c>
      <c r="KG25" s="3">
        <f>$H25*factors!KA$3</f>
        <v>2.1233402651220001</v>
      </c>
      <c r="KH25" s="3">
        <f>$H25*factors!KB$3</f>
        <v>2.0767200197799998</v>
      </c>
      <c r="KI25" s="3">
        <f>$H25*factors!KC$3</f>
        <v>2.0576481012309999</v>
      </c>
    </row>
    <row r="26" spans="1:295" x14ac:dyDescent="0.55000000000000004">
      <c r="A26" t="s">
        <v>402</v>
      </c>
      <c r="B26">
        <v>25</v>
      </c>
      <c r="C26">
        <v>230</v>
      </c>
      <c r="D26" t="s">
        <v>377</v>
      </c>
      <c r="E26">
        <v>1.5035E-2</v>
      </c>
      <c r="F26">
        <v>25</v>
      </c>
      <c r="G26">
        <f>VLOOKUP(D26,demand_forecasted!$A$2:$G$11,2)</f>
        <v>11098</v>
      </c>
      <c r="H26" s="3">
        <f t="shared" si="1"/>
        <v>1.6685843</v>
      </c>
      <c r="I26" s="3">
        <f>$H26*factors!C$3</f>
        <v>1.8471228201000001</v>
      </c>
      <c r="J26" s="3">
        <f>$H26*factors!D$3</f>
        <v>1.780446191472</v>
      </c>
      <c r="K26" s="3">
        <f>$H26*factors!E$3</f>
        <v>1.7498109837240001</v>
      </c>
      <c r="L26" s="3">
        <f>$H26*factors!F$3</f>
        <v>1.7444047705920003</v>
      </c>
      <c r="M26" s="3">
        <f>$H26*factors!G$3</f>
        <v>1.742602699548</v>
      </c>
      <c r="N26" s="3">
        <f>$H26*factors!H$3</f>
        <v>1.79306068878</v>
      </c>
      <c r="O26" s="3">
        <f>$H26*factors!I$3</f>
        <v>1.8327062517479999</v>
      </c>
      <c r="P26" s="3">
        <f>$H26*factors!J$3</f>
        <v>1.8543311042760002</v>
      </c>
      <c r="Q26" s="3">
        <f>$H26*factors!K$3</f>
        <v>1.7408006285040001</v>
      </c>
      <c r="R26" s="3">
        <f>$H26*factors!L$3</f>
        <v>1.7119674918000001</v>
      </c>
      <c r="S26" s="3">
        <f>$H26*factors!M$3</f>
        <v>1.7822482625159999</v>
      </c>
      <c r="T26" s="3">
        <f>$H26*factors!N$3</f>
        <v>1.8435186780120001</v>
      </c>
      <c r="U26" s="3">
        <f>$H26*factors!O$3</f>
        <v>1.7462068416360002</v>
      </c>
      <c r="V26" s="3">
        <f>$H26*factors!P$3</f>
        <v>1.8164876123520002</v>
      </c>
      <c r="W26" s="3">
        <f>$H26*factors!Q$3</f>
        <v>1.8327062517479999</v>
      </c>
      <c r="X26" s="3">
        <f>$H26*factors!R$3</f>
        <v>1.7534151258120001</v>
      </c>
      <c r="Y26" s="3">
        <f>$H26*factors!S$3</f>
        <v>1.7371964864160001</v>
      </c>
      <c r="Z26" s="3">
        <f>$H26*factors!T$3</f>
        <v>1.8741538857600004</v>
      </c>
      <c r="AA26" s="3">
        <f>$H26*factors!U$3</f>
        <v>1.7696337652079999</v>
      </c>
      <c r="AB26" s="3">
        <f>$H26*factors!V$3</f>
        <v>1.7714358362520002</v>
      </c>
      <c r="AC26" s="3">
        <f>$H26*factors!W$3</f>
        <v>1.7732379072960003</v>
      </c>
      <c r="AD26" s="3">
        <f>$H26*factors!X$3</f>
        <v>1.7353944153720002</v>
      </c>
      <c r="AE26" s="3">
        <f>$H26*factors!Y$3</f>
        <v>1.7498109837240001</v>
      </c>
      <c r="AF26" s="3">
        <f>$H26*factors!Z$3</f>
        <v>1.7858524046040003</v>
      </c>
      <c r="AG26" s="3">
        <f>$H26*factors!AA$3</f>
        <v>1.7408006285040001</v>
      </c>
      <c r="AH26" s="3">
        <f>$H26*factors!AB$3</f>
        <v>1.7335923443280001</v>
      </c>
      <c r="AI26" s="3">
        <f>$H26*factors!AC$3</f>
        <v>1.789456546692</v>
      </c>
      <c r="AJ26" s="3">
        <f>$H26*factors!AD$3</f>
        <v>1.857935246364</v>
      </c>
      <c r="AK26" s="3">
        <f>$H26*factors!AE$3</f>
        <v>1.7876544756480002</v>
      </c>
      <c r="AL26" s="3">
        <f>$H26*factors!AF$3</f>
        <v>1.7173737049319999</v>
      </c>
      <c r="AM26" s="3">
        <f>$H26*factors!AG$3</f>
        <v>1.7660296231200001</v>
      </c>
      <c r="AN26" s="3">
        <f>$H26*factors!AH$3</f>
        <v>1.7371964864160001</v>
      </c>
      <c r="AO26" s="3">
        <f>$H26*factors!AI$3</f>
        <v>1.8200917544399999</v>
      </c>
      <c r="AP26" s="3">
        <f>$H26*factors!AJ$3</f>
        <v>1.7444047705920003</v>
      </c>
      <c r="AQ26" s="3">
        <f>$H26*factors!AK$3</f>
        <v>1.8002689729560002</v>
      </c>
      <c r="AR26" s="3">
        <f>$H26*factors!AL$3</f>
        <v>1.7606234099880003</v>
      </c>
      <c r="AS26" s="3">
        <f>$H26*factors!AM$3</f>
        <v>1.7173737049319999</v>
      </c>
      <c r="AT26" s="3">
        <f>$H26*factors!AN$3</f>
        <v>1.7714358362520002</v>
      </c>
      <c r="AU26" s="3">
        <f>$H26*factors!AO$3</f>
        <v>1.8759559568039998</v>
      </c>
      <c r="AV26" s="3">
        <f>$H26*factors!AP$3</f>
        <v>1.7732379072960003</v>
      </c>
      <c r="AW26" s="3">
        <f>$H26*factors!AQ$3</f>
        <v>1.755217196856</v>
      </c>
      <c r="AX26" s="3">
        <f>$H26*factors!AR$3</f>
        <v>1.8561331753200001</v>
      </c>
      <c r="AY26" s="3">
        <f>$H26*factors!AS$3</f>
        <v>1.7119674918000001</v>
      </c>
      <c r="AZ26" s="3">
        <f>$H26*factors!AT$3</f>
        <v>1.8345083227920003</v>
      </c>
      <c r="BA26" s="3">
        <f>$H26*factors!AU$3</f>
        <v>1.7948627598239999</v>
      </c>
      <c r="BB26" s="3">
        <f>$H26*factors!AV$3</f>
        <v>1.7714358362520002</v>
      </c>
      <c r="BC26" s="3">
        <f>$H26*factors!AW$3</f>
        <v>1.8741538857600004</v>
      </c>
      <c r="BD26" s="3">
        <f>$H26*factors!AX$3</f>
        <v>1.7299882022399999</v>
      </c>
      <c r="BE26" s="3">
        <f>$H26*factors!AY$3</f>
        <v>2.033904146642</v>
      </c>
      <c r="BF26" s="3">
        <f>$H26*factors!AZ$3</f>
        <v>1.8941101539879999</v>
      </c>
      <c r="BG26" s="3">
        <f>$H26*factors!BA$3</f>
        <v>1.9216751666239997</v>
      </c>
      <c r="BH26" s="3">
        <f>$H26*factors!BB$3</f>
        <v>1.9472712497859999</v>
      </c>
      <c r="BI26" s="3">
        <f>$H26*factors!BC$3</f>
        <v>2.0181527108499995</v>
      </c>
      <c r="BJ26" s="3">
        <f>$H26*factors!BD$3</f>
        <v>1.9275819550459998</v>
      </c>
      <c r="BK26" s="3">
        <f>$H26*factors!BE$3</f>
        <v>1.9315198139939997</v>
      </c>
      <c r="BL26" s="3">
        <f>$H26*factors!BF$3</f>
        <v>1.9098615897799998</v>
      </c>
      <c r="BM26" s="3">
        <f>$H26*factors!BG$3</f>
        <v>2.0398109350640001</v>
      </c>
      <c r="BN26" s="3">
        <f>$H26*factors!BH$3</f>
        <v>2.014214851902</v>
      </c>
      <c r="BO26" s="3">
        <f>$H26*factors!BI$3</f>
        <v>1.8941101539879999</v>
      </c>
      <c r="BP26" s="3">
        <f>$H26*factors!BJ$3</f>
        <v>1.8882033655659998</v>
      </c>
      <c r="BQ26" s="3">
        <f>$H26*factors!BK$3</f>
        <v>1.9197062371499998</v>
      </c>
      <c r="BR26" s="3">
        <f>$H26*factors!BL$3</f>
        <v>1.9886187687399999</v>
      </c>
      <c r="BS26" s="3">
        <f>$H26*factors!BM$3</f>
        <v>2.0201216403240001</v>
      </c>
      <c r="BT26" s="3">
        <f>$H26*factors!BN$3</f>
        <v>2.0260284287459998</v>
      </c>
      <c r="BU26" s="3">
        <f>$H26*factors!BO$3</f>
        <v>2.0595002298040002</v>
      </c>
      <c r="BV26" s="3">
        <f>$H26*factors!BP$3</f>
        <v>1.9157683782019999</v>
      </c>
      <c r="BW26" s="3">
        <f>$H26*factors!BQ$3</f>
        <v>1.9590848266299998</v>
      </c>
      <c r="BX26" s="3">
        <f>$H26*factors!BR$3</f>
        <v>1.9216751666239997</v>
      </c>
      <c r="BY26" s="3">
        <f>$H26*factors!BS$3</f>
        <v>2.0102769929539996</v>
      </c>
      <c r="BZ26" s="3">
        <f>$H26*factors!BT$3</f>
        <v>1.9728673329479998</v>
      </c>
      <c r="CA26" s="3">
        <f>$H26*factors!BU$3</f>
        <v>1.9472712497859999</v>
      </c>
      <c r="CB26" s="3">
        <f>$H26*factors!BV$3</f>
        <v>1.8842655066179999</v>
      </c>
      <c r="CC26" s="3">
        <f>$H26*factors!BW$3</f>
        <v>1.9393955318899998</v>
      </c>
      <c r="CD26" s="3">
        <f>$H26*factors!BX$3</f>
        <v>1.9453023203119999</v>
      </c>
      <c r="CE26" s="3">
        <f>$H26*factors!BY$3</f>
        <v>1.9728673329479998</v>
      </c>
      <c r="CF26" s="3">
        <f>$H26*factors!BZ$3</f>
        <v>1.9433333908380002</v>
      </c>
      <c r="CG26" s="3">
        <f>$H26*factors!CA$3</f>
        <v>1.8783587181959998</v>
      </c>
      <c r="CH26" s="3">
        <f>$H26*factors!CB$3</f>
        <v>1.8803276476699997</v>
      </c>
      <c r="CI26" s="3">
        <f>$H26*factors!CC$3</f>
        <v>1.8704830002999999</v>
      </c>
      <c r="CJ26" s="3">
        <f>$H26*factors!CD$3</f>
        <v>1.9472712497859999</v>
      </c>
      <c r="CK26" s="3">
        <f>$H26*factors!CE$3</f>
        <v>2.033904146642</v>
      </c>
      <c r="CL26" s="3">
        <f>$H26*factors!CF$3</f>
        <v>1.9059237308319998</v>
      </c>
      <c r="CM26" s="3">
        <f>$H26*factors!CG$3</f>
        <v>1.9512091087339998</v>
      </c>
      <c r="CN26" s="3">
        <f>$H26*factors!CH$3</f>
        <v>1.8862344360919998</v>
      </c>
      <c r="CO26" s="3">
        <f>$H26*factors!CI$3</f>
        <v>1.9000169424099997</v>
      </c>
      <c r="CP26" s="3">
        <f>$H26*factors!CJ$3</f>
        <v>1.9905876982139996</v>
      </c>
      <c r="CQ26" s="3">
        <f>$H26*factors!CK$3</f>
        <v>1.9315198139939997</v>
      </c>
      <c r="CR26" s="3">
        <f>$H26*factors!CL$3</f>
        <v>1.9925566276879998</v>
      </c>
      <c r="CS26" s="3">
        <f>$H26*factors!CM$3</f>
        <v>2.0555623708559998</v>
      </c>
      <c r="CT26" s="3">
        <f>$H26*factors!CN$3</f>
        <v>2.0319352171679999</v>
      </c>
      <c r="CU26" s="3">
        <f>$H26*factors!CO$3</f>
        <v>1.9866498392659997</v>
      </c>
      <c r="CV26" s="3">
        <f>$H26*factors!CP$3</f>
        <v>2.0673759477</v>
      </c>
      <c r="CW26" s="3">
        <f>$H26*factors!CQ$3</f>
        <v>1.9551469676820001</v>
      </c>
      <c r="CX26" s="3">
        <f>$H26*factors!CR$3</f>
        <v>1.9256130255719999</v>
      </c>
      <c r="CY26" s="3">
        <f>$H26*factors!CS$3</f>
        <v>1.9078926603059998</v>
      </c>
      <c r="CZ26" s="3">
        <f>$H26*factors!CT$3</f>
        <v>1.8803276476699997</v>
      </c>
      <c r="DA26" s="3">
        <f>$H26*factors!CU$3</f>
        <v>1.952243631</v>
      </c>
      <c r="DB26" s="3">
        <f>$H26*factors!CV$3</f>
        <v>2.0783886040800001</v>
      </c>
      <c r="DC26" s="3">
        <f>$H26*factors!CW$3</f>
        <v>1.9902873530399998</v>
      </c>
      <c r="DD26" s="3">
        <f>$H26*factors!CX$3</f>
        <v>1.9762712449199999</v>
      </c>
      <c r="DE26" s="3">
        <f>$H26*factors!CY$3</f>
        <v>2.03433797856</v>
      </c>
      <c r="DF26" s="3">
        <f>$H26*factors!CZ$3</f>
        <v>2.0303333762399998</v>
      </c>
      <c r="DG26" s="3">
        <f>$H26*factors!DA$3</f>
        <v>2.0223241715999998</v>
      </c>
      <c r="DH26" s="3">
        <f>$H26*factors!DB$3</f>
        <v>2.0223241715999998</v>
      </c>
      <c r="DI26" s="3">
        <f>$H26*factors!DC$3</f>
        <v>1.9462367275199999</v>
      </c>
      <c r="DJ26" s="3">
        <f>$H26*factors!DD$3</f>
        <v>2.0623701948000002</v>
      </c>
      <c r="DK26" s="3">
        <f>$H26*factors!DE$3</f>
        <v>2.0623701948000002</v>
      </c>
      <c r="DL26" s="3">
        <f>$H26*factors!DF$3</f>
        <v>2.0383425808800002</v>
      </c>
      <c r="DM26" s="3">
        <f>$H26*factors!DG$3</f>
        <v>1.9202068124399998</v>
      </c>
      <c r="DN26" s="3">
        <f>$H26*factors!DH$3</f>
        <v>2.0143149669600002</v>
      </c>
      <c r="DO26" s="3">
        <f>$H26*factors!DI$3</f>
        <v>2.0803909052399998</v>
      </c>
      <c r="DP26" s="3">
        <f>$H26*factors!DJ$3</f>
        <v>2.0623701948000002</v>
      </c>
      <c r="DQ26" s="3">
        <f>$H26*factors!DK$3</f>
        <v>1.9662597391199998</v>
      </c>
      <c r="DR26" s="3">
        <f>$H26*factors!DL$3</f>
        <v>1.94423442636</v>
      </c>
      <c r="DS26" s="3">
        <f>$H26*factors!DM$3</f>
        <v>2.10041391684</v>
      </c>
      <c r="DT26" s="3">
        <f>$H26*factors!DN$3</f>
        <v>1.9742689437600001</v>
      </c>
      <c r="DU26" s="3">
        <f>$H26*factors!DO$3</f>
        <v>2.0663747971199999</v>
      </c>
      <c r="DV26" s="3">
        <f>$H26*factors!DP$3</f>
        <v>2.01831956928</v>
      </c>
      <c r="DW26" s="3">
        <f>$H26*factors!DQ$3</f>
        <v>1.9262137159199999</v>
      </c>
      <c r="DX26" s="3">
        <f>$H26*factors!DR$3</f>
        <v>2.0403448820399999</v>
      </c>
      <c r="DY26" s="3">
        <f>$H26*factors!DS$3</f>
        <v>1.9362252217199998</v>
      </c>
      <c r="DZ26" s="3">
        <f>$H26*factors!DT$3</f>
        <v>2.0703793994399997</v>
      </c>
      <c r="EA26" s="3">
        <f>$H26*factors!DU$3</f>
        <v>1.9502413298399996</v>
      </c>
      <c r="EB26" s="3">
        <f>$H26*factors!DV$3</f>
        <v>1.9021861019999999</v>
      </c>
      <c r="EC26" s="3">
        <f>$H26*factors!DW$3</f>
        <v>2.0463517855199997</v>
      </c>
      <c r="ED26" s="3">
        <f>$H26*factors!DX$3</f>
        <v>1.9202068124399998</v>
      </c>
      <c r="EE26" s="3">
        <f>$H26*factors!DY$3</f>
        <v>1.9362252217199998</v>
      </c>
      <c r="EF26" s="3">
        <f>$H26*factors!DZ$3</f>
        <v>2.10041391684</v>
      </c>
      <c r="EG26" s="3">
        <f>$H26*factors!EA$3</f>
        <v>1.9622551367999999</v>
      </c>
      <c r="EH26" s="3">
        <f>$H26*factors!EB$3</f>
        <v>1.96826204028</v>
      </c>
      <c r="EI26" s="3">
        <f>$H26*factors!EC$3</f>
        <v>1.96425743796</v>
      </c>
      <c r="EJ26" s="3">
        <f>$H26*factors!ED$3</f>
        <v>1.9141999089599999</v>
      </c>
      <c r="EK26" s="3">
        <f>$H26*factors!EE$3</f>
        <v>2.0463517855199997</v>
      </c>
      <c r="EL26" s="3">
        <f>$H26*factors!EF$3</f>
        <v>1.9462367275199999</v>
      </c>
      <c r="EM26" s="3">
        <f>$H26*factors!EG$3</f>
        <v>2.0243264727599999</v>
      </c>
      <c r="EN26" s="3">
        <f>$H26*factors!EH$3</f>
        <v>1.9021861019999999</v>
      </c>
      <c r="EO26" s="3">
        <f>$H26*factors!EI$3</f>
        <v>1.9302183182399997</v>
      </c>
      <c r="EP26" s="3">
        <f>$H26*factors!EJ$3</f>
        <v>2.0363402797200001</v>
      </c>
      <c r="EQ26" s="3">
        <f>$H26*factors!EK$3</f>
        <v>1.9802758472399997</v>
      </c>
      <c r="ER26" s="3">
        <f>$H26*factors!EL$3</f>
        <v>2.0623701948000002</v>
      </c>
      <c r="ES26" s="3">
        <f>$H26*factors!EM$3</f>
        <v>2.0363402797200001</v>
      </c>
      <c r="ET26" s="3">
        <f>$H26*factors!EN$3</f>
        <v>2.0823932063999999</v>
      </c>
      <c r="EU26" s="3">
        <f>$H26*factors!EO$3</f>
        <v>2.1024162180000001</v>
      </c>
      <c r="EV26" s="3">
        <f>$H26*factors!EP$3</f>
        <v>1.9702643414399998</v>
      </c>
      <c r="EW26" s="3">
        <f>$H26*factors!EQ$3</f>
        <v>2.1670738596249999</v>
      </c>
      <c r="EX26" s="3">
        <f>$H26*factors!ER$3</f>
        <v>2.1441308255000004</v>
      </c>
      <c r="EY26" s="3">
        <f>$H26*factors!ES$3</f>
        <v>2.1879311633749996</v>
      </c>
      <c r="EZ26" s="3">
        <f>$H26*factors!ET$3</f>
        <v>2.1670738596249999</v>
      </c>
      <c r="FA26" s="3">
        <f>$H26*factors!EU$3</f>
        <v>1.9918725081249997</v>
      </c>
      <c r="FB26" s="3">
        <f>$H26*factors!EV$3</f>
        <v>2.0815589142499999</v>
      </c>
      <c r="FC26" s="3">
        <f>$H26*factors!EW$3</f>
        <v>2.1399593647500001</v>
      </c>
      <c r="FD26" s="3">
        <f>$H26*factors!EX$3</f>
        <v>2.0648730712500001</v>
      </c>
      <c r="FE26" s="3">
        <f>$H26*factors!EY$3</f>
        <v>2.175416781125</v>
      </c>
      <c r="FF26" s="3">
        <f>$H26*factors!EZ$3</f>
        <v>2.1775025115000002</v>
      </c>
      <c r="FG26" s="3">
        <f>$H26*factors!FA$3</f>
        <v>1.9918725081249997</v>
      </c>
      <c r="FH26" s="3">
        <f>$H26*factors!FB$3</f>
        <v>2.0961590268749997</v>
      </c>
      <c r="FI26" s="3">
        <f>$H26*factors!FC$3</f>
        <v>2.1837597026249997</v>
      </c>
      <c r="FJ26" s="3">
        <f>$H26*factors!FD$3</f>
        <v>2.0961590268749997</v>
      </c>
      <c r="FK26" s="3">
        <f>$H26*factors!FE$3</f>
        <v>2.13161644325</v>
      </c>
      <c r="FL26" s="3">
        <f>$H26*factors!FF$3</f>
        <v>2.137873634375</v>
      </c>
      <c r="FM26" s="3">
        <f>$H26*factors!FG$3</f>
        <v>2.1608166684999999</v>
      </c>
      <c r="FN26" s="3">
        <f>$H26*factors!FH$3</f>
        <v>2.021072733375</v>
      </c>
      <c r="FO26" s="3">
        <f>$H26*factors!FI$3</f>
        <v>2.1462165558749997</v>
      </c>
      <c r="FP26" s="3">
        <f>$H26*factors!FJ$3</f>
        <v>2.0857303749999998</v>
      </c>
      <c r="FQ26" s="3">
        <f>$H26*factors!FK$3</f>
        <v>2.0648730712500001</v>
      </c>
      <c r="FR26" s="3">
        <f>$H26*factors!FL$3</f>
        <v>2.10658767875</v>
      </c>
      <c r="FS26" s="3">
        <f>$H26*factors!FM$3</f>
        <v>2.0940732965</v>
      </c>
      <c r="FT26" s="3">
        <f>$H26*factors!FN$3</f>
        <v>2.1399593647500001</v>
      </c>
      <c r="FU26" s="3">
        <f>$H26*factors!FO$3</f>
        <v>2.0565301497499999</v>
      </c>
      <c r="FV26" s="3">
        <f>$H26*factors!FP$3</f>
        <v>2.0398443067500001</v>
      </c>
      <c r="FW26" s="3">
        <f>$H26*factors!FQ$3</f>
        <v>2.1837597026249997</v>
      </c>
      <c r="FX26" s="3">
        <f>$H26*factors!FR$3</f>
        <v>2.1441308255000004</v>
      </c>
      <c r="FY26" s="3">
        <f>$H26*factors!FS$3</f>
        <v>2.1003304876249995</v>
      </c>
      <c r="FZ26" s="3">
        <f>$H26*factors!FT$3</f>
        <v>1.996043968875</v>
      </c>
      <c r="GA26" s="3">
        <f>$H26*factors!FU$3</f>
        <v>2.1003304876249995</v>
      </c>
      <c r="GB26" s="3">
        <f>$H26*factors!FV$3</f>
        <v>2.1775025115000002</v>
      </c>
      <c r="GC26" s="3">
        <f>$H26*factors!FW$3</f>
        <v>2.0398443067500001</v>
      </c>
      <c r="GD26" s="3">
        <f>$H26*factors!FX$3</f>
        <v>2.0753017231249999</v>
      </c>
      <c r="GE26" s="3">
        <f>$H26*factors!FY$3</f>
        <v>2.0753017231249999</v>
      </c>
      <c r="GF26" s="3">
        <f>$H26*factors!FZ$3</f>
        <v>2.0690445319999999</v>
      </c>
      <c r="GG26" s="3">
        <f>$H26*factors!GA$3</f>
        <v>1.9877010473749999</v>
      </c>
      <c r="GH26" s="3">
        <f>$H26*factors!GB$3</f>
        <v>2.1149306002500001</v>
      </c>
      <c r="GI26" s="3">
        <f>$H26*factors!GC$3</f>
        <v>1.983529586625</v>
      </c>
      <c r="GJ26" s="3">
        <f>$H26*factors!GD$3</f>
        <v>1.9877010473749999</v>
      </c>
      <c r="GK26" s="3">
        <f>$H26*factors!GE$3</f>
        <v>2.0377585763749999</v>
      </c>
      <c r="GL26" s="3">
        <f>$H26*factors!GF$3</f>
        <v>2.1587309381250002</v>
      </c>
      <c r="GM26" s="3">
        <f>$H26*factors!GG$3</f>
        <v>2.0461014978750001</v>
      </c>
      <c r="GN26" s="3">
        <f>$H26*factors!GH$3</f>
        <v>2.1107591395000003</v>
      </c>
      <c r="GO26" s="3">
        <f>$H26*factors!GI$3</f>
        <v>1.9939582384999996</v>
      </c>
      <c r="GP26" s="3">
        <f>$H26*factors!GJ$3</f>
        <v>2.137873634375</v>
      </c>
      <c r="GQ26" s="3">
        <f>$H26*factors!GK$3</f>
        <v>2.18167397225</v>
      </c>
      <c r="GR26" s="3">
        <f>$H26*factors!GL$3</f>
        <v>2.1399593647500001</v>
      </c>
      <c r="GS26" s="3">
        <f>$H26*factors!GM$3</f>
        <v>2.023742468255</v>
      </c>
      <c r="GT26" s="3">
        <f>$H26*factors!GN$3</f>
        <v>2.070362713597</v>
      </c>
      <c r="GU26" s="3">
        <f>$H26*factors!GO$3</f>
        <v>2.119102061</v>
      </c>
      <c r="GV26" s="3">
        <f>$H26*factors!GP$3</f>
        <v>2.03433797856</v>
      </c>
      <c r="GW26" s="3">
        <f>$H26*factors!GQ$3</f>
        <v>2.106387448634</v>
      </c>
      <c r="GX26" s="3">
        <f>$H26*factors!GR$3</f>
        <v>2.072481815658</v>
      </c>
      <c r="GY26" s="3">
        <f>$H26*factors!GS$3</f>
        <v>2.0618863053530001</v>
      </c>
      <c r="GZ26" s="3">
        <f>$H26*factors!GT$3</f>
        <v>2.1381739795489998</v>
      </c>
      <c r="HA26" s="3">
        <f>$H26*factors!GU$3</f>
        <v>2.0682436115359999</v>
      </c>
      <c r="HB26" s="3">
        <f>$H26*factors!GV$3</f>
        <v>2.1381739795489998</v>
      </c>
      <c r="HC26" s="3">
        <f>$H26*factors!GW$3</f>
        <v>2.0851964280240001</v>
      </c>
      <c r="HD26" s="3">
        <f>$H26*factors!GX$3</f>
        <v>2.1466503877929997</v>
      </c>
      <c r="HE26" s="3">
        <f>$H26*factors!GY$3</f>
        <v>2.119102061</v>
      </c>
      <c r="HF26" s="3">
        <f>$H26*factors!GZ$3</f>
        <v>2.1847942248909997</v>
      </c>
      <c r="HG26" s="3">
        <f>$H26*factors!HA$3</f>
        <v>2.1000301424510002</v>
      </c>
      <c r="HH26" s="3">
        <f>$H26*factors!HB$3</f>
        <v>2.072481815658</v>
      </c>
      <c r="HI26" s="3">
        <f>$H26*factors!HC$3</f>
        <v>2.047052590926</v>
      </c>
      <c r="HJ26" s="3">
        <f>$H26*factors!HD$3</f>
        <v>2.023742468255</v>
      </c>
      <c r="HK26" s="3">
        <f>$H26*factors!HE$3</f>
        <v>2.1402930816099999</v>
      </c>
      <c r="HL26" s="3">
        <f>$H26*factors!HF$3</f>
        <v>2.0173851620719998</v>
      </c>
      <c r="HM26" s="3">
        <f>$H26*factors!HG$3</f>
        <v>2.0385761826820001</v>
      </c>
      <c r="HN26" s="3">
        <f>$H26*factors!HH$3</f>
        <v>2.1741987145860002</v>
      </c>
      <c r="HO26" s="3">
        <f>$H26*factors!HI$3</f>
        <v>2.0851964280240001</v>
      </c>
      <c r="HP26" s="3">
        <f>$H26*factors!HJ$3</f>
        <v>2.2250571640500003</v>
      </c>
      <c r="HQ26" s="3">
        <f>$H26*factors!HK$3</f>
        <v>2.03433797856</v>
      </c>
      <c r="HR26" s="3">
        <f>$H26*factors!HL$3</f>
        <v>2.157245898098</v>
      </c>
      <c r="HS26" s="3">
        <f>$H26*factors!HM$3</f>
        <v>2.1953897351960001</v>
      </c>
      <c r="HT26" s="3">
        <f>$H26*factors!HN$3</f>
        <v>2.047052590926</v>
      </c>
      <c r="HU26" s="3">
        <f>$H26*factors!HO$3</f>
        <v>2.0682436115359999</v>
      </c>
      <c r="HV26" s="3">
        <f>$H26*factors!HP$3</f>
        <v>2.0936728362680004</v>
      </c>
      <c r="HW26" s="3">
        <f>$H26*factors!HQ$3</f>
        <v>2.1233402651220001</v>
      </c>
      <c r="HX26" s="3">
        <f>$H26*factors!HR$3</f>
        <v>2.2102234496229998</v>
      </c>
      <c r="HY26" s="3">
        <f>$H26*factors!HS$3</f>
        <v>2.1000301424510002</v>
      </c>
      <c r="HZ26" s="3">
        <f>$H26*factors!HT$3</f>
        <v>2.180556020769</v>
      </c>
      <c r="IA26" s="3">
        <f>$H26*factors!HU$3</f>
        <v>2.0746009177190001</v>
      </c>
      <c r="IB26" s="3">
        <f>$H26*factors!HV$3</f>
        <v>2.1466503877929997</v>
      </c>
      <c r="IC26" s="3">
        <f>$H26*factors!HW$3</f>
        <v>2.167841408403</v>
      </c>
      <c r="ID26" s="3">
        <f>$H26*factors!HX$3</f>
        <v>2.0131469579499996</v>
      </c>
      <c r="IE26" s="3">
        <f>$H26*factors!HY$3</f>
        <v>2.1381739795489998</v>
      </c>
      <c r="IF26" s="3">
        <f>$H26*factors!HZ$3</f>
        <v>2.1254593671829998</v>
      </c>
      <c r="IG26" s="3">
        <f>$H26*factors!IA$3</f>
        <v>2.106387448634</v>
      </c>
      <c r="IH26" s="3">
        <f>$H26*factors!IB$3</f>
        <v>2.1847942248909997</v>
      </c>
      <c r="II26" s="3">
        <f>$H26*factors!IC$3</f>
        <v>2.0915537342069999</v>
      </c>
      <c r="IJ26" s="3">
        <f>$H26*factors!ID$3</f>
        <v>2.1106256527560001</v>
      </c>
      <c r="IK26" s="3">
        <f>$H26*factors!IE$3</f>
        <v>2.1869133269520002</v>
      </c>
      <c r="IL26" s="3">
        <f>$H26*factors!IF$3</f>
        <v>2.0936728362680004</v>
      </c>
      <c r="IM26" s="3">
        <f>$H26*factors!IG$3</f>
        <v>2.0746009177190001</v>
      </c>
      <c r="IN26" s="3">
        <f>$H26*factors!IH$3</f>
        <v>2.0873155300850001</v>
      </c>
      <c r="IO26" s="3">
        <f>$H26*factors!II$3</f>
        <v>2.108506550695</v>
      </c>
      <c r="IP26" s="3">
        <f>$H26*factors!IJ$3</f>
        <v>2.0385761826820001</v>
      </c>
      <c r="IQ26" s="3">
        <f>$H26*factors!IK$3</f>
        <v>2.0322188764989999</v>
      </c>
      <c r="IR26" s="3">
        <f>$H26*factors!IL$3</f>
        <v>2.0915537342069999</v>
      </c>
      <c r="IS26" s="3">
        <f>$H26*factors!IM$3</f>
        <v>2.108506550695</v>
      </c>
      <c r="IT26" s="3">
        <f>$H26*factors!IN$3</f>
        <v>2.1233402651220001</v>
      </c>
      <c r="IU26" s="3">
        <f>$H26*factors!IO$3</f>
        <v>2.1699605104640001</v>
      </c>
      <c r="IV26" s="3">
        <f>$H26*factors!IP$3</f>
        <v>2.1975088372569997</v>
      </c>
      <c r="IW26" s="3">
        <f>$H26*factors!IQ$3</f>
        <v>2.0767200197799998</v>
      </c>
      <c r="IX26" s="3">
        <f>$H26*factors!IR$3</f>
        <v>2.1699605104640001</v>
      </c>
      <c r="IY26" s="3">
        <f>$H26*factors!IS$3</f>
        <v>2.1381739795489998</v>
      </c>
      <c r="IZ26" s="3">
        <f>$H26*factors!IT$3</f>
        <v>2.1741987145860002</v>
      </c>
      <c r="JA26" s="3">
        <f>$H26*factors!IU$3</f>
        <v>2.0534098971089998</v>
      </c>
      <c r="JB26" s="3">
        <f>$H26*factors!IV$3</f>
        <v>2.0915537342069999</v>
      </c>
      <c r="JC26" s="3">
        <f>$H26*factors!IW$3</f>
        <v>2.0428143868040003</v>
      </c>
      <c r="JD26" s="3">
        <f>$H26*factors!IX$3</f>
        <v>2.2250571640500003</v>
      </c>
      <c r="JE26" s="3">
        <f>$H26*factors!IY$3</f>
        <v>2.0491716929870001</v>
      </c>
      <c r="JF26" s="3">
        <f>$H26*factors!IZ$3</f>
        <v>2.1508885919149998</v>
      </c>
      <c r="JG26" s="3">
        <f>$H26*factors!JA$3</f>
        <v>2.1127447548169997</v>
      </c>
      <c r="JH26" s="3">
        <f>$H26*factors!JB$3</f>
        <v>2.1530076939760003</v>
      </c>
      <c r="JI26" s="3">
        <f>$H26*factors!JC$3</f>
        <v>2.0152660600110002</v>
      </c>
      <c r="JJ26" s="3">
        <f>$H26*factors!JD$3</f>
        <v>2.1699605104640001</v>
      </c>
      <c r="JK26" s="3">
        <f>$H26*factors!JE$3</f>
        <v>2.1000301424510002</v>
      </c>
      <c r="JL26" s="3">
        <f>$H26*factors!JF$3</f>
        <v>2.1847942248909997</v>
      </c>
      <c r="JM26" s="3">
        <f>$H26*factors!JG$3</f>
        <v>2.0385761826820001</v>
      </c>
      <c r="JN26" s="3">
        <f>$H26*factors!JH$3</f>
        <v>2.0385761826820001</v>
      </c>
      <c r="JO26" s="3">
        <f>$H26*factors!JI$3</f>
        <v>2.0131469579499996</v>
      </c>
      <c r="JP26" s="3">
        <f>$H26*factors!JJ$3</f>
        <v>2.1763178166469999</v>
      </c>
      <c r="JQ26" s="3">
        <f>$H26*factors!JK$3</f>
        <v>2.1212211630610001</v>
      </c>
      <c r="JR26" s="3">
        <f>$H26*factors!JL$3</f>
        <v>2.20386614344</v>
      </c>
      <c r="JS26" s="3">
        <f>$H26*factors!JM$3</f>
        <v>2.0131469579499996</v>
      </c>
      <c r="JT26" s="3">
        <f>$H26*factors!JN$3</f>
        <v>2.1148638568780003</v>
      </c>
      <c r="JU26" s="3">
        <f>$H26*factors!JO$3</f>
        <v>2.0449334888649999</v>
      </c>
      <c r="JV26" s="3">
        <f>$H26*factors!JP$3</f>
        <v>2.0788391218410003</v>
      </c>
      <c r="JW26" s="3">
        <f>$H26*factors!JQ$3</f>
        <v>2.2208189599280002</v>
      </c>
      <c r="JX26" s="3">
        <f>$H26*factors!JR$3</f>
        <v>2.1996279393179998</v>
      </c>
      <c r="JY26" s="3">
        <f>$H26*factors!JS$3</f>
        <v>2.070362713597</v>
      </c>
      <c r="JZ26" s="3">
        <f>$H26*factors!JT$3</f>
        <v>2.0936728362680004</v>
      </c>
      <c r="KA26" s="3">
        <f>$H26*factors!JU$3</f>
        <v>2.1021492445120002</v>
      </c>
      <c r="KB26" s="3">
        <f>$H26*factors!JV$3</f>
        <v>2.0322188764989999</v>
      </c>
      <c r="KC26" s="3">
        <f>$H26*factors!JW$3</f>
        <v>2.0428143868040003</v>
      </c>
      <c r="KD26" s="3">
        <f>$H26*factors!JX$3</f>
        <v>2.0449334888649999</v>
      </c>
      <c r="KE26" s="3">
        <f>$H26*factors!JY$3</f>
        <v>2.1763178166469999</v>
      </c>
      <c r="KF26" s="3">
        <f>$H26*factors!JZ$3</f>
        <v>2.2017470413789999</v>
      </c>
      <c r="KG26" s="3">
        <f>$H26*factors!KA$3</f>
        <v>2.1233402651220001</v>
      </c>
      <c r="KH26" s="3">
        <f>$H26*factors!KB$3</f>
        <v>2.0767200197799998</v>
      </c>
      <c r="KI26" s="3">
        <f>$H26*factors!KC$3</f>
        <v>2.0576481012309999</v>
      </c>
    </row>
    <row r="27" spans="1:295" x14ac:dyDescent="0.55000000000000004">
      <c r="A27" t="s">
        <v>403</v>
      </c>
      <c r="B27">
        <v>26</v>
      </c>
      <c r="C27">
        <v>230</v>
      </c>
      <c r="D27" t="s">
        <v>377</v>
      </c>
      <c r="E27">
        <v>3.434E-3</v>
      </c>
      <c r="F27">
        <v>26</v>
      </c>
      <c r="G27">
        <f>VLOOKUP(D27,demand_forecasted!$A$2:$G$11,2)</f>
        <v>11098</v>
      </c>
      <c r="H27" s="3">
        <f t="shared" si="1"/>
        <v>0.38110531999999997</v>
      </c>
      <c r="I27" s="3">
        <f>$H27*factors!C$3</f>
        <v>0.42188358923999997</v>
      </c>
      <c r="J27" s="3">
        <f>$H27*factors!D$3</f>
        <v>0.40665462065279995</v>
      </c>
      <c r="K27" s="3">
        <f>$H27*factors!E$3</f>
        <v>0.39965752697759999</v>
      </c>
      <c r="L27" s="3">
        <f>$H27*factors!F$3</f>
        <v>0.3984227457408</v>
      </c>
      <c r="M27" s="3">
        <f>$H27*factors!G$3</f>
        <v>0.39801115199519993</v>
      </c>
      <c r="N27" s="3">
        <f>$H27*factors!H$3</f>
        <v>0.40953577687199999</v>
      </c>
      <c r="O27" s="3">
        <f>$H27*factors!I$3</f>
        <v>0.41859083927519997</v>
      </c>
      <c r="P27" s="3">
        <f>$H27*factors!J$3</f>
        <v>0.42352996422240002</v>
      </c>
      <c r="Q27" s="3">
        <f>$H27*factors!K$3</f>
        <v>0.39759955824959997</v>
      </c>
      <c r="R27" s="3">
        <f>$H27*factors!L$3</f>
        <v>0.39101405831999997</v>
      </c>
      <c r="S27" s="3">
        <f>$H27*factors!M$3</f>
        <v>0.40706621439839996</v>
      </c>
      <c r="T27" s="3">
        <f>$H27*factors!N$3</f>
        <v>0.4210604017488</v>
      </c>
      <c r="U27" s="3">
        <f>$H27*factors!O$3</f>
        <v>0.39883433948640001</v>
      </c>
      <c r="V27" s="3">
        <f>$H27*factors!P$3</f>
        <v>0.41488649556480001</v>
      </c>
      <c r="W27" s="3">
        <f>$H27*factors!Q$3</f>
        <v>0.41859083927519997</v>
      </c>
      <c r="X27" s="3">
        <f>$H27*factors!R$3</f>
        <v>0.40048071446879996</v>
      </c>
      <c r="Y27" s="3">
        <f>$H27*factors!S$3</f>
        <v>0.3967763707584</v>
      </c>
      <c r="Z27" s="3">
        <f>$H27*factors!T$3</f>
        <v>0.42805749542400007</v>
      </c>
      <c r="AA27" s="3">
        <f>$H27*factors!U$3</f>
        <v>0.40418505817919997</v>
      </c>
      <c r="AB27" s="3">
        <f>$H27*factors!V$3</f>
        <v>0.40459665192480004</v>
      </c>
      <c r="AC27" s="3">
        <f>$H27*factors!W$3</f>
        <v>0.4050082456704</v>
      </c>
      <c r="AD27" s="3">
        <f>$H27*factors!X$3</f>
        <v>0.39636477701279998</v>
      </c>
      <c r="AE27" s="3">
        <f>$H27*factors!Y$3</f>
        <v>0.39965752697759999</v>
      </c>
      <c r="AF27" s="3">
        <f>$H27*factors!Z$3</f>
        <v>0.40788940188959999</v>
      </c>
      <c r="AG27" s="3">
        <f>$H27*factors!AA$3</f>
        <v>0.39759955824959997</v>
      </c>
      <c r="AH27" s="3">
        <f>$H27*factors!AB$3</f>
        <v>0.39595318326720003</v>
      </c>
      <c r="AI27" s="3">
        <f>$H27*factors!AC$3</f>
        <v>0.40871258938080002</v>
      </c>
      <c r="AJ27" s="3">
        <f>$H27*factors!AD$3</f>
        <v>0.4243531517136</v>
      </c>
      <c r="AK27" s="3">
        <f>$H27*factors!AE$3</f>
        <v>0.4083009956352</v>
      </c>
      <c r="AL27" s="3">
        <f>$H27*factors!AF$3</f>
        <v>0.39224883955679996</v>
      </c>
      <c r="AM27" s="3">
        <f>$H27*factors!AG$3</f>
        <v>0.40336187068799995</v>
      </c>
      <c r="AN27" s="3">
        <f>$H27*factors!AH$3</f>
        <v>0.3967763707584</v>
      </c>
      <c r="AO27" s="3">
        <f>$H27*factors!AI$3</f>
        <v>0.41570968305599998</v>
      </c>
      <c r="AP27" s="3">
        <f>$H27*factors!AJ$3</f>
        <v>0.3984227457408</v>
      </c>
      <c r="AQ27" s="3">
        <f>$H27*factors!AK$3</f>
        <v>0.41118215185439999</v>
      </c>
      <c r="AR27" s="3">
        <f>$H27*factors!AL$3</f>
        <v>0.40212708945120001</v>
      </c>
      <c r="AS27" s="3">
        <f>$H27*factors!AM$3</f>
        <v>0.39224883955679996</v>
      </c>
      <c r="AT27" s="3">
        <f>$H27*factors!AN$3</f>
        <v>0.40459665192480004</v>
      </c>
      <c r="AU27" s="3">
        <f>$H27*factors!AO$3</f>
        <v>0.42846908916959997</v>
      </c>
      <c r="AV27" s="3">
        <f>$H27*factors!AP$3</f>
        <v>0.4050082456704</v>
      </c>
      <c r="AW27" s="3">
        <f>$H27*factors!AQ$3</f>
        <v>0.40089230821439997</v>
      </c>
      <c r="AX27" s="3">
        <f>$H27*factors!AR$3</f>
        <v>0.42394155796799998</v>
      </c>
      <c r="AY27" s="3">
        <f>$H27*factors!AS$3</f>
        <v>0.39101405831999997</v>
      </c>
      <c r="AZ27" s="3">
        <f>$H27*factors!AT$3</f>
        <v>0.41900243302080004</v>
      </c>
      <c r="BA27" s="3">
        <f>$H27*factors!AU$3</f>
        <v>0.40994737061759995</v>
      </c>
      <c r="BB27" s="3">
        <f>$H27*factors!AV$3</f>
        <v>0.40459665192480004</v>
      </c>
      <c r="BC27" s="3">
        <f>$H27*factors!AW$3</f>
        <v>0.42805749542400007</v>
      </c>
      <c r="BD27" s="3">
        <f>$H27*factors!AX$3</f>
        <v>0.39512999577599994</v>
      </c>
      <c r="BE27" s="3">
        <f>$H27*factors!AY$3</f>
        <v>0.46454451876079994</v>
      </c>
      <c r="BF27" s="3">
        <f>$H27*factors!AZ$3</f>
        <v>0.43261551505119994</v>
      </c>
      <c r="BG27" s="3">
        <f>$H27*factors!BA$3</f>
        <v>0.43891137493759991</v>
      </c>
      <c r="BH27" s="3">
        <f>$H27*factors!BB$3</f>
        <v>0.44475753054639994</v>
      </c>
      <c r="BI27" s="3">
        <f>$H27*factors!BC$3</f>
        <v>0.46094688453999988</v>
      </c>
      <c r="BJ27" s="3">
        <f>$H27*factors!BD$3</f>
        <v>0.44026048777039994</v>
      </c>
      <c r="BK27" s="3">
        <f>$H27*factors!BE$3</f>
        <v>0.44115989632559988</v>
      </c>
      <c r="BL27" s="3">
        <f>$H27*factors!BF$3</f>
        <v>0.43621314927199989</v>
      </c>
      <c r="BM27" s="3">
        <f>$H27*factors!BG$3</f>
        <v>0.46589363159359998</v>
      </c>
      <c r="BN27" s="3">
        <f>$H27*factors!BH$3</f>
        <v>0.46004747598479989</v>
      </c>
      <c r="BO27" s="3">
        <f>$H27*factors!BI$3</f>
        <v>0.43261551505119994</v>
      </c>
      <c r="BP27" s="3">
        <f>$H27*factors!BJ$3</f>
        <v>0.4312664022183999</v>
      </c>
      <c r="BQ27" s="3">
        <f>$H27*factors!BK$3</f>
        <v>0.43846167065999991</v>
      </c>
      <c r="BR27" s="3">
        <f>$H27*factors!BL$3</f>
        <v>0.45420132037599997</v>
      </c>
      <c r="BS27" s="3">
        <f>$H27*factors!BM$3</f>
        <v>0.46139658881759993</v>
      </c>
      <c r="BT27" s="3">
        <f>$H27*factors!BN$3</f>
        <v>0.46274570165039991</v>
      </c>
      <c r="BU27" s="3">
        <f>$H27*factors!BO$3</f>
        <v>0.47039067436959997</v>
      </c>
      <c r="BV27" s="3">
        <f>$H27*factors!BP$3</f>
        <v>0.43756226210479993</v>
      </c>
      <c r="BW27" s="3">
        <f>$H27*factors!BQ$3</f>
        <v>0.44745575621199996</v>
      </c>
      <c r="BX27" s="3">
        <f>$H27*factors!BR$3</f>
        <v>0.43891137493759991</v>
      </c>
      <c r="BY27" s="3">
        <f>$H27*factors!BS$3</f>
        <v>0.45914806742959985</v>
      </c>
      <c r="BZ27" s="3">
        <f>$H27*factors!BT$3</f>
        <v>0.45060368615519991</v>
      </c>
      <c r="CA27" s="3">
        <f>$H27*factors!BU$3</f>
        <v>0.44475753054639994</v>
      </c>
      <c r="CB27" s="3">
        <f>$H27*factors!BV$3</f>
        <v>0.43036699366319991</v>
      </c>
      <c r="CC27" s="3">
        <f>$H27*factors!BW$3</f>
        <v>0.44295871343599991</v>
      </c>
      <c r="CD27" s="3">
        <f>$H27*factors!BX$3</f>
        <v>0.44430782626879994</v>
      </c>
      <c r="CE27" s="3">
        <f>$H27*factors!BY$3</f>
        <v>0.45060368615519991</v>
      </c>
      <c r="CF27" s="3">
        <f>$H27*factors!BZ$3</f>
        <v>0.44385812199119995</v>
      </c>
      <c r="CG27" s="3">
        <f>$H27*factors!CA$3</f>
        <v>0.42901788083039988</v>
      </c>
      <c r="CH27" s="3">
        <f>$H27*factors!CB$3</f>
        <v>0.42946758510799987</v>
      </c>
      <c r="CI27" s="3">
        <f>$H27*factors!CC$3</f>
        <v>0.42721906371999996</v>
      </c>
      <c r="CJ27" s="3">
        <f>$H27*factors!CD$3</f>
        <v>0.44475753054639994</v>
      </c>
      <c r="CK27" s="3">
        <f>$H27*factors!CE$3</f>
        <v>0.46454451876079994</v>
      </c>
      <c r="CL27" s="3">
        <f>$H27*factors!CF$3</f>
        <v>0.43531374071679996</v>
      </c>
      <c r="CM27" s="3">
        <f>$H27*factors!CG$3</f>
        <v>0.44565693910159992</v>
      </c>
      <c r="CN27" s="3">
        <f>$H27*factors!CH$3</f>
        <v>0.43081669794079991</v>
      </c>
      <c r="CO27" s="3">
        <f>$H27*factors!CI$3</f>
        <v>0.43396462788399992</v>
      </c>
      <c r="CP27" s="3">
        <f>$H27*factors!CJ$3</f>
        <v>0.45465102465359986</v>
      </c>
      <c r="CQ27" s="3">
        <f>$H27*factors!CK$3</f>
        <v>0.44115989632559988</v>
      </c>
      <c r="CR27" s="3">
        <f>$H27*factors!CL$3</f>
        <v>0.4551007289311999</v>
      </c>
      <c r="CS27" s="3">
        <f>$H27*factors!CM$3</f>
        <v>0.46949126581439993</v>
      </c>
      <c r="CT27" s="3">
        <f>$H27*factors!CN$3</f>
        <v>0.46409481448319995</v>
      </c>
      <c r="CU27" s="3">
        <f>$H27*factors!CO$3</f>
        <v>0.45375161609839987</v>
      </c>
      <c r="CV27" s="3">
        <f>$H27*factors!CP$3</f>
        <v>0.47218949147999989</v>
      </c>
      <c r="CW27" s="3">
        <f>$H27*factors!CQ$3</f>
        <v>0.44655634765679997</v>
      </c>
      <c r="CX27" s="3">
        <f>$H27*factors!CR$3</f>
        <v>0.43981078349279995</v>
      </c>
      <c r="CY27" s="3">
        <f>$H27*factors!CS$3</f>
        <v>0.4357634449943999</v>
      </c>
      <c r="CZ27" s="3">
        <f>$H27*factors!CT$3</f>
        <v>0.42946758510799987</v>
      </c>
      <c r="DA27" s="3">
        <f>$H27*factors!CU$3</f>
        <v>0.44589322439999995</v>
      </c>
      <c r="DB27" s="3">
        <f>$H27*factors!CV$3</f>
        <v>0.47470478659199999</v>
      </c>
      <c r="DC27" s="3">
        <f>$H27*factors!CW$3</f>
        <v>0.45458242569599994</v>
      </c>
      <c r="DD27" s="3">
        <f>$H27*factors!CX$3</f>
        <v>0.45138114100799992</v>
      </c>
      <c r="DE27" s="3">
        <f>$H27*factors!CY$3</f>
        <v>0.46464360614399997</v>
      </c>
      <c r="DF27" s="3">
        <f>$H27*factors!CZ$3</f>
        <v>0.4637289533759999</v>
      </c>
      <c r="DG27" s="3">
        <f>$H27*factors!DA$3</f>
        <v>0.46189964783999993</v>
      </c>
      <c r="DH27" s="3">
        <f>$H27*factors!DB$3</f>
        <v>0.46189964783999993</v>
      </c>
      <c r="DI27" s="3">
        <f>$H27*factors!DC$3</f>
        <v>0.44452124524799991</v>
      </c>
      <c r="DJ27" s="3">
        <f>$H27*factors!DD$3</f>
        <v>0.47104617551999994</v>
      </c>
      <c r="DK27" s="3">
        <f>$H27*factors!DE$3</f>
        <v>0.47104617551999994</v>
      </c>
      <c r="DL27" s="3">
        <f>$H27*factors!DF$3</f>
        <v>0.46555825891199998</v>
      </c>
      <c r="DM27" s="3">
        <f>$H27*factors!DG$3</f>
        <v>0.43857600225599991</v>
      </c>
      <c r="DN27" s="3">
        <f>$H27*factors!DH$3</f>
        <v>0.46007034230399996</v>
      </c>
      <c r="DO27" s="3">
        <f>$H27*factors!DI$3</f>
        <v>0.47516211297599992</v>
      </c>
      <c r="DP27" s="3">
        <f>$H27*factors!DJ$3</f>
        <v>0.47104617551999994</v>
      </c>
      <c r="DQ27" s="3">
        <f>$H27*factors!DK$3</f>
        <v>0.44909450908799992</v>
      </c>
      <c r="DR27" s="3">
        <f>$H27*factors!DL$3</f>
        <v>0.44406391886399998</v>
      </c>
      <c r="DS27" s="3">
        <f>$H27*factors!DM$3</f>
        <v>0.47973537681599993</v>
      </c>
      <c r="DT27" s="3">
        <f>$H27*factors!DN$3</f>
        <v>0.450923814624</v>
      </c>
      <c r="DU27" s="3">
        <f>$H27*factors!DO$3</f>
        <v>0.47196082828799996</v>
      </c>
      <c r="DV27" s="3">
        <f>$H27*factors!DP$3</f>
        <v>0.46098499507199997</v>
      </c>
      <c r="DW27" s="3">
        <f>$H27*factors!DQ$3</f>
        <v>0.4399479814079999</v>
      </c>
      <c r="DX27" s="3">
        <f>$H27*factors!DR$3</f>
        <v>0.4660155852959999</v>
      </c>
      <c r="DY27" s="3">
        <f>$H27*factors!DS$3</f>
        <v>0.4422346133279999</v>
      </c>
      <c r="DZ27" s="3">
        <f>$H27*factors!DT$3</f>
        <v>0.47287548105599991</v>
      </c>
      <c r="EA27" s="3">
        <f>$H27*factors!DU$3</f>
        <v>0.44543589801599992</v>
      </c>
      <c r="EB27" s="3">
        <f>$H27*factors!DV$3</f>
        <v>0.43446006479999993</v>
      </c>
      <c r="EC27" s="3">
        <f>$H27*factors!DW$3</f>
        <v>0.46738756444799995</v>
      </c>
      <c r="ED27" s="3">
        <f>$H27*factors!DX$3</f>
        <v>0.43857600225599991</v>
      </c>
      <c r="EE27" s="3">
        <f>$H27*factors!DY$3</f>
        <v>0.4422346133279999</v>
      </c>
      <c r="EF27" s="3">
        <f>$H27*factors!DZ$3</f>
        <v>0.47973537681599993</v>
      </c>
      <c r="EG27" s="3">
        <f>$H27*factors!EA$3</f>
        <v>0.44817985631999996</v>
      </c>
      <c r="EH27" s="3">
        <f>$H27*factors!EB$3</f>
        <v>0.44955183547199995</v>
      </c>
      <c r="EI27" s="3">
        <f>$H27*factors!EC$3</f>
        <v>0.44863718270399999</v>
      </c>
      <c r="EJ27" s="3">
        <f>$H27*factors!ED$3</f>
        <v>0.43720402310399997</v>
      </c>
      <c r="EK27" s="3">
        <f>$H27*factors!EE$3</f>
        <v>0.46738756444799995</v>
      </c>
      <c r="EL27" s="3">
        <f>$H27*factors!EF$3</f>
        <v>0.44452124524799991</v>
      </c>
      <c r="EM27" s="3">
        <f>$H27*factors!EG$3</f>
        <v>0.46235697422399991</v>
      </c>
      <c r="EN27" s="3">
        <f>$H27*factors!EH$3</f>
        <v>0.43446006479999993</v>
      </c>
      <c r="EO27" s="3">
        <f>$H27*factors!EI$3</f>
        <v>0.44086263417599991</v>
      </c>
      <c r="EP27" s="3">
        <f>$H27*factors!EJ$3</f>
        <v>0.46510093252799994</v>
      </c>
      <c r="EQ27" s="3">
        <f>$H27*factors!EK$3</f>
        <v>0.45229579377599993</v>
      </c>
      <c r="ER27" s="3">
        <f>$H27*factors!EL$3</f>
        <v>0.47104617551999994</v>
      </c>
      <c r="ES27" s="3">
        <f>$H27*factors!EM$3</f>
        <v>0.46510093252799994</v>
      </c>
      <c r="ET27" s="3">
        <f>$H27*factors!EN$3</f>
        <v>0.47561943935999995</v>
      </c>
      <c r="EU27" s="3">
        <f>$H27*factors!EO$3</f>
        <v>0.48019270319999996</v>
      </c>
      <c r="EV27" s="3">
        <f>$H27*factors!EP$3</f>
        <v>0.45000916185599993</v>
      </c>
      <c r="EW27" s="3">
        <f>$H27*factors!EQ$3</f>
        <v>0.49496053434999993</v>
      </c>
      <c r="EX27" s="3">
        <f>$H27*factors!ER$3</f>
        <v>0.48972033619999999</v>
      </c>
      <c r="EY27" s="3">
        <f>$H27*factors!ES$3</f>
        <v>0.49972435084999989</v>
      </c>
      <c r="EZ27" s="3">
        <f>$H27*factors!ET$3</f>
        <v>0.49496053434999993</v>
      </c>
      <c r="FA27" s="3">
        <f>$H27*factors!EU$3</f>
        <v>0.45494447574999991</v>
      </c>
      <c r="FB27" s="3">
        <f>$H27*factors!EV$3</f>
        <v>0.4754288867</v>
      </c>
      <c r="FC27" s="3">
        <f>$H27*factors!EW$3</f>
        <v>0.48876757289999995</v>
      </c>
      <c r="FD27" s="3">
        <f>$H27*factors!EX$3</f>
        <v>0.47161783349999997</v>
      </c>
      <c r="FE27" s="3">
        <f>$H27*factors!EY$3</f>
        <v>0.49686606094999997</v>
      </c>
      <c r="FF27" s="3">
        <f>$H27*factors!EZ$3</f>
        <v>0.49734244260000005</v>
      </c>
      <c r="FG27" s="3">
        <f>$H27*factors!FA$3</f>
        <v>0.45494447574999991</v>
      </c>
      <c r="FH27" s="3">
        <f>$H27*factors!FB$3</f>
        <v>0.47876355824999989</v>
      </c>
      <c r="FI27" s="3">
        <f>$H27*factors!FC$3</f>
        <v>0.4987715875499999</v>
      </c>
      <c r="FJ27" s="3">
        <f>$H27*factors!FD$3</f>
        <v>0.47876355824999989</v>
      </c>
      <c r="FK27" s="3">
        <f>$H27*factors!FE$3</f>
        <v>0.48686204630000002</v>
      </c>
      <c r="FL27" s="3">
        <f>$H27*factors!FF$3</f>
        <v>0.48829119124999998</v>
      </c>
      <c r="FM27" s="3">
        <f>$H27*factors!FG$3</f>
        <v>0.49353138939999991</v>
      </c>
      <c r="FN27" s="3">
        <f>$H27*factors!FH$3</f>
        <v>0.46161381884999991</v>
      </c>
      <c r="FO27" s="3">
        <f>$H27*factors!FI$3</f>
        <v>0.49019671784999991</v>
      </c>
      <c r="FP27" s="3">
        <f>$H27*factors!FJ$3</f>
        <v>0.47638164999999999</v>
      </c>
      <c r="FQ27" s="3">
        <f>$H27*factors!FK$3</f>
        <v>0.47161783349999997</v>
      </c>
      <c r="FR27" s="3">
        <f>$H27*factors!FL$3</f>
        <v>0.48114546649999995</v>
      </c>
      <c r="FS27" s="3">
        <f>$H27*factors!FM$3</f>
        <v>0.47828717659999992</v>
      </c>
      <c r="FT27" s="3">
        <f>$H27*factors!FN$3</f>
        <v>0.48876757289999995</v>
      </c>
      <c r="FU27" s="3">
        <f>$H27*factors!FO$3</f>
        <v>0.46971230689999993</v>
      </c>
      <c r="FV27" s="3">
        <f>$H27*factors!FP$3</f>
        <v>0.46590125369999991</v>
      </c>
      <c r="FW27" s="3">
        <f>$H27*factors!FQ$3</f>
        <v>0.4987715875499999</v>
      </c>
      <c r="FX27" s="3">
        <f>$H27*factors!FR$3</f>
        <v>0.48972033619999999</v>
      </c>
      <c r="FY27" s="3">
        <f>$H27*factors!FS$3</f>
        <v>0.47971632154999988</v>
      </c>
      <c r="FZ27" s="3">
        <f>$H27*factors!FT$3</f>
        <v>0.45589723904999996</v>
      </c>
      <c r="GA27" s="3">
        <f>$H27*factors!FU$3</f>
        <v>0.47971632154999988</v>
      </c>
      <c r="GB27" s="3">
        <f>$H27*factors!FV$3</f>
        <v>0.49734244260000005</v>
      </c>
      <c r="GC27" s="3">
        <f>$H27*factors!FW$3</f>
        <v>0.46590125369999991</v>
      </c>
      <c r="GD27" s="3">
        <f>$H27*factors!FX$3</f>
        <v>0.47399974174999993</v>
      </c>
      <c r="GE27" s="3">
        <f>$H27*factors!FY$3</f>
        <v>0.47399974174999993</v>
      </c>
      <c r="GF27" s="3">
        <f>$H27*factors!FZ$3</f>
        <v>0.47257059679999996</v>
      </c>
      <c r="GG27" s="3">
        <f>$H27*factors!GA$3</f>
        <v>0.45399171244999992</v>
      </c>
      <c r="GH27" s="3">
        <f>$H27*factors!GB$3</f>
        <v>0.48305099309999999</v>
      </c>
      <c r="GI27" s="3">
        <f>$H27*factors!GC$3</f>
        <v>0.45303894914999998</v>
      </c>
      <c r="GJ27" s="3">
        <f>$H27*factors!GD$3</f>
        <v>0.45399171244999992</v>
      </c>
      <c r="GK27" s="3">
        <f>$H27*factors!GE$3</f>
        <v>0.46542487204999994</v>
      </c>
      <c r="GL27" s="3">
        <f>$H27*factors!GF$3</f>
        <v>0.49305500774999994</v>
      </c>
      <c r="GM27" s="3">
        <f>$H27*factors!GG$3</f>
        <v>0.46733039864999998</v>
      </c>
      <c r="GN27" s="3">
        <f>$H27*factors!GH$3</f>
        <v>0.4820982298</v>
      </c>
      <c r="GO27" s="3">
        <f>$H27*factors!GI$3</f>
        <v>0.45542085739999988</v>
      </c>
      <c r="GP27" s="3">
        <f>$H27*factors!GJ$3</f>
        <v>0.48829119124999998</v>
      </c>
      <c r="GQ27" s="3">
        <f>$H27*factors!GK$3</f>
        <v>0.49829520589999998</v>
      </c>
      <c r="GR27" s="3">
        <f>$H27*factors!GL$3</f>
        <v>0.48876757289999995</v>
      </c>
      <c r="GS27" s="3">
        <f>$H27*factors!GM$3</f>
        <v>0.46222358736199998</v>
      </c>
      <c r="GT27" s="3">
        <f>$H27*factors!GN$3</f>
        <v>0.4728716700028</v>
      </c>
      <c r="GU27" s="3">
        <f>$H27*factors!GO$3</f>
        <v>0.48400375639999998</v>
      </c>
      <c r="GV27" s="3">
        <f>$H27*factors!GP$3</f>
        <v>0.46464360614399997</v>
      </c>
      <c r="GW27" s="3">
        <f>$H27*factors!GQ$3</f>
        <v>0.48109973386159999</v>
      </c>
      <c r="GX27" s="3">
        <f>$H27*factors!GR$3</f>
        <v>0.47335567375919996</v>
      </c>
      <c r="GY27" s="3">
        <f>$H27*factors!GS$3</f>
        <v>0.47093565497719997</v>
      </c>
      <c r="GZ27" s="3">
        <f>$H27*factors!GT$3</f>
        <v>0.4883597902075999</v>
      </c>
      <c r="HA27" s="3">
        <f>$H27*factors!GU$3</f>
        <v>0.47238766624639994</v>
      </c>
      <c r="HB27" s="3">
        <f>$H27*factors!GV$3</f>
        <v>0.4883597902075999</v>
      </c>
      <c r="HC27" s="3">
        <f>$H27*factors!GW$3</f>
        <v>0.4762596962975999</v>
      </c>
      <c r="HD27" s="3">
        <f>$H27*factors!GX$3</f>
        <v>0.49029580523319988</v>
      </c>
      <c r="HE27" s="3">
        <f>$H27*factors!GY$3</f>
        <v>0.48400375639999998</v>
      </c>
      <c r="HF27" s="3">
        <f>$H27*factors!GZ$3</f>
        <v>0.49900787284839992</v>
      </c>
      <c r="HG27" s="3">
        <f>$H27*factors!HA$3</f>
        <v>0.47964772259239996</v>
      </c>
      <c r="HH27" s="3">
        <f>$H27*factors!HB$3</f>
        <v>0.47335567375919996</v>
      </c>
      <c r="HI27" s="3">
        <f>$H27*factors!HC$3</f>
        <v>0.46754762868239996</v>
      </c>
      <c r="HJ27" s="3">
        <f>$H27*factors!HD$3</f>
        <v>0.46222358736199998</v>
      </c>
      <c r="HK27" s="3">
        <f>$H27*factors!HE$3</f>
        <v>0.48884379396399996</v>
      </c>
      <c r="HL27" s="3">
        <f>$H27*factors!HF$3</f>
        <v>0.46077157609279989</v>
      </c>
      <c r="HM27" s="3">
        <f>$H27*factors!HG$3</f>
        <v>0.46561161365679998</v>
      </c>
      <c r="HN27" s="3">
        <f>$H27*factors!HH$3</f>
        <v>0.49658785406639999</v>
      </c>
      <c r="HO27" s="3">
        <f>$H27*factors!HI$3</f>
        <v>0.4762596962975999</v>
      </c>
      <c r="HP27" s="3">
        <f>$H27*factors!HJ$3</f>
        <v>0.50820394422000004</v>
      </c>
      <c r="HQ27" s="3">
        <f>$H27*factors!HK$3</f>
        <v>0.46464360614399997</v>
      </c>
      <c r="HR27" s="3">
        <f>$H27*factors!HL$3</f>
        <v>0.49271582401520003</v>
      </c>
      <c r="HS27" s="3">
        <f>$H27*factors!HM$3</f>
        <v>0.50142789163039991</v>
      </c>
      <c r="HT27" s="3">
        <f>$H27*factors!HN$3</f>
        <v>0.46754762868239996</v>
      </c>
      <c r="HU27" s="3">
        <f>$H27*factors!HO$3</f>
        <v>0.47238766624639994</v>
      </c>
      <c r="HV27" s="3">
        <f>$H27*factors!HP$3</f>
        <v>0.47819571132319999</v>
      </c>
      <c r="HW27" s="3">
        <f>$H27*factors!HQ$3</f>
        <v>0.48497176391279995</v>
      </c>
      <c r="HX27" s="3">
        <f>$H27*factors!HR$3</f>
        <v>0.50481591792519986</v>
      </c>
      <c r="HY27" s="3">
        <f>$H27*factors!HS$3</f>
        <v>0.47964772259239996</v>
      </c>
      <c r="HZ27" s="3">
        <f>$H27*factors!HT$3</f>
        <v>0.49803986533559996</v>
      </c>
      <c r="IA27" s="3">
        <f>$H27*factors!HU$3</f>
        <v>0.47383967751559997</v>
      </c>
      <c r="IB27" s="3">
        <f>$H27*factors!HV$3</f>
        <v>0.49029580523319988</v>
      </c>
      <c r="IC27" s="3">
        <f>$H27*factors!HW$3</f>
        <v>0.49513584279719997</v>
      </c>
      <c r="ID27" s="3">
        <f>$H27*factors!HX$3</f>
        <v>0.45980356857999993</v>
      </c>
      <c r="IE27" s="3">
        <f>$H27*factors!HY$3</f>
        <v>0.4883597902075999</v>
      </c>
      <c r="IF27" s="3">
        <f>$H27*factors!HZ$3</f>
        <v>0.4854557676691999</v>
      </c>
      <c r="IG27" s="3">
        <f>$H27*factors!IA$3</f>
        <v>0.48109973386159999</v>
      </c>
      <c r="IH27" s="3">
        <f>$H27*factors!IB$3</f>
        <v>0.49900787284839992</v>
      </c>
      <c r="II27" s="3">
        <f>$H27*factors!IC$3</f>
        <v>0.47771170756679998</v>
      </c>
      <c r="IJ27" s="3">
        <f>$H27*factors!ID$3</f>
        <v>0.48206774137440001</v>
      </c>
      <c r="IK27" s="3">
        <f>$H27*factors!IE$3</f>
        <v>0.49949187660479999</v>
      </c>
      <c r="IL27" s="3">
        <f>$H27*factors!IF$3</f>
        <v>0.47819571132319999</v>
      </c>
      <c r="IM27" s="3">
        <f>$H27*factors!IG$3</f>
        <v>0.47383967751559997</v>
      </c>
      <c r="IN27" s="3">
        <f>$H27*factors!IH$3</f>
        <v>0.47674370005399996</v>
      </c>
      <c r="IO27" s="3">
        <f>$H27*factors!II$3</f>
        <v>0.48158373761799994</v>
      </c>
      <c r="IP27" s="3">
        <f>$H27*factors!IJ$3</f>
        <v>0.46561161365679998</v>
      </c>
      <c r="IQ27" s="3">
        <f>$H27*factors!IK$3</f>
        <v>0.46415960238759996</v>
      </c>
      <c r="IR27" s="3">
        <f>$H27*factors!IL$3</f>
        <v>0.47771170756679998</v>
      </c>
      <c r="IS27" s="3">
        <f>$H27*factors!IM$3</f>
        <v>0.48158373761799994</v>
      </c>
      <c r="IT27" s="3">
        <f>$H27*factors!IN$3</f>
        <v>0.48497176391279995</v>
      </c>
      <c r="IU27" s="3">
        <f>$H27*factors!IO$3</f>
        <v>0.49561984655359997</v>
      </c>
      <c r="IV27" s="3">
        <f>$H27*factors!IP$3</f>
        <v>0.50191189538679992</v>
      </c>
      <c r="IW27" s="3">
        <f>$H27*factors!IQ$3</f>
        <v>0.47432368127199992</v>
      </c>
      <c r="IX27" s="3">
        <f>$H27*factors!IR$3</f>
        <v>0.49561984655359997</v>
      </c>
      <c r="IY27" s="3">
        <f>$H27*factors!IS$3</f>
        <v>0.4883597902075999</v>
      </c>
      <c r="IZ27" s="3">
        <f>$H27*factors!IT$3</f>
        <v>0.49658785406639999</v>
      </c>
      <c r="JA27" s="3">
        <f>$H27*factors!IU$3</f>
        <v>0.46899963995159993</v>
      </c>
      <c r="JB27" s="3">
        <f>$H27*factors!IV$3</f>
        <v>0.47771170756679998</v>
      </c>
      <c r="JC27" s="3">
        <f>$H27*factors!IW$3</f>
        <v>0.4665796211696</v>
      </c>
      <c r="JD27" s="3">
        <f>$H27*factors!IX$3</f>
        <v>0.50820394422000004</v>
      </c>
      <c r="JE27" s="3">
        <f>$H27*factors!IY$3</f>
        <v>0.46803163243879992</v>
      </c>
      <c r="JF27" s="3">
        <f>$H27*factors!IZ$3</f>
        <v>0.49126381274599989</v>
      </c>
      <c r="JG27" s="3">
        <f>$H27*factors!JA$3</f>
        <v>0.48255174513079996</v>
      </c>
      <c r="JH27" s="3">
        <f>$H27*factors!JB$3</f>
        <v>0.49174781650240001</v>
      </c>
      <c r="JI27" s="3">
        <f>$H27*factors!JC$3</f>
        <v>0.46028757233639994</v>
      </c>
      <c r="JJ27" s="3">
        <f>$H27*factors!JD$3</f>
        <v>0.49561984655359997</v>
      </c>
      <c r="JK27" s="3">
        <f>$H27*factors!JE$3</f>
        <v>0.47964772259239996</v>
      </c>
      <c r="JL27" s="3">
        <f>$H27*factors!JF$3</f>
        <v>0.49900787284839992</v>
      </c>
      <c r="JM27" s="3">
        <f>$H27*factors!JG$3</f>
        <v>0.46561161365679998</v>
      </c>
      <c r="JN27" s="3">
        <f>$H27*factors!JH$3</f>
        <v>0.46561161365679998</v>
      </c>
      <c r="JO27" s="3">
        <f>$H27*factors!JI$3</f>
        <v>0.45980356857999993</v>
      </c>
      <c r="JP27" s="3">
        <f>$H27*factors!JJ$3</f>
        <v>0.49707185782279995</v>
      </c>
      <c r="JQ27" s="3">
        <f>$H27*factors!JK$3</f>
        <v>0.48448776015639994</v>
      </c>
      <c r="JR27" s="3">
        <f>$H27*factors!JL$3</f>
        <v>0.50336390665599995</v>
      </c>
      <c r="JS27" s="3">
        <f>$H27*factors!JM$3</f>
        <v>0.45980356857999993</v>
      </c>
      <c r="JT27" s="3">
        <f>$H27*factors!JN$3</f>
        <v>0.48303574888719997</v>
      </c>
      <c r="JU27" s="3">
        <f>$H27*factors!JO$3</f>
        <v>0.46706362492599995</v>
      </c>
      <c r="JV27" s="3">
        <f>$H27*factors!JP$3</f>
        <v>0.47480768502839998</v>
      </c>
      <c r="JW27" s="3">
        <f>$H27*factors!JQ$3</f>
        <v>0.50723593670720002</v>
      </c>
      <c r="JX27" s="3">
        <f>$H27*factors!JR$3</f>
        <v>0.50239589914319993</v>
      </c>
      <c r="JY27" s="3">
        <f>$H27*factors!JS$3</f>
        <v>0.4728716700028</v>
      </c>
      <c r="JZ27" s="3">
        <f>$H27*factors!JT$3</f>
        <v>0.47819571132319999</v>
      </c>
      <c r="KA27" s="3">
        <f>$H27*factors!JU$3</f>
        <v>0.48013172634879997</v>
      </c>
      <c r="KB27" s="3">
        <f>$H27*factors!JV$3</f>
        <v>0.46415960238759996</v>
      </c>
      <c r="KC27" s="3">
        <f>$H27*factors!JW$3</f>
        <v>0.4665796211696</v>
      </c>
      <c r="KD27" s="3">
        <f>$H27*factors!JX$3</f>
        <v>0.46706362492599995</v>
      </c>
      <c r="KE27" s="3">
        <f>$H27*factors!JY$3</f>
        <v>0.49707185782279995</v>
      </c>
      <c r="KF27" s="3">
        <f>$H27*factors!JZ$3</f>
        <v>0.50287990289959994</v>
      </c>
      <c r="KG27" s="3">
        <f>$H27*factors!KA$3</f>
        <v>0.48497176391279995</v>
      </c>
      <c r="KH27" s="3">
        <f>$H27*factors!KB$3</f>
        <v>0.47432368127199992</v>
      </c>
      <c r="KI27" s="3">
        <f>$H27*factors!KC$3</f>
        <v>0.4699676474643999</v>
      </c>
    </row>
    <row r="28" spans="1:295" x14ac:dyDescent="0.55000000000000004">
      <c r="A28" t="s">
        <v>404</v>
      </c>
      <c r="B28">
        <v>27</v>
      </c>
      <c r="C28">
        <v>230</v>
      </c>
      <c r="D28" t="s">
        <v>377</v>
      </c>
      <c r="E28">
        <v>6.4939999999999998E-3</v>
      </c>
      <c r="F28">
        <v>27</v>
      </c>
      <c r="G28">
        <f>VLOOKUP(D28,demand_forecasted!$A$2:$G$11,2)</f>
        <v>11098</v>
      </c>
      <c r="H28" s="3">
        <f t="shared" si="1"/>
        <v>0.72070412000000006</v>
      </c>
      <c r="I28" s="3">
        <f>$H28*factors!C$3</f>
        <v>0.79781946084000011</v>
      </c>
      <c r="J28" s="3">
        <f>$H28*factors!D$3</f>
        <v>0.76902012420480004</v>
      </c>
      <c r="K28" s="3">
        <f>$H28*factors!E$3</f>
        <v>0.75578799656160012</v>
      </c>
      <c r="L28" s="3">
        <f>$H28*factors!F$3</f>
        <v>0.75345291521280022</v>
      </c>
      <c r="M28" s="3">
        <f>$H28*factors!G$3</f>
        <v>0.7526745547632</v>
      </c>
      <c r="N28" s="3">
        <f>$H28*factors!H$3</f>
        <v>0.77446864735200005</v>
      </c>
      <c r="O28" s="3">
        <f>$H28*factors!I$3</f>
        <v>0.79159257724320009</v>
      </c>
      <c r="P28" s="3">
        <f>$H28*factors!J$3</f>
        <v>0.80093290263840011</v>
      </c>
      <c r="Q28" s="3">
        <f>$H28*factors!K$3</f>
        <v>0.7518961943136</v>
      </c>
      <c r="R28" s="3">
        <f>$H28*factors!L$3</f>
        <v>0.73944242712000008</v>
      </c>
      <c r="S28" s="3">
        <f>$H28*factors!M$3</f>
        <v>0.76979848465440004</v>
      </c>
      <c r="T28" s="3">
        <f>$H28*factors!N$3</f>
        <v>0.7962627399408001</v>
      </c>
      <c r="U28" s="3">
        <f>$H28*factors!O$3</f>
        <v>0.75423127566240011</v>
      </c>
      <c r="V28" s="3">
        <f>$H28*factors!P$3</f>
        <v>0.78458733319680007</v>
      </c>
      <c r="W28" s="3">
        <f>$H28*factors!Q$3</f>
        <v>0.79159257724320009</v>
      </c>
      <c r="X28" s="3">
        <f>$H28*factors!R$3</f>
        <v>0.75734471746080001</v>
      </c>
      <c r="Y28" s="3">
        <f>$H28*factors!S$3</f>
        <v>0.7503394734144001</v>
      </c>
      <c r="Z28" s="3">
        <f>$H28*factors!T$3</f>
        <v>0.80949486758400024</v>
      </c>
      <c r="AA28" s="3">
        <f>$H28*factors!U$3</f>
        <v>0.76434996150720003</v>
      </c>
      <c r="AB28" s="3">
        <f>$H28*factors!V$3</f>
        <v>0.76512832195680014</v>
      </c>
      <c r="AC28" s="3">
        <f>$H28*factors!W$3</f>
        <v>0.76590668240640014</v>
      </c>
      <c r="AD28" s="3">
        <f>$H28*factors!X$3</f>
        <v>0.7495611129648001</v>
      </c>
      <c r="AE28" s="3">
        <f>$H28*factors!Y$3</f>
        <v>0.75578799656160012</v>
      </c>
      <c r="AF28" s="3">
        <f>$H28*factors!Z$3</f>
        <v>0.77135520555360015</v>
      </c>
      <c r="AG28" s="3">
        <f>$H28*factors!AA$3</f>
        <v>0.7518961943136</v>
      </c>
      <c r="AH28" s="3">
        <f>$H28*factors!AB$3</f>
        <v>0.7487827525152001</v>
      </c>
      <c r="AI28" s="3">
        <f>$H28*factors!AC$3</f>
        <v>0.77291192645280016</v>
      </c>
      <c r="AJ28" s="3">
        <f>$H28*factors!AD$3</f>
        <v>0.80248962353760012</v>
      </c>
      <c r="AK28" s="3">
        <f>$H28*factors!AE$3</f>
        <v>0.77213356600320016</v>
      </c>
      <c r="AL28" s="3">
        <f>$H28*factors!AF$3</f>
        <v>0.74177750846879997</v>
      </c>
      <c r="AM28" s="3">
        <f>$H28*factors!AG$3</f>
        <v>0.76279324060800002</v>
      </c>
      <c r="AN28" s="3">
        <f>$H28*factors!AH$3</f>
        <v>0.7503394734144001</v>
      </c>
      <c r="AO28" s="3">
        <f>$H28*factors!AI$3</f>
        <v>0.78614405409600008</v>
      </c>
      <c r="AP28" s="3">
        <f>$H28*factors!AJ$3</f>
        <v>0.75345291521280022</v>
      </c>
      <c r="AQ28" s="3">
        <f>$H28*factors!AK$3</f>
        <v>0.77758208915040017</v>
      </c>
      <c r="AR28" s="3">
        <f>$H28*factors!AL$3</f>
        <v>0.76045815925920013</v>
      </c>
      <c r="AS28" s="3">
        <f>$H28*factors!AM$3</f>
        <v>0.74177750846879997</v>
      </c>
      <c r="AT28" s="3">
        <f>$H28*factors!AN$3</f>
        <v>0.76512832195680014</v>
      </c>
      <c r="AU28" s="3">
        <f>$H28*factors!AO$3</f>
        <v>0.81027322803360002</v>
      </c>
      <c r="AV28" s="3">
        <f>$H28*factors!AP$3</f>
        <v>0.76590668240640014</v>
      </c>
      <c r="AW28" s="3">
        <f>$H28*factors!AQ$3</f>
        <v>0.75812307791040001</v>
      </c>
      <c r="AX28" s="3">
        <f>$H28*factors!AR$3</f>
        <v>0.80171126308800011</v>
      </c>
      <c r="AY28" s="3">
        <f>$H28*factors!AS$3</f>
        <v>0.73944242712000008</v>
      </c>
      <c r="AZ28" s="3">
        <f>$H28*factors!AT$3</f>
        <v>0.7923709376928002</v>
      </c>
      <c r="BA28" s="3">
        <f>$H28*factors!AU$3</f>
        <v>0.77524700780160005</v>
      </c>
      <c r="BB28" s="3">
        <f>$H28*factors!AV$3</f>
        <v>0.76512832195680014</v>
      </c>
      <c r="BC28" s="3">
        <f>$H28*factors!AW$3</f>
        <v>0.80949486758400024</v>
      </c>
      <c r="BD28" s="3">
        <f>$H28*factors!AX$3</f>
        <v>0.74722603161599999</v>
      </c>
      <c r="BE28" s="3">
        <f>$H28*factors!AY$3</f>
        <v>0.87849508003279997</v>
      </c>
      <c r="BF28" s="3">
        <f>$H28*factors!AZ$3</f>
        <v>0.81811448885920002</v>
      </c>
      <c r="BG28" s="3">
        <f>$H28*factors!BA$3</f>
        <v>0.83002052092159995</v>
      </c>
      <c r="BH28" s="3">
        <f>$H28*factors!BB$3</f>
        <v>0.84107612212240002</v>
      </c>
      <c r="BI28" s="3">
        <f>$H28*factors!BC$3</f>
        <v>0.87169163313999998</v>
      </c>
      <c r="BJ28" s="3">
        <f>$H28*factors!BD$3</f>
        <v>0.83257181350639997</v>
      </c>
      <c r="BK28" s="3">
        <f>$H28*factors!BE$3</f>
        <v>0.83427267522959991</v>
      </c>
      <c r="BL28" s="3">
        <f>$H28*factors!BF$3</f>
        <v>0.8249179357519999</v>
      </c>
      <c r="BM28" s="3">
        <f>$H28*factors!BG$3</f>
        <v>0.8810463726176001</v>
      </c>
      <c r="BN28" s="3">
        <f>$H28*factors!BH$3</f>
        <v>0.86999077141680003</v>
      </c>
      <c r="BO28" s="3">
        <f>$H28*factors!BI$3</f>
        <v>0.81811448885920002</v>
      </c>
      <c r="BP28" s="3">
        <f>$H28*factors!BJ$3</f>
        <v>0.81556319627439999</v>
      </c>
      <c r="BQ28" s="3">
        <f>$H28*factors!BK$3</f>
        <v>0.82917009005999998</v>
      </c>
      <c r="BR28" s="3">
        <f>$H28*factors!BL$3</f>
        <v>0.85893517021600008</v>
      </c>
      <c r="BS28" s="3">
        <f>$H28*factors!BM$3</f>
        <v>0.87254206400160006</v>
      </c>
      <c r="BT28" s="3">
        <f>$H28*factors!BN$3</f>
        <v>0.87509335658639997</v>
      </c>
      <c r="BU28" s="3">
        <f>$H28*factors!BO$3</f>
        <v>0.88955068123360015</v>
      </c>
      <c r="BV28" s="3">
        <f>$H28*factors!BP$3</f>
        <v>0.82746922833680003</v>
      </c>
      <c r="BW28" s="3">
        <f>$H28*factors!BQ$3</f>
        <v>0.84617870729200007</v>
      </c>
      <c r="BX28" s="3">
        <f>$H28*factors!BR$3</f>
        <v>0.83002052092159995</v>
      </c>
      <c r="BY28" s="3">
        <f>$H28*factors!BS$3</f>
        <v>0.86828990969359987</v>
      </c>
      <c r="BZ28" s="3">
        <f>$H28*factors!BT$3</f>
        <v>0.85213172332319997</v>
      </c>
      <c r="CA28" s="3">
        <f>$H28*factors!BU$3</f>
        <v>0.84107612212240002</v>
      </c>
      <c r="CB28" s="3">
        <f>$H28*factors!BV$3</f>
        <v>0.81386233455120005</v>
      </c>
      <c r="CC28" s="3">
        <f>$H28*factors!BW$3</f>
        <v>0.83767439867600002</v>
      </c>
      <c r="CD28" s="3">
        <f>$H28*factors!BX$3</f>
        <v>0.84022569126080004</v>
      </c>
      <c r="CE28" s="3">
        <f>$H28*factors!BY$3</f>
        <v>0.85213172332319997</v>
      </c>
      <c r="CF28" s="3">
        <f>$H28*factors!BZ$3</f>
        <v>0.83937526039920007</v>
      </c>
      <c r="CG28" s="3">
        <f>$H28*factors!CA$3</f>
        <v>0.81131104196639992</v>
      </c>
      <c r="CH28" s="3">
        <f>$H28*factors!CB$3</f>
        <v>0.81216147282799989</v>
      </c>
      <c r="CI28" s="3">
        <f>$H28*factors!CC$3</f>
        <v>0.80790931852000003</v>
      </c>
      <c r="CJ28" s="3">
        <f>$H28*factors!CD$3</f>
        <v>0.84107612212240002</v>
      </c>
      <c r="CK28" s="3">
        <f>$H28*factors!CE$3</f>
        <v>0.87849508003279997</v>
      </c>
      <c r="CL28" s="3">
        <f>$H28*factors!CF$3</f>
        <v>0.82321707402880007</v>
      </c>
      <c r="CM28" s="3">
        <f>$H28*factors!CG$3</f>
        <v>0.84277698384559996</v>
      </c>
      <c r="CN28" s="3">
        <f>$H28*factors!CH$3</f>
        <v>0.81471276541280002</v>
      </c>
      <c r="CO28" s="3">
        <f>$H28*factors!CI$3</f>
        <v>0.82066578144399993</v>
      </c>
      <c r="CP28" s="3">
        <f>$H28*factors!CJ$3</f>
        <v>0.85978560107759983</v>
      </c>
      <c r="CQ28" s="3">
        <f>$H28*factors!CK$3</f>
        <v>0.83427267522959991</v>
      </c>
      <c r="CR28" s="3">
        <f>$H28*factors!CL$3</f>
        <v>0.86063603193920002</v>
      </c>
      <c r="CS28" s="3">
        <f>$H28*factors!CM$3</f>
        <v>0.88784981951039998</v>
      </c>
      <c r="CT28" s="3">
        <f>$H28*factors!CN$3</f>
        <v>0.8776446491712</v>
      </c>
      <c r="CU28" s="3">
        <f>$H28*factors!CO$3</f>
        <v>0.85808473935439988</v>
      </c>
      <c r="CV28" s="3">
        <f>$H28*factors!CP$3</f>
        <v>0.89295240468000003</v>
      </c>
      <c r="CW28" s="3">
        <f>$H28*factors!CQ$3</f>
        <v>0.84447784556880012</v>
      </c>
      <c r="CX28" s="3">
        <f>$H28*factors!CR$3</f>
        <v>0.8317213826448</v>
      </c>
      <c r="CY28" s="3">
        <f>$H28*factors!CS$3</f>
        <v>0.82406750489039993</v>
      </c>
      <c r="CZ28" s="3">
        <f>$H28*factors!CT$3</f>
        <v>0.81216147282799989</v>
      </c>
      <c r="DA28" s="3">
        <f>$H28*factors!CU$3</f>
        <v>0.84322382039999999</v>
      </c>
      <c r="DB28" s="3">
        <f>$H28*factors!CV$3</f>
        <v>0.89770905187200012</v>
      </c>
      <c r="DC28" s="3">
        <f>$H28*factors!CW$3</f>
        <v>0.85965587433599999</v>
      </c>
      <c r="DD28" s="3">
        <f>$H28*factors!CX$3</f>
        <v>0.85360195972800001</v>
      </c>
      <c r="DE28" s="3">
        <f>$H28*factors!CY$3</f>
        <v>0.87868246310400011</v>
      </c>
      <c r="DF28" s="3">
        <f>$H28*factors!CZ$3</f>
        <v>0.87695277321599996</v>
      </c>
      <c r="DG28" s="3">
        <f>$H28*factors!DA$3</f>
        <v>0.8734933934400001</v>
      </c>
      <c r="DH28" s="3">
        <f>$H28*factors!DB$3</f>
        <v>0.8734933934400001</v>
      </c>
      <c r="DI28" s="3">
        <f>$H28*factors!DC$3</f>
        <v>0.84062928556799998</v>
      </c>
      <c r="DJ28" s="3">
        <f>$H28*factors!DD$3</f>
        <v>0.89079029232000007</v>
      </c>
      <c r="DK28" s="3">
        <f>$H28*factors!DE$3</f>
        <v>0.89079029232000007</v>
      </c>
      <c r="DL28" s="3">
        <f>$H28*factors!DF$3</f>
        <v>0.88041215299200004</v>
      </c>
      <c r="DM28" s="3">
        <f>$H28*factors!DG$3</f>
        <v>0.82938630129599999</v>
      </c>
      <c r="DN28" s="3">
        <f>$H28*factors!DH$3</f>
        <v>0.87003401366400013</v>
      </c>
      <c r="DO28" s="3">
        <f>$H28*factors!DI$3</f>
        <v>0.89857389681599997</v>
      </c>
      <c r="DP28" s="3">
        <f>$H28*factors!DJ$3</f>
        <v>0.89079029232000007</v>
      </c>
      <c r="DQ28" s="3">
        <f>$H28*factors!DK$3</f>
        <v>0.84927773500799997</v>
      </c>
      <c r="DR28" s="3">
        <f>$H28*factors!DL$3</f>
        <v>0.83976444062400013</v>
      </c>
      <c r="DS28" s="3">
        <f>$H28*factors!DM$3</f>
        <v>0.90722234625600007</v>
      </c>
      <c r="DT28" s="3">
        <f>$H28*factors!DN$3</f>
        <v>0.85273711478400005</v>
      </c>
      <c r="DU28" s="3">
        <f>$H28*factors!DO$3</f>
        <v>0.892519982208</v>
      </c>
      <c r="DV28" s="3">
        <f>$H28*factors!DP$3</f>
        <v>0.87176370355200006</v>
      </c>
      <c r="DW28" s="3">
        <f>$H28*factors!DQ$3</f>
        <v>0.831980836128</v>
      </c>
      <c r="DX28" s="3">
        <f>$H28*factors!DR$3</f>
        <v>0.88127699793600001</v>
      </c>
      <c r="DY28" s="3">
        <f>$H28*factors!DS$3</f>
        <v>0.83630506084799994</v>
      </c>
      <c r="DZ28" s="3">
        <f>$H28*factors!DT$3</f>
        <v>0.89424967209600004</v>
      </c>
      <c r="EA28" s="3">
        <f>$H28*factors!DU$3</f>
        <v>0.84235897545599991</v>
      </c>
      <c r="EB28" s="3">
        <f>$H28*factors!DV$3</f>
        <v>0.82160269679999998</v>
      </c>
      <c r="EC28" s="3">
        <f>$H28*factors!DW$3</f>
        <v>0.88387153276800001</v>
      </c>
      <c r="ED28" s="3">
        <f>$H28*factors!DX$3</f>
        <v>0.82938630129599999</v>
      </c>
      <c r="EE28" s="3">
        <f>$H28*factors!DY$3</f>
        <v>0.83630506084799994</v>
      </c>
      <c r="EF28" s="3">
        <f>$H28*factors!DZ$3</f>
        <v>0.90722234625600007</v>
      </c>
      <c r="EG28" s="3">
        <f>$H28*factors!EA$3</f>
        <v>0.84754804512000004</v>
      </c>
      <c r="EH28" s="3">
        <f>$H28*factors!EB$3</f>
        <v>0.85014257995200004</v>
      </c>
      <c r="EI28" s="3">
        <f>$H28*factors!EC$3</f>
        <v>0.84841289006400011</v>
      </c>
      <c r="EJ28" s="3">
        <f>$H28*factors!ED$3</f>
        <v>0.8267917664640001</v>
      </c>
      <c r="EK28" s="3">
        <f>$H28*factors!EE$3</f>
        <v>0.88387153276800001</v>
      </c>
      <c r="EL28" s="3">
        <f>$H28*factors!EF$3</f>
        <v>0.84062928556799998</v>
      </c>
      <c r="EM28" s="3">
        <f>$H28*factors!EG$3</f>
        <v>0.87435823838399995</v>
      </c>
      <c r="EN28" s="3">
        <f>$H28*factors!EH$3</f>
        <v>0.82160269679999998</v>
      </c>
      <c r="EO28" s="3">
        <f>$H28*factors!EI$3</f>
        <v>0.83371052601599993</v>
      </c>
      <c r="EP28" s="3">
        <f>$H28*factors!EJ$3</f>
        <v>0.87954730804800008</v>
      </c>
      <c r="EQ28" s="3">
        <f>$H28*factors!EK$3</f>
        <v>0.85533164961599994</v>
      </c>
      <c r="ER28" s="3">
        <f>$H28*factors!EL$3</f>
        <v>0.89079029232000007</v>
      </c>
      <c r="ES28" s="3">
        <f>$H28*factors!EM$3</f>
        <v>0.87954730804800008</v>
      </c>
      <c r="ET28" s="3">
        <f>$H28*factors!EN$3</f>
        <v>0.89943874176000005</v>
      </c>
      <c r="EU28" s="3">
        <f>$H28*factors!EO$3</f>
        <v>0.90808719120000003</v>
      </c>
      <c r="EV28" s="3">
        <f>$H28*factors!EP$3</f>
        <v>0.85100742489600001</v>
      </c>
      <c r="EW28" s="3">
        <f>$H28*factors!EQ$3</f>
        <v>0.93601447584999997</v>
      </c>
      <c r="EX28" s="3">
        <f>$H28*factors!ER$3</f>
        <v>0.92610479420000014</v>
      </c>
      <c r="EY28" s="3">
        <f>$H28*factors!ES$3</f>
        <v>0.94502327734999991</v>
      </c>
      <c r="EZ28" s="3">
        <f>$H28*factors!ET$3</f>
        <v>0.93601447584999997</v>
      </c>
      <c r="FA28" s="3">
        <f>$H28*factors!EU$3</f>
        <v>0.86034054324999998</v>
      </c>
      <c r="FB28" s="3">
        <f>$H28*factors!EV$3</f>
        <v>0.89907838970000009</v>
      </c>
      <c r="FC28" s="3">
        <f>$H28*factors!EW$3</f>
        <v>0.92430303390000002</v>
      </c>
      <c r="FD28" s="3">
        <f>$H28*factors!EX$3</f>
        <v>0.89187134850000016</v>
      </c>
      <c r="FE28" s="3">
        <f>$H28*factors!EY$3</f>
        <v>0.9396179964500001</v>
      </c>
      <c r="FF28" s="3">
        <f>$H28*factors!EZ$3</f>
        <v>0.94051887660000022</v>
      </c>
      <c r="FG28" s="3">
        <f>$H28*factors!FA$3</f>
        <v>0.86034054324999998</v>
      </c>
      <c r="FH28" s="3">
        <f>$H28*factors!FB$3</f>
        <v>0.90538455075000002</v>
      </c>
      <c r="FI28" s="3">
        <f>$H28*factors!FC$3</f>
        <v>0.94322151705000001</v>
      </c>
      <c r="FJ28" s="3">
        <f>$H28*factors!FD$3</f>
        <v>0.90538455075000002</v>
      </c>
      <c r="FK28" s="3">
        <f>$H28*factors!FE$3</f>
        <v>0.92069951330000011</v>
      </c>
      <c r="FL28" s="3">
        <f>$H28*factors!FF$3</f>
        <v>0.92340215375000012</v>
      </c>
      <c r="FM28" s="3">
        <f>$H28*factors!FG$3</f>
        <v>0.93331183540000007</v>
      </c>
      <c r="FN28" s="3">
        <f>$H28*factors!FH$3</f>
        <v>0.87295286535000005</v>
      </c>
      <c r="FO28" s="3">
        <f>$H28*factors!FI$3</f>
        <v>0.92700567435000003</v>
      </c>
      <c r="FP28" s="3">
        <f>$H28*factors!FJ$3</f>
        <v>0.9008801500000001</v>
      </c>
      <c r="FQ28" s="3">
        <f>$H28*factors!FK$3</f>
        <v>0.89187134850000016</v>
      </c>
      <c r="FR28" s="3">
        <f>$H28*factors!FL$3</f>
        <v>0.90988895150000004</v>
      </c>
      <c r="FS28" s="3">
        <f>$H28*factors!FM$3</f>
        <v>0.90448367060000001</v>
      </c>
      <c r="FT28" s="3">
        <f>$H28*factors!FN$3</f>
        <v>0.92430303390000002</v>
      </c>
      <c r="FU28" s="3">
        <f>$H28*factors!FO$3</f>
        <v>0.88826782790000003</v>
      </c>
      <c r="FV28" s="3">
        <f>$H28*factors!FP$3</f>
        <v>0.88106078669999999</v>
      </c>
      <c r="FW28" s="3">
        <f>$H28*factors!FQ$3</f>
        <v>0.94322151705000001</v>
      </c>
      <c r="FX28" s="3">
        <f>$H28*factors!FR$3</f>
        <v>0.92610479420000014</v>
      </c>
      <c r="FY28" s="3">
        <f>$H28*factors!FS$3</f>
        <v>0.90718631104999992</v>
      </c>
      <c r="FZ28" s="3">
        <f>$H28*factors!FT$3</f>
        <v>0.8621423035500001</v>
      </c>
      <c r="GA28" s="3">
        <f>$H28*factors!FU$3</f>
        <v>0.90718631104999992</v>
      </c>
      <c r="GB28" s="3">
        <f>$H28*factors!FV$3</f>
        <v>0.94051887660000022</v>
      </c>
      <c r="GC28" s="3">
        <f>$H28*factors!FW$3</f>
        <v>0.88106078669999999</v>
      </c>
      <c r="GD28" s="3">
        <f>$H28*factors!FX$3</f>
        <v>0.89637574924999996</v>
      </c>
      <c r="GE28" s="3">
        <f>$H28*factors!FY$3</f>
        <v>0.89637574924999996</v>
      </c>
      <c r="GF28" s="3">
        <f>$H28*factors!FZ$3</f>
        <v>0.89367310880000006</v>
      </c>
      <c r="GG28" s="3">
        <f>$H28*factors!GA$3</f>
        <v>0.85853878294999997</v>
      </c>
      <c r="GH28" s="3">
        <f>$H28*factors!GB$3</f>
        <v>0.91349247210000017</v>
      </c>
      <c r="GI28" s="3">
        <f>$H28*factors!GC$3</f>
        <v>0.85673702265000007</v>
      </c>
      <c r="GJ28" s="3">
        <f>$H28*factors!GD$3</f>
        <v>0.85853878294999997</v>
      </c>
      <c r="GK28" s="3">
        <f>$H28*factors!GE$3</f>
        <v>0.88015990654999998</v>
      </c>
      <c r="GL28" s="3">
        <f>$H28*factors!GF$3</f>
        <v>0.93241095525000006</v>
      </c>
      <c r="GM28" s="3">
        <f>$H28*factors!GG$3</f>
        <v>0.88376342715000011</v>
      </c>
      <c r="GN28" s="3">
        <f>$H28*factors!GH$3</f>
        <v>0.91169071180000016</v>
      </c>
      <c r="GO28" s="3">
        <f>$H28*factors!GI$3</f>
        <v>0.86124142339999998</v>
      </c>
      <c r="GP28" s="3">
        <f>$H28*factors!GJ$3</f>
        <v>0.92340215375000012</v>
      </c>
      <c r="GQ28" s="3">
        <f>$H28*factors!GK$3</f>
        <v>0.94232063690000012</v>
      </c>
      <c r="GR28" s="3">
        <f>$H28*factors!GL$3</f>
        <v>0.92430303390000002</v>
      </c>
      <c r="GS28" s="3">
        <f>$H28*factors!GM$3</f>
        <v>0.874105991942</v>
      </c>
      <c r="GT28" s="3">
        <f>$H28*factors!GN$3</f>
        <v>0.8942424650548001</v>
      </c>
      <c r="GU28" s="3">
        <f>$H28*factors!GO$3</f>
        <v>0.91529423240000007</v>
      </c>
      <c r="GV28" s="3">
        <f>$H28*factors!GP$3</f>
        <v>0.87868246310400011</v>
      </c>
      <c r="GW28" s="3">
        <f>$H28*factors!GQ$3</f>
        <v>0.90980246700560008</v>
      </c>
      <c r="GX28" s="3">
        <f>$H28*factors!GR$3</f>
        <v>0.89515775928719998</v>
      </c>
      <c r="GY28" s="3">
        <f>$H28*factors!GS$3</f>
        <v>0.8905812881252001</v>
      </c>
      <c r="GZ28" s="3">
        <f>$H28*factors!GT$3</f>
        <v>0.92353188049159995</v>
      </c>
      <c r="HA28" s="3">
        <f>$H28*factors!GU$3</f>
        <v>0.8933271708224001</v>
      </c>
      <c r="HB28" s="3">
        <f>$H28*factors!GV$3</f>
        <v>0.92353188049159995</v>
      </c>
      <c r="HC28" s="3">
        <f>$H28*factors!GW$3</f>
        <v>0.90064952468159998</v>
      </c>
      <c r="HD28" s="3">
        <f>$H28*factors!GX$3</f>
        <v>0.92719305742119995</v>
      </c>
      <c r="HE28" s="3">
        <f>$H28*factors!GY$3</f>
        <v>0.91529423240000007</v>
      </c>
      <c r="HF28" s="3">
        <f>$H28*factors!GZ$3</f>
        <v>0.94366835360440005</v>
      </c>
      <c r="HG28" s="3">
        <f>$H28*factors!HA$3</f>
        <v>0.90705658430840008</v>
      </c>
      <c r="HH28" s="3">
        <f>$H28*factors!HB$3</f>
        <v>0.89515775928719998</v>
      </c>
      <c r="HI28" s="3">
        <f>$H28*factors!HC$3</f>
        <v>0.88417422849840011</v>
      </c>
      <c r="HJ28" s="3">
        <f>$H28*factors!HD$3</f>
        <v>0.874105991942</v>
      </c>
      <c r="HK28" s="3">
        <f>$H28*factors!HE$3</f>
        <v>0.92444717472400006</v>
      </c>
      <c r="HL28" s="3">
        <f>$H28*factors!HF$3</f>
        <v>0.87136010924480001</v>
      </c>
      <c r="HM28" s="3">
        <f>$H28*factors!HG$3</f>
        <v>0.88051305156880011</v>
      </c>
      <c r="HN28" s="3">
        <f>$H28*factors!HH$3</f>
        <v>0.93909188244240016</v>
      </c>
      <c r="HO28" s="3">
        <f>$H28*factors!HI$3</f>
        <v>0.90064952468159998</v>
      </c>
      <c r="HP28" s="3">
        <f>$H28*factors!HJ$3</f>
        <v>0.96105894402000014</v>
      </c>
      <c r="HQ28" s="3">
        <f>$H28*factors!HK$3</f>
        <v>0.87868246310400011</v>
      </c>
      <c r="HR28" s="3">
        <f>$H28*factors!HL$3</f>
        <v>0.93176952858320017</v>
      </c>
      <c r="HS28" s="3">
        <f>$H28*factors!HM$3</f>
        <v>0.94824482476640004</v>
      </c>
      <c r="HT28" s="3">
        <f>$H28*factors!HN$3</f>
        <v>0.88417422849840011</v>
      </c>
      <c r="HU28" s="3">
        <f>$H28*factors!HO$3</f>
        <v>0.8933271708224001</v>
      </c>
      <c r="HV28" s="3">
        <f>$H28*factors!HP$3</f>
        <v>0.9043107016112002</v>
      </c>
      <c r="HW28" s="3">
        <f>$H28*factors!HQ$3</f>
        <v>0.91712482086480007</v>
      </c>
      <c r="HX28" s="3">
        <f>$H28*factors!HR$3</f>
        <v>0.95465188439319992</v>
      </c>
      <c r="HY28" s="3">
        <f>$H28*factors!HS$3</f>
        <v>0.90705658430840008</v>
      </c>
      <c r="HZ28" s="3">
        <f>$H28*factors!HT$3</f>
        <v>0.94183776513960005</v>
      </c>
      <c r="IA28" s="3">
        <f>$H28*factors!HU$3</f>
        <v>0.89607305351960009</v>
      </c>
      <c r="IB28" s="3">
        <f>$H28*factors!HV$3</f>
        <v>0.92719305742119995</v>
      </c>
      <c r="IC28" s="3">
        <f>$H28*factors!HW$3</f>
        <v>0.93634599974520005</v>
      </c>
      <c r="ID28" s="3">
        <f>$H28*factors!HX$3</f>
        <v>0.86952952078000001</v>
      </c>
      <c r="IE28" s="3">
        <f>$H28*factors!HY$3</f>
        <v>0.92353188049159995</v>
      </c>
      <c r="IF28" s="3">
        <f>$H28*factors!HZ$3</f>
        <v>0.91804011509719996</v>
      </c>
      <c r="IG28" s="3">
        <f>$H28*factors!IA$3</f>
        <v>0.90980246700560008</v>
      </c>
      <c r="IH28" s="3">
        <f>$H28*factors!IB$3</f>
        <v>0.94366835360440005</v>
      </c>
      <c r="II28" s="3">
        <f>$H28*factors!IC$3</f>
        <v>0.90339540737880009</v>
      </c>
      <c r="IJ28" s="3">
        <f>$H28*factors!ID$3</f>
        <v>0.91163305547040008</v>
      </c>
      <c r="IK28" s="3">
        <f>$H28*factors!IE$3</f>
        <v>0.94458364783680004</v>
      </c>
      <c r="IL28" s="3">
        <f>$H28*factors!IF$3</f>
        <v>0.9043107016112002</v>
      </c>
      <c r="IM28" s="3">
        <f>$H28*factors!IG$3</f>
        <v>0.89607305351960009</v>
      </c>
      <c r="IN28" s="3">
        <f>$H28*factors!IH$3</f>
        <v>0.90156481891400009</v>
      </c>
      <c r="IO28" s="3">
        <f>$H28*factors!II$3</f>
        <v>0.91071776123800008</v>
      </c>
      <c r="IP28" s="3">
        <f>$H28*factors!IJ$3</f>
        <v>0.88051305156880011</v>
      </c>
      <c r="IQ28" s="3">
        <f>$H28*factors!IK$3</f>
        <v>0.8777671688716</v>
      </c>
      <c r="IR28" s="3">
        <f>$H28*factors!IL$3</f>
        <v>0.90339540737880009</v>
      </c>
      <c r="IS28" s="3">
        <f>$H28*factors!IM$3</f>
        <v>0.91071776123800008</v>
      </c>
      <c r="IT28" s="3">
        <f>$H28*factors!IN$3</f>
        <v>0.91712482086480007</v>
      </c>
      <c r="IU28" s="3">
        <f>$H28*factors!IO$3</f>
        <v>0.93726129397760016</v>
      </c>
      <c r="IV28" s="3">
        <f>$H28*factors!IP$3</f>
        <v>0.94916011899880004</v>
      </c>
      <c r="IW28" s="3">
        <f>$H28*factors!IQ$3</f>
        <v>0.89698834775199998</v>
      </c>
      <c r="IX28" s="3">
        <f>$H28*factors!IR$3</f>
        <v>0.93726129397760016</v>
      </c>
      <c r="IY28" s="3">
        <f>$H28*factors!IS$3</f>
        <v>0.92353188049159995</v>
      </c>
      <c r="IZ28" s="3">
        <f>$H28*factors!IT$3</f>
        <v>0.93909188244240016</v>
      </c>
      <c r="JA28" s="3">
        <f>$H28*factors!IU$3</f>
        <v>0.88692011119559999</v>
      </c>
      <c r="JB28" s="3">
        <f>$H28*factors!IV$3</f>
        <v>0.90339540737880009</v>
      </c>
      <c r="JC28" s="3">
        <f>$H28*factors!IW$3</f>
        <v>0.88234364003360011</v>
      </c>
      <c r="JD28" s="3">
        <f>$H28*factors!IX$3</f>
        <v>0.96105894402000014</v>
      </c>
      <c r="JE28" s="3">
        <f>$H28*factors!IY$3</f>
        <v>0.88508952273079999</v>
      </c>
      <c r="JF28" s="3">
        <f>$H28*factors!IZ$3</f>
        <v>0.92902364588599995</v>
      </c>
      <c r="JG28" s="3">
        <f>$H28*factors!JA$3</f>
        <v>0.91254834970280008</v>
      </c>
      <c r="JH28" s="3">
        <f>$H28*factors!JB$3</f>
        <v>0.92993894011840017</v>
      </c>
      <c r="JI28" s="3">
        <f>$H28*factors!JC$3</f>
        <v>0.87044481501240012</v>
      </c>
      <c r="JJ28" s="3">
        <f>$H28*factors!JD$3</f>
        <v>0.93726129397760016</v>
      </c>
      <c r="JK28" s="3">
        <f>$H28*factors!JE$3</f>
        <v>0.90705658430840008</v>
      </c>
      <c r="JL28" s="3">
        <f>$H28*factors!JF$3</f>
        <v>0.94366835360440005</v>
      </c>
      <c r="JM28" s="3">
        <f>$H28*factors!JG$3</f>
        <v>0.88051305156880011</v>
      </c>
      <c r="JN28" s="3">
        <f>$H28*factors!JH$3</f>
        <v>0.88051305156880011</v>
      </c>
      <c r="JO28" s="3">
        <f>$H28*factors!JI$3</f>
        <v>0.86952952078000001</v>
      </c>
      <c r="JP28" s="3">
        <f>$H28*factors!JJ$3</f>
        <v>0.94000717667480005</v>
      </c>
      <c r="JQ28" s="3">
        <f>$H28*factors!JK$3</f>
        <v>0.91620952663239996</v>
      </c>
      <c r="JR28" s="3">
        <f>$H28*factors!JL$3</f>
        <v>0.95190600169600004</v>
      </c>
      <c r="JS28" s="3">
        <f>$H28*factors!JM$3</f>
        <v>0.86952952078000001</v>
      </c>
      <c r="JT28" s="3">
        <f>$H28*factors!JN$3</f>
        <v>0.91346364393520008</v>
      </c>
      <c r="JU28" s="3">
        <f>$H28*factors!JO$3</f>
        <v>0.883258934266</v>
      </c>
      <c r="JV28" s="3">
        <f>$H28*factors!JP$3</f>
        <v>0.89790364198440009</v>
      </c>
      <c r="JW28" s="3">
        <f>$H28*factors!JQ$3</f>
        <v>0.95922835555520014</v>
      </c>
      <c r="JX28" s="3">
        <f>$H28*factors!JR$3</f>
        <v>0.95007541323120004</v>
      </c>
      <c r="JY28" s="3">
        <f>$H28*factors!JS$3</f>
        <v>0.8942424650548001</v>
      </c>
      <c r="JZ28" s="3">
        <f>$H28*factors!JT$3</f>
        <v>0.9043107016112002</v>
      </c>
      <c r="KA28" s="3">
        <f>$H28*factors!JU$3</f>
        <v>0.90797187854080008</v>
      </c>
      <c r="KB28" s="3">
        <f>$H28*factors!JV$3</f>
        <v>0.8777671688716</v>
      </c>
      <c r="KC28" s="3">
        <f>$H28*factors!JW$3</f>
        <v>0.88234364003360011</v>
      </c>
      <c r="KD28" s="3">
        <f>$H28*factors!JX$3</f>
        <v>0.883258934266</v>
      </c>
      <c r="KE28" s="3">
        <f>$H28*factors!JY$3</f>
        <v>0.94000717667480005</v>
      </c>
      <c r="KF28" s="3">
        <f>$H28*factors!JZ$3</f>
        <v>0.95099070746360004</v>
      </c>
      <c r="KG28" s="3">
        <f>$H28*factors!KA$3</f>
        <v>0.91712482086480007</v>
      </c>
      <c r="KH28" s="3">
        <f>$H28*factors!KB$3</f>
        <v>0.89698834775199998</v>
      </c>
      <c r="KI28" s="3">
        <f>$H28*factors!KC$3</f>
        <v>0.88875069966039999</v>
      </c>
    </row>
    <row r="29" spans="1:295" x14ac:dyDescent="0.55000000000000004">
      <c r="A29" t="s">
        <v>405</v>
      </c>
      <c r="B29">
        <v>28</v>
      </c>
      <c r="C29">
        <v>500</v>
      </c>
      <c r="D29" t="s">
        <v>377</v>
      </c>
      <c r="E29">
        <v>5.6039999999999996E-3</v>
      </c>
      <c r="F29">
        <v>28</v>
      </c>
      <c r="G29">
        <f>VLOOKUP(D29,demand_forecasted!$A$2:$G$11,2)</f>
        <v>11098</v>
      </c>
      <c r="H29" s="3">
        <f t="shared" si="1"/>
        <v>0.62193191999999997</v>
      </c>
      <c r="I29" s="3">
        <f>$H29*factors!C$3</f>
        <v>0.68847863543999999</v>
      </c>
      <c r="J29" s="3">
        <f>$H29*factors!D$3</f>
        <v>0.66362623591679992</v>
      </c>
      <c r="K29" s="3">
        <f>$H29*factors!E$3</f>
        <v>0.65220756586560003</v>
      </c>
      <c r="L29" s="3">
        <f>$H29*factors!F$3</f>
        <v>0.65019250644480009</v>
      </c>
      <c r="M29" s="3">
        <f>$H29*factors!G$3</f>
        <v>0.64952081997119993</v>
      </c>
      <c r="N29" s="3">
        <f>$H29*factors!H$3</f>
        <v>0.66832804123199996</v>
      </c>
      <c r="O29" s="3">
        <f>$H29*factors!I$3</f>
        <v>0.68310514365120001</v>
      </c>
      <c r="P29" s="3">
        <f>$H29*factors!J$3</f>
        <v>0.69116538133439998</v>
      </c>
      <c r="Q29" s="3">
        <f>$H29*factors!K$3</f>
        <v>0.64884913349759998</v>
      </c>
      <c r="R29" s="3">
        <f>$H29*factors!L$3</f>
        <v>0.63810214992000003</v>
      </c>
      <c r="S29" s="3">
        <f>$H29*factors!M$3</f>
        <v>0.66429792239039998</v>
      </c>
      <c r="T29" s="3">
        <f>$H29*factors!N$3</f>
        <v>0.68713526249279999</v>
      </c>
      <c r="U29" s="3">
        <f>$H29*factors!O$3</f>
        <v>0.65086419291840003</v>
      </c>
      <c r="V29" s="3">
        <f>$H29*factors!P$3</f>
        <v>0.67705996538879998</v>
      </c>
      <c r="W29" s="3">
        <f>$H29*factors!Q$3</f>
        <v>0.68310514365120001</v>
      </c>
      <c r="X29" s="3">
        <f>$H29*factors!R$3</f>
        <v>0.65355093881280002</v>
      </c>
      <c r="Y29" s="3">
        <f>$H29*factors!S$3</f>
        <v>0.64750576055039999</v>
      </c>
      <c r="Z29" s="3">
        <f>$H29*factors!T$3</f>
        <v>0.69855393254400011</v>
      </c>
      <c r="AA29" s="3">
        <f>$H29*factors!U$3</f>
        <v>0.65959611707519994</v>
      </c>
      <c r="AB29" s="3">
        <f>$H29*factors!V$3</f>
        <v>0.6602678035488001</v>
      </c>
      <c r="AC29" s="3">
        <f>$H29*factors!W$3</f>
        <v>0.66093949002240004</v>
      </c>
      <c r="AD29" s="3">
        <f>$H29*factors!X$3</f>
        <v>0.64683407407680005</v>
      </c>
      <c r="AE29" s="3">
        <f>$H29*factors!Y$3</f>
        <v>0.65220756586560003</v>
      </c>
      <c r="AF29" s="3">
        <f>$H29*factors!Z$3</f>
        <v>0.66564129533760008</v>
      </c>
      <c r="AG29" s="3">
        <f>$H29*factors!AA$3</f>
        <v>0.64884913349759998</v>
      </c>
      <c r="AH29" s="3">
        <f>$H29*factors!AB$3</f>
        <v>0.64616238760319999</v>
      </c>
      <c r="AI29" s="3">
        <f>$H29*factors!AC$3</f>
        <v>0.66698466828479996</v>
      </c>
      <c r="AJ29" s="3">
        <f>$H29*factors!AD$3</f>
        <v>0.69250875428159997</v>
      </c>
      <c r="AK29" s="3">
        <f>$H29*factors!AE$3</f>
        <v>0.66631298181120002</v>
      </c>
      <c r="AL29" s="3">
        <f>$H29*factors!AF$3</f>
        <v>0.64011720934079996</v>
      </c>
      <c r="AM29" s="3">
        <f>$H29*factors!AG$3</f>
        <v>0.65825274412799994</v>
      </c>
      <c r="AN29" s="3">
        <f>$H29*factors!AH$3</f>
        <v>0.64750576055039999</v>
      </c>
      <c r="AO29" s="3">
        <f>$H29*factors!AI$3</f>
        <v>0.67840333833599997</v>
      </c>
      <c r="AP29" s="3">
        <f>$H29*factors!AJ$3</f>
        <v>0.65019250644480009</v>
      </c>
      <c r="AQ29" s="3">
        <f>$H29*factors!AK$3</f>
        <v>0.67101478712640006</v>
      </c>
      <c r="AR29" s="3">
        <f>$H29*factors!AL$3</f>
        <v>0.65623768470720001</v>
      </c>
      <c r="AS29" s="3">
        <f>$H29*factors!AM$3</f>
        <v>0.64011720934079996</v>
      </c>
      <c r="AT29" s="3">
        <f>$H29*factors!AN$3</f>
        <v>0.6602678035488001</v>
      </c>
      <c r="AU29" s="3">
        <f>$H29*factors!AO$3</f>
        <v>0.69922561901759994</v>
      </c>
      <c r="AV29" s="3">
        <f>$H29*factors!AP$3</f>
        <v>0.66093949002240004</v>
      </c>
      <c r="AW29" s="3">
        <f>$H29*factors!AQ$3</f>
        <v>0.65422262528639996</v>
      </c>
      <c r="AX29" s="3">
        <f>$H29*factors!AR$3</f>
        <v>0.69183706780800003</v>
      </c>
      <c r="AY29" s="3">
        <f>$H29*factors!AS$3</f>
        <v>0.63810214992000003</v>
      </c>
      <c r="AZ29" s="3">
        <f>$H29*factors!AT$3</f>
        <v>0.68377683012480006</v>
      </c>
      <c r="BA29" s="3">
        <f>$H29*factors!AU$3</f>
        <v>0.6689997277055999</v>
      </c>
      <c r="BB29" s="3">
        <f>$H29*factors!AV$3</f>
        <v>0.6602678035488001</v>
      </c>
      <c r="BC29" s="3">
        <f>$H29*factors!AW$3</f>
        <v>0.69855393254400011</v>
      </c>
      <c r="BD29" s="3">
        <f>$H29*factors!AX$3</f>
        <v>0.64481901465599989</v>
      </c>
      <c r="BE29" s="3">
        <f>$H29*factors!AY$3</f>
        <v>0.75809769456479992</v>
      </c>
      <c r="BF29" s="3">
        <f>$H29*factors!AZ$3</f>
        <v>0.70599223830719993</v>
      </c>
      <c r="BG29" s="3">
        <f>$H29*factors!BA$3</f>
        <v>0.71626655362559988</v>
      </c>
      <c r="BH29" s="3">
        <f>$H29*factors!BB$3</f>
        <v>0.72580698927839993</v>
      </c>
      <c r="BI29" s="3">
        <f>$H29*factors!BC$3</f>
        <v>0.75222665723999982</v>
      </c>
      <c r="BJ29" s="3">
        <f>$H29*factors!BD$3</f>
        <v>0.71846819262239991</v>
      </c>
      <c r="BK29" s="3">
        <f>$H29*factors!BE$3</f>
        <v>0.71993595195359983</v>
      </c>
      <c r="BL29" s="3">
        <f>$H29*factors!BF$3</f>
        <v>0.71186327563199991</v>
      </c>
      <c r="BM29" s="3">
        <f>$H29*factors!BG$3</f>
        <v>0.76029933356159995</v>
      </c>
      <c r="BN29" s="3">
        <f>$H29*factors!BH$3</f>
        <v>0.7507588979087999</v>
      </c>
      <c r="BO29" s="3">
        <f>$H29*factors!BI$3</f>
        <v>0.70599223830719993</v>
      </c>
      <c r="BP29" s="3">
        <f>$H29*factors!BJ$3</f>
        <v>0.70379059931039989</v>
      </c>
      <c r="BQ29" s="3">
        <f>$H29*factors!BK$3</f>
        <v>0.71553267395999987</v>
      </c>
      <c r="BR29" s="3">
        <f>$H29*factors!BL$3</f>
        <v>0.74121846225599997</v>
      </c>
      <c r="BS29" s="3">
        <f>$H29*factors!BM$3</f>
        <v>0.75296053690559994</v>
      </c>
      <c r="BT29" s="3">
        <f>$H29*factors!BN$3</f>
        <v>0.75516217590239987</v>
      </c>
      <c r="BU29" s="3">
        <f>$H29*factors!BO$3</f>
        <v>0.76763813021759997</v>
      </c>
      <c r="BV29" s="3">
        <f>$H29*factors!BP$3</f>
        <v>0.71406491462879995</v>
      </c>
      <c r="BW29" s="3">
        <f>$H29*factors!BQ$3</f>
        <v>0.73021026727199989</v>
      </c>
      <c r="BX29" s="3">
        <f>$H29*factors!BR$3</f>
        <v>0.71626655362559988</v>
      </c>
      <c r="BY29" s="3">
        <f>$H29*factors!BS$3</f>
        <v>0.74929113857759977</v>
      </c>
      <c r="BZ29" s="3">
        <f>$H29*factors!BT$3</f>
        <v>0.73534742493119987</v>
      </c>
      <c r="CA29" s="3">
        <f>$H29*factors!BU$3</f>
        <v>0.72580698927839993</v>
      </c>
      <c r="CB29" s="3">
        <f>$H29*factors!BV$3</f>
        <v>0.70232283997919998</v>
      </c>
      <c r="CC29" s="3">
        <f>$H29*factors!BW$3</f>
        <v>0.72287147061599988</v>
      </c>
      <c r="CD29" s="3">
        <f>$H29*factors!BX$3</f>
        <v>0.72507310961279992</v>
      </c>
      <c r="CE29" s="3">
        <f>$H29*factors!BY$3</f>
        <v>0.73534742493119987</v>
      </c>
      <c r="CF29" s="3">
        <f>$H29*factors!BZ$3</f>
        <v>0.72433922994720001</v>
      </c>
      <c r="CG29" s="3">
        <f>$H29*factors!CA$3</f>
        <v>0.70012120098239983</v>
      </c>
      <c r="CH29" s="3">
        <f>$H29*factors!CB$3</f>
        <v>0.70085508064799984</v>
      </c>
      <c r="CI29" s="3">
        <f>$H29*factors!CC$3</f>
        <v>0.69718568232</v>
      </c>
      <c r="CJ29" s="3">
        <f>$H29*factors!CD$3</f>
        <v>0.72580698927839993</v>
      </c>
      <c r="CK29" s="3">
        <f>$H29*factors!CE$3</f>
        <v>0.75809769456479992</v>
      </c>
      <c r="CL29" s="3">
        <f>$H29*factors!CF$3</f>
        <v>0.71039551630079989</v>
      </c>
      <c r="CM29" s="3">
        <f>$H29*factors!CG$3</f>
        <v>0.72727474860959984</v>
      </c>
      <c r="CN29" s="3">
        <f>$H29*factors!CH$3</f>
        <v>0.70305671964479988</v>
      </c>
      <c r="CO29" s="3">
        <f>$H29*factors!CI$3</f>
        <v>0.70819387730399985</v>
      </c>
      <c r="CP29" s="3">
        <f>$H29*factors!CJ$3</f>
        <v>0.74195234192159976</v>
      </c>
      <c r="CQ29" s="3">
        <f>$H29*factors!CK$3</f>
        <v>0.71993595195359983</v>
      </c>
      <c r="CR29" s="3">
        <f>$H29*factors!CL$3</f>
        <v>0.74268622158719988</v>
      </c>
      <c r="CS29" s="3">
        <f>$H29*factors!CM$3</f>
        <v>0.76617037088639994</v>
      </c>
      <c r="CT29" s="3">
        <f>$H29*factors!CN$3</f>
        <v>0.75736381489919991</v>
      </c>
      <c r="CU29" s="3">
        <f>$H29*factors!CO$3</f>
        <v>0.74048458259039984</v>
      </c>
      <c r="CV29" s="3">
        <f>$H29*factors!CP$3</f>
        <v>0.77057364887999991</v>
      </c>
      <c r="CW29" s="3">
        <f>$H29*factors!CQ$3</f>
        <v>0.72874250794079998</v>
      </c>
      <c r="CX29" s="3">
        <f>$H29*factors!CR$3</f>
        <v>0.7177343129567999</v>
      </c>
      <c r="CY29" s="3">
        <f>$H29*factors!CS$3</f>
        <v>0.7111293959663999</v>
      </c>
      <c r="CZ29" s="3">
        <f>$H29*factors!CT$3</f>
        <v>0.70085508064799984</v>
      </c>
      <c r="DA29" s="3">
        <f>$H29*factors!CU$3</f>
        <v>0.72766034639999988</v>
      </c>
      <c r="DB29" s="3">
        <f>$H29*factors!CV$3</f>
        <v>0.77467839955200002</v>
      </c>
      <c r="DC29" s="3">
        <f>$H29*factors!CW$3</f>
        <v>0.7418403941759999</v>
      </c>
      <c r="DD29" s="3">
        <f>$H29*factors!CX$3</f>
        <v>0.73661616604799995</v>
      </c>
      <c r="DE29" s="3">
        <f>$H29*factors!CY$3</f>
        <v>0.75825939686400001</v>
      </c>
      <c r="DF29" s="3">
        <f>$H29*factors!CZ$3</f>
        <v>0.75676676025599987</v>
      </c>
      <c r="DG29" s="3">
        <f>$H29*factors!DA$3</f>
        <v>0.75378148703999992</v>
      </c>
      <c r="DH29" s="3">
        <f>$H29*factors!DB$3</f>
        <v>0.75378148703999992</v>
      </c>
      <c r="DI29" s="3">
        <f>$H29*factors!DC$3</f>
        <v>0.72542139148799989</v>
      </c>
      <c r="DJ29" s="3">
        <f>$H29*factors!DD$3</f>
        <v>0.76870785312000001</v>
      </c>
      <c r="DK29" s="3">
        <f>$H29*factors!DE$3</f>
        <v>0.76870785312000001</v>
      </c>
      <c r="DL29" s="3">
        <f>$H29*factors!DF$3</f>
        <v>0.75975203347199993</v>
      </c>
      <c r="DM29" s="3">
        <f>$H29*factors!DG$3</f>
        <v>0.71571925353599986</v>
      </c>
      <c r="DN29" s="3">
        <f>$H29*factors!DH$3</f>
        <v>0.75079621382399997</v>
      </c>
      <c r="DO29" s="3">
        <f>$H29*factors!DI$3</f>
        <v>0.77542471785599987</v>
      </c>
      <c r="DP29" s="3">
        <f>$H29*factors!DJ$3</f>
        <v>0.76870785312000001</v>
      </c>
      <c r="DQ29" s="3">
        <f>$H29*factors!DK$3</f>
        <v>0.73288457452799993</v>
      </c>
      <c r="DR29" s="3">
        <f>$H29*factors!DL$3</f>
        <v>0.72467507318399993</v>
      </c>
      <c r="DS29" s="3">
        <f>$H29*factors!DM$3</f>
        <v>0.78288790089599991</v>
      </c>
      <c r="DT29" s="3">
        <f>$H29*factors!DN$3</f>
        <v>0.73586984774399999</v>
      </c>
      <c r="DU29" s="3">
        <f>$H29*factors!DO$3</f>
        <v>0.77020048972799993</v>
      </c>
      <c r="DV29" s="3">
        <f>$H29*factors!DP$3</f>
        <v>0.752288850432</v>
      </c>
      <c r="DW29" s="3">
        <f>$H29*factors!DQ$3</f>
        <v>0.71795820844799985</v>
      </c>
      <c r="DX29" s="3">
        <f>$H29*factors!DR$3</f>
        <v>0.76049835177599989</v>
      </c>
      <c r="DY29" s="3">
        <f>$H29*factors!DS$3</f>
        <v>0.72168979996799987</v>
      </c>
      <c r="DZ29" s="3">
        <f>$H29*factors!DT$3</f>
        <v>0.77169312633599996</v>
      </c>
      <c r="EA29" s="3">
        <f>$H29*factors!DU$3</f>
        <v>0.72691402809599992</v>
      </c>
      <c r="EB29" s="3">
        <f>$H29*factors!DV$3</f>
        <v>0.70900238879999988</v>
      </c>
      <c r="EC29" s="3">
        <f>$H29*factors!DW$3</f>
        <v>0.76273730668799988</v>
      </c>
      <c r="ED29" s="3">
        <f>$H29*factors!DX$3</f>
        <v>0.71571925353599986</v>
      </c>
      <c r="EE29" s="3">
        <f>$H29*factors!DY$3</f>
        <v>0.72168979996799987</v>
      </c>
      <c r="EF29" s="3">
        <f>$H29*factors!DZ$3</f>
        <v>0.78288790089599991</v>
      </c>
      <c r="EG29" s="3">
        <f>$H29*factors!EA$3</f>
        <v>0.7313919379199999</v>
      </c>
      <c r="EH29" s="3">
        <f>$H29*factors!EB$3</f>
        <v>0.733630892832</v>
      </c>
      <c r="EI29" s="3">
        <f>$H29*factors!EC$3</f>
        <v>0.73213825622399997</v>
      </c>
      <c r="EJ29" s="3">
        <f>$H29*factors!ED$3</f>
        <v>0.71348029862399998</v>
      </c>
      <c r="EK29" s="3">
        <f>$H29*factors!EE$3</f>
        <v>0.76273730668799988</v>
      </c>
      <c r="EL29" s="3">
        <f>$H29*factors!EF$3</f>
        <v>0.72542139148799989</v>
      </c>
      <c r="EM29" s="3">
        <f>$H29*factors!EG$3</f>
        <v>0.75452780534399988</v>
      </c>
      <c r="EN29" s="3">
        <f>$H29*factors!EH$3</f>
        <v>0.70900238879999988</v>
      </c>
      <c r="EO29" s="3">
        <f>$H29*factors!EI$3</f>
        <v>0.71945084505599988</v>
      </c>
      <c r="EP29" s="3">
        <f>$H29*factors!EJ$3</f>
        <v>0.75900571516799997</v>
      </c>
      <c r="EQ29" s="3">
        <f>$H29*factors!EK$3</f>
        <v>0.73810880265599987</v>
      </c>
      <c r="ER29" s="3">
        <f>$H29*factors!EL$3</f>
        <v>0.76870785312000001</v>
      </c>
      <c r="ES29" s="3">
        <f>$H29*factors!EM$3</f>
        <v>0.75900571516799997</v>
      </c>
      <c r="ET29" s="3">
        <f>$H29*factors!EN$3</f>
        <v>0.77617103615999994</v>
      </c>
      <c r="EU29" s="3">
        <f>$H29*factors!EO$3</f>
        <v>0.78363421919999998</v>
      </c>
      <c r="EV29" s="3">
        <f>$H29*factors!EP$3</f>
        <v>0.73437721113599985</v>
      </c>
      <c r="EW29" s="3">
        <f>$H29*factors!EQ$3</f>
        <v>0.80773408109999989</v>
      </c>
      <c r="EX29" s="3">
        <f>$H29*factors!ER$3</f>
        <v>0.7991825172</v>
      </c>
      <c r="EY29" s="3">
        <f>$H29*factors!ES$3</f>
        <v>0.81550823009999984</v>
      </c>
      <c r="EZ29" s="3">
        <f>$H29*factors!ET$3</f>
        <v>0.80773408109999989</v>
      </c>
      <c r="FA29" s="3">
        <f>$H29*factors!EU$3</f>
        <v>0.74243122949999985</v>
      </c>
      <c r="FB29" s="3">
        <f>$H29*factors!EV$3</f>
        <v>0.77586007020000003</v>
      </c>
      <c r="FC29" s="3">
        <f>$H29*factors!EW$3</f>
        <v>0.7976276873999999</v>
      </c>
      <c r="FD29" s="3">
        <f>$H29*factors!EX$3</f>
        <v>0.76964075099999996</v>
      </c>
      <c r="FE29" s="3">
        <f>$H29*factors!EY$3</f>
        <v>0.81084374069999998</v>
      </c>
      <c r="FF29" s="3">
        <f>$H29*factors!EZ$3</f>
        <v>0.81162115560000003</v>
      </c>
      <c r="FG29" s="3">
        <f>$H29*factors!FA$3</f>
        <v>0.74243122949999985</v>
      </c>
      <c r="FH29" s="3">
        <f>$H29*factors!FB$3</f>
        <v>0.78130197449999983</v>
      </c>
      <c r="FI29" s="3">
        <f>$H29*factors!FC$3</f>
        <v>0.81395340029999985</v>
      </c>
      <c r="FJ29" s="3">
        <f>$H29*factors!FD$3</f>
        <v>0.78130197449999983</v>
      </c>
      <c r="FK29" s="3">
        <f>$H29*factors!FE$3</f>
        <v>0.79451802780000003</v>
      </c>
      <c r="FL29" s="3">
        <f>$H29*factors!FF$3</f>
        <v>0.79685027249999996</v>
      </c>
      <c r="FM29" s="3">
        <f>$H29*factors!FG$3</f>
        <v>0.80540183639999996</v>
      </c>
      <c r="FN29" s="3">
        <f>$H29*factors!FH$3</f>
        <v>0.75331503809999989</v>
      </c>
      <c r="FO29" s="3">
        <f>$H29*factors!FI$3</f>
        <v>0.79995993209999994</v>
      </c>
      <c r="FP29" s="3">
        <f>$H29*factors!FJ$3</f>
        <v>0.77741489999999991</v>
      </c>
      <c r="FQ29" s="3">
        <f>$H29*factors!FK$3</f>
        <v>0.76964075099999996</v>
      </c>
      <c r="FR29" s="3">
        <f>$H29*factors!FL$3</f>
        <v>0.78518904899999997</v>
      </c>
      <c r="FS29" s="3">
        <f>$H29*factors!FM$3</f>
        <v>0.78052455959999989</v>
      </c>
      <c r="FT29" s="3">
        <f>$H29*factors!FN$3</f>
        <v>0.7976276873999999</v>
      </c>
      <c r="FU29" s="3">
        <f>$H29*factors!FO$3</f>
        <v>0.76653109139999998</v>
      </c>
      <c r="FV29" s="3">
        <f>$H29*factors!FP$3</f>
        <v>0.7603117721999999</v>
      </c>
      <c r="FW29" s="3">
        <f>$H29*factors!FQ$3</f>
        <v>0.81395340029999985</v>
      </c>
      <c r="FX29" s="3">
        <f>$H29*factors!FR$3</f>
        <v>0.7991825172</v>
      </c>
      <c r="FY29" s="3">
        <f>$H29*factors!FS$3</f>
        <v>0.78285680429999982</v>
      </c>
      <c r="FZ29" s="3">
        <f>$H29*factors!FT$3</f>
        <v>0.74398605929999995</v>
      </c>
      <c r="GA29" s="3">
        <f>$H29*factors!FU$3</f>
        <v>0.78285680429999982</v>
      </c>
      <c r="GB29" s="3">
        <f>$H29*factors!FV$3</f>
        <v>0.81162115560000003</v>
      </c>
      <c r="GC29" s="3">
        <f>$H29*factors!FW$3</f>
        <v>0.7603117721999999</v>
      </c>
      <c r="GD29" s="3">
        <f>$H29*factors!FX$3</f>
        <v>0.77352782549999988</v>
      </c>
      <c r="GE29" s="3">
        <f>$H29*factors!FY$3</f>
        <v>0.77352782549999988</v>
      </c>
      <c r="GF29" s="3">
        <f>$H29*factors!FZ$3</f>
        <v>0.77119558079999995</v>
      </c>
      <c r="GG29" s="3">
        <f>$H29*factors!GA$3</f>
        <v>0.74087639969999997</v>
      </c>
      <c r="GH29" s="3">
        <f>$H29*factors!GB$3</f>
        <v>0.78829870859999995</v>
      </c>
      <c r="GI29" s="3">
        <f>$H29*factors!GC$3</f>
        <v>0.73932156989999998</v>
      </c>
      <c r="GJ29" s="3">
        <f>$H29*factors!GD$3</f>
        <v>0.74087639969999997</v>
      </c>
      <c r="GK29" s="3">
        <f>$H29*factors!GE$3</f>
        <v>0.75953435729999996</v>
      </c>
      <c r="GL29" s="3">
        <f>$H29*factors!GF$3</f>
        <v>0.80462442149999991</v>
      </c>
      <c r="GM29" s="3">
        <f>$H29*factors!GG$3</f>
        <v>0.76264401690000005</v>
      </c>
      <c r="GN29" s="3">
        <f>$H29*factors!GH$3</f>
        <v>0.78674387880000007</v>
      </c>
      <c r="GO29" s="3">
        <f>$H29*factors!GI$3</f>
        <v>0.7432086443999999</v>
      </c>
      <c r="GP29" s="3">
        <f>$H29*factors!GJ$3</f>
        <v>0.79685027249999996</v>
      </c>
      <c r="GQ29" s="3">
        <f>$H29*factors!GK$3</f>
        <v>0.81317598540000002</v>
      </c>
      <c r="GR29" s="3">
        <f>$H29*factors!GL$3</f>
        <v>0.7976276873999999</v>
      </c>
      <c r="GS29" s="3">
        <f>$H29*factors!GM$3</f>
        <v>0.75431012917199991</v>
      </c>
      <c r="GT29" s="3">
        <f>$H29*factors!GN$3</f>
        <v>0.77168690701679998</v>
      </c>
      <c r="GU29" s="3">
        <f>$H29*factors!GO$3</f>
        <v>0.78985353839999994</v>
      </c>
      <c r="GV29" s="3">
        <f>$H29*factors!GP$3</f>
        <v>0.75825939686400001</v>
      </c>
      <c r="GW29" s="3">
        <f>$H29*factors!GQ$3</f>
        <v>0.78511441716959995</v>
      </c>
      <c r="GX29" s="3">
        <f>$H29*factors!GR$3</f>
        <v>0.77247676055519998</v>
      </c>
      <c r="GY29" s="3">
        <f>$H29*factors!GS$3</f>
        <v>0.76852749286319999</v>
      </c>
      <c r="GZ29" s="3">
        <f>$H29*factors!GT$3</f>
        <v>0.79696222024559982</v>
      </c>
      <c r="HA29" s="3">
        <f>$H29*factors!GU$3</f>
        <v>0.77089705347839999</v>
      </c>
      <c r="HB29" s="3">
        <f>$H29*factors!GV$3</f>
        <v>0.79696222024559982</v>
      </c>
      <c r="HC29" s="3">
        <f>$H29*factors!GW$3</f>
        <v>0.77721588178559986</v>
      </c>
      <c r="HD29" s="3">
        <f>$H29*factors!GX$3</f>
        <v>0.80012163439919981</v>
      </c>
      <c r="HE29" s="3">
        <f>$H29*factors!GY$3</f>
        <v>0.78985353839999994</v>
      </c>
      <c r="HF29" s="3">
        <f>$H29*factors!GZ$3</f>
        <v>0.81433899809039989</v>
      </c>
      <c r="HG29" s="3">
        <f>$H29*factors!HA$3</f>
        <v>0.78274485655439996</v>
      </c>
      <c r="HH29" s="3">
        <f>$H29*factors!HB$3</f>
        <v>0.77247676055519998</v>
      </c>
      <c r="HI29" s="3">
        <f>$H29*factors!HC$3</f>
        <v>0.7629985180944</v>
      </c>
      <c r="HJ29" s="3">
        <f>$H29*factors!HD$3</f>
        <v>0.75431012917199991</v>
      </c>
      <c r="HK29" s="3">
        <f>$H29*factors!HE$3</f>
        <v>0.79775207378399993</v>
      </c>
      <c r="HL29" s="3">
        <f>$H29*factors!HF$3</f>
        <v>0.75194056855679992</v>
      </c>
      <c r="HM29" s="3">
        <f>$H29*factors!HG$3</f>
        <v>0.75983910394080001</v>
      </c>
      <c r="HN29" s="3">
        <f>$H29*factors!HH$3</f>
        <v>0.81038973039840001</v>
      </c>
      <c r="HO29" s="3">
        <f>$H29*factors!HI$3</f>
        <v>0.77721588178559986</v>
      </c>
      <c r="HP29" s="3">
        <f>$H29*factors!HJ$3</f>
        <v>0.82934621532000008</v>
      </c>
      <c r="HQ29" s="3">
        <f>$H29*factors!HK$3</f>
        <v>0.75825939686400001</v>
      </c>
      <c r="HR29" s="3">
        <f>$H29*factors!HL$3</f>
        <v>0.80407090209120002</v>
      </c>
      <c r="HS29" s="3">
        <f>$H29*factors!HM$3</f>
        <v>0.81828826578239999</v>
      </c>
      <c r="HT29" s="3">
        <f>$H29*factors!HN$3</f>
        <v>0.7629985180944</v>
      </c>
      <c r="HU29" s="3">
        <f>$H29*factors!HO$3</f>
        <v>0.77089705347839999</v>
      </c>
      <c r="HV29" s="3">
        <f>$H29*factors!HP$3</f>
        <v>0.78037529593920008</v>
      </c>
      <c r="HW29" s="3">
        <f>$H29*factors!HQ$3</f>
        <v>0.79143324547679994</v>
      </c>
      <c r="HX29" s="3">
        <f>$H29*factors!HR$3</f>
        <v>0.82381724055119987</v>
      </c>
      <c r="HY29" s="3">
        <f>$H29*factors!HS$3</f>
        <v>0.78274485655439996</v>
      </c>
      <c r="HZ29" s="3">
        <f>$H29*factors!HT$3</f>
        <v>0.81275929101359989</v>
      </c>
      <c r="IA29" s="3">
        <f>$H29*factors!HU$3</f>
        <v>0.77326661409359998</v>
      </c>
      <c r="IB29" s="3">
        <f>$H29*factors!HV$3</f>
        <v>0.80012163439919981</v>
      </c>
      <c r="IC29" s="3">
        <f>$H29*factors!HW$3</f>
        <v>0.8080201697831999</v>
      </c>
      <c r="ID29" s="3">
        <f>$H29*factors!HX$3</f>
        <v>0.75036086147999992</v>
      </c>
      <c r="IE29" s="3">
        <f>$H29*factors!HY$3</f>
        <v>0.79696222024559982</v>
      </c>
      <c r="IF29" s="3">
        <f>$H29*factors!HZ$3</f>
        <v>0.79222309901519994</v>
      </c>
      <c r="IG29" s="3">
        <f>$H29*factors!IA$3</f>
        <v>0.78511441716959995</v>
      </c>
      <c r="IH29" s="3">
        <f>$H29*factors!IB$3</f>
        <v>0.81433899809039989</v>
      </c>
      <c r="II29" s="3">
        <f>$H29*factors!IC$3</f>
        <v>0.77958544240079997</v>
      </c>
      <c r="IJ29" s="3">
        <f>$H29*factors!ID$3</f>
        <v>0.78669412424639995</v>
      </c>
      <c r="IK29" s="3">
        <f>$H29*factors!IE$3</f>
        <v>0.8151288516288</v>
      </c>
      <c r="IL29" s="3">
        <f>$H29*factors!IF$3</f>
        <v>0.78037529593920008</v>
      </c>
      <c r="IM29" s="3">
        <f>$H29*factors!IG$3</f>
        <v>0.77326661409359998</v>
      </c>
      <c r="IN29" s="3">
        <f>$H29*factors!IH$3</f>
        <v>0.77800573532399997</v>
      </c>
      <c r="IO29" s="3">
        <f>$H29*factors!II$3</f>
        <v>0.78590427070799995</v>
      </c>
      <c r="IP29" s="3">
        <f>$H29*factors!IJ$3</f>
        <v>0.75983910394080001</v>
      </c>
      <c r="IQ29" s="3">
        <f>$H29*factors!IK$3</f>
        <v>0.7574695433255999</v>
      </c>
      <c r="IR29" s="3">
        <f>$H29*factors!IL$3</f>
        <v>0.77958544240079997</v>
      </c>
      <c r="IS29" s="3">
        <f>$H29*factors!IM$3</f>
        <v>0.78590427070799995</v>
      </c>
      <c r="IT29" s="3">
        <f>$H29*factors!IN$3</f>
        <v>0.79143324547679994</v>
      </c>
      <c r="IU29" s="3">
        <f>$H29*factors!IO$3</f>
        <v>0.80881002332160001</v>
      </c>
      <c r="IV29" s="3">
        <f>$H29*factors!IP$3</f>
        <v>0.81907811932079988</v>
      </c>
      <c r="IW29" s="3">
        <f>$H29*factors!IQ$3</f>
        <v>0.77405646763199987</v>
      </c>
      <c r="IX29" s="3">
        <f>$H29*factors!IR$3</f>
        <v>0.80881002332160001</v>
      </c>
      <c r="IY29" s="3">
        <f>$H29*factors!IS$3</f>
        <v>0.79696222024559982</v>
      </c>
      <c r="IZ29" s="3">
        <f>$H29*factors!IT$3</f>
        <v>0.81038973039840001</v>
      </c>
      <c r="JA29" s="3">
        <f>$H29*factors!IU$3</f>
        <v>0.76536807870959989</v>
      </c>
      <c r="JB29" s="3">
        <f>$H29*factors!IV$3</f>
        <v>0.77958544240079997</v>
      </c>
      <c r="JC29" s="3">
        <f>$H29*factors!IW$3</f>
        <v>0.76141881101760001</v>
      </c>
      <c r="JD29" s="3">
        <f>$H29*factors!IX$3</f>
        <v>0.82934621532000008</v>
      </c>
      <c r="JE29" s="3">
        <f>$H29*factors!IY$3</f>
        <v>0.76378837163279989</v>
      </c>
      <c r="JF29" s="3">
        <f>$H29*factors!IZ$3</f>
        <v>0.80170134147599981</v>
      </c>
      <c r="JG29" s="3">
        <f>$H29*factors!JA$3</f>
        <v>0.78748397778479995</v>
      </c>
      <c r="JH29" s="3">
        <f>$H29*factors!JB$3</f>
        <v>0.80249119501440003</v>
      </c>
      <c r="JI29" s="3">
        <f>$H29*factors!JC$3</f>
        <v>0.75115071501839992</v>
      </c>
      <c r="JJ29" s="3">
        <f>$H29*factors!JD$3</f>
        <v>0.80881002332160001</v>
      </c>
      <c r="JK29" s="3">
        <f>$H29*factors!JE$3</f>
        <v>0.78274485655439996</v>
      </c>
      <c r="JL29" s="3">
        <f>$H29*factors!JF$3</f>
        <v>0.81433899809039989</v>
      </c>
      <c r="JM29" s="3">
        <f>$H29*factors!JG$3</f>
        <v>0.75983910394080001</v>
      </c>
      <c r="JN29" s="3">
        <f>$H29*factors!JH$3</f>
        <v>0.75983910394080001</v>
      </c>
      <c r="JO29" s="3">
        <f>$H29*factors!JI$3</f>
        <v>0.75036086147999992</v>
      </c>
      <c r="JP29" s="3">
        <f>$H29*factors!JJ$3</f>
        <v>0.8111795839367999</v>
      </c>
      <c r="JQ29" s="3">
        <f>$H29*factors!JK$3</f>
        <v>0.79064339193839994</v>
      </c>
      <c r="JR29" s="3">
        <f>$H29*factors!JL$3</f>
        <v>0.82144767993599999</v>
      </c>
      <c r="JS29" s="3">
        <f>$H29*factors!JM$3</f>
        <v>0.75036086147999992</v>
      </c>
      <c r="JT29" s="3">
        <f>$H29*factors!JN$3</f>
        <v>0.78827383132319995</v>
      </c>
      <c r="JU29" s="3">
        <f>$H29*factors!JO$3</f>
        <v>0.76220866455599989</v>
      </c>
      <c r="JV29" s="3">
        <f>$H29*factors!JP$3</f>
        <v>0.77484632117039998</v>
      </c>
      <c r="JW29" s="3">
        <f>$H29*factors!JQ$3</f>
        <v>0.82776650824320008</v>
      </c>
      <c r="JX29" s="3">
        <f>$H29*factors!JR$3</f>
        <v>0.81986797285919999</v>
      </c>
      <c r="JY29" s="3">
        <f>$H29*factors!JS$3</f>
        <v>0.77168690701679998</v>
      </c>
      <c r="JZ29" s="3">
        <f>$H29*factors!JT$3</f>
        <v>0.78037529593920008</v>
      </c>
      <c r="KA29" s="3">
        <f>$H29*factors!JU$3</f>
        <v>0.78353471009279996</v>
      </c>
      <c r="KB29" s="3">
        <f>$H29*factors!JV$3</f>
        <v>0.7574695433255999</v>
      </c>
      <c r="KC29" s="3">
        <f>$H29*factors!JW$3</f>
        <v>0.76141881101760001</v>
      </c>
      <c r="KD29" s="3">
        <f>$H29*factors!JX$3</f>
        <v>0.76220866455599989</v>
      </c>
      <c r="KE29" s="3">
        <f>$H29*factors!JY$3</f>
        <v>0.8111795839367999</v>
      </c>
      <c r="KF29" s="3">
        <f>$H29*factors!JZ$3</f>
        <v>0.82065782639759988</v>
      </c>
      <c r="KG29" s="3">
        <f>$H29*factors!KA$3</f>
        <v>0.79143324547679994</v>
      </c>
      <c r="KH29" s="3">
        <f>$H29*factors!KB$3</f>
        <v>0.77405646763199987</v>
      </c>
      <c r="KI29" s="3">
        <f>$H29*factors!KC$3</f>
        <v>0.76694778578639988</v>
      </c>
    </row>
    <row r="30" spans="1:295" x14ac:dyDescent="0.55000000000000004">
      <c r="A30" t="s">
        <v>406</v>
      </c>
      <c r="B30">
        <v>29</v>
      </c>
      <c r="C30">
        <v>230</v>
      </c>
      <c r="D30" t="s">
        <v>377</v>
      </c>
      <c r="E30">
        <v>3.0869999999999999E-3</v>
      </c>
      <c r="F30">
        <v>29</v>
      </c>
      <c r="G30">
        <f>VLOOKUP(D30,demand_forecasted!$A$2:$G$11,2)</f>
        <v>11098</v>
      </c>
      <c r="H30" s="3">
        <f t="shared" si="1"/>
        <v>0.34259526000000001</v>
      </c>
      <c r="I30" s="3">
        <f>$H30*factors!C$3</f>
        <v>0.37925295281999999</v>
      </c>
      <c r="J30" s="3">
        <f>$H30*factors!D$3</f>
        <v>0.36556284623040003</v>
      </c>
      <c r="K30" s="3">
        <f>$H30*factors!E$3</f>
        <v>0.35927279725680006</v>
      </c>
      <c r="L30" s="3">
        <f>$H30*factors!F$3</f>
        <v>0.35816278861440004</v>
      </c>
      <c r="M30" s="3">
        <f>$H30*factors!G$3</f>
        <v>0.35779278573360002</v>
      </c>
      <c r="N30" s="3">
        <f>$H30*factors!H$3</f>
        <v>0.36815286639600003</v>
      </c>
      <c r="O30" s="3">
        <f>$H30*factors!I$3</f>
        <v>0.37629292977360002</v>
      </c>
      <c r="P30" s="3">
        <f>$H30*factors!J$3</f>
        <v>0.38073296434320003</v>
      </c>
      <c r="Q30" s="3">
        <f>$H30*factors!K$3</f>
        <v>0.35742278285279999</v>
      </c>
      <c r="R30" s="3">
        <f>$H30*factors!L$3</f>
        <v>0.35150273676000005</v>
      </c>
      <c r="S30" s="3">
        <f>$H30*factors!M$3</f>
        <v>0.3659328491112</v>
      </c>
      <c r="T30" s="3">
        <f>$H30*factors!N$3</f>
        <v>0.37851294705840005</v>
      </c>
      <c r="U30" s="3">
        <f>$H30*factors!O$3</f>
        <v>0.35853279149520006</v>
      </c>
      <c r="V30" s="3">
        <f>$H30*factors!P$3</f>
        <v>0.37296290384640002</v>
      </c>
      <c r="W30" s="3">
        <f>$H30*factors!Q$3</f>
        <v>0.37629292977360002</v>
      </c>
      <c r="X30" s="3">
        <f>$H30*factors!R$3</f>
        <v>0.3600128030184</v>
      </c>
      <c r="Y30" s="3">
        <f>$H30*factors!S$3</f>
        <v>0.35668277709120005</v>
      </c>
      <c r="Z30" s="3">
        <f>$H30*factors!T$3</f>
        <v>0.38480299603200008</v>
      </c>
      <c r="AA30" s="3">
        <f>$H30*factors!U$3</f>
        <v>0.36334282894559999</v>
      </c>
      <c r="AB30" s="3">
        <f>$H30*factors!V$3</f>
        <v>0.36371283182640007</v>
      </c>
      <c r="AC30" s="3">
        <f>$H30*factors!W$3</f>
        <v>0.36408283470720004</v>
      </c>
      <c r="AD30" s="3">
        <f>$H30*factors!X$3</f>
        <v>0.35631277421040003</v>
      </c>
      <c r="AE30" s="3">
        <f>$H30*factors!Y$3</f>
        <v>0.35927279725680006</v>
      </c>
      <c r="AF30" s="3">
        <f>$H30*factors!Z$3</f>
        <v>0.36667285487280005</v>
      </c>
      <c r="AG30" s="3">
        <f>$H30*factors!AA$3</f>
        <v>0.35742278285279999</v>
      </c>
      <c r="AH30" s="3">
        <f>$H30*factors!AB$3</f>
        <v>0.35594277132960006</v>
      </c>
      <c r="AI30" s="3">
        <f>$H30*factors!AC$3</f>
        <v>0.36741286063440004</v>
      </c>
      <c r="AJ30" s="3">
        <f>$H30*factors!AD$3</f>
        <v>0.38147297010480002</v>
      </c>
      <c r="AK30" s="3">
        <f>$H30*factors!AE$3</f>
        <v>0.36704285775360007</v>
      </c>
      <c r="AL30" s="3">
        <f>$H30*factors!AF$3</f>
        <v>0.35261274540240001</v>
      </c>
      <c r="AM30" s="3">
        <f>$H30*factors!AG$3</f>
        <v>0.362602823184</v>
      </c>
      <c r="AN30" s="3">
        <f>$H30*factors!AH$3</f>
        <v>0.35668277709120005</v>
      </c>
      <c r="AO30" s="3">
        <f>$H30*factors!AI$3</f>
        <v>0.37370290960800001</v>
      </c>
      <c r="AP30" s="3">
        <f>$H30*factors!AJ$3</f>
        <v>0.35816278861440004</v>
      </c>
      <c r="AQ30" s="3">
        <f>$H30*factors!AK$3</f>
        <v>0.36963287791920008</v>
      </c>
      <c r="AR30" s="3">
        <f>$H30*factors!AL$3</f>
        <v>0.36149281454160004</v>
      </c>
      <c r="AS30" s="3">
        <f>$H30*factors!AM$3</f>
        <v>0.35261274540240001</v>
      </c>
      <c r="AT30" s="3">
        <f>$H30*factors!AN$3</f>
        <v>0.36371283182640007</v>
      </c>
      <c r="AU30" s="3">
        <f>$H30*factors!AO$3</f>
        <v>0.38517299891279999</v>
      </c>
      <c r="AV30" s="3">
        <f>$H30*factors!AP$3</f>
        <v>0.36408283470720004</v>
      </c>
      <c r="AW30" s="3">
        <f>$H30*factors!AQ$3</f>
        <v>0.36038280589920002</v>
      </c>
      <c r="AX30" s="3">
        <f>$H30*factors!AR$3</f>
        <v>0.38110296722400006</v>
      </c>
      <c r="AY30" s="3">
        <f>$H30*factors!AS$3</f>
        <v>0.35150273676000005</v>
      </c>
      <c r="AZ30" s="3">
        <f>$H30*factors!AT$3</f>
        <v>0.3766629326544001</v>
      </c>
      <c r="BA30" s="3">
        <f>$H30*factors!AU$3</f>
        <v>0.3685228692768</v>
      </c>
      <c r="BB30" s="3">
        <f>$H30*factors!AV$3</f>
        <v>0.36371283182640007</v>
      </c>
      <c r="BC30" s="3">
        <f>$H30*factors!AW$3</f>
        <v>0.38480299603200008</v>
      </c>
      <c r="BD30" s="3">
        <f>$H30*factors!AX$3</f>
        <v>0.35520276556800001</v>
      </c>
      <c r="BE30" s="3">
        <f>$H30*factors!AY$3</f>
        <v>0.41760306622439997</v>
      </c>
      <c r="BF30" s="3">
        <f>$H30*factors!AZ$3</f>
        <v>0.38890043534160001</v>
      </c>
      <c r="BG30" s="3">
        <f>$H30*factors!BA$3</f>
        <v>0.39456010903679994</v>
      </c>
      <c r="BH30" s="3">
        <f>$H30*factors!BB$3</f>
        <v>0.39981552032520001</v>
      </c>
      <c r="BI30" s="3">
        <f>$H30*factors!BC$3</f>
        <v>0.41436896696999992</v>
      </c>
      <c r="BJ30" s="3">
        <f>$H30*factors!BD$3</f>
        <v>0.39577289625719997</v>
      </c>
      <c r="BK30" s="3">
        <f>$H30*factors!BE$3</f>
        <v>0.39658142107079997</v>
      </c>
      <c r="BL30" s="3">
        <f>$H30*factors!BF$3</f>
        <v>0.39213453459599995</v>
      </c>
      <c r="BM30" s="3">
        <f>$H30*factors!BG$3</f>
        <v>0.41881585344480005</v>
      </c>
      <c r="BN30" s="3">
        <f>$H30*factors!BH$3</f>
        <v>0.41356044215639998</v>
      </c>
      <c r="BO30" s="3">
        <f>$H30*factors!BI$3</f>
        <v>0.38890043534160001</v>
      </c>
      <c r="BP30" s="3">
        <f>$H30*factors!BJ$3</f>
        <v>0.38768764812119993</v>
      </c>
      <c r="BQ30" s="3">
        <f>$H30*factors!BK$3</f>
        <v>0.39415584662999997</v>
      </c>
      <c r="BR30" s="3">
        <f>$H30*factors!BL$3</f>
        <v>0.40830503086800002</v>
      </c>
      <c r="BS30" s="3">
        <f>$H30*factors!BM$3</f>
        <v>0.4147732293768</v>
      </c>
      <c r="BT30" s="3">
        <f>$H30*factors!BN$3</f>
        <v>0.41598601659719997</v>
      </c>
      <c r="BU30" s="3">
        <f>$H30*factors!BO$3</f>
        <v>0.42285847751280004</v>
      </c>
      <c r="BV30" s="3">
        <f>$H30*factors!BP$3</f>
        <v>0.39334732181639998</v>
      </c>
      <c r="BW30" s="3">
        <f>$H30*factors!BQ$3</f>
        <v>0.40224109476600001</v>
      </c>
      <c r="BX30" s="3">
        <f>$H30*factors!BR$3</f>
        <v>0.39456010903679994</v>
      </c>
      <c r="BY30" s="3">
        <f>$H30*factors!BS$3</f>
        <v>0.41275191734279992</v>
      </c>
      <c r="BZ30" s="3">
        <f>$H30*factors!BT$3</f>
        <v>0.40507093161359997</v>
      </c>
      <c r="CA30" s="3">
        <f>$H30*factors!BU$3</f>
        <v>0.39981552032520001</v>
      </c>
      <c r="CB30" s="3">
        <f>$H30*factors!BV$3</f>
        <v>0.38687912330759999</v>
      </c>
      <c r="CC30" s="3">
        <f>$H30*factors!BW$3</f>
        <v>0.39819847069799996</v>
      </c>
      <c r="CD30" s="3">
        <f>$H30*factors!BX$3</f>
        <v>0.39941125791839999</v>
      </c>
      <c r="CE30" s="3">
        <f>$H30*factors!BY$3</f>
        <v>0.40507093161359997</v>
      </c>
      <c r="CF30" s="3">
        <f>$H30*factors!BZ$3</f>
        <v>0.39900699551160002</v>
      </c>
      <c r="CG30" s="3">
        <f>$H30*factors!CA$3</f>
        <v>0.38566633608719997</v>
      </c>
      <c r="CH30" s="3">
        <f>$H30*factors!CB$3</f>
        <v>0.38607059849399994</v>
      </c>
      <c r="CI30" s="3">
        <f>$H30*factors!CC$3</f>
        <v>0.38404928646000003</v>
      </c>
      <c r="CJ30" s="3">
        <f>$H30*factors!CD$3</f>
        <v>0.39981552032520001</v>
      </c>
      <c r="CK30" s="3">
        <f>$H30*factors!CE$3</f>
        <v>0.41760306622439997</v>
      </c>
      <c r="CL30" s="3">
        <f>$H30*factors!CF$3</f>
        <v>0.39132600978240001</v>
      </c>
      <c r="CM30" s="3">
        <f>$H30*factors!CG$3</f>
        <v>0.40062404513879996</v>
      </c>
      <c r="CN30" s="3">
        <f>$H30*factors!CH$3</f>
        <v>0.38728338571439996</v>
      </c>
      <c r="CO30" s="3">
        <f>$H30*factors!CI$3</f>
        <v>0.39011322256199993</v>
      </c>
      <c r="CP30" s="3">
        <f>$H30*factors!CJ$3</f>
        <v>0.40870929327479993</v>
      </c>
      <c r="CQ30" s="3">
        <f>$H30*factors!CK$3</f>
        <v>0.39658142107079997</v>
      </c>
      <c r="CR30" s="3">
        <f>$H30*factors!CL$3</f>
        <v>0.40911355568159996</v>
      </c>
      <c r="CS30" s="3">
        <f>$H30*factors!CM$3</f>
        <v>0.42204995269919998</v>
      </c>
      <c r="CT30" s="3">
        <f>$H30*factors!CN$3</f>
        <v>0.41719880381759999</v>
      </c>
      <c r="CU30" s="3">
        <f>$H30*factors!CO$3</f>
        <v>0.40790076846119994</v>
      </c>
      <c r="CV30" s="3">
        <f>$H30*factors!CP$3</f>
        <v>0.42447552713999998</v>
      </c>
      <c r="CW30" s="3">
        <f>$H30*factors!CQ$3</f>
        <v>0.40143256995240001</v>
      </c>
      <c r="CX30" s="3">
        <f>$H30*factors!CR$3</f>
        <v>0.3953686338504</v>
      </c>
      <c r="CY30" s="3">
        <f>$H30*factors!CS$3</f>
        <v>0.39173027218919998</v>
      </c>
      <c r="CZ30" s="3">
        <f>$H30*factors!CT$3</f>
        <v>0.38607059849399994</v>
      </c>
      <c r="DA30" s="3">
        <f>$H30*factors!CU$3</f>
        <v>0.40083645419999997</v>
      </c>
      <c r="DB30" s="3">
        <f>$H30*factors!CV$3</f>
        <v>0.42673665585600001</v>
      </c>
      <c r="DC30" s="3">
        <f>$H30*factors!CW$3</f>
        <v>0.40864762612799999</v>
      </c>
      <c r="DD30" s="3">
        <f>$H30*factors!CX$3</f>
        <v>0.40576982594399996</v>
      </c>
      <c r="DE30" s="3">
        <f>$H30*factors!CY$3</f>
        <v>0.41769214099200003</v>
      </c>
      <c r="DF30" s="3">
        <f>$H30*factors!CZ$3</f>
        <v>0.41686991236799997</v>
      </c>
      <c r="DG30" s="3">
        <f>$H30*factors!DA$3</f>
        <v>0.41522545512000003</v>
      </c>
      <c r="DH30" s="3">
        <f>$H30*factors!DB$3</f>
        <v>0.41522545512000003</v>
      </c>
      <c r="DI30" s="3">
        <f>$H30*factors!DC$3</f>
        <v>0.399603111264</v>
      </c>
      <c r="DJ30" s="3">
        <f>$H30*factors!DD$3</f>
        <v>0.42344774136000002</v>
      </c>
      <c r="DK30" s="3">
        <f>$H30*factors!DE$3</f>
        <v>0.42344774136000002</v>
      </c>
      <c r="DL30" s="3">
        <f>$H30*factors!DF$3</f>
        <v>0.41851436961600003</v>
      </c>
      <c r="DM30" s="3">
        <f>$H30*factors!DG$3</f>
        <v>0.39425862520799998</v>
      </c>
      <c r="DN30" s="3">
        <f>$H30*factors!DH$3</f>
        <v>0.41358099787200003</v>
      </c>
      <c r="DO30" s="3">
        <f>$H30*factors!DI$3</f>
        <v>0.42714777016799998</v>
      </c>
      <c r="DP30" s="3">
        <f>$H30*factors!DJ$3</f>
        <v>0.42344774136000002</v>
      </c>
      <c r="DQ30" s="3">
        <f>$H30*factors!DK$3</f>
        <v>0.40371425438399999</v>
      </c>
      <c r="DR30" s="3">
        <f>$H30*factors!DL$3</f>
        <v>0.39919199695200003</v>
      </c>
      <c r="DS30" s="3">
        <f>$H30*factors!DM$3</f>
        <v>0.43125891328799998</v>
      </c>
      <c r="DT30" s="3">
        <f>$H30*factors!DN$3</f>
        <v>0.40535871163200005</v>
      </c>
      <c r="DU30" s="3">
        <f>$H30*factors!DO$3</f>
        <v>0.42426996998400002</v>
      </c>
      <c r="DV30" s="3">
        <f>$H30*factors!DP$3</f>
        <v>0.41440322649600003</v>
      </c>
      <c r="DW30" s="3">
        <f>$H30*factors!DQ$3</f>
        <v>0.39549196814399995</v>
      </c>
      <c r="DX30" s="3">
        <f>$H30*factors!DR$3</f>
        <v>0.418925483928</v>
      </c>
      <c r="DY30" s="3">
        <f>$H30*factors!DS$3</f>
        <v>0.39754753970399997</v>
      </c>
      <c r="DZ30" s="3">
        <f>$H30*factors!DT$3</f>
        <v>0.42509219860799996</v>
      </c>
      <c r="EA30" s="3">
        <f>$H30*factors!DU$3</f>
        <v>0.40042533988799994</v>
      </c>
      <c r="EB30" s="3">
        <f>$H30*factors!DV$3</f>
        <v>0.39055859639999996</v>
      </c>
      <c r="EC30" s="3">
        <f>$H30*factors!DW$3</f>
        <v>0.42015882686399997</v>
      </c>
      <c r="ED30" s="3">
        <f>$H30*factors!DX$3</f>
        <v>0.39425862520799998</v>
      </c>
      <c r="EE30" s="3">
        <f>$H30*factors!DY$3</f>
        <v>0.39754753970399997</v>
      </c>
      <c r="EF30" s="3">
        <f>$H30*factors!DZ$3</f>
        <v>0.43125891328799998</v>
      </c>
      <c r="EG30" s="3">
        <f>$H30*factors!EA$3</f>
        <v>0.40289202575999999</v>
      </c>
      <c r="EH30" s="3">
        <f>$H30*factors!EB$3</f>
        <v>0.40412536869600002</v>
      </c>
      <c r="EI30" s="3">
        <f>$H30*factors!EC$3</f>
        <v>0.40330314007200002</v>
      </c>
      <c r="EJ30" s="3">
        <f>$H30*factors!ED$3</f>
        <v>0.39302528227200001</v>
      </c>
      <c r="EK30" s="3">
        <f>$H30*factors!EE$3</f>
        <v>0.42015882686399997</v>
      </c>
      <c r="EL30" s="3">
        <f>$H30*factors!EF$3</f>
        <v>0.399603111264</v>
      </c>
      <c r="EM30" s="3">
        <f>$H30*factors!EG$3</f>
        <v>0.41563656943199995</v>
      </c>
      <c r="EN30" s="3">
        <f>$H30*factors!EH$3</f>
        <v>0.39055859639999996</v>
      </c>
      <c r="EO30" s="3">
        <f>$H30*factors!EI$3</f>
        <v>0.39631419676799995</v>
      </c>
      <c r="EP30" s="3">
        <f>$H30*factors!EJ$3</f>
        <v>0.418103255304</v>
      </c>
      <c r="EQ30" s="3">
        <f>$H30*factors!EK$3</f>
        <v>0.40659205456799996</v>
      </c>
      <c r="ER30" s="3">
        <f>$H30*factors!EL$3</f>
        <v>0.42344774136000002</v>
      </c>
      <c r="ES30" s="3">
        <f>$H30*factors!EM$3</f>
        <v>0.418103255304</v>
      </c>
      <c r="ET30" s="3">
        <f>$H30*factors!EN$3</f>
        <v>0.42755888448000001</v>
      </c>
      <c r="EU30" s="3">
        <f>$H30*factors!EO$3</f>
        <v>0.43167002760000001</v>
      </c>
      <c r="EV30" s="3">
        <f>$H30*factors!EP$3</f>
        <v>0.40453648300799994</v>
      </c>
      <c r="EW30" s="3">
        <f>$H30*factors!EQ$3</f>
        <v>0.44494559392499994</v>
      </c>
      <c r="EX30" s="3">
        <f>$H30*factors!ER$3</f>
        <v>0.44023490910000007</v>
      </c>
      <c r="EY30" s="3">
        <f>$H30*factors!ES$3</f>
        <v>0.44922803467499994</v>
      </c>
      <c r="EZ30" s="3">
        <f>$H30*factors!ET$3</f>
        <v>0.44494559392499994</v>
      </c>
      <c r="FA30" s="3">
        <f>$H30*factors!EU$3</f>
        <v>0.40897309162499995</v>
      </c>
      <c r="FB30" s="3">
        <f>$H30*factors!EV$3</f>
        <v>0.42738758685000006</v>
      </c>
      <c r="FC30" s="3">
        <f>$H30*factors!EW$3</f>
        <v>0.43937842095000001</v>
      </c>
      <c r="FD30" s="3">
        <f>$H30*factors!EX$3</f>
        <v>0.42396163425000005</v>
      </c>
      <c r="FE30" s="3">
        <f>$H30*factors!EY$3</f>
        <v>0.446658570225</v>
      </c>
      <c r="FF30" s="3">
        <f>$H30*factors!EZ$3</f>
        <v>0.44708681430000008</v>
      </c>
      <c r="FG30" s="3">
        <f>$H30*factors!FA$3</f>
        <v>0.40897309162499995</v>
      </c>
      <c r="FH30" s="3">
        <f>$H30*factors!FB$3</f>
        <v>0.43038529537499998</v>
      </c>
      <c r="FI30" s="3">
        <f>$H30*factors!FC$3</f>
        <v>0.44837154652499994</v>
      </c>
      <c r="FJ30" s="3">
        <f>$H30*factors!FD$3</f>
        <v>0.43038529537499998</v>
      </c>
      <c r="FK30" s="3">
        <f>$H30*factors!FE$3</f>
        <v>0.43766544465000007</v>
      </c>
      <c r="FL30" s="3">
        <f>$H30*factors!FF$3</f>
        <v>0.43895017687500004</v>
      </c>
      <c r="FM30" s="3">
        <f>$H30*factors!FG$3</f>
        <v>0.44366086169999996</v>
      </c>
      <c r="FN30" s="3">
        <f>$H30*factors!FH$3</f>
        <v>0.41496850867500001</v>
      </c>
      <c r="FO30" s="3">
        <f>$H30*factors!FI$3</f>
        <v>0.44066315317499999</v>
      </c>
      <c r="FP30" s="3">
        <f>$H30*factors!FJ$3</f>
        <v>0.428244075</v>
      </c>
      <c r="FQ30" s="3">
        <f>$H30*factors!FK$3</f>
        <v>0.42396163425000005</v>
      </c>
      <c r="FR30" s="3">
        <f>$H30*factors!FL$3</f>
        <v>0.43252651575000001</v>
      </c>
      <c r="FS30" s="3">
        <f>$H30*factors!FM$3</f>
        <v>0.4299570513</v>
      </c>
      <c r="FT30" s="3">
        <f>$H30*factors!FN$3</f>
        <v>0.43937842095000001</v>
      </c>
      <c r="FU30" s="3">
        <f>$H30*factors!FO$3</f>
        <v>0.42224865794999999</v>
      </c>
      <c r="FV30" s="3">
        <f>$H30*factors!FP$3</f>
        <v>0.41882270534999999</v>
      </c>
      <c r="FW30" s="3">
        <f>$H30*factors!FQ$3</f>
        <v>0.44837154652499994</v>
      </c>
      <c r="FX30" s="3">
        <f>$H30*factors!FR$3</f>
        <v>0.44023490910000007</v>
      </c>
      <c r="FY30" s="3">
        <f>$H30*factors!FS$3</f>
        <v>0.43124178352499998</v>
      </c>
      <c r="FZ30" s="3">
        <f>$H30*factors!FT$3</f>
        <v>0.40982957977500001</v>
      </c>
      <c r="GA30" s="3">
        <f>$H30*factors!FU$3</f>
        <v>0.43124178352499998</v>
      </c>
      <c r="GB30" s="3">
        <f>$H30*factors!FV$3</f>
        <v>0.44708681430000008</v>
      </c>
      <c r="GC30" s="3">
        <f>$H30*factors!FW$3</f>
        <v>0.41882270534999999</v>
      </c>
      <c r="GD30" s="3">
        <f>$H30*factors!FX$3</f>
        <v>0.42610285462499997</v>
      </c>
      <c r="GE30" s="3">
        <f>$H30*factors!FY$3</f>
        <v>0.42610285462499997</v>
      </c>
      <c r="GF30" s="3">
        <f>$H30*factors!FZ$3</f>
        <v>0.4248181224</v>
      </c>
      <c r="GG30" s="3">
        <f>$H30*factors!GA$3</f>
        <v>0.40811660347500001</v>
      </c>
      <c r="GH30" s="3">
        <f>$H30*factors!GB$3</f>
        <v>0.43423949205000006</v>
      </c>
      <c r="GI30" s="3">
        <f>$H30*factors!GC$3</f>
        <v>0.40726011532500001</v>
      </c>
      <c r="GJ30" s="3">
        <f>$H30*factors!GD$3</f>
        <v>0.40811660347500001</v>
      </c>
      <c r="GK30" s="3">
        <f>$H30*factors!GE$3</f>
        <v>0.41839446127500002</v>
      </c>
      <c r="GL30" s="3">
        <f>$H30*factors!GF$3</f>
        <v>0.44323261762499999</v>
      </c>
      <c r="GM30" s="3">
        <f>$H30*factors!GG$3</f>
        <v>0.42010743757500002</v>
      </c>
      <c r="GN30" s="3">
        <f>$H30*factors!GH$3</f>
        <v>0.43338300390000006</v>
      </c>
      <c r="GO30" s="3">
        <f>$H30*factors!GI$3</f>
        <v>0.40940133569999998</v>
      </c>
      <c r="GP30" s="3">
        <f>$H30*factors!GJ$3</f>
        <v>0.43895017687500004</v>
      </c>
      <c r="GQ30" s="3">
        <f>$H30*factors!GK$3</f>
        <v>0.44794330245000008</v>
      </c>
      <c r="GR30" s="3">
        <f>$H30*factors!GL$3</f>
        <v>0.43937842095000001</v>
      </c>
      <c r="GS30" s="3">
        <f>$H30*factors!GM$3</f>
        <v>0.41551666109099999</v>
      </c>
      <c r="GT30" s="3">
        <f>$H30*factors!GN$3</f>
        <v>0.42508877265540002</v>
      </c>
      <c r="GU30" s="3">
        <f>$H30*factors!GO$3</f>
        <v>0.43509598020000001</v>
      </c>
      <c r="GV30" s="3">
        <f>$H30*factors!GP$3</f>
        <v>0.41769214099200003</v>
      </c>
      <c r="GW30" s="3">
        <f>$H30*factors!GQ$3</f>
        <v>0.43248540431880006</v>
      </c>
      <c r="GX30" s="3">
        <f>$H30*factors!GR$3</f>
        <v>0.42552386863559999</v>
      </c>
      <c r="GY30" s="3">
        <f>$H30*factors!GS$3</f>
        <v>0.42334838873460007</v>
      </c>
      <c r="GZ30" s="3">
        <f>$H30*factors!GT$3</f>
        <v>0.43901184402179999</v>
      </c>
      <c r="HA30" s="3">
        <f>$H30*factors!GU$3</f>
        <v>0.42465367667519999</v>
      </c>
      <c r="HB30" s="3">
        <f>$H30*factors!GV$3</f>
        <v>0.43901184402179999</v>
      </c>
      <c r="HC30" s="3">
        <f>$H30*factors!GW$3</f>
        <v>0.42813444451679999</v>
      </c>
      <c r="HD30" s="3">
        <f>$H30*factors!GX$3</f>
        <v>0.44075222794259994</v>
      </c>
      <c r="HE30" s="3">
        <f>$H30*factors!GY$3</f>
        <v>0.43509598020000001</v>
      </c>
      <c r="HF30" s="3">
        <f>$H30*factors!GZ$3</f>
        <v>0.44858395558620001</v>
      </c>
      <c r="HG30" s="3">
        <f>$H30*factors!HA$3</f>
        <v>0.43118011637820003</v>
      </c>
      <c r="HH30" s="3">
        <f>$H30*factors!HB$3</f>
        <v>0.42552386863559999</v>
      </c>
      <c r="HI30" s="3">
        <f>$H30*factors!HC$3</f>
        <v>0.42030271687320003</v>
      </c>
      <c r="HJ30" s="3">
        <f>$H30*factors!HD$3</f>
        <v>0.41551666109099999</v>
      </c>
      <c r="HK30" s="3">
        <f>$H30*factors!HE$3</f>
        <v>0.43944694000200002</v>
      </c>
      <c r="HL30" s="3">
        <f>$H30*factors!HF$3</f>
        <v>0.41421137315039996</v>
      </c>
      <c r="HM30" s="3">
        <f>$H30*factors!HG$3</f>
        <v>0.41856233295240003</v>
      </c>
      <c r="HN30" s="3">
        <f>$H30*factors!HH$3</f>
        <v>0.44640847568520003</v>
      </c>
      <c r="HO30" s="3">
        <f>$H30*factors!HI$3</f>
        <v>0.42813444451679999</v>
      </c>
      <c r="HP30" s="3">
        <f>$H30*factors!HJ$3</f>
        <v>0.45685077921000006</v>
      </c>
      <c r="HQ30" s="3">
        <f>$H30*factors!HK$3</f>
        <v>0.41769214099200003</v>
      </c>
      <c r="HR30" s="3">
        <f>$H30*factors!HL$3</f>
        <v>0.44292770784360008</v>
      </c>
      <c r="HS30" s="3">
        <f>$H30*factors!HM$3</f>
        <v>0.45075943548720004</v>
      </c>
      <c r="HT30" s="3">
        <f>$H30*factors!HN$3</f>
        <v>0.42030271687320003</v>
      </c>
      <c r="HU30" s="3">
        <f>$H30*factors!HO$3</f>
        <v>0.42465367667519999</v>
      </c>
      <c r="HV30" s="3">
        <f>$H30*factors!HP$3</f>
        <v>0.42987482843760005</v>
      </c>
      <c r="HW30" s="3">
        <f>$H30*factors!HQ$3</f>
        <v>0.43596617216040001</v>
      </c>
      <c r="HX30" s="3">
        <f>$H30*factors!HR$3</f>
        <v>0.45380510734859997</v>
      </c>
      <c r="HY30" s="3">
        <f>$H30*factors!HS$3</f>
        <v>0.43118011637820003</v>
      </c>
      <c r="HZ30" s="3">
        <f>$H30*factors!HT$3</f>
        <v>0.44771376362580001</v>
      </c>
      <c r="IA30" s="3">
        <f>$H30*factors!HU$3</f>
        <v>0.42595896461580002</v>
      </c>
      <c r="IB30" s="3">
        <f>$H30*factors!HV$3</f>
        <v>0.44075222794259994</v>
      </c>
      <c r="IC30" s="3">
        <f>$H30*factors!HW$3</f>
        <v>0.4451031877446</v>
      </c>
      <c r="ID30" s="3">
        <f>$H30*factors!HX$3</f>
        <v>0.41334118118999996</v>
      </c>
      <c r="IE30" s="3">
        <f>$H30*factors!HY$3</f>
        <v>0.43901184402179999</v>
      </c>
      <c r="IF30" s="3">
        <f>$H30*factors!HZ$3</f>
        <v>0.43640126814059998</v>
      </c>
      <c r="IG30" s="3">
        <f>$H30*factors!IA$3</f>
        <v>0.43248540431880006</v>
      </c>
      <c r="IH30" s="3">
        <f>$H30*factors!IB$3</f>
        <v>0.44858395558620001</v>
      </c>
      <c r="II30" s="3">
        <f>$H30*factors!IC$3</f>
        <v>0.42943973245740003</v>
      </c>
      <c r="IJ30" s="3">
        <f>$H30*factors!ID$3</f>
        <v>0.43335559627920001</v>
      </c>
      <c r="IK30" s="3">
        <f>$H30*factors!IE$3</f>
        <v>0.44901905156640004</v>
      </c>
      <c r="IL30" s="3">
        <f>$H30*factors!IF$3</f>
        <v>0.42987482843760005</v>
      </c>
      <c r="IM30" s="3">
        <f>$H30*factors!IG$3</f>
        <v>0.42595896461580002</v>
      </c>
      <c r="IN30" s="3">
        <f>$H30*factors!IH$3</f>
        <v>0.42856954049700002</v>
      </c>
      <c r="IO30" s="3">
        <f>$H30*factors!II$3</f>
        <v>0.43292050029899998</v>
      </c>
      <c r="IP30" s="3">
        <f>$H30*factors!IJ$3</f>
        <v>0.41856233295240003</v>
      </c>
      <c r="IQ30" s="3">
        <f>$H30*factors!IK$3</f>
        <v>0.4172570450118</v>
      </c>
      <c r="IR30" s="3">
        <f>$H30*factors!IL$3</f>
        <v>0.42943973245740003</v>
      </c>
      <c r="IS30" s="3">
        <f>$H30*factors!IM$3</f>
        <v>0.43292050029899998</v>
      </c>
      <c r="IT30" s="3">
        <f>$H30*factors!IN$3</f>
        <v>0.43596617216040001</v>
      </c>
      <c r="IU30" s="3">
        <f>$H30*factors!IO$3</f>
        <v>0.44553828372480003</v>
      </c>
      <c r="IV30" s="3">
        <f>$H30*factors!IP$3</f>
        <v>0.45119453146739996</v>
      </c>
      <c r="IW30" s="3">
        <f>$H30*factors!IQ$3</f>
        <v>0.42639406059599999</v>
      </c>
      <c r="IX30" s="3">
        <f>$H30*factors!IR$3</f>
        <v>0.44553828372480003</v>
      </c>
      <c r="IY30" s="3">
        <f>$H30*factors!IS$3</f>
        <v>0.43901184402179999</v>
      </c>
      <c r="IZ30" s="3">
        <f>$H30*factors!IT$3</f>
        <v>0.44640847568520003</v>
      </c>
      <c r="JA30" s="3">
        <f>$H30*factors!IU$3</f>
        <v>0.42160800481379995</v>
      </c>
      <c r="JB30" s="3">
        <f>$H30*factors!IV$3</f>
        <v>0.42943973245740003</v>
      </c>
      <c r="JC30" s="3">
        <f>$H30*factors!IW$3</f>
        <v>0.41943252491280003</v>
      </c>
      <c r="JD30" s="3">
        <f>$H30*factors!IX$3</f>
        <v>0.45685077921000006</v>
      </c>
      <c r="JE30" s="3">
        <f>$H30*factors!IY$3</f>
        <v>0.42073781285340001</v>
      </c>
      <c r="JF30" s="3">
        <f>$H30*factors!IZ$3</f>
        <v>0.44162241990299994</v>
      </c>
      <c r="JG30" s="3">
        <f>$H30*factors!JA$3</f>
        <v>0.43379069225939998</v>
      </c>
      <c r="JH30" s="3">
        <f>$H30*factors!JB$3</f>
        <v>0.44205751588320008</v>
      </c>
      <c r="JI30" s="3">
        <f>$H30*factors!JC$3</f>
        <v>0.41377627717020005</v>
      </c>
      <c r="JJ30" s="3">
        <f>$H30*factors!JD$3</f>
        <v>0.44553828372480003</v>
      </c>
      <c r="JK30" s="3">
        <f>$H30*factors!JE$3</f>
        <v>0.43118011637820003</v>
      </c>
      <c r="JL30" s="3">
        <f>$H30*factors!JF$3</f>
        <v>0.44858395558620001</v>
      </c>
      <c r="JM30" s="3">
        <f>$H30*factors!JG$3</f>
        <v>0.41856233295240003</v>
      </c>
      <c r="JN30" s="3">
        <f>$H30*factors!JH$3</f>
        <v>0.41856233295240003</v>
      </c>
      <c r="JO30" s="3">
        <f>$H30*factors!JI$3</f>
        <v>0.41334118118999996</v>
      </c>
      <c r="JP30" s="3">
        <f>$H30*factors!JJ$3</f>
        <v>0.44684357166540001</v>
      </c>
      <c r="JQ30" s="3">
        <f>$H30*factors!JK$3</f>
        <v>0.43553107618019998</v>
      </c>
      <c r="JR30" s="3">
        <f>$H30*factors!JL$3</f>
        <v>0.45249981940799999</v>
      </c>
      <c r="JS30" s="3">
        <f>$H30*factors!JM$3</f>
        <v>0.41334118118999996</v>
      </c>
      <c r="JT30" s="3">
        <f>$H30*factors!JN$3</f>
        <v>0.43422578823960001</v>
      </c>
      <c r="JU30" s="3">
        <f>$H30*factors!JO$3</f>
        <v>0.419867620893</v>
      </c>
      <c r="JV30" s="3">
        <f>$H30*factors!JP$3</f>
        <v>0.42682915657620002</v>
      </c>
      <c r="JW30" s="3">
        <f>$H30*factors!JQ$3</f>
        <v>0.45598058724960006</v>
      </c>
      <c r="JX30" s="3">
        <f>$H30*factors!JR$3</f>
        <v>0.45162962744759999</v>
      </c>
      <c r="JY30" s="3">
        <f>$H30*factors!JS$3</f>
        <v>0.42508877265540002</v>
      </c>
      <c r="JZ30" s="3">
        <f>$H30*factors!JT$3</f>
        <v>0.42987482843760005</v>
      </c>
      <c r="KA30" s="3">
        <f>$H30*factors!JU$3</f>
        <v>0.43161521235840006</v>
      </c>
      <c r="KB30" s="3">
        <f>$H30*factors!JV$3</f>
        <v>0.4172570450118</v>
      </c>
      <c r="KC30" s="3">
        <f>$H30*factors!JW$3</f>
        <v>0.41943252491280003</v>
      </c>
      <c r="KD30" s="3">
        <f>$H30*factors!JX$3</f>
        <v>0.419867620893</v>
      </c>
      <c r="KE30" s="3">
        <f>$H30*factors!JY$3</f>
        <v>0.44684357166540001</v>
      </c>
      <c r="KF30" s="3">
        <f>$H30*factors!JZ$3</f>
        <v>0.45206472342779996</v>
      </c>
      <c r="KG30" s="3">
        <f>$H30*factors!KA$3</f>
        <v>0.43596617216040001</v>
      </c>
      <c r="KH30" s="3">
        <f>$H30*factors!KB$3</f>
        <v>0.42639406059599999</v>
      </c>
      <c r="KI30" s="3">
        <f>$H30*factors!KC$3</f>
        <v>0.42247819677419995</v>
      </c>
    </row>
    <row r="31" spans="1:295" x14ac:dyDescent="0.55000000000000004">
      <c r="A31" t="s">
        <v>407</v>
      </c>
      <c r="B31">
        <v>30</v>
      </c>
      <c r="C31">
        <v>230</v>
      </c>
      <c r="D31" t="s">
        <v>377</v>
      </c>
      <c r="E31">
        <v>3.0869999999999999E-3</v>
      </c>
      <c r="F31">
        <v>30</v>
      </c>
      <c r="G31">
        <f>VLOOKUP(D31,demand_forecasted!$A$2:$G$11,2)</f>
        <v>11098</v>
      </c>
      <c r="H31" s="3">
        <f t="shared" si="1"/>
        <v>0.34259526000000001</v>
      </c>
      <c r="I31" s="3">
        <f>$H31*factors!C$3</f>
        <v>0.37925295281999999</v>
      </c>
      <c r="J31" s="3">
        <f>$H31*factors!D$3</f>
        <v>0.36556284623040003</v>
      </c>
      <c r="K31" s="3">
        <f>$H31*factors!E$3</f>
        <v>0.35927279725680006</v>
      </c>
      <c r="L31" s="3">
        <f>$H31*factors!F$3</f>
        <v>0.35816278861440004</v>
      </c>
      <c r="M31" s="3">
        <f>$H31*factors!G$3</f>
        <v>0.35779278573360002</v>
      </c>
      <c r="N31" s="3">
        <f>$H31*factors!H$3</f>
        <v>0.36815286639600003</v>
      </c>
      <c r="O31" s="3">
        <f>$H31*factors!I$3</f>
        <v>0.37629292977360002</v>
      </c>
      <c r="P31" s="3">
        <f>$H31*factors!J$3</f>
        <v>0.38073296434320003</v>
      </c>
      <c r="Q31" s="3">
        <f>$H31*factors!K$3</f>
        <v>0.35742278285279999</v>
      </c>
      <c r="R31" s="3">
        <f>$H31*factors!L$3</f>
        <v>0.35150273676000005</v>
      </c>
      <c r="S31" s="3">
        <f>$H31*factors!M$3</f>
        <v>0.3659328491112</v>
      </c>
      <c r="T31" s="3">
        <f>$H31*factors!N$3</f>
        <v>0.37851294705840005</v>
      </c>
      <c r="U31" s="3">
        <f>$H31*factors!O$3</f>
        <v>0.35853279149520006</v>
      </c>
      <c r="V31" s="3">
        <f>$H31*factors!P$3</f>
        <v>0.37296290384640002</v>
      </c>
      <c r="W31" s="3">
        <f>$H31*factors!Q$3</f>
        <v>0.37629292977360002</v>
      </c>
      <c r="X31" s="3">
        <f>$H31*factors!R$3</f>
        <v>0.3600128030184</v>
      </c>
      <c r="Y31" s="3">
        <f>$H31*factors!S$3</f>
        <v>0.35668277709120005</v>
      </c>
      <c r="Z31" s="3">
        <f>$H31*factors!T$3</f>
        <v>0.38480299603200008</v>
      </c>
      <c r="AA31" s="3">
        <f>$H31*factors!U$3</f>
        <v>0.36334282894559999</v>
      </c>
      <c r="AB31" s="3">
        <f>$H31*factors!V$3</f>
        <v>0.36371283182640007</v>
      </c>
      <c r="AC31" s="3">
        <f>$H31*factors!W$3</f>
        <v>0.36408283470720004</v>
      </c>
      <c r="AD31" s="3">
        <f>$H31*factors!X$3</f>
        <v>0.35631277421040003</v>
      </c>
      <c r="AE31" s="3">
        <f>$H31*factors!Y$3</f>
        <v>0.35927279725680006</v>
      </c>
      <c r="AF31" s="3">
        <f>$H31*factors!Z$3</f>
        <v>0.36667285487280005</v>
      </c>
      <c r="AG31" s="3">
        <f>$H31*factors!AA$3</f>
        <v>0.35742278285279999</v>
      </c>
      <c r="AH31" s="3">
        <f>$H31*factors!AB$3</f>
        <v>0.35594277132960006</v>
      </c>
      <c r="AI31" s="3">
        <f>$H31*factors!AC$3</f>
        <v>0.36741286063440004</v>
      </c>
      <c r="AJ31" s="3">
        <f>$H31*factors!AD$3</f>
        <v>0.38147297010480002</v>
      </c>
      <c r="AK31" s="3">
        <f>$H31*factors!AE$3</f>
        <v>0.36704285775360007</v>
      </c>
      <c r="AL31" s="3">
        <f>$H31*factors!AF$3</f>
        <v>0.35261274540240001</v>
      </c>
      <c r="AM31" s="3">
        <f>$H31*factors!AG$3</f>
        <v>0.362602823184</v>
      </c>
      <c r="AN31" s="3">
        <f>$H31*factors!AH$3</f>
        <v>0.35668277709120005</v>
      </c>
      <c r="AO31" s="3">
        <f>$H31*factors!AI$3</f>
        <v>0.37370290960800001</v>
      </c>
      <c r="AP31" s="3">
        <f>$H31*factors!AJ$3</f>
        <v>0.35816278861440004</v>
      </c>
      <c r="AQ31" s="3">
        <f>$H31*factors!AK$3</f>
        <v>0.36963287791920008</v>
      </c>
      <c r="AR31" s="3">
        <f>$H31*factors!AL$3</f>
        <v>0.36149281454160004</v>
      </c>
      <c r="AS31" s="3">
        <f>$H31*factors!AM$3</f>
        <v>0.35261274540240001</v>
      </c>
      <c r="AT31" s="3">
        <f>$H31*factors!AN$3</f>
        <v>0.36371283182640007</v>
      </c>
      <c r="AU31" s="3">
        <f>$H31*factors!AO$3</f>
        <v>0.38517299891279999</v>
      </c>
      <c r="AV31" s="3">
        <f>$H31*factors!AP$3</f>
        <v>0.36408283470720004</v>
      </c>
      <c r="AW31" s="3">
        <f>$H31*factors!AQ$3</f>
        <v>0.36038280589920002</v>
      </c>
      <c r="AX31" s="3">
        <f>$H31*factors!AR$3</f>
        <v>0.38110296722400006</v>
      </c>
      <c r="AY31" s="3">
        <f>$H31*factors!AS$3</f>
        <v>0.35150273676000005</v>
      </c>
      <c r="AZ31" s="3">
        <f>$H31*factors!AT$3</f>
        <v>0.3766629326544001</v>
      </c>
      <c r="BA31" s="3">
        <f>$H31*factors!AU$3</f>
        <v>0.3685228692768</v>
      </c>
      <c r="BB31" s="3">
        <f>$H31*factors!AV$3</f>
        <v>0.36371283182640007</v>
      </c>
      <c r="BC31" s="3">
        <f>$H31*factors!AW$3</f>
        <v>0.38480299603200008</v>
      </c>
      <c r="BD31" s="3">
        <f>$H31*factors!AX$3</f>
        <v>0.35520276556800001</v>
      </c>
      <c r="BE31" s="3">
        <f>$H31*factors!AY$3</f>
        <v>0.41760306622439997</v>
      </c>
      <c r="BF31" s="3">
        <f>$H31*factors!AZ$3</f>
        <v>0.38890043534160001</v>
      </c>
      <c r="BG31" s="3">
        <f>$H31*factors!BA$3</f>
        <v>0.39456010903679994</v>
      </c>
      <c r="BH31" s="3">
        <f>$H31*factors!BB$3</f>
        <v>0.39981552032520001</v>
      </c>
      <c r="BI31" s="3">
        <f>$H31*factors!BC$3</f>
        <v>0.41436896696999992</v>
      </c>
      <c r="BJ31" s="3">
        <f>$H31*factors!BD$3</f>
        <v>0.39577289625719997</v>
      </c>
      <c r="BK31" s="3">
        <f>$H31*factors!BE$3</f>
        <v>0.39658142107079997</v>
      </c>
      <c r="BL31" s="3">
        <f>$H31*factors!BF$3</f>
        <v>0.39213453459599995</v>
      </c>
      <c r="BM31" s="3">
        <f>$H31*factors!BG$3</f>
        <v>0.41881585344480005</v>
      </c>
      <c r="BN31" s="3">
        <f>$H31*factors!BH$3</f>
        <v>0.41356044215639998</v>
      </c>
      <c r="BO31" s="3">
        <f>$H31*factors!BI$3</f>
        <v>0.38890043534160001</v>
      </c>
      <c r="BP31" s="3">
        <f>$H31*factors!BJ$3</f>
        <v>0.38768764812119993</v>
      </c>
      <c r="BQ31" s="3">
        <f>$H31*factors!BK$3</f>
        <v>0.39415584662999997</v>
      </c>
      <c r="BR31" s="3">
        <f>$H31*factors!BL$3</f>
        <v>0.40830503086800002</v>
      </c>
      <c r="BS31" s="3">
        <f>$H31*factors!BM$3</f>
        <v>0.4147732293768</v>
      </c>
      <c r="BT31" s="3">
        <f>$H31*factors!BN$3</f>
        <v>0.41598601659719997</v>
      </c>
      <c r="BU31" s="3">
        <f>$H31*factors!BO$3</f>
        <v>0.42285847751280004</v>
      </c>
      <c r="BV31" s="3">
        <f>$H31*factors!BP$3</f>
        <v>0.39334732181639998</v>
      </c>
      <c r="BW31" s="3">
        <f>$H31*factors!BQ$3</f>
        <v>0.40224109476600001</v>
      </c>
      <c r="BX31" s="3">
        <f>$H31*factors!BR$3</f>
        <v>0.39456010903679994</v>
      </c>
      <c r="BY31" s="3">
        <f>$H31*factors!BS$3</f>
        <v>0.41275191734279992</v>
      </c>
      <c r="BZ31" s="3">
        <f>$H31*factors!BT$3</f>
        <v>0.40507093161359997</v>
      </c>
      <c r="CA31" s="3">
        <f>$H31*factors!BU$3</f>
        <v>0.39981552032520001</v>
      </c>
      <c r="CB31" s="3">
        <f>$H31*factors!BV$3</f>
        <v>0.38687912330759999</v>
      </c>
      <c r="CC31" s="3">
        <f>$H31*factors!BW$3</f>
        <v>0.39819847069799996</v>
      </c>
      <c r="CD31" s="3">
        <f>$H31*factors!BX$3</f>
        <v>0.39941125791839999</v>
      </c>
      <c r="CE31" s="3">
        <f>$H31*factors!BY$3</f>
        <v>0.40507093161359997</v>
      </c>
      <c r="CF31" s="3">
        <f>$H31*factors!BZ$3</f>
        <v>0.39900699551160002</v>
      </c>
      <c r="CG31" s="3">
        <f>$H31*factors!CA$3</f>
        <v>0.38566633608719997</v>
      </c>
      <c r="CH31" s="3">
        <f>$H31*factors!CB$3</f>
        <v>0.38607059849399994</v>
      </c>
      <c r="CI31" s="3">
        <f>$H31*factors!CC$3</f>
        <v>0.38404928646000003</v>
      </c>
      <c r="CJ31" s="3">
        <f>$H31*factors!CD$3</f>
        <v>0.39981552032520001</v>
      </c>
      <c r="CK31" s="3">
        <f>$H31*factors!CE$3</f>
        <v>0.41760306622439997</v>
      </c>
      <c r="CL31" s="3">
        <f>$H31*factors!CF$3</f>
        <v>0.39132600978240001</v>
      </c>
      <c r="CM31" s="3">
        <f>$H31*factors!CG$3</f>
        <v>0.40062404513879996</v>
      </c>
      <c r="CN31" s="3">
        <f>$H31*factors!CH$3</f>
        <v>0.38728338571439996</v>
      </c>
      <c r="CO31" s="3">
        <f>$H31*factors!CI$3</f>
        <v>0.39011322256199993</v>
      </c>
      <c r="CP31" s="3">
        <f>$H31*factors!CJ$3</f>
        <v>0.40870929327479993</v>
      </c>
      <c r="CQ31" s="3">
        <f>$H31*factors!CK$3</f>
        <v>0.39658142107079997</v>
      </c>
      <c r="CR31" s="3">
        <f>$H31*factors!CL$3</f>
        <v>0.40911355568159996</v>
      </c>
      <c r="CS31" s="3">
        <f>$H31*factors!CM$3</f>
        <v>0.42204995269919998</v>
      </c>
      <c r="CT31" s="3">
        <f>$H31*factors!CN$3</f>
        <v>0.41719880381759999</v>
      </c>
      <c r="CU31" s="3">
        <f>$H31*factors!CO$3</f>
        <v>0.40790076846119994</v>
      </c>
      <c r="CV31" s="3">
        <f>$H31*factors!CP$3</f>
        <v>0.42447552713999998</v>
      </c>
      <c r="CW31" s="3">
        <f>$H31*factors!CQ$3</f>
        <v>0.40143256995240001</v>
      </c>
      <c r="CX31" s="3">
        <f>$H31*factors!CR$3</f>
        <v>0.3953686338504</v>
      </c>
      <c r="CY31" s="3">
        <f>$H31*factors!CS$3</f>
        <v>0.39173027218919998</v>
      </c>
      <c r="CZ31" s="3">
        <f>$H31*factors!CT$3</f>
        <v>0.38607059849399994</v>
      </c>
      <c r="DA31" s="3">
        <f>$H31*factors!CU$3</f>
        <v>0.40083645419999997</v>
      </c>
      <c r="DB31" s="3">
        <f>$H31*factors!CV$3</f>
        <v>0.42673665585600001</v>
      </c>
      <c r="DC31" s="3">
        <f>$H31*factors!CW$3</f>
        <v>0.40864762612799999</v>
      </c>
      <c r="DD31" s="3">
        <f>$H31*factors!CX$3</f>
        <v>0.40576982594399996</v>
      </c>
      <c r="DE31" s="3">
        <f>$H31*factors!CY$3</f>
        <v>0.41769214099200003</v>
      </c>
      <c r="DF31" s="3">
        <f>$H31*factors!CZ$3</f>
        <v>0.41686991236799997</v>
      </c>
      <c r="DG31" s="3">
        <f>$H31*factors!DA$3</f>
        <v>0.41522545512000003</v>
      </c>
      <c r="DH31" s="3">
        <f>$H31*factors!DB$3</f>
        <v>0.41522545512000003</v>
      </c>
      <c r="DI31" s="3">
        <f>$H31*factors!DC$3</f>
        <v>0.399603111264</v>
      </c>
      <c r="DJ31" s="3">
        <f>$H31*factors!DD$3</f>
        <v>0.42344774136000002</v>
      </c>
      <c r="DK31" s="3">
        <f>$H31*factors!DE$3</f>
        <v>0.42344774136000002</v>
      </c>
      <c r="DL31" s="3">
        <f>$H31*factors!DF$3</f>
        <v>0.41851436961600003</v>
      </c>
      <c r="DM31" s="3">
        <f>$H31*factors!DG$3</f>
        <v>0.39425862520799998</v>
      </c>
      <c r="DN31" s="3">
        <f>$H31*factors!DH$3</f>
        <v>0.41358099787200003</v>
      </c>
      <c r="DO31" s="3">
        <f>$H31*factors!DI$3</f>
        <v>0.42714777016799998</v>
      </c>
      <c r="DP31" s="3">
        <f>$H31*factors!DJ$3</f>
        <v>0.42344774136000002</v>
      </c>
      <c r="DQ31" s="3">
        <f>$H31*factors!DK$3</f>
        <v>0.40371425438399999</v>
      </c>
      <c r="DR31" s="3">
        <f>$H31*factors!DL$3</f>
        <v>0.39919199695200003</v>
      </c>
      <c r="DS31" s="3">
        <f>$H31*factors!DM$3</f>
        <v>0.43125891328799998</v>
      </c>
      <c r="DT31" s="3">
        <f>$H31*factors!DN$3</f>
        <v>0.40535871163200005</v>
      </c>
      <c r="DU31" s="3">
        <f>$H31*factors!DO$3</f>
        <v>0.42426996998400002</v>
      </c>
      <c r="DV31" s="3">
        <f>$H31*factors!DP$3</f>
        <v>0.41440322649600003</v>
      </c>
      <c r="DW31" s="3">
        <f>$H31*factors!DQ$3</f>
        <v>0.39549196814399995</v>
      </c>
      <c r="DX31" s="3">
        <f>$H31*factors!DR$3</f>
        <v>0.418925483928</v>
      </c>
      <c r="DY31" s="3">
        <f>$H31*factors!DS$3</f>
        <v>0.39754753970399997</v>
      </c>
      <c r="DZ31" s="3">
        <f>$H31*factors!DT$3</f>
        <v>0.42509219860799996</v>
      </c>
      <c r="EA31" s="3">
        <f>$H31*factors!DU$3</f>
        <v>0.40042533988799994</v>
      </c>
      <c r="EB31" s="3">
        <f>$H31*factors!DV$3</f>
        <v>0.39055859639999996</v>
      </c>
      <c r="EC31" s="3">
        <f>$H31*factors!DW$3</f>
        <v>0.42015882686399997</v>
      </c>
      <c r="ED31" s="3">
        <f>$H31*factors!DX$3</f>
        <v>0.39425862520799998</v>
      </c>
      <c r="EE31" s="3">
        <f>$H31*factors!DY$3</f>
        <v>0.39754753970399997</v>
      </c>
      <c r="EF31" s="3">
        <f>$H31*factors!DZ$3</f>
        <v>0.43125891328799998</v>
      </c>
      <c r="EG31" s="3">
        <f>$H31*factors!EA$3</f>
        <v>0.40289202575999999</v>
      </c>
      <c r="EH31" s="3">
        <f>$H31*factors!EB$3</f>
        <v>0.40412536869600002</v>
      </c>
      <c r="EI31" s="3">
        <f>$H31*factors!EC$3</f>
        <v>0.40330314007200002</v>
      </c>
      <c r="EJ31" s="3">
        <f>$H31*factors!ED$3</f>
        <v>0.39302528227200001</v>
      </c>
      <c r="EK31" s="3">
        <f>$H31*factors!EE$3</f>
        <v>0.42015882686399997</v>
      </c>
      <c r="EL31" s="3">
        <f>$H31*factors!EF$3</f>
        <v>0.399603111264</v>
      </c>
      <c r="EM31" s="3">
        <f>$H31*factors!EG$3</f>
        <v>0.41563656943199995</v>
      </c>
      <c r="EN31" s="3">
        <f>$H31*factors!EH$3</f>
        <v>0.39055859639999996</v>
      </c>
      <c r="EO31" s="3">
        <f>$H31*factors!EI$3</f>
        <v>0.39631419676799995</v>
      </c>
      <c r="EP31" s="3">
        <f>$H31*factors!EJ$3</f>
        <v>0.418103255304</v>
      </c>
      <c r="EQ31" s="3">
        <f>$H31*factors!EK$3</f>
        <v>0.40659205456799996</v>
      </c>
      <c r="ER31" s="3">
        <f>$H31*factors!EL$3</f>
        <v>0.42344774136000002</v>
      </c>
      <c r="ES31" s="3">
        <f>$H31*factors!EM$3</f>
        <v>0.418103255304</v>
      </c>
      <c r="ET31" s="3">
        <f>$H31*factors!EN$3</f>
        <v>0.42755888448000001</v>
      </c>
      <c r="EU31" s="3">
        <f>$H31*factors!EO$3</f>
        <v>0.43167002760000001</v>
      </c>
      <c r="EV31" s="3">
        <f>$H31*factors!EP$3</f>
        <v>0.40453648300799994</v>
      </c>
      <c r="EW31" s="3">
        <f>$H31*factors!EQ$3</f>
        <v>0.44494559392499994</v>
      </c>
      <c r="EX31" s="3">
        <f>$H31*factors!ER$3</f>
        <v>0.44023490910000007</v>
      </c>
      <c r="EY31" s="3">
        <f>$H31*factors!ES$3</f>
        <v>0.44922803467499994</v>
      </c>
      <c r="EZ31" s="3">
        <f>$H31*factors!ET$3</f>
        <v>0.44494559392499994</v>
      </c>
      <c r="FA31" s="3">
        <f>$H31*factors!EU$3</f>
        <v>0.40897309162499995</v>
      </c>
      <c r="FB31" s="3">
        <f>$H31*factors!EV$3</f>
        <v>0.42738758685000006</v>
      </c>
      <c r="FC31" s="3">
        <f>$H31*factors!EW$3</f>
        <v>0.43937842095000001</v>
      </c>
      <c r="FD31" s="3">
        <f>$H31*factors!EX$3</f>
        <v>0.42396163425000005</v>
      </c>
      <c r="FE31" s="3">
        <f>$H31*factors!EY$3</f>
        <v>0.446658570225</v>
      </c>
      <c r="FF31" s="3">
        <f>$H31*factors!EZ$3</f>
        <v>0.44708681430000008</v>
      </c>
      <c r="FG31" s="3">
        <f>$H31*factors!FA$3</f>
        <v>0.40897309162499995</v>
      </c>
      <c r="FH31" s="3">
        <f>$H31*factors!FB$3</f>
        <v>0.43038529537499998</v>
      </c>
      <c r="FI31" s="3">
        <f>$H31*factors!FC$3</f>
        <v>0.44837154652499994</v>
      </c>
      <c r="FJ31" s="3">
        <f>$H31*factors!FD$3</f>
        <v>0.43038529537499998</v>
      </c>
      <c r="FK31" s="3">
        <f>$H31*factors!FE$3</f>
        <v>0.43766544465000007</v>
      </c>
      <c r="FL31" s="3">
        <f>$H31*factors!FF$3</f>
        <v>0.43895017687500004</v>
      </c>
      <c r="FM31" s="3">
        <f>$H31*factors!FG$3</f>
        <v>0.44366086169999996</v>
      </c>
      <c r="FN31" s="3">
        <f>$H31*factors!FH$3</f>
        <v>0.41496850867500001</v>
      </c>
      <c r="FO31" s="3">
        <f>$H31*factors!FI$3</f>
        <v>0.44066315317499999</v>
      </c>
      <c r="FP31" s="3">
        <f>$H31*factors!FJ$3</f>
        <v>0.428244075</v>
      </c>
      <c r="FQ31" s="3">
        <f>$H31*factors!FK$3</f>
        <v>0.42396163425000005</v>
      </c>
      <c r="FR31" s="3">
        <f>$H31*factors!FL$3</f>
        <v>0.43252651575000001</v>
      </c>
      <c r="FS31" s="3">
        <f>$H31*factors!FM$3</f>
        <v>0.4299570513</v>
      </c>
      <c r="FT31" s="3">
        <f>$H31*factors!FN$3</f>
        <v>0.43937842095000001</v>
      </c>
      <c r="FU31" s="3">
        <f>$H31*factors!FO$3</f>
        <v>0.42224865794999999</v>
      </c>
      <c r="FV31" s="3">
        <f>$H31*factors!FP$3</f>
        <v>0.41882270534999999</v>
      </c>
      <c r="FW31" s="3">
        <f>$H31*factors!FQ$3</f>
        <v>0.44837154652499994</v>
      </c>
      <c r="FX31" s="3">
        <f>$H31*factors!FR$3</f>
        <v>0.44023490910000007</v>
      </c>
      <c r="FY31" s="3">
        <f>$H31*factors!FS$3</f>
        <v>0.43124178352499998</v>
      </c>
      <c r="FZ31" s="3">
        <f>$H31*factors!FT$3</f>
        <v>0.40982957977500001</v>
      </c>
      <c r="GA31" s="3">
        <f>$H31*factors!FU$3</f>
        <v>0.43124178352499998</v>
      </c>
      <c r="GB31" s="3">
        <f>$H31*factors!FV$3</f>
        <v>0.44708681430000008</v>
      </c>
      <c r="GC31" s="3">
        <f>$H31*factors!FW$3</f>
        <v>0.41882270534999999</v>
      </c>
      <c r="GD31" s="3">
        <f>$H31*factors!FX$3</f>
        <v>0.42610285462499997</v>
      </c>
      <c r="GE31" s="3">
        <f>$H31*factors!FY$3</f>
        <v>0.42610285462499997</v>
      </c>
      <c r="GF31" s="3">
        <f>$H31*factors!FZ$3</f>
        <v>0.4248181224</v>
      </c>
      <c r="GG31" s="3">
        <f>$H31*factors!GA$3</f>
        <v>0.40811660347500001</v>
      </c>
      <c r="GH31" s="3">
        <f>$H31*factors!GB$3</f>
        <v>0.43423949205000006</v>
      </c>
      <c r="GI31" s="3">
        <f>$H31*factors!GC$3</f>
        <v>0.40726011532500001</v>
      </c>
      <c r="GJ31" s="3">
        <f>$H31*factors!GD$3</f>
        <v>0.40811660347500001</v>
      </c>
      <c r="GK31" s="3">
        <f>$H31*factors!GE$3</f>
        <v>0.41839446127500002</v>
      </c>
      <c r="GL31" s="3">
        <f>$H31*factors!GF$3</f>
        <v>0.44323261762499999</v>
      </c>
      <c r="GM31" s="3">
        <f>$H31*factors!GG$3</f>
        <v>0.42010743757500002</v>
      </c>
      <c r="GN31" s="3">
        <f>$H31*factors!GH$3</f>
        <v>0.43338300390000006</v>
      </c>
      <c r="GO31" s="3">
        <f>$H31*factors!GI$3</f>
        <v>0.40940133569999998</v>
      </c>
      <c r="GP31" s="3">
        <f>$H31*factors!GJ$3</f>
        <v>0.43895017687500004</v>
      </c>
      <c r="GQ31" s="3">
        <f>$H31*factors!GK$3</f>
        <v>0.44794330245000008</v>
      </c>
      <c r="GR31" s="3">
        <f>$H31*factors!GL$3</f>
        <v>0.43937842095000001</v>
      </c>
      <c r="GS31" s="3">
        <f>$H31*factors!GM$3</f>
        <v>0.41551666109099999</v>
      </c>
      <c r="GT31" s="3">
        <f>$H31*factors!GN$3</f>
        <v>0.42508877265540002</v>
      </c>
      <c r="GU31" s="3">
        <f>$H31*factors!GO$3</f>
        <v>0.43509598020000001</v>
      </c>
      <c r="GV31" s="3">
        <f>$H31*factors!GP$3</f>
        <v>0.41769214099200003</v>
      </c>
      <c r="GW31" s="3">
        <f>$H31*factors!GQ$3</f>
        <v>0.43248540431880006</v>
      </c>
      <c r="GX31" s="3">
        <f>$H31*factors!GR$3</f>
        <v>0.42552386863559999</v>
      </c>
      <c r="GY31" s="3">
        <f>$H31*factors!GS$3</f>
        <v>0.42334838873460007</v>
      </c>
      <c r="GZ31" s="3">
        <f>$H31*factors!GT$3</f>
        <v>0.43901184402179999</v>
      </c>
      <c r="HA31" s="3">
        <f>$H31*factors!GU$3</f>
        <v>0.42465367667519999</v>
      </c>
      <c r="HB31" s="3">
        <f>$H31*factors!GV$3</f>
        <v>0.43901184402179999</v>
      </c>
      <c r="HC31" s="3">
        <f>$H31*factors!GW$3</f>
        <v>0.42813444451679999</v>
      </c>
      <c r="HD31" s="3">
        <f>$H31*factors!GX$3</f>
        <v>0.44075222794259994</v>
      </c>
      <c r="HE31" s="3">
        <f>$H31*factors!GY$3</f>
        <v>0.43509598020000001</v>
      </c>
      <c r="HF31" s="3">
        <f>$H31*factors!GZ$3</f>
        <v>0.44858395558620001</v>
      </c>
      <c r="HG31" s="3">
        <f>$H31*factors!HA$3</f>
        <v>0.43118011637820003</v>
      </c>
      <c r="HH31" s="3">
        <f>$H31*factors!HB$3</f>
        <v>0.42552386863559999</v>
      </c>
      <c r="HI31" s="3">
        <f>$H31*factors!HC$3</f>
        <v>0.42030271687320003</v>
      </c>
      <c r="HJ31" s="3">
        <f>$H31*factors!HD$3</f>
        <v>0.41551666109099999</v>
      </c>
      <c r="HK31" s="3">
        <f>$H31*factors!HE$3</f>
        <v>0.43944694000200002</v>
      </c>
      <c r="HL31" s="3">
        <f>$H31*factors!HF$3</f>
        <v>0.41421137315039996</v>
      </c>
      <c r="HM31" s="3">
        <f>$H31*factors!HG$3</f>
        <v>0.41856233295240003</v>
      </c>
      <c r="HN31" s="3">
        <f>$H31*factors!HH$3</f>
        <v>0.44640847568520003</v>
      </c>
      <c r="HO31" s="3">
        <f>$H31*factors!HI$3</f>
        <v>0.42813444451679999</v>
      </c>
      <c r="HP31" s="3">
        <f>$H31*factors!HJ$3</f>
        <v>0.45685077921000006</v>
      </c>
      <c r="HQ31" s="3">
        <f>$H31*factors!HK$3</f>
        <v>0.41769214099200003</v>
      </c>
      <c r="HR31" s="3">
        <f>$H31*factors!HL$3</f>
        <v>0.44292770784360008</v>
      </c>
      <c r="HS31" s="3">
        <f>$H31*factors!HM$3</f>
        <v>0.45075943548720004</v>
      </c>
      <c r="HT31" s="3">
        <f>$H31*factors!HN$3</f>
        <v>0.42030271687320003</v>
      </c>
      <c r="HU31" s="3">
        <f>$H31*factors!HO$3</f>
        <v>0.42465367667519999</v>
      </c>
      <c r="HV31" s="3">
        <f>$H31*factors!HP$3</f>
        <v>0.42987482843760005</v>
      </c>
      <c r="HW31" s="3">
        <f>$H31*factors!HQ$3</f>
        <v>0.43596617216040001</v>
      </c>
      <c r="HX31" s="3">
        <f>$H31*factors!HR$3</f>
        <v>0.45380510734859997</v>
      </c>
      <c r="HY31" s="3">
        <f>$H31*factors!HS$3</f>
        <v>0.43118011637820003</v>
      </c>
      <c r="HZ31" s="3">
        <f>$H31*factors!HT$3</f>
        <v>0.44771376362580001</v>
      </c>
      <c r="IA31" s="3">
        <f>$H31*factors!HU$3</f>
        <v>0.42595896461580002</v>
      </c>
      <c r="IB31" s="3">
        <f>$H31*factors!HV$3</f>
        <v>0.44075222794259994</v>
      </c>
      <c r="IC31" s="3">
        <f>$H31*factors!HW$3</f>
        <v>0.4451031877446</v>
      </c>
      <c r="ID31" s="3">
        <f>$H31*factors!HX$3</f>
        <v>0.41334118118999996</v>
      </c>
      <c r="IE31" s="3">
        <f>$H31*factors!HY$3</f>
        <v>0.43901184402179999</v>
      </c>
      <c r="IF31" s="3">
        <f>$H31*factors!HZ$3</f>
        <v>0.43640126814059998</v>
      </c>
      <c r="IG31" s="3">
        <f>$H31*factors!IA$3</f>
        <v>0.43248540431880006</v>
      </c>
      <c r="IH31" s="3">
        <f>$H31*factors!IB$3</f>
        <v>0.44858395558620001</v>
      </c>
      <c r="II31" s="3">
        <f>$H31*factors!IC$3</f>
        <v>0.42943973245740003</v>
      </c>
      <c r="IJ31" s="3">
        <f>$H31*factors!ID$3</f>
        <v>0.43335559627920001</v>
      </c>
      <c r="IK31" s="3">
        <f>$H31*factors!IE$3</f>
        <v>0.44901905156640004</v>
      </c>
      <c r="IL31" s="3">
        <f>$H31*factors!IF$3</f>
        <v>0.42987482843760005</v>
      </c>
      <c r="IM31" s="3">
        <f>$H31*factors!IG$3</f>
        <v>0.42595896461580002</v>
      </c>
      <c r="IN31" s="3">
        <f>$H31*factors!IH$3</f>
        <v>0.42856954049700002</v>
      </c>
      <c r="IO31" s="3">
        <f>$H31*factors!II$3</f>
        <v>0.43292050029899998</v>
      </c>
      <c r="IP31" s="3">
        <f>$H31*factors!IJ$3</f>
        <v>0.41856233295240003</v>
      </c>
      <c r="IQ31" s="3">
        <f>$H31*factors!IK$3</f>
        <v>0.4172570450118</v>
      </c>
      <c r="IR31" s="3">
        <f>$H31*factors!IL$3</f>
        <v>0.42943973245740003</v>
      </c>
      <c r="IS31" s="3">
        <f>$H31*factors!IM$3</f>
        <v>0.43292050029899998</v>
      </c>
      <c r="IT31" s="3">
        <f>$H31*factors!IN$3</f>
        <v>0.43596617216040001</v>
      </c>
      <c r="IU31" s="3">
        <f>$H31*factors!IO$3</f>
        <v>0.44553828372480003</v>
      </c>
      <c r="IV31" s="3">
        <f>$H31*factors!IP$3</f>
        <v>0.45119453146739996</v>
      </c>
      <c r="IW31" s="3">
        <f>$H31*factors!IQ$3</f>
        <v>0.42639406059599999</v>
      </c>
      <c r="IX31" s="3">
        <f>$H31*factors!IR$3</f>
        <v>0.44553828372480003</v>
      </c>
      <c r="IY31" s="3">
        <f>$H31*factors!IS$3</f>
        <v>0.43901184402179999</v>
      </c>
      <c r="IZ31" s="3">
        <f>$H31*factors!IT$3</f>
        <v>0.44640847568520003</v>
      </c>
      <c r="JA31" s="3">
        <f>$H31*factors!IU$3</f>
        <v>0.42160800481379995</v>
      </c>
      <c r="JB31" s="3">
        <f>$H31*factors!IV$3</f>
        <v>0.42943973245740003</v>
      </c>
      <c r="JC31" s="3">
        <f>$H31*factors!IW$3</f>
        <v>0.41943252491280003</v>
      </c>
      <c r="JD31" s="3">
        <f>$H31*factors!IX$3</f>
        <v>0.45685077921000006</v>
      </c>
      <c r="JE31" s="3">
        <f>$H31*factors!IY$3</f>
        <v>0.42073781285340001</v>
      </c>
      <c r="JF31" s="3">
        <f>$H31*factors!IZ$3</f>
        <v>0.44162241990299994</v>
      </c>
      <c r="JG31" s="3">
        <f>$H31*factors!JA$3</f>
        <v>0.43379069225939998</v>
      </c>
      <c r="JH31" s="3">
        <f>$H31*factors!JB$3</f>
        <v>0.44205751588320008</v>
      </c>
      <c r="JI31" s="3">
        <f>$H31*factors!JC$3</f>
        <v>0.41377627717020005</v>
      </c>
      <c r="JJ31" s="3">
        <f>$H31*factors!JD$3</f>
        <v>0.44553828372480003</v>
      </c>
      <c r="JK31" s="3">
        <f>$H31*factors!JE$3</f>
        <v>0.43118011637820003</v>
      </c>
      <c r="JL31" s="3">
        <f>$H31*factors!JF$3</f>
        <v>0.44858395558620001</v>
      </c>
      <c r="JM31" s="3">
        <f>$H31*factors!JG$3</f>
        <v>0.41856233295240003</v>
      </c>
      <c r="JN31" s="3">
        <f>$H31*factors!JH$3</f>
        <v>0.41856233295240003</v>
      </c>
      <c r="JO31" s="3">
        <f>$H31*factors!JI$3</f>
        <v>0.41334118118999996</v>
      </c>
      <c r="JP31" s="3">
        <f>$H31*factors!JJ$3</f>
        <v>0.44684357166540001</v>
      </c>
      <c r="JQ31" s="3">
        <f>$H31*factors!JK$3</f>
        <v>0.43553107618019998</v>
      </c>
      <c r="JR31" s="3">
        <f>$H31*factors!JL$3</f>
        <v>0.45249981940799999</v>
      </c>
      <c r="JS31" s="3">
        <f>$H31*factors!JM$3</f>
        <v>0.41334118118999996</v>
      </c>
      <c r="JT31" s="3">
        <f>$H31*factors!JN$3</f>
        <v>0.43422578823960001</v>
      </c>
      <c r="JU31" s="3">
        <f>$H31*factors!JO$3</f>
        <v>0.419867620893</v>
      </c>
      <c r="JV31" s="3">
        <f>$H31*factors!JP$3</f>
        <v>0.42682915657620002</v>
      </c>
      <c r="JW31" s="3">
        <f>$H31*factors!JQ$3</f>
        <v>0.45598058724960006</v>
      </c>
      <c r="JX31" s="3">
        <f>$H31*factors!JR$3</f>
        <v>0.45162962744759999</v>
      </c>
      <c r="JY31" s="3">
        <f>$H31*factors!JS$3</f>
        <v>0.42508877265540002</v>
      </c>
      <c r="JZ31" s="3">
        <f>$H31*factors!JT$3</f>
        <v>0.42987482843760005</v>
      </c>
      <c r="KA31" s="3">
        <f>$H31*factors!JU$3</f>
        <v>0.43161521235840006</v>
      </c>
      <c r="KB31" s="3">
        <f>$H31*factors!JV$3</f>
        <v>0.4172570450118</v>
      </c>
      <c r="KC31" s="3">
        <f>$H31*factors!JW$3</f>
        <v>0.41943252491280003</v>
      </c>
      <c r="KD31" s="3">
        <f>$H31*factors!JX$3</f>
        <v>0.419867620893</v>
      </c>
      <c r="KE31" s="3">
        <f>$H31*factors!JY$3</f>
        <v>0.44684357166540001</v>
      </c>
      <c r="KF31" s="3">
        <f>$H31*factors!JZ$3</f>
        <v>0.45206472342779996</v>
      </c>
      <c r="KG31" s="3">
        <f>$H31*factors!KA$3</f>
        <v>0.43596617216040001</v>
      </c>
      <c r="KH31" s="3">
        <f>$H31*factors!KB$3</f>
        <v>0.42639406059599999</v>
      </c>
      <c r="KI31" s="3">
        <f>$H31*factors!KC$3</f>
        <v>0.42247819677419995</v>
      </c>
    </row>
    <row r="32" spans="1:295" x14ac:dyDescent="0.55000000000000004">
      <c r="A32" t="s">
        <v>408</v>
      </c>
      <c r="B32">
        <v>31</v>
      </c>
      <c r="C32">
        <v>230</v>
      </c>
      <c r="D32" t="s">
        <v>377</v>
      </c>
      <c r="E32">
        <v>1.5035E-2</v>
      </c>
      <c r="F32">
        <v>31</v>
      </c>
      <c r="G32">
        <f>VLOOKUP(D32,demand_forecasted!$A$2:$G$11,2)</f>
        <v>11098</v>
      </c>
      <c r="H32" s="3">
        <f t="shared" si="1"/>
        <v>1.6685843</v>
      </c>
      <c r="I32" s="3">
        <f>$H32*factors!C$3</f>
        <v>1.8471228201000001</v>
      </c>
      <c r="J32" s="3">
        <f>$H32*factors!D$3</f>
        <v>1.780446191472</v>
      </c>
      <c r="K32" s="3">
        <f>$H32*factors!E$3</f>
        <v>1.7498109837240001</v>
      </c>
      <c r="L32" s="3">
        <f>$H32*factors!F$3</f>
        <v>1.7444047705920003</v>
      </c>
      <c r="M32" s="3">
        <f>$H32*factors!G$3</f>
        <v>1.742602699548</v>
      </c>
      <c r="N32" s="3">
        <f>$H32*factors!H$3</f>
        <v>1.79306068878</v>
      </c>
      <c r="O32" s="3">
        <f>$H32*factors!I$3</f>
        <v>1.8327062517479999</v>
      </c>
      <c r="P32" s="3">
        <f>$H32*factors!J$3</f>
        <v>1.8543311042760002</v>
      </c>
      <c r="Q32" s="3">
        <f>$H32*factors!K$3</f>
        <v>1.7408006285040001</v>
      </c>
      <c r="R32" s="3">
        <f>$H32*factors!L$3</f>
        <v>1.7119674918000001</v>
      </c>
      <c r="S32" s="3">
        <f>$H32*factors!M$3</f>
        <v>1.7822482625159999</v>
      </c>
      <c r="T32" s="3">
        <f>$H32*factors!N$3</f>
        <v>1.8435186780120001</v>
      </c>
      <c r="U32" s="3">
        <f>$H32*factors!O$3</f>
        <v>1.7462068416360002</v>
      </c>
      <c r="V32" s="3">
        <f>$H32*factors!P$3</f>
        <v>1.8164876123520002</v>
      </c>
      <c r="W32" s="3">
        <f>$H32*factors!Q$3</f>
        <v>1.8327062517479999</v>
      </c>
      <c r="X32" s="3">
        <f>$H32*factors!R$3</f>
        <v>1.7534151258120001</v>
      </c>
      <c r="Y32" s="3">
        <f>$H32*factors!S$3</f>
        <v>1.7371964864160001</v>
      </c>
      <c r="Z32" s="3">
        <f>$H32*factors!T$3</f>
        <v>1.8741538857600004</v>
      </c>
      <c r="AA32" s="3">
        <f>$H32*factors!U$3</f>
        <v>1.7696337652079999</v>
      </c>
      <c r="AB32" s="3">
        <f>$H32*factors!V$3</f>
        <v>1.7714358362520002</v>
      </c>
      <c r="AC32" s="3">
        <f>$H32*factors!W$3</f>
        <v>1.7732379072960003</v>
      </c>
      <c r="AD32" s="3">
        <f>$H32*factors!X$3</f>
        <v>1.7353944153720002</v>
      </c>
      <c r="AE32" s="3">
        <f>$H32*factors!Y$3</f>
        <v>1.7498109837240001</v>
      </c>
      <c r="AF32" s="3">
        <f>$H32*factors!Z$3</f>
        <v>1.7858524046040003</v>
      </c>
      <c r="AG32" s="3">
        <f>$H32*factors!AA$3</f>
        <v>1.7408006285040001</v>
      </c>
      <c r="AH32" s="3">
        <f>$H32*factors!AB$3</f>
        <v>1.7335923443280001</v>
      </c>
      <c r="AI32" s="3">
        <f>$H32*factors!AC$3</f>
        <v>1.789456546692</v>
      </c>
      <c r="AJ32" s="3">
        <f>$H32*factors!AD$3</f>
        <v>1.857935246364</v>
      </c>
      <c r="AK32" s="3">
        <f>$H32*factors!AE$3</f>
        <v>1.7876544756480002</v>
      </c>
      <c r="AL32" s="3">
        <f>$H32*factors!AF$3</f>
        <v>1.7173737049319999</v>
      </c>
      <c r="AM32" s="3">
        <f>$H32*factors!AG$3</f>
        <v>1.7660296231200001</v>
      </c>
      <c r="AN32" s="3">
        <f>$H32*factors!AH$3</f>
        <v>1.7371964864160001</v>
      </c>
      <c r="AO32" s="3">
        <f>$H32*factors!AI$3</f>
        <v>1.8200917544399999</v>
      </c>
      <c r="AP32" s="3">
        <f>$H32*factors!AJ$3</f>
        <v>1.7444047705920003</v>
      </c>
      <c r="AQ32" s="3">
        <f>$H32*factors!AK$3</f>
        <v>1.8002689729560002</v>
      </c>
      <c r="AR32" s="3">
        <f>$H32*factors!AL$3</f>
        <v>1.7606234099880003</v>
      </c>
      <c r="AS32" s="3">
        <f>$H32*factors!AM$3</f>
        <v>1.7173737049319999</v>
      </c>
      <c r="AT32" s="3">
        <f>$H32*factors!AN$3</f>
        <v>1.7714358362520002</v>
      </c>
      <c r="AU32" s="3">
        <f>$H32*factors!AO$3</f>
        <v>1.8759559568039998</v>
      </c>
      <c r="AV32" s="3">
        <f>$H32*factors!AP$3</f>
        <v>1.7732379072960003</v>
      </c>
      <c r="AW32" s="3">
        <f>$H32*factors!AQ$3</f>
        <v>1.755217196856</v>
      </c>
      <c r="AX32" s="3">
        <f>$H32*factors!AR$3</f>
        <v>1.8561331753200001</v>
      </c>
      <c r="AY32" s="3">
        <f>$H32*factors!AS$3</f>
        <v>1.7119674918000001</v>
      </c>
      <c r="AZ32" s="3">
        <f>$H32*factors!AT$3</f>
        <v>1.8345083227920003</v>
      </c>
      <c r="BA32" s="3">
        <f>$H32*factors!AU$3</f>
        <v>1.7948627598239999</v>
      </c>
      <c r="BB32" s="3">
        <f>$H32*factors!AV$3</f>
        <v>1.7714358362520002</v>
      </c>
      <c r="BC32" s="3">
        <f>$H32*factors!AW$3</f>
        <v>1.8741538857600004</v>
      </c>
      <c r="BD32" s="3">
        <f>$H32*factors!AX$3</f>
        <v>1.7299882022399999</v>
      </c>
      <c r="BE32" s="3">
        <f>$H32*factors!AY$3</f>
        <v>2.033904146642</v>
      </c>
      <c r="BF32" s="3">
        <f>$H32*factors!AZ$3</f>
        <v>1.8941101539879999</v>
      </c>
      <c r="BG32" s="3">
        <f>$H32*factors!BA$3</f>
        <v>1.9216751666239997</v>
      </c>
      <c r="BH32" s="3">
        <f>$H32*factors!BB$3</f>
        <v>1.9472712497859999</v>
      </c>
      <c r="BI32" s="3">
        <f>$H32*factors!BC$3</f>
        <v>2.0181527108499995</v>
      </c>
      <c r="BJ32" s="3">
        <f>$H32*factors!BD$3</f>
        <v>1.9275819550459998</v>
      </c>
      <c r="BK32" s="3">
        <f>$H32*factors!BE$3</f>
        <v>1.9315198139939997</v>
      </c>
      <c r="BL32" s="3">
        <f>$H32*factors!BF$3</f>
        <v>1.9098615897799998</v>
      </c>
      <c r="BM32" s="3">
        <f>$H32*factors!BG$3</f>
        <v>2.0398109350640001</v>
      </c>
      <c r="BN32" s="3">
        <f>$H32*factors!BH$3</f>
        <v>2.014214851902</v>
      </c>
      <c r="BO32" s="3">
        <f>$H32*factors!BI$3</f>
        <v>1.8941101539879999</v>
      </c>
      <c r="BP32" s="3">
        <f>$H32*factors!BJ$3</f>
        <v>1.8882033655659998</v>
      </c>
      <c r="BQ32" s="3">
        <f>$H32*factors!BK$3</f>
        <v>1.9197062371499998</v>
      </c>
      <c r="BR32" s="3">
        <f>$H32*factors!BL$3</f>
        <v>1.9886187687399999</v>
      </c>
      <c r="BS32" s="3">
        <f>$H32*factors!BM$3</f>
        <v>2.0201216403240001</v>
      </c>
      <c r="BT32" s="3">
        <f>$H32*factors!BN$3</f>
        <v>2.0260284287459998</v>
      </c>
      <c r="BU32" s="3">
        <f>$H32*factors!BO$3</f>
        <v>2.0595002298040002</v>
      </c>
      <c r="BV32" s="3">
        <f>$H32*factors!BP$3</f>
        <v>1.9157683782019999</v>
      </c>
      <c r="BW32" s="3">
        <f>$H32*factors!BQ$3</f>
        <v>1.9590848266299998</v>
      </c>
      <c r="BX32" s="3">
        <f>$H32*factors!BR$3</f>
        <v>1.9216751666239997</v>
      </c>
      <c r="BY32" s="3">
        <f>$H32*factors!BS$3</f>
        <v>2.0102769929539996</v>
      </c>
      <c r="BZ32" s="3">
        <f>$H32*factors!BT$3</f>
        <v>1.9728673329479998</v>
      </c>
      <c r="CA32" s="3">
        <f>$H32*factors!BU$3</f>
        <v>1.9472712497859999</v>
      </c>
      <c r="CB32" s="3">
        <f>$H32*factors!BV$3</f>
        <v>1.8842655066179999</v>
      </c>
      <c r="CC32" s="3">
        <f>$H32*factors!BW$3</f>
        <v>1.9393955318899998</v>
      </c>
      <c r="CD32" s="3">
        <f>$H32*factors!BX$3</f>
        <v>1.9453023203119999</v>
      </c>
      <c r="CE32" s="3">
        <f>$H32*factors!BY$3</f>
        <v>1.9728673329479998</v>
      </c>
      <c r="CF32" s="3">
        <f>$H32*factors!BZ$3</f>
        <v>1.9433333908380002</v>
      </c>
      <c r="CG32" s="3">
        <f>$H32*factors!CA$3</f>
        <v>1.8783587181959998</v>
      </c>
      <c r="CH32" s="3">
        <f>$H32*factors!CB$3</f>
        <v>1.8803276476699997</v>
      </c>
      <c r="CI32" s="3">
        <f>$H32*factors!CC$3</f>
        <v>1.8704830002999999</v>
      </c>
      <c r="CJ32" s="3">
        <f>$H32*factors!CD$3</f>
        <v>1.9472712497859999</v>
      </c>
      <c r="CK32" s="3">
        <f>$H32*factors!CE$3</f>
        <v>2.033904146642</v>
      </c>
      <c r="CL32" s="3">
        <f>$H32*factors!CF$3</f>
        <v>1.9059237308319998</v>
      </c>
      <c r="CM32" s="3">
        <f>$H32*factors!CG$3</f>
        <v>1.9512091087339998</v>
      </c>
      <c r="CN32" s="3">
        <f>$H32*factors!CH$3</f>
        <v>1.8862344360919998</v>
      </c>
      <c r="CO32" s="3">
        <f>$H32*factors!CI$3</f>
        <v>1.9000169424099997</v>
      </c>
      <c r="CP32" s="3">
        <f>$H32*factors!CJ$3</f>
        <v>1.9905876982139996</v>
      </c>
      <c r="CQ32" s="3">
        <f>$H32*factors!CK$3</f>
        <v>1.9315198139939997</v>
      </c>
      <c r="CR32" s="3">
        <f>$H32*factors!CL$3</f>
        <v>1.9925566276879998</v>
      </c>
      <c r="CS32" s="3">
        <f>$H32*factors!CM$3</f>
        <v>2.0555623708559998</v>
      </c>
      <c r="CT32" s="3">
        <f>$H32*factors!CN$3</f>
        <v>2.0319352171679999</v>
      </c>
      <c r="CU32" s="3">
        <f>$H32*factors!CO$3</f>
        <v>1.9866498392659997</v>
      </c>
      <c r="CV32" s="3">
        <f>$H32*factors!CP$3</f>
        <v>2.0673759477</v>
      </c>
      <c r="CW32" s="3">
        <f>$H32*factors!CQ$3</f>
        <v>1.9551469676820001</v>
      </c>
      <c r="CX32" s="3">
        <f>$H32*factors!CR$3</f>
        <v>1.9256130255719999</v>
      </c>
      <c r="CY32" s="3">
        <f>$H32*factors!CS$3</f>
        <v>1.9078926603059998</v>
      </c>
      <c r="CZ32" s="3">
        <f>$H32*factors!CT$3</f>
        <v>1.8803276476699997</v>
      </c>
      <c r="DA32" s="3">
        <f>$H32*factors!CU$3</f>
        <v>1.952243631</v>
      </c>
      <c r="DB32" s="3">
        <f>$H32*factors!CV$3</f>
        <v>2.0783886040800001</v>
      </c>
      <c r="DC32" s="3">
        <f>$H32*factors!CW$3</f>
        <v>1.9902873530399998</v>
      </c>
      <c r="DD32" s="3">
        <f>$H32*factors!CX$3</f>
        <v>1.9762712449199999</v>
      </c>
      <c r="DE32" s="3">
        <f>$H32*factors!CY$3</f>
        <v>2.03433797856</v>
      </c>
      <c r="DF32" s="3">
        <f>$H32*factors!CZ$3</f>
        <v>2.0303333762399998</v>
      </c>
      <c r="DG32" s="3">
        <f>$H32*factors!DA$3</f>
        <v>2.0223241715999998</v>
      </c>
      <c r="DH32" s="3">
        <f>$H32*factors!DB$3</f>
        <v>2.0223241715999998</v>
      </c>
      <c r="DI32" s="3">
        <f>$H32*factors!DC$3</f>
        <v>1.9462367275199999</v>
      </c>
      <c r="DJ32" s="3">
        <f>$H32*factors!DD$3</f>
        <v>2.0623701948000002</v>
      </c>
      <c r="DK32" s="3">
        <f>$H32*factors!DE$3</f>
        <v>2.0623701948000002</v>
      </c>
      <c r="DL32" s="3">
        <f>$H32*factors!DF$3</f>
        <v>2.0383425808800002</v>
      </c>
      <c r="DM32" s="3">
        <f>$H32*factors!DG$3</f>
        <v>1.9202068124399998</v>
      </c>
      <c r="DN32" s="3">
        <f>$H32*factors!DH$3</f>
        <v>2.0143149669600002</v>
      </c>
      <c r="DO32" s="3">
        <f>$H32*factors!DI$3</f>
        <v>2.0803909052399998</v>
      </c>
      <c r="DP32" s="3">
        <f>$H32*factors!DJ$3</f>
        <v>2.0623701948000002</v>
      </c>
      <c r="DQ32" s="3">
        <f>$H32*factors!DK$3</f>
        <v>1.9662597391199998</v>
      </c>
      <c r="DR32" s="3">
        <f>$H32*factors!DL$3</f>
        <v>1.94423442636</v>
      </c>
      <c r="DS32" s="3">
        <f>$H32*factors!DM$3</f>
        <v>2.10041391684</v>
      </c>
      <c r="DT32" s="3">
        <f>$H32*factors!DN$3</f>
        <v>1.9742689437600001</v>
      </c>
      <c r="DU32" s="3">
        <f>$H32*factors!DO$3</f>
        <v>2.0663747971199999</v>
      </c>
      <c r="DV32" s="3">
        <f>$H32*factors!DP$3</f>
        <v>2.01831956928</v>
      </c>
      <c r="DW32" s="3">
        <f>$H32*factors!DQ$3</f>
        <v>1.9262137159199999</v>
      </c>
      <c r="DX32" s="3">
        <f>$H32*factors!DR$3</f>
        <v>2.0403448820399999</v>
      </c>
      <c r="DY32" s="3">
        <f>$H32*factors!DS$3</f>
        <v>1.9362252217199998</v>
      </c>
      <c r="DZ32" s="3">
        <f>$H32*factors!DT$3</f>
        <v>2.0703793994399997</v>
      </c>
      <c r="EA32" s="3">
        <f>$H32*factors!DU$3</f>
        <v>1.9502413298399996</v>
      </c>
      <c r="EB32" s="3">
        <f>$H32*factors!DV$3</f>
        <v>1.9021861019999999</v>
      </c>
      <c r="EC32" s="3">
        <f>$H32*factors!DW$3</f>
        <v>2.0463517855199997</v>
      </c>
      <c r="ED32" s="3">
        <f>$H32*factors!DX$3</f>
        <v>1.9202068124399998</v>
      </c>
      <c r="EE32" s="3">
        <f>$H32*factors!DY$3</f>
        <v>1.9362252217199998</v>
      </c>
      <c r="EF32" s="3">
        <f>$H32*factors!DZ$3</f>
        <v>2.10041391684</v>
      </c>
      <c r="EG32" s="3">
        <f>$H32*factors!EA$3</f>
        <v>1.9622551367999999</v>
      </c>
      <c r="EH32" s="3">
        <f>$H32*factors!EB$3</f>
        <v>1.96826204028</v>
      </c>
      <c r="EI32" s="3">
        <f>$H32*factors!EC$3</f>
        <v>1.96425743796</v>
      </c>
      <c r="EJ32" s="3">
        <f>$H32*factors!ED$3</f>
        <v>1.9141999089599999</v>
      </c>
      <c r="EK32" s="3">
        <f>$H32*factors!EE$3</f>
        <v>2.0463517855199997</v>
      </c>
      <c r="EL32" s="3">
        <f>$H32*factors!EF$3</f>
        <v>1.9462367275199999</v>
      </c>
      <c r="EM32" s="3">
        <f>$H32*factors!EG$3</f>
        <v>2.0243264727599999</v>
      </c>
      <c r="EN32" s="3">
        <f>$H32*factors!EH$3</f>
        <v>1.9021861019999999</v>
      </c>
      <c r="EO32" s="3">
        <f>$H32*factors!EI$3</f>
        <v>1.9302183182399997</v>
      </c>
      <c r="EP32" s="3">
        <f>$H32*factors!EJ$3</f>
        <v>2.0363402797200001</v>
      </c>
      <c r="EQ32" s="3">
        <f>$H32*factors!EK$3</f>
        <v>1.9802758472399997</v>
      </c>
      <c r="ER32" s="3">
        <f>$H32*factors!EL$3</f>
        <v>2.0623701948000002</v>
      </c>
      <c r="ES32" s="3">
        <f>$H32*factors!EM$3</f>
        <v>2.0363402797200001</v>
      </c>
      <c r="ET32" s="3">
        <f>$H32*factors!EN$3</f>
        <v>2.0823932063999999</v>
      </c>
      <c r="EU32" s="3">
        <f>$H32*factors!EO$3</f>
        <v>2.1024162180000001</v>
      </c>
      <c r="EV32" s="3">
        <f>$H32*factors!EP$3</f>
        <v>1.9702643414399998</v>
      </c>
      <c r="EW32" s="3">
        <f>$H32*factors!EQ$3</f>
        <v>2.1670738596249999</v>
      </c>
      <c r="EX32" s="3">
        <f>$H32*factors!ER$3</f>
        <v>2.1441308255000004</v>
      </c>
      <c r="EY32" s="3">
        <f>$H32*factors!ES$3</f>
        <v>2.1879311633749996</v>
      </c>
      <c r="EZ32" s="3">
        <f>$H32*factors!ET$3</f>
        <v>2.1670738596249999</v>
      </c>
      <c r="FA32" s="3">
        <f>$H32*factors!EU$3</f>
        <v>1.9918725081249997</v>
      </c>
      <c r="FB32" s="3">
        <f>$H32*factors!EV$3</f>
        <v>2.0815589142499999</v>
      </c>
      <c r="FC32" s="3">
        <f>$H32*factors!EW$3</f>
        <v>2.1399593647500001</v>
      </c>
      <c r="FD32" s="3">
        <f>$H32*factors!EX$3</f>
        <v>2.0648730712500001</v>
      </c>
      <c r="FE32" s="3">
        <f>$H32*factors!EY$3</f>
        <v>2.175416781125</v>
      </c>
      <c r="FF32" s="3">
        <f>$H32*factors!EZ$3</f>
        <v>2.1775025115000002</v>
      </c>
      <c r="FG32" s="3">
        <f>$H32*factors!FA$3</f>
        <v>1.9918725081249997</v>
      </c>
      <c r="FH32" s="3">
        <f>$H32*factors!FB$3</f>
        <v>2.0961590268749997</v>
      </c>
      <c r="FI32" s="3">
        <f>$H32*factors!FC$3</f>
        <v>2.1837597026249997</v>
      </c>
      <c r="FJ32" s="3">
        <f>$H32*factors!FD$3</f>
        <v>2.0961590268749997</v>
      </c>
      <c r="FK32" s="3">
        <f>$H32*factors!FE$3</f>
        <v>2.13161644325</v>
      </c>
      <c r="FL32" s="3">
        <f>$H32*factors!FF$3</f>
        <v>2.137873634375</v>
      </c>
      <c r="FM32" s="3">
        <f>$H32*factors!FG$3</f>
        <v>2.1608166684999999</v>
      </c>
      <c r="FN32" s="3">
        <f>$H32*factors!FH$3</f>
        <v>2.021072733375</v>
      </c>
      <c r="FO32" s="3">
        <f>$H32*factors!FI$3</f>
        <v>2.1462165558749997</v>
      </c>
      <c r="FP32" s="3">
        <f>$H32*factors!FJ$3</f>
        <v>2.0857303749999998</v>
      </c>
      <c r="FQ32" s="3">
        <f>$H32*factors!FK$3</f>
        <v>2.0648730712500001</v>
      </c>
      <c r="FR32" s="3">
        <f>$H32*factors!FL$3</f>
        <v>2.10658767875</v>
      </c>
      <c r="FS32" s="3">
        <f>$H32*factors!FM$3</f>
        <v>2.0940732965</v>
      </c>
      <c r="FT32" s="3">
        <f>$H32*factors!FN$3</f>
        <v>2.1399593647500001</v>
      </c>
      <c r="FU32" s="3">
        <f>$H32*factors!FO$3</f>
        <v>2.0565301497499999</v>
      </c>
      <c r="FV32" s="3">
        <f>$H32*factors!FP$3</f>
        <v>2.0398443067500001</v>
      </c>
      <c r="FW32" s="3">
        <f>$H32*factors!FQ$3</f>
        <v>2.1837597026249997</v>
      </c>
      <c r="FX32" s="3">
        <f>$H32*factors!FR$3</f>
        <v>2.1441308255000004</v>
      </c>
      <c r="FY32" s="3">
        <f>$H32*factors!FS$3</f>
        <v>2.1003304876249995</v>
      </c>
      <c r="FZ32" s="3">
        <f>$H32*factors!FT$3</f>
        <v>1.996043968875</v>
      </c>
      <c r="GA32" s="3">
        <f>$H32*factors!FU$3</f>
        <v>2.1003304876249995</v>
      </c>
      <c r="GB32" s="3">
        <f>$H32*factors!FV$3</f>
        <v>2.1775025115000002</v>
      </c>
      <c r="GC32" s="3">
        <f>$H32*factors!FW$3</f>
        <v>2.0398443067500001</v>
      </c>
      <c r="GD32" s="3">
        <f>$H32*factors!FX$3</f>
        <v>2.0753017231249999</v>
      </c>
      <c r="GE32" s="3">
        <f>$H32*factors!FY$3</f>
        <v>2.0753017231249999</v>
      </c>
      <c r="GF32" s="3">
        <f>$H32*factors!FZ$3</f>
        <v>2.0690445319999999</v>
      </c>
      <c r="GG32" s="3">
        <f>$H32*factors!GA$3</f>
        <v>1.9877010473749999</v>
      </c>
      <c r="GH32" s="3">
        <f>$H32*factors!GB$3</f>
        <v>2.1149306002500001</v>
      </c>
      <c r="GI32" s="3">
        <f>$H32*factors!GC$3</f>
        <v>1.983529586625</v>
      </c>
      <c r="GJ32" s="3">
        <f>$H32*factors!GD$3</f>
        <v>1.9877010473749999</v>
      </c>
      <c r="GK32" s="3">
        <f>$H32*factors!GE$3</f>
        <v>2.0377585763749999</v>
      </c>
      <c r="GL32" s="3">
        <f>$H32*factors!GF$3</f>
        <v>2.1587309381250002</v>
      </c>
      <c r="GM32" s="3">
        <f>$H32*factors!GG$3</f>
        <v>2.0461014978750001</v>
      </c>
      <c r="GN32" s="3">
        <f>$H32*factors!GH$3</f>
        <v>2.1107591395000003</v>
      </c>
      <c r="GO32" s="3">
        <f>$H32*factors!GI$3</f>
        <v>1.9939582384999996</v>
      </c>
      <c r="GP32" s="3">
        <f>$H32*factors!GJ$3</f>
        <v>2.137873634375</v>
      </c>
      <c r="GQ32" s="3">
        <f>$H32*factors!GK$3</f>
        <v>2.18167397225</v>
      </c>
      <c r="GR32" s="3">
        <f>$H32*factors!GL$3</f>
        <v>2.1399593647500001</v>
      </c>
      <c r="GS32" s="3">
        <f>$H32*factors!GM$3</f>
        <v>2.023742468255</v>
      </c>
      <c r="GT32" s="3">
        <f>$H32*factors!GN$3</f>
        <v>2.070362713597</v>
      </c>
      <c r="GU32" s="3">
        <f>$H32*factors!GO$3</f>
        <v>2.119102061</v>
      </c>
      <c r="GV32" s="3">
        <f>$H32*factors!GP$3</f>
        <v>2.03433797856</v>
      </c>
      <c r="GW32" s="3">
        <f>$H32*factors!GQ$3</f>
        <v>2.106387448634</v>
      </c>
      <c r="GX32" s="3">
        <f>$H32*factors!GR$3</f>
        <v>2.072481815658</v>
      </c>
      <c r="GY32" s="3">
        <f>$H32*factors!GS$3</f>
        <v>2.0618863053530001</v>
      </c>
      <c r="GZ32" s="3">
        <f>$H32*factors!GT$3</f>
        <v>2.1381739795489998</v>
      </c>
      <c r="HA32" s="3">
        <f>$H32*factors!GU$3</f>
        <v>2.0682436115359999</v>
      </c>
      <c r="HB32" s="3">
        <f>$H32*factors!GV$3</f>
        <v>2.1381739795489998</v>
      </c>
      <c r="HC32" s="3">
        <f>$H32*factors!GW$3</f>
        <v>2.0851964280240001</v>
      </c>
      <c r="HD32" s="3">
        <f>$H32*factors!GX$3</f>
        <v>2.1466503877929997</v>
      </c>
      <c r="HE32" s="3">
        <f>$H32*factors!GY$3</f>
        <v>2.119102061</v>
      </c>
      <c r="HF32" s="3">
        <f>$H32*factors!GZ$3</f>
        <v>2.1847942248909997</v>
      </c>
      <c r="HG32" s="3">
        <f>$H32*factors!HA$3</f>
        <v>2.1000301424510002</v>
      </c>
      <c r="HH32" s="3">
        <f>$H32*factors!HB$3</f>
        <v>2.072481815658</v>
      </c>
      <c r="HI32" s="3">
        <f>$H32*factors!HC$3</f>
        <v>2.047052590926</v>
      </c>
      <c r="HJ32" s="3">
        <f>$H32*factors!HD$3</f>
        <v>2.023742468255</v>
      </c>
      <c r="HK32" s="3">
        <f>$H32*factors!HE$3</f>
        <v>2.1402930816099999</v>
      </c>
      <c r="HL32" s="3">
        <f>$H32*factors!HF$3</f>
        <v>2.0173851620719998</v>
      </c>
      <c r="HM32" s="3">
        <f>$H32*factors!HG$3</f>
        <v>2.0385761826820001</v>
      </c>
      <c r="HN32" s="3">
        <f>$H32*factors!HH$3</f>
        <v>2.1741987145860002</v>
      </c>
      <c r="HO32" s="3">
        <f>$H32*factors!HI$3</f>
        <v>2.0851964280240001</v>
      </c>
      <c r="HP32" s="3">
        <f>$H32*factors!HJ$3</f>
        <v>2.2250571640500003</v>
      </c>
      <c r="HQ32" s="3">
        <f>$H32*factors!HK$3</f>
        <v>2.03433797856</v>
      </c>
      <c r="HR32" s="3">
        <f>$H32*factors!HL$3</f>
        <v>2.157245898098</v>
      </c>
      <c r="HS32" s="3">
        <f>$H32*factors!HM$3</f>
        <v>2.1953897351960001</v>
      </c>
      <c r="HT32" s="3">
        <f>$H32*factors!HN$3</f>
        <v>2.047052590926</v>
      </c>
      <c r="HU32" s="3">
        <f>$H32*factors!HO$3</f>
        <v>2.0682436115359999</v>
      </c>
      <c r="HV32" s="3">
        <f>$H32*factors!HP$3</f>
        <v>2.0936728362680004</v>
      </c>
      <c r="HW32" s="3">
        <f>$H32*factors!HQ$3</f>
        <v>2.1233402651220001</v>
      </c>
      <c r="HX32" s="3">
        <f>$H32*factors!HR$3</f>
        <v>2.2102234496229998</v>
      </c>
      <c r="HY32" s="3">
        <f>$H32*factors!HS$3</f>
        <v>2.1000301424510002</v>
      </c>
      <c r="HZ32" s="3">
        <f>$H32*factors!HT$3</f>
        <v>2.180556020769</v>
      </c>
      <c r="IA32" s="3">
        <f>$H32*factors!HU$3</f>
        <v>2.0746009177190001</v>
      </c>
      <c r="IB32" s="3">
        <f>$H32*factors!HV$3</f>
        <v>2.1466503877929997</v>
      </c>
      <c r="IC32" s="3">
        <f>$H32*factors!HW$3</f>
        <v>2.167841408403</v>
      </c>
      <c r="ID32" s="3">
        <f>$H32*factors!HX$3</f>
        <v>2.0131469579499996</v>
      </c>
      <c r="IE32" s="3">
        <f>$H32*factors!HY$3</f>
        <v>2.1381739795489998</v>
      </c>
      <c r="IF32" s="3">
        <f>$H32*factors!HZ$3</f>
        <v>2.1254593671829998</v>
      </c>
      <c r="IG32" s="3">
        <f>$H32*factors!IA$3</f>
        <v>2.106387448634</v>
      </c>
      <c r="IH32" s="3">
        <f>$H32*factors!IB$3</f>
        <v>2.1847942248909997</v>
      </c>
      <c r="II32" s="3">
        <f>$H32*factors!IC$3</f>
        <v>2.0915537342069999</v>
      </c>
      <c r="IJ32" s="3">
        <f>$H32*factors!ID$3</f>
        <v>2.1106256527560001</v>
      </c>
      <c r="IK32" s="3">
        <f>$H32*factors!IE$3</f>
        <v>2.1869133269520002</v>
      </c>
      <c r="IL32" s="3">
        <f>$H32*factors!IF$3</f>
        <v>2.0936728362680004</v>
      </c>
      <c r="IM32" s="3">
        <f>$H32*factors!IG$3</f>
        <v>2.0746009177190001</v>
      </c>
      <c r="IN32" s="3">
        <f>$H32*factors!IH$3</f>
        <v>2.0873155300850001</v>
      </c>
      <c r="IO32" s="3">
        <f>$H32*factors!II$3</f>
        <v>2.108506550695</v>
      </c>
      <c r="IP32" s="3">
        <f>$H32*factors!IJ$3</f>
        <v>2.0385761826820001</v>
      </c>
      <c r="IQ32" s="3">
        <f>$H32*factors!IK$3</f>
        <v>2.0322188764989999</v>
      </c>
      <c r="IR32" s="3">
        <f>$H32*factors!IL$3</f>
        <v>2.0915537342069999</v>
      </c>
      <c r="IS32" s="3">
        <f>$H32*factors!IM$3</f>
        <v>2.108506550695</v>
      </c>
      <c r="IT32" s="3">
        <f>$H32*factors!IN$3</f>
        <v>2.1233402651220001</v>
      </c>
      <c r="IU32" s="3">
        <f>$H32*factors!IO$3</f>
        <v>2.1699605104640001</v>
      </c>
      <c r="IV32" s="3">
        <f>$H32*factors!IP$3</f>
        <v>2.1975088372569997</v>
      </c>
      <c r="IW32" s="3">
        <f>$H32*factors!IQ$3</f>
        <v>2.0767200197799998</v>
      </c>
      <c r="IX32" s="3">
        <f>$H32*factors!IR$3</f>
        <v>2.1699605104640001</v>
      </c>
      <c r="IY32" s="3">
        <f>$H32*factors!IS$3</f>
        <v>2.1381739795489998</v>
      </c>
      <c r="IZ32" s="3">
        <f>$H32*factors!IT$3</f>
        <v>2.1741987145860002</v>
      </c>
      <c r="JA32" s="3">
        <f>$H32*factors!IU$3</f>
        <v>2.0534098971089998</v>
      </c>
      <c r="JB32" s="3">
        <f>$H32*factors!IV$3</f>
        <v>2.0915537342069999</v>
      </c>
      <c r="JC32" s="3">
        <f>$H32*factors!IW$3</f>
        <v>2.0428143868040003</v>
      </c>
      <c r="JD32" s="3">
        <f>$H32*factors!IX$3</f>
        <v>2.2250571640500003</v>
      </c>
      <c r="JE32" s="3">
        <f>$H32*factors!IY$3</f>
        <v>2.0491716929870001</v>
      </c>
      <c r="JF32" s="3">
        <f>$H32*factors!IZ$3</f>
        <v>2.1508885919149998</v>
      </c>
      <c r="JG32" s="3">
        <f>$H32*factors!JA$3</f>
        <v>2.1127447548169997</v>
      </c>
      <c r="JH32" s="3">
        <f>$H32*factors!JB$3</f>
        <v>2.1530076939760003</v>
      </c>
      <c r="JI32" s="3">
        <f>$H32*factors!JC$3</f>
        <v>2.0152660600110002</v>
      </c>
      <c r="JJ32" s="3">
        <f>$H32*factors!JD$3</f>
        <v>2.1699605104640001</v>
      </c>
      <c r="JK32" s="3">
        <f>$H32*factors!JE$3</f>
        <v>2.1000301424510002</v>
      </c>
      <c r="JL32" s="3">
        <f>$H32*factors!JF$3</f>
        <v>2.1847942248909997</v>
      </c>
      <c r="JM32" s="3">
        <f>$H32*factors!JG$3</f>
        <v>2.0385761826820001</v>
      </c>
      <c r="JN32" s="3">
        <f>$H32*factors!JH$3</f>
        <v>2.0385761826820001</v>
      </c>
      <c r="JO32" s="3">
        <f>$H32*factors!JI$3</f>
        <v>2.0131469579499996</v>
      </c>
      <c r="JP32" s="3">
        <f>$H32*factors!JJ$3</f>
        <v>2.1763178166469999</v>
      </c>
      <c r="JQ32" s="3">
        <f>$H32*factors!JK$3</f>
        <v>2.1212211630610001</v>
      </c>
      <c r="JR32" s="3">
        <f>$H32*factors!JL$3</f>
        <v>2.20386614344</v>
      </c>
      <c r="JS32" s="3">
        <f>$H32*factors!JM$3</f>
        <v>2.0131469579499996</v>
      </c>
      <c r="JT32" s="3">
        <f>$H32*factors!JN$3</f>
        <v>2.1148638568780003</v>
      </c>
      <c r="JU32" s="3">
        <f>$H32*factors!JO$3</f>
        <v>2.0449334888649999</v>
      </c>
      <c r="JV32" s="3">
        <f>$H32*factors!JP$3</f>
        <v>2.0788391218410003</v>
      </c>
      <c r="JW32" s="3">
        <f>$H32*factors!JQ$3</f>
        <v>2.2208189599280002</v>
      </c>
      <c r="JX32" s="3">
        <f>$H32*factors!JR$3</f>
        <v>2.1996279393179998</v>
      </c>
      <c r="JY32" s="3">
        <f>$H32*factors!JS$3</f>
        <v>2.070362713597</v>
      </c>
      <c r="JZ32" s="3">
        <f>$H32*factors!JT$3</f>
        <v>2.0936728362680004</v>
      </c>
      <c r="KA32" s="3">
        <f>$H32*factors!JU$3</f>
        <v>2.1021492445120002</v>
      </c>
      <c r="KB32" s="3">
        <f>$H32*factors!JV$3</f>
        <v>2.0322188764989999</v>
      </c>
      <c r="KC32" s="3">
        <f>$H32*factors!JW$3</f>
        <v>2.0428143868040003</v>
      </c>
      <c r="KD32" s="3">
        <f>$H32*factors!JX$3</f>
        <v>2.0449334888649999</v>
      </c>
      <c r="KE32" s="3">
        <f>$H32*factors!JY$3</f>
        <v>2.1763178166469999</v>
      </c>
      <c r="KF32" s="3">
        <f>$H32*factors!JZ$3</f>
        <v>2.2017470413789999</v>
      </c>
      <c r="KG32" s="3">
        <f>$H32*factors!KA$3</f>
        <v>2.1233402651220001</v>
      </c>
      <c r="KH32" s="3">
        <f>$H32*factors!KB$3</f>
        <v>2.0767200197799998</v>
      </c>
      <c r="KI32" s="3">
        <f>$H32*factors!KC$3</f>
        <v>2.0576481012309999</v>
      </c>
    </row>
    <row r="33" spans="1:295" x14ac:dyDescent="0.55000000000000004">
      <c r="A33" t="s">
        <v>409</v>
      </c>
      <c r="B33">
        <v>32</v>
      </c>
      <c r="C33">
        <v>230</v>
      </c>
      <c r="D33" t="s">
        <v>377</v>
      </c>
      <c r="E33">
        <v>1.5035E-2</v>
      </c>
      <c r="F33">
        <v>32</v>
      </c>
      <c r="G33">
        <f>VLOOKUP(D33,demand_forecasted!$A$2:$G$11,2)</f>
        <v>11098</v>
      </c>
      <c r="H33" s="3">
        <f t="shared" si="1"/>
        <v>1.6685843</v>
      </c>
      <c r="I33" s="3">
        <f>$H33*factors!C$3</f>
        <v>1.8471228201000001</v>
      </c>
      <c r="J33" s="3">
        <f>$H33*factors!D$3</f>
        <v>1.780446191472</v>
      </c>
      <c r="K33" s="3">
        <f>$H33*factors!E$3</f>
        <v>1.7498109837240001</v>
      </c>
      <c r="L33" s="3">
        <f>$H33*factors!F$3</f>
        <v>1.7444047705920003</v>
      </c>
      <c r="M33" s="3">
        <f>$H33*factors!G$3</f>
        <v>1.742602699548</v>
      </c>
      <c r="N33" s="3">
        <f>$H33*factors!H$3</f>
        <v>1.79306068878</v>
      </c>
      <c r="O33" s="3">
        <f>$H33*factors!I$3</f>
        <v>1.8327062517479999</v>
      </c>
      <c r="P33" s="3">
        <f>$H33*factors!J$3</f>
        <v>1.8543311042760002</v>
      </c>
      <c r="Q33" s="3">
        <f>$H33*factors!K$3</f>
        <v>1.7408006285040001</v>
      </c>
      <c r="R33" s="3">
        <f>$H33*factors!L$3</f>
        <v>1.7119674918000001</v>
      </c>
      <c r="S33" s="3">
        <f>$H33*factors!M$3</f>
        <v>1.7822482625159999</v>
      </c>
      <c r="T33" s="3">
        <f>$H33*factors!N$3</f>
        <v>1.8435186780120001</v>
      </c>
      <c r="U33" s="3">
        <f>$H33*factors!O$3</f>
        <v>1.7462068416360002</v>
      </c>
      <c r="V33" s="3">
        <f>$H33*factors!P$3</f>
        <v>1.8164876123520002</v>
      </c>
      <c r="W33" s="3">
        <f>$H33*factors!Q$3</f>
        <v>1.8327062517479999</v>
      </c>
      <c r="X33" s="3">
        <f>$H33*factors!R$3</f>
        <v>1.7534151258120001</v>
      </c>
      <c r="Y33" s="3">
        <f>$H33*factors!S$3</f>
        <v>1.7371964864160001</v>
      </c>
      <c r="Z33" s="3">
        <f>$H33*factors!T$3</f>
        <v>1.8741538857600004</v>
      </c>
      <c r="AA33" s="3">
        <f>$H33*factors!U$3</f>
        <v>1.7696337652079999</v>
      </c>
      <c r="AB33" s="3">
        <f>$H33*factors!V$3</f>
        <v>1.7714358362520002</v>
      </c>
      <c r="AC33" s="3">
        <f>$H33*factors!W$3</f>
        <v>1.7732379072960003</v>
      </c>
      <c r="AD33" s="3">
        <f>$H33*factors!X$3</f>
        <v>1.7353944153720002</v>
      </c>
      <c r="AE33" s="3">
        <f>$H33*factors!Y$3</f>
        <v>1.7498109837240001</v>
      </c>
      <c r="AF33" s="3">
        <f>$H33*factors!Z$3</f>
        <v>1.7858524046040003</v>
      </c>
      <c r="AG33" s="3">
        <f>$H33*factors!AA$3</f>
        <v>1.7408006285040001</v>
      </c>
      <c r="AH33" s="3">
        <f>$H33*factors!AB$3</f>
        <v>1.7335923443280001</v>
      </c>
      <c r="AI33" s="3">
        <f>$H33*factors!AC$3</f>
        <v>1.789456546692</v>
      </c>
      <c r="AJ33" s="3">
        <f>$H33*factors!AD$3</f>
        <v>1.857935246364</v>
      </c>
      <c r="AK33" s="3">
        <f>$H33*factors!AE$3</f>
        <v>1.7876544756480002</v>
      </c>
      <c r="AL33" s="3">
        <f>$H33*factors!AF$3</f>
        <v>1.7173737049319999</v>
      </c>
      <c r="AM33" s="3">
        <f>$H33*factors!AG$3</f>
        <v>1.7660296231200001</v>
      </c>
      <c r="AN33" s="3">
        <f>$H33*factors!AH$3</f>
        <v>1.7371964864160001</v>
      </c>
      <c r="AO33" s="3">
        <f>$H33*factors!AI$3</f>
        <v>1.8200917544399999</v>
      </c>
      <c r="AP33" s="3">
        <f>$H33*factors!AJ$3</f>
        <v>1.7444047705920003</v>
      </c>
      <c r="AQ33" s="3">
        <f>$H33*factors!AK$3</f>
        <v>1.8002689729560002</v>
      </c>
      <c r="AR33" s="3">
        <f>$H33*factors!AL$3</f>
        <v>1.7606234099880003</v>
      </c>
      <c r="AS33" s="3">
        <f>$H33*factors!AM$3</f>
        <v>1.7173737049319999</v>
      </c>
      <c r="AT33" s="3">
        <f>$H33*factors!AN$3</f>
        <v>1.7714358362520002</v>
      </c>
      <c r="AU33" s="3">
        <f>$H33*factors!AO$3</f>
        <v>1.8759559568039998</v>
      </c>
      <c r="AV33" s="3">
        <f>$H33*factors!AP$3</f>
        <v>1.7732379072960003</v>
      </c>
      <c r="AW33" s="3">
        <f>$H33*factors!AQ$3</f>
        <v>1.755217196856</v>
      </c>
      <c r="AX33" s="3">
        <f>$H33*factors!AR$3</f>
        <v>1.8561331753200001</v>
      </c>
      <c r="AY33" s="3">
        <f>$H33*factors!AS$3</f>
        <v>1.7119674918000001</v>
      </c>
      <c r="AZ33" s="3">
        <f>$H33*factors!AT$3</f>
        <v>1.8345083227920003</v>
      </c>
      <c r="BA33" s="3">
        <f>$H33*factors!AU$3</f>
        <v>1.7948627598239999</v>
      </c>
      <c r="BB33" s="3">
        <f>$H33*factors!AV$3</f>
        <v>1.7714358362520002</v>
      </c>
      <c r="BC33" s="3">
        <f>$H33*factors!AW$3</f>
        <v>1.8741538857600004</v>
      </c>
      <c r="BD33" s="3">
        <f>$H33*factors!AX$3</f>
        <v>1.7299882022399999</v>
      </c>
      <c r="BE33" s="3">
        <f>$H33*factors!AY$3</f>
        <v>2.033904146642</v>
      </c>
      <c r="BF33" s="3">
        <f>$H33*factors!AZ$3</f>
        <v>1.8941101539879999</v>
      </c>
      <c r="BG33" s="3">
        <f>$H33*factors!BA$3</f>
        <v>1.9216751666239997</v>
      </c>
      <c r="BH33" s="3">
        <f>$H33*factors!BB$3</f>
        <v>1.9472712497859999</v>
      </c>
      <c r="BI33" s="3">
        <f>$H33*factors!BC$3</f>
        <v>2.0181527108499995</v>
      </c>
      <c r="BJ33" s="3">
        <f>$H33*factors!BD$3</f>
        <v>1.9275819550459998</v>
      </c>
      <c r="BK33" s="3">
        <f>$H33*factors!BE$3</f>
        <v>1.9315198139939997</v>
      </c>
      <c r="BL33" s="3">
        <f>$H33*factors!BF$3</f>
        <v>1.9098615897799998</v>
      </c>
      <c r="BM33" s="3">
        <f>$H33*factors!BG$3</f>
        <v>2.0398109350640001</v>
      </c>
      <c r="BN33" s="3">
        <f>$H33*factors!BH$3</f>
        <v>2.014214851902</v>
      </c>
      <c r="BO33" s="3">
        <f>$H33*factors!BI$3</f>
        <v>1.8941101539879999</v>
      </c>
      <c r="BP33" s="3">
        <f>$H33*factors!BJ$3</f>
        <v>1.8882033655659998</v>
      </c>
      <c r="BQ33" s="3">
        <f>$H33*factors!BK$3</f>
        <v>1.9197062371499998</v>
      </c>
      <c r="BR33" s="3">
        <f>$H33*factors!BL$3</f>
        <v>1.9886187687399999</v>
      </c>
      <c r="BS33" s="3">
        <f>$H33*factors!BM$3</f>
        <v>2.0201216403240001</v>
      </c>
      <c r="BT33" s="3">
        <f>$H33*factors!BN$3</f>
        <v>2.0260284287459998</v>
      </c>
      <c r="BU33" s="3">
        <f>$H33*factors!BO$3</f>
        <v>2.0595002298040002</v>
      </c>
      <c r="BV33" s="3">
        <f>$H33*factors!BP$3</f>
        <v>1.9157683782019999</v>
      </c>
      <c r="BW33" s="3">
        <f>$H33*factors!BQ$3</f>
        <v>1.9590848266299998</v>
      </c>
      <c r="BX33" s="3">
        <f>$H33*factors!BR$3</f>
        <v>1.9216751666239997</v>
      </c>
      <c r="BY33" s="3">
        <f>$H33*factors!BS$3</f>
        <v>2.0102769929539996</v>
      </c>
      <c r="BZ33" s="3">
        <f>$H33*factors!BT$3</f>
        <v>1.9728673329479998</v>
      </c>
      <c r="CA33" s="3">
        <f>$H33*factors!BU$3</f>
        <v>1.9472712497859999</v>
      </c>
      <c r="CB33" s="3">
        <f>$H33*factors!BV$3</f>
        <v>1.8842655066179999</v>
      </c>
      <c r="CC33" s="3">
        <f>$H33*factors!BW$3</f>
        <v>1.9393955318899998</v>
      </c>
      <c r="CD33" s="3">
        <f>$H33*factors!BX$3</f>
        <v>1.9453023203119999</v>
      </c>
      <c r="CE33" s="3">
        <f>$H33*factors!BY$3</f>
        <v>1.9728673329479998</v>
      </c>
      <c r="CF33" s="3">
        <f>$H33*factors!BZ$3</f>
        <v>1.9433333908380002</v>
      </c>
      <c r="CG33" s="3">
        <f>$H33*factors!CA$3</f>
        <v>1.8783587181959998</v>
      </c>
      <c r="CH33" s="3">
        <f>$H33*factors!CB$3</f>
        <v>1.8803276476699997</v>
      </c>
      <c r="CI33" s="3">
        <f>$H33*factors!CC$3</f>
        <v>1.8704830002999999</v>
      </c>
      <c r="CJ33" s="3">
        <f>$H33*factors!CD$3</f>
        <v>1.9472712497859999</v>
      </c>
      <c r="CK33" s="3">
        <f>$H33*factors!CE$3</f>
        <v>2.033904146642</v>
      </c>
      <c r="CL33" s="3">
        <f>$H33*factors!CF$3</f>
        <v>1.9059237308319998</v>
      </c>
      <c r="CM33" s="3">
        <f>$H33*factors!CG$3</f>
        <v>1.9512091087339998</v>
      </c>
      <c r="CN33" s="3">
        <f>$H33*factors!CH$3</f>
        <v>1.8862344360919998</v>
      </c>
      <c r="CO33" s="3">
        <f>$H33*factors!CI$3</f>
        <v>1.9000169424099997</v>
      </c>
      <c r="CP33" s="3">
        <f>$H33*factors!CJ$3</f>
        <v>1.9905876982139996</v>
      </c>
      <c r="CQ33" s="3">
        <f>$H33*factors!CK$3</f>
        <v>1.9315198139939997</v>
      </c>
      <c r="CR33" s="3">
        <f>$H33*factors!CL$3</f>
        <v>1.9925566276879998</v>
      </c>
      <c r="CS33" s="3">
        <f>$H33*factors!CM$3</f>
        <v>2.0555623708559998</v>
      </c>
      <c r="CT33" s="3">
        <f>$H33*factors!CN$3</f>
        <v>2.0319352171679999</v>
      </c>
      <c r="CU33" s="3">
        <f>$H33*factors!CO$3</f>
        <v>1.9866498392659997</v>
      </c>
      <c r="CV33" s="3">
        <f>$H33*factors!CP$3</f>
        <v>2.0673759477</v>
      </c>
      <c r="CW33" s="3">
        <f>$H33*factors!CQ$3</f>
        <v>1.9551469676820001</v>
      </c>
      <c r="CX33" s="3">
        <f>$H33*factors!CR$3</f>
        <v>1.9256130255719999</v>
      </c>
      <c r="CY33" s="3">
        <f>$H33*factors!CS$3</f>
        <v>1.9078926603059998</v>
      </c>
      <c r="CZ33" s="3">
        <f>$H33*factors!CT$3</f>
        <v>1.8803276476699997</v>
      </c>
      <c r="DA33" s="3">
        <f>$H33*factors!CU$3</f>
        <v>1.952243631</v>
      </c>
      <c r="DB33" s="3">
        <f>$H33*factors!CV$3</f>
        <v>2.0783886040800001</v>
      </c>
      <c r="DC33" s="3">
        <f>$H33*factors!CW$3</f>
        <v>1.9902873530399998</v>
      </c>
      <c r="DD33" s="3">
        <f>$H33*factors!CX$3</f>
        <v>1.9762712449199999</v>
      </c>
      <c r="DE33" s="3">
        <f>$H33*factors!CY$3</f>
        <v>2.03433797856</v>
      </c>
      <c r="DF33" s="3">
        <f>$H33*factors!CZ$3</f>
        <v>2.0303333762399998</v>
      </c>
      <c r="DG33" s="3">
        <f>$H33*factors!DA$3</f>
        <v>2.0223241715999998</v>
      </c>
      <c r="DH33" s="3">
        <f>$H33*factors!DB$3</f>
        <v>2.0223241715999998</v>
      </c>
      <c r="DI33" s="3">
        <f>$H33*factors!DC$3</f>
        <v>1.9462367275199999</v>
      </c>
      <c r="DJ33" s="3">
        <f>$H33*factors!DD$3</f>
        <v>2.0623701948000002</v>
      </c>
      <c r="DK33" s="3">
        <f>$H33*factors!DE$3</f>
        <v>2.0623701948000002</v>
      </c>
      <c r="DL33" s="3">
        <f>$H33*factors!DF$3</f>
        <v>2.0383425808800002</v>
      </c>
      <c r="DM33" s="3">
        <f>$H33*factors!DG$3</f>
        <v>1.9202068124399998</v>
      </c>
      <c r="DN33" s="3">
        <f>$H33*factors!DH$3</f>
        <v>2.0143149669600002</v>
      </c>
      <c r="DO33" s="3">
        <f>$H33*factors!DI$3</f>
        <v>2.0803909052399998</v>
      </c>
      <c r="DP33" s="3">
        <f>$H33*factors!DJ$3</f>
        <v>2.0623701948000002</v>
      </c>
      <c r="DQ33" s="3">
        <f>$H33*factors!DK$3</f>
        <v>1.9662597391199998</v>
      </c>
      <c r="DR33" s="3">
        <f>$H33*factors!DL$3</f>
        <v>1.94423442636</v>
      </c>
      <c r="DS33" s="3">
        <f>$H33*factors!DM$3</f>
        <v>2.10041391684</v>
      </c>
      <c r="DT33" s="3">
        <f>$H33*factors!DN$3</f>
        <v>1.9742689437600001</v>
      </c>
      <c r="DU33" s="3">
        <f>$H33*factors!DO$3</f>
        <v>2.0663747971199999</v>
      </c>
      <c r="DV33" s="3">
        <f>$H33*factors!DP$3</f>
        <v>2.01831956928</v>
      </c>
      <c r="DW33" s="3">
        <f>$H33*factors!DQ$3</f>
        <v>1.9262137159199999</v>
      </c>
      <c r="DX33" s="3">
        <f>$H33*factors!DR$3</f>
        <v>2.0403448820399999</v>
      </c>
      <c r="DY33" s="3">
        <f>$H33*factors!DS$3</f>
        <v>1.9362252217199998</v>
      </c>
      <c r="DZ33" s="3">
        <f>$H33*factors!DT$3</f>
        <v>2.0703793994399997</v>
      </c>
      <c r="EA33" s="3">
        <f>$H33*factors!DU$3</f>
        <v>1.9502413298399996</v>
      </c>
      <c r="EB33" s="3">
        <f>$H33*factors!DV$3</f>
        <v>1.9021861019999999</v>
      </c>
      <c r="EC33" s="3">
        <f>$H33*factors!DW$3</f>
        <v>2.0463517855199997</v>
      </c>
      <c r="ED33" s="3">
        <f>$H33*factors!DX$3</f>
        <v>1.9202068124399998</v>
      </c>
      <c r="EE33" s="3">
        <f>$H33*factors!DY$3</f>
        <v>1.9362252217199998</v>
      </c>
      <c r="EF33" s="3">
        <f>$H33*factors!DZ$3</f>
        <v>2.10041391684</v>
      </c>
      <c r="EG33" s="3">
        <f>$H33*factors!EA$3</f>
        <v>1.9622551367999999</v>
      </c>
      <c r="EH33" s="3">
        <f>$H33*factors!EB$3</f>
        <v>1.96826204028</v>
      </c>
      <c r="EI33" s="3">
        <f>$H33*factors!EC$3</f>
        <v>1.96425743796</v>
      </c>
      <c r="EJ33" s="3">
        <f>$H33*factors!ED$3</f>
        <v>1.9141999089599999</v>
      </c>
      <c r="EK33" s="3">
        <f>$H33*factors!EE$3</f>
        <v>2.0463517855199997</v>
      </c>
      <c r="EL33" s="3">
        <f>$H33*factors!EF$3</f>
        <v>1.9462367275199999</v>
      </c>
      <c r="EM33" s="3">
        <f>$H33*factors!EG$3</f>
        <v>2.0243264727599999</v>
      </c>
      <c r="EN33" s="3">
        <f>$H33*factors!EH$3</f>
        <v>1.9021861019999999</v>
      </c>
      <c r="EO33" s="3">
        <f>$H33*factors!EI$3</f>
        <v>1.9302183182399997</v>
      </c>
      <c r="EP33" s="3">
        <f>$H33*factors!EJ$3</f>
        <v>2.0363402797200001</v>
      </c>
      <c r="EQ33" s="3">
        <f>$H33*factors!EK$3</f>
        <v>1.9802758472399997</v>
      </c>
      <c r="ER33" s="3">
        <f>$H33*factors!EL$3</f>
        <v>2.0623701948000002</v>
      </c>
      <c r="ES33" s="3">
        <f>$H33*factors!EM$3</f>
        <v>2.0363402797200001</v>
      </c>
      <c r="ET33" s="3">
        <f>$H33*factors!EN$3</f>
        <v>2.0823932063999999</v>
      </c>
      <c r="EU33" s="3">
        <f>$H33*factors!EO$3</f>
        <v>2.1024162180000001</v>
      </c>
      <c r="EV33" s="3">
        <f>$H33*factors!EP$3</f>
        <v>1.9702643414399998</v>
      </c>
      <c r="EW33" s="3">
        <f>$H33*factors!EQ$3</f>
        <v>2.1670738596249999</v>
      </c>
      <c r="EX33" s="3">
        <f>$H33*factors!ER$3</f>
        <v>2.1441308255000004</v>
      </c>
      <c r="EY33" s="3">
        <f>$H33*factors!ES$3</f>
        <v>2.1879311633749996</v>
      </c>
      <c r="EZ33" s="3">
        <f>$H33*factors!ET$3</f>
        <v>2.1670738596249999</v>
      </c>
      <c r="FA33" s="3">
        <f>$H33*factors!EU$3</f>
        <v>1.9918725081249997</v>
      </c>
      <c r="FB33" s="3">
        <f>$H33*factors!EV$3</f>
        <v>2.0815589142499999</v>
      </c>
      <c r="FC33" s="3">
        <f>$H33*factors!EW$3</f>
        <v>2.1399593647500001</v>
      </c>
      <c r="FD33" s="3">
        <f>$H33*factors!EX$3</f>
        <v>2.0648730712500001</v>
      </c>
      <c r="FE33" s="3">
        <f>$H33*factors!EY$3</f>
        <v>2.175416781125</v>
      </c>
      <c r="FF33" s="3">
        <f>$H33*factors!EZ$3</f>
        <v>2.1775025115000002</v>
      </c>
      <c r="FG33" s="3">
        <f>$H33*factors!FA$3</f>
        <v>1.9918725081249997</v>
      </c>
      <c r="FH33" s="3">
        <f>$H33*factors!FB$3</f>
        <v>2.0961590268749997</v>
      </c>
      <c r="FI33" s="3">
        <f>$H33*factors!FC$3</f>
        <v>2.1837597026249997</v>
      </c>
      <c r="FJ33" s="3">
        <f>$H33*factors!FD$3</f>
        <v>2.0961590268749997</v>
      </c>
      <c r="FK33" s="3">
        <f>$H33*factors!FE$3</f>
        <v>2.13161644325</v>
      </c>
      <c r="FL33" s="3">
        <f>$H33*factors!FF$3</f>
        <v>2.137873634375</v>
      </c>
      <c r="FM33" s="3">
        <f>$H33*factors!FG$3</f>
        <v>2.1608166684999999</v>
      </c>
      <c r="FN33" s="3">
        <f>$H33*factors!FH$3</f>
        <v>2.021072733375</v>
      </c>
      <c r="FO33" s="3">
        <f>$H33*factors!FI$3</f>
        <v>2.1462165558749997</v>
      </c>
      <c r="FP33" s="3">
        <f>$H33*factors!FJ$3</f>
        <v>2.0857303749999998</v>
      </c>
      <c r="FQ33" s="3">
        <f>$H33*factors!FK$3</f>
        <v>2.0648730712500001</v>
      </c>
      <c r="FR33" s="3">
        <f>$H33*factors!FL$3</f>
        <v>2.10658767875</v>
      </c>
      <c r="FS33" s="3">
        <f>$H33*factors!FM$3</f>
        <v>2.0940732965</v>
      </c>
      <c r="FT33" s="3">
        <f>$H33*factors!FN$3</f>
        <v>2.1399593647500001</v>
      </c>
      <c r="FU33" s="3">
        <f>$H33*factors!FO$3</f>
        <v>2.0565301497499999</v>
      </c>
      <c r="FV33" s="3">
        <f>$H33*factors!FP$3</f>
        <v>2.0398443067500001</v>
      </c>
      <c r="FW33" s="3">
        <f>$H33*factors!FQ$3</f>
        <v>2.1837597026249997</v>
      </c>
      <c r="FX33" s="3">
        <f>$H33*factors!FR$3</f>
        <v>2.1441308255000004</v>
      </c>
      <c r="FY33" s="3">
        <f>$H33*factors!FS$3</f>
        <v>2.1003304876249995</v>
      </c>
      <c r="FZ33" s="3">
        <f>$H33*factors!FT$3</f>
        <v>1.996043968875</v>
      </c>
      <c r="GA33" s="3">
        <f>$H33*factors!FU$3</f>
        <v>2.1003304876249995</v>
      </c>
      <c r="GB33" s="3">
        <f>$H33*factors!FV$3</f>
        <v>2.1775025115000002</v>
      </c>
      <c r="GC33" s="3">
        <f>$H33*factors!FW$3</f>
        <v>2.0398443067500001</v>
      </c>
      <c r="GD33" s="3">
        <f>$H33*factors!FX$3</f>
        <v>2.0753017231249999</v>
      </c>
      <c r="GE33" s="3">
        <f>$H33*factors!FY$3</f>
        <v>2.0753017231249999</v>
      </c>
      <c r="GF33" s="3">
        <f>$H33*factors!FZ$3</f>
        <v>2.0690445319999999</v>
      </c>
      <c r="GG33" s="3">
        <f>$H33*factors!GA$3</f>
        <v>1.9877010473749999</v>
      </c>
      <c r="GH33" s="3">
        <f>$H33*factors!GB$3</f>
        <v>2.1149306002500001</v>
      </c>
      <c r="GI33" s="3">
        <f>$H33*factors!GC$3</f>
        <v>1.983529586625</v>
      </c>
      <c r="GJ33" s="3">
        <f>$H33*factors!GD$3</f>
        <v>1.9877010473749999</v>
      </c>
      <c r="GK33" s="3">
        <f>$H33*factors!GE$3</f>
        <v>2.0377585763749999</v>
      </c>
      <c r="GL33" s="3">
        <f>$H33*factors!GF$3</f>
        <v>2.1587309381250002</v>
      </c>
      <c r="GM33" s="3">
        <f>$H33*factors!GG$3</f>
        <v>2.0461014978750001</v>
      </c>
      <c r="GN33" s="3">
        <f>$H33*factors!GH$3</f>
        <v>2.1107591395000003</v>
      </c>
      <c r="GO33" s="3">
        <f>$H33*factors!GI$3</f>
        <v>1.9939582384999996</v>
      </c>
      <c r="GP33" s="3">
        <f>$H33*factors!GJ$3</f>
        <v>2.137873634375</v>
      </c>
      <c r="GQ33" s="3">
        <f>$H33*factors!GK$3</f>
        <v>2.18167397225</v>
      </c>
      <c r="GR33" s="3">
        <f>$H33*factors!GL$3</f>
        <v>2.1399593647500001</v>
      </c>
      <c r="GS33" s="3">
        <f>$H33*factors!GM$3</f>
        <v>2.023742468255</v>
      </c>
      <c r="GT33" s="3">
        <f>$H33*factors!GN$3</f>
        <v>2.070362713597</v>
      </c>
      <c r="GU33" s="3">
        <f>$H33*factors!GO$3</f>
        <v>2.119102061</v>
      </c>
      <c r="GV33" s="3">
        <f>$H33*factors!GP$3</f>
        <v>2.03433797856</v>
      </c>
      <c r="GW33" s="3">
        <f>$H33*factors!GQ$3</f>
        <v>2.106387448634</v>
      </c>
      <c r="GX33" s="3">
        <f>$H33*factors!GR$3</f>
        <v>2.072481815658</v>
      </c>
      <c r="GY33" s="3">
        <f>$H33*factors!GS$3</f>
        <v>2.0618863053530001</v>
      </c>
      <c r="GZ33" s="3">
        <f>$H33*factors!GT$3</f>
        <v>2.1381739795489998</v>
      </c>
      <c r="HA33" s="3">
        <f>$H33*factors!GU$3</f>
        <v>2.0682436115359999</v>
      </c>
      <c r="HB33" s="3">
        <f>$H33*factors!GV$3</f>
        <v>2.1381739795489998</v>
      </c>
      <c r="HC33" s="3">
        <f>$H33*factors!GW$3</f>
        <v>2.0851964280240001</v>
      </c>
      <c r="HD33" s="3">
        <f>$H33*factors!GX$3</f>
        <v>2.1466503877929997</v>
      </c>
      <c r="HE33" s="3">
        <f>$H33*factors!GY$3</f>
        <v>2.119102061</v>
      </c>
      <c r="HF33" s="3">
        <f>$H33*factors!GZ$3</f>
        <v>2.1847942248909997</v>
      </c>
      <c r="HG33" s="3">
        <f>$H33*factors!HA$3</f>
        <v>2.1000301424510002</v>
      </c>
      <c r="HH33" s="3">
        <f>$H33*factors!HB$3</f>
        <v>2.072481815658</v>
      </c>
      <c r="HI33" s="3">
        <f>$H33*factors!HC$3</f>
        <v>2.047052590926</v>
      </c>
      <c r="HJ33" s="3">
        <f>$H33*factors!HD$3</f>
        <v>2.023742468255</v>
      </c>
      <c r="HK33" s="3">
        <f>$H33*factors!HE$3</f>
        <v>2.1402930816099999</v>
      </c>
      <c r="HL33" s="3">
        <f>$H33*factors!HF$3</f>
        <v>2.0173851620719998</v>
      </c>
      <c r="HM33" s="3">
        <f>$H33*factors!HG$3</f>
        <v>2.0385761826820001</v>
      </c>
      <c r="HN33" s="3">
        <f>$H33*factors!HH$3</f>
        <v>2.1741987145860002</v>
      </c>
      <c r="HO33" s="3">
        <f>$H33*factors!HI$3</f>
        <v>2.0851964280240001</v>
      </c>
      <c r="HP33" s="3">
        <f>$H33*factors!HJ$3</f>
        <v>2.2250571640500003</v>
      </c>
      <c r="HQ33" s="3">
        <f>$H33*factors!HK$3</f>
        <v>2.03433797856</v>
      </c>
      <c r="HR33" s="3">
        <f>$H33*factors!HL$3</f>
        <v>2.157245898098</v>
      </c>
      <c r="HS33" s="3">
        <f>$H33*factors!HM$3</f>
        <v>2.1953897351960001</v>
      </c>
      <c r="HT33" s="3">
        <f>$H33*factors!HN$3</f>
        <v>2.047052590926</v>
      </c>
      <c r="HU33" s="3">
        <f>$H33*factors!HO$3</f>
        <v>2.0682436115359999</v>
      </c>
      <c r="HV33" s="3">
        <f>$H33*factors!HP$3</f>
        <v>2.0936728362680004</v>
      </c>
      <c r="HW33" s="3">
        <f>$H33*factors!HQ$3</f>
        <v>2.1233402651220001</v>
      </c>
      <c r="HX33" s="3">
        <f>$H33*factors!HR$3</f>
        <v>2.2102234496229998</v>
      </c>
      <c r="HY33" s="3">
        <f>$H33*factors!HS$3</f>
        <v>2.1000301424510002</v>
      </c>
      <c r="HZ33" s="3">
        <f>$H33*factors!HT$3</f>
        <v>2.180556020769</v>
      </c>
      <c r="IA33" s="3">
        <f>$H33*factors!HU$3</f>
        <v>2.0746009177190001</v>
      </c>
      <c r="IB33" s="3">
        <f>$H33*factors!HV$3</f>
        <v>2.1466503877929997</v>
      </c>
      <c r="IC33" s="3">
        <f>$H33*factors!HW$3</f>
        <v>2.167841408403</v>
      </c>
      <c r="ID33" s="3">
        <f>$H33*factors!HX$3</f>
        <v>2.0131469579499996</v>
      </c>
      <c r="IE33" s="3">
        <f>$H33*factors!HY$3</f>
        <v>2.1381739795489998</v>
      </c>
      <c r="IF33" s="3">
        <f>$H33*factors!HZ$3</f>
        <v>2.1254593671829998</v>
      </c>
      <c r="IG33" s="3">
        <f>$H33*factors!IA$3</f>
        <v>2.106387448634</v>
      </c>
      <c r="IH33" s="3">
        <f>$H33*factors!IB$3</f>
        <v>2.1847942248909997</v>
      </c>
      <c r="II33" s="3">
        <f>$H33*factors!IC$3</f>
        <v>2.0915537342069999</v>
      </c>
      <c r="IJ33" s="3">
        <f>$H33*factors!ID$3</f>
        <v>2.1106256527560001</v>
      </c>
      <c r="IK33" s="3">
        <f>$H33*factors!IE$3</f>
        <v>2.1869133269520002</v>
      </c>
      <c r="IL33" s="3">
        <f>$H33*factors!IF$3</f>
        <v>2.0936728362680004</v>
      </c>
      <c r="IM33" s="3">
        <f>$H33*factors!IG$3</f>
        <v>2.0746009177190001</v>
      </c>
      <c r="IN33" s="3">
        <f>$H33*factors!IH$3</f>
        <v>2.0873155300850001</v>
      </c>
      <c r="IO33" s="3">
        <f>$H33*factors!II$3</f>
        <v>2.108506550695</v>
      </c>
      <c r="IP33" s="3">
        <f>$H33*factors!IJ$3</f>
        <v>2.0385761826820001</v>
      </c>
      <c r="IQ33" s="3">
        <f>$H33*factors!IK$3</f>
        <v>2.0322188764989999</v>
      </c>
      <c r="IR33" s="3">
        <f>$H33*factors!IL$3</f>
        <v>2.0915537342069999</v>
      </c>
      <c r="IS33" s="3">
        <f>$H33*factors!IM$3</f>
        <v>2.108506550695</v>
      </c>
      <c r="IT33" s="3">
        <f>$H33*factors!IN$3</f>
        <v>2.1233402651220001</v>
      </c>
      <c r="IU33" s="3">
        <f>$H33*factors!IO$3</f>
        <v>2.1699605104640001</v>
      </c>
      <c r="IV33" s="3">
        <f>$H33*factors!IP$3</f>
        <v>2.1975088372569997</v>
      </c>
      <c r="IW33" s="3">
        <f>$H33*factors!IQ$3</f>
        <v>2.0767200197799998</v>
      </c>
      <c r="IX33" s="3">
        <f>$H33*factors!IR$3</f>
        <v>2.1699605104640001</v>
      </c>
      <c r="IY33" s="3">
        <f>$H33*factors!IS$3</f>
        <v>2.1381739795489998</v>
      </c>
      <c r="IZ33" s="3">
        <f>$H33*factors!IT$3</f>
        <v>2.1741987145860002</v>
      </c>
      <c r="JA33" s="3">
        <f>$H33*factors!IU$3</f>
        <v>2.0534098971089998</v>
      </c>
      <c r="JB33" s="3">
        <f>$H33*factors!IV$3</f>
        <v>2.0915537342069999</v>
      </c>
      <c r="JC33" s="3">
        <f>$H33*factors!IW$3</f>
        <v>2.0428143868040003</v>
      </c>
      <c r="JD33" s="3">
        <f>$H33*factors!IX$3</f>
        <v>2.2250571640500003</v>
      </c>
      <c r="JE33" s="3">
        <f>$H33*factors!IY$3</f>
        <v>2.0491716929870001</v>
      </c>
      <c r="JF33" s="3">
        <f>$H33*factors!IZ$3</f>
        <v>2.1508885919149998</v>
      </c>
      <c r="JG33" s="3">
        <f>$H33*factors!JA$3</f>
        <v>2.1127447548169997</v>
      </c>
      <c r="JH33" s="3">
        <f>$H33*factors!JB$3</f>
        <v>2.1530076939760003</v>
      </c>
      <c r="JI33" s="3">
        <f>$H33*factors!JC$3</f>
        <v>2.0152660600110002</v>
      </c>
      <c r="JJ33" s="3">
        <f>$H33*factors!JD$3</f>
        <v>2.1699605104640001</v>
      </c>
      <c r="JK33" s="3">
        <f>$H33*factors!JE$3</f>
        <v>2.1000301424510002</v>
      </c>
      <c r="JL33" s="3">
        <f>$H33*factors!JF$3</f>
        <v>2.1847942248909997</v>
      </c>
      <c r="JM33" s="3">
        <f>$H33*factors!JG$3</f>
        <v>2.0385761826820001</v>
      </c>
      <c r="JN33" s="3">
        <f>$H33*factors!JH$3</f>
        <v>2.0385761826820001</v>
      </c>
      <c r="JO33" s="3">
        <f>$H33*factors!JI$3</f>
        <v>2.0131469579499996</v>
      </c>
      <c r="JP33" s="3">
        <f>$H33*factors!JJ$3</f>
        <v>2.1763178166469999</v>
      </c>
      <c r="JQ33" s="3">
        <f>$H33*factors!JK$3</f>
        <v>2.1212211630610001</v>
      </c>
      <c r="JR33" s="3">
        <f>$H33*factors!JL$3</f>
        <v>2.20386614344</v>
      </c>
      <c r="JS33" s="3">
        <f>$H33*factors!JM$3</f>
        <v>2.0131469579499996</v>
      </c>
      <c r="JT33" s="3">
        <f>$H33*factors!JN$3</f>
        <v>2.1148638568780003</v>
      </c>
      <c r="JU33" s="3">
        <f>$H33*factors!JO$3</f>
        <v>2.0449334888649999</v>
      </c>
      <c r="JV33" s="3">
        <f>$H33*factors!JP$3</f>
        <v>2.0788391218410003</v>
      </c>
      <c r="JW33" s="3">
        <f>$H33*factors!JQ$3</f>
        <v>2.2208189599280002</v>
      </c>
      <c r="JX33" s="3">
        <f>$H33*factors!JR$3</f>
        <v>2.1996279393179998</v>
      </c>
      <c r="JY33" s="3">
        <f>$H33*factors!JS$3</f>
        <v>2.070362713597</v>
      </c>
      <c r="JZ33" s="3">
        <f>$H33*factors!JT$3</f>
        <v>2.0936728362680004</v>
      </c>
      <c r="KA33" s="3">
        <f>$H33*factors!JU$3</f>
        <v>2.1021492445120002</v>
      </c>
      <c r="KB33" s="3">
        <f>$H33*factors!JV$3</f>
        <v>2.0322188764989999</v>
      </c>
      <c r="KC33" s="3">
        <f>$H33*factors!JW$3</f>
        <v>2.0428143868040003</v>
      </c>
      <c r="KD33" s="3">
        <f>$H33*factors!JX$3</f>
        <v>2.0449334888649999</v>
      </c>
      <c r="KE33" s="3">
        <f>$H33*factors!JY$3</f>
        <v>2.1763178166469999</v>
      </c>
      <c r="KF33" s="3">
        <f>$H33*factors!JZ$3</f>
        <v>2.2017470413789999</v>
      </c>
      <c r="KG33" s="3">
        <f>$H33*factors!KA$3</f>
        <v>2.1233402651220001</v>
      </c>
      <c r="KH33" s="3">
        <f>$H33*factors!KB$3</f>
        <v>2.0767200197799998</v>
      </c>
      <c r="KI33" s="3">
        <f>$H33*factors!KC$3</f>
        <v>2.0576481012309999</v>
      </c>
    </row>
    <row r="34" spans="1:295" x14ac:dyDescent="0.55000000000000004">
      <c r="A34" t="s">
        <v>410</v>
      </c>
      <c r="B34">
        <v>33</v>
      </c>
      <c r="C34">
        <v>230</v>
      </c>
      <c r="D34" t="s">
        <v>377</v>
      </c>
      <c r="E34">
        <v>1.5035E-2</v>
      </c>
      <c r="F34">
        <v>33</v>
      </c>
      <c r="G34">
        <f>VLOOKUP(D34,demand_forecasted!$A$2:$G$11,2)</f>
        <v>11098</v>
      </c>
      <c r="H34" s="3">
        <f t="shared" si="1"/>
        <v>1.6685843</v>
      </c>
      <c r="I34" s="3">
        <f>$H34*factors!C$3</f>
        <v>1.8471228201000001</v>
      </c>
      <c r="J34" s="3">
        <f>$H34*factors!D$3</f>
        <v>1.780446191472</v>
      </c>
      <c r="K34" s="3">
        <f>$H34*factors!E$3</f>
        <v>1.7498109837240001</v>
      </c>
      <c r="L34" s="3">
        <f>$H34*factors!F$3</f>
        <v>1.7444047705920003</v>
      </c>
      <c r="M34" s="3">
        <f>$H34*factors!G$3</f>
        <v>1.742602699548</v>
      </c>
      <c r="N34" s="3">
        <f>$H34*factors!H$3</f>
        <v>1.79306068878</v>
      </c>
      <c r="O34" s="3">
        <f>$H34*factors!I$3</f>
        <v>1.8327062517479999</v>
      </c>
      <c r="P34" s="3">
        <f>$H34*factors!J$3</f>
        <v>1.8543311042760002</v>
      </c>
      <c r="Q34" s="3">
        <f>$H34*factors!K$3</f>
        <v>1.7408006285040001</v>
      </c>
      <c r="R34" s="3">
        <f>$H34*factors!L$3</f>
        <v>1.7119674918000001</v>
      </c>
      <c r="S34" s="3">
        <f>$H34*factors!M$3</f>
        <v>1.7822482625159999</v>
      </c>
      <c r="T34" s="3">
        <f>$H34*factors!N$3</f>
        <v>1.8435186780120001</v>
      </c>
      <c r="U34" s="3">
        <f>$H34*factors!O$3</f>
        <v>1.7462068416360002</v>
      </c>
      <c r="V34" s="3">
        <f>$H34*factors!P$3</f>
        <v>1.8164876123520002</v>
      </c>
      <c r="W34" s="3">
        <f>$H34*factors!Q$3</f>
        <v>1.8327062517479999</v>
      </c>
      <c r="X34" s="3">
        <f>$H34*factors!R$3</f>
        <v>1.7534151258120001</v>
      </c>
      <c r="Y34" s="3">
        <f>$H34*factors!S$3</f>
        <v>1.7371964864160001</v>
      </c>
      <c r="Z34" s="3">
        <f>$H34*factors!T$3</f>
        <v>1.8741538857600004</v>
      </c>
      <c r="AA34" s="3">
        <f>$H34*factors!U$3</f>
        <v>1.7696337652079999</v>
      </c>
      <c r="AB34" s="3">
        <f>$H34*factors!V$3</f>
        <v>1.7714358362520002</v>
      </c>
      <c r="AC34" s="3">
        <f>$H34*factors!W$3</f>
        <v>1.7732379072960003</v>
      </c>
      <c r="AD34" s="3">
        <f>$H34*factors!X$3</f>
        <v>1.7353944153720002</v>
      </c>
      <c r="AE34" s="3">
        <f>$H34*factors!Y$3</f>
        <v>1.7498109837240001</v>
      </c>
      <c r="AF34" s="3">
        <f>$H34*factors!Z$3</f>
        <v>1.7858524046040003</v>
      </c>
      <c r="AG34" s="3">
        <f>$H34*factors!AA$3</f>
        <v>1.7408006285040001</v>
      </c>
      <c r="AH34" s="3">
        <f>$H34*factors!AB$3</f>
        <v>1.7335923443280001</v>
      </c>
      <c r="AI34" s="3">
        <f>$H34*factors!AC$3</f>
        <v>1.789456546692</v>
      </c>
      <c r="AJ34" s="3">
        <f>$H34*factors!AD$3</f>
        <v>1.857935246364</v>
      </c>
      <c r="AK34" s="3">
        <f>$H34*factors!AE$3</f>
        <v>1.7876544756480002</v>
      </c>
      <c r="AL34" s="3">
        <f>$H34*factors!AF$3</f>
        <v>1.7173737049319999</v>
      </c>
      <c r="AM34" s="3">
        <f>$H34*factors!AG$3</f>
        <v>1.7660296231200001</v>
      </c>
      <c r="AN34" s="3">
        <f>$H34*factors!AH$3</f>
        <v>1.7371964864160001</v>
      </c>
      <c r="AO34" s="3">
        <f>$H34*factors!AI$3</f>
        <v>1.8200917544399999</v>
      </c>
      <c r="AP34" s="3">
        <f>$H34*factors!AJ$3</f>
        <v>1.7444047705920003</v>
      </c>
      <c r="AQ34" s="3">
        <f>$H34*factors!AK$3</f>
        <v>1.8002689729560002</v>
      </c>
      <c r="AR34" s="3">
        <f>$H34*factors!AL$3</f>
        <v>1.7606234099880003</v>
      </c>
      <c r="AS34" s="3">
        <f>$H34*factors!AM$3</f>
        <v>1.7173737049319999</v>
      </c>
      <c r="AT34" s="3">
        <f>$H34*factors!AN$3</f>
        <v>1.7714358362520002</v>
      </c>
      <c r="AU34" s="3">
        <f>$H34*factors!AO$3</f>
        <v>1.8759559568039998</v>
      </c>
      <c r="AV34" s="3">
        <f>$H34*factors!AP$3</f>
        <v>1.7732379072960003</v>
      </c>
      <c r="AW34" s="3">
        <f>$H34*factors!AQ$3</f>
        <v>1.755217196856</v>
      </c>
      <c r="AX34" s="3">
        <f>$H34*factors!AR$3</f>
        <v>1.8561331753200001</v>
      </c>
      <c r="AY34" s="3">
        <f>$H34*factors!AS$3</f>
        <v>1.7119674918000001</v>
      </c>
      <c r="AZ34" s="3">
        <f>$H34*factors!AT$3</f>
        <v>1.8345083227920003</v>
      </c>
      <c r="BA34" s="3">
        <f>$H34*factors!AU$3</f>
        <v>1.7948627598239999</v>
      </c>
      <c r="BB34" s="3">
        <f>$H34*factors!AV$3</f>
        <v>1.7714358362520002</v>
      </c>
      <c r="BC34" s="3">
        <f>$H34*factors!AW$3</f>
        <v>1.8741538857600004</v>
      </c>
      <c r="BD34" s="3">
        <f>$H34*factors!AX$3</f>
        <v>1.7299882022399999</v>
      </c>
      <c r="BE34" s="3">
        <f>$H34*factors!AY$3</f>
        <v>2.033904146642</v>
      </c>
      <c r="BF34" s="3">
        <f>$H34*factors!AZ$3</f>
        <v>1.8941101539879999</v>
      </c>
      <c r="BG34" s="3">
        <f>$H34*factors!BA$3</f>
        <v>1.9216751666239997</v>
      </c>
      <c r="BH34" s="3">
        <f>$H34*factors!BB$3</f>
        <v>1.9472712497859999</v>
      </c>
      <c r="BI34" s="3">
        <f>$H34*factors!BC$3</f>
        <v>2.0181527108499995</v>
      </c>
      <c r="BJ34" s="3">
        <f>$H34*factors!BD$3</f>
        <v>1.9275819550459998</v>
      </c>
      <c r="BK34" s="3">
        <f>$H34*factors!BE$3</f>
        <v>1.9315198139939997</v>
      </c>
      <c r="BL34" s="3">
        <f>$H34*factors!BF$3</f>
        <v>1.9098615897799998</v>
      </c>
      <c r="BM34" s="3">
        <f>$H34*factors!BG$3</f>
        <v>2.0398109350640001</v>
      </c>
      <c r="BN34" s="3">
        <f>$H34*factors!BH$3</f>
        <v>2.014214851902</v>
      </c>
      <c r="BO34" s="3">
        <f>$H34*factors!BI$3</f>
        <v>1.8941101539879999</v>
      </c>
      <c r="BP34" s="3">
        <f>$H34*factors!BJ$3</f>
        <v>1.8882033655659998</v>
      </c>
      <c r="BQ34" s="3">
        <f>$H34*factors!BK$3</f>
        <v>1.9197062371499998</v>
      </c>
      <c r="BR34" s="3">
        <f>$H34*factors!BL$3</f>
        <v>1.9886187687399999</v>
      </c>
      <c r="BS34" s="3">
        <f>$H34*factors!BM$3</f>
        <v>2.0201216403240001</v>
      </c>
      <c r="BT34" s="3">
        <f>$H34*factors!BN$3</f>
        <v>2.0260284287459998</v>
      </c>
      <c r="BU34" s="3">
        <f>$H34*factors!BO$3</f>
        <v>2.0595002298040002</v>
      </c>
      <c r="BV34" s="3">
        <f>$H34*factors!BP$3</f>
        <v>1.9157683782019999</v>
      </c>
      <c r="BW34" s="3">
        <f>$H34*factors!BQ$3</f>
        <v>1.9590848266299998</v>
      </c>
      <c r="BX34" s="3">
        <f>$H34*factors!BR$3</f>
        <v>1.9216751666239997</v>
      </c>
      <c r="BY34" s="3">
        <f>$H34*factors!BS$3</f>
        <v>2.0102769929539996</v>
      </c>
      <c r="BZ34" s="3">
        <f>$H34*factors!BT$3</f>
        <v>1.9728673329479998</v>
      </c>
      <c r="CA34" s="3">
        <f>$H34*factors!BU$3</f>
        <v>1.9472712497859999</v>
      </c>
      <c r="CB34" s="3">
        <f>$H34*factors!BV$3</f>
        <v>1.8842655066179999</v>
      </c>
      <c r="CC34" s="3">
        <f>$H34*factors!BW$3</f>
        <v>1.9393955318899998</v>
      </c>
      <c r="CD34" s="3">
        <f>$H34*factors!BX$3</f>
        <v>1.9453023203119999</v>
      </c>
      <c r="CE34" s="3">
        <f>$H34*factors!BY$3</f>
        <v>1.9728673329479998</v>
      </c>
      <c r="CF34" s="3">
        <f>$H34*factors!BZ$3</f>
        <v>1.9433333908380002</v>
      </c>
      <c r="CG34" s="3">
        <f>$H34*factors!CA$3</f>
        <v>1.8783587181959998</v>
      </c>
      <c r="CH34" s="3">
        <f>$H34*factors!CB$3</f>
        <v>1.8803276476699997</v>
      </c>
      <c r="CI34" s="3">
        <f>$H34*factors!CC$3</f>
        <v>1.8704830002999999</v>
      </c>
      <c r="CJ34" s="3">
        <f>$H34*factors!CD$3</f>
        <v>1.9472712497859999</v>
      </c>
      <c r="CK34" s="3">
        <f>$H34*factors!CE$3</f>
        <v>2.033904146642</v>
      </c>
      <c r="CL34" s="3">
        <f>$H34*factors!CF$3</f>
        <v>1.9059237308319998</v>
      </c>
      <c r="CM34" s="3">
        <f>$H34*factors!CG$3</f>
        <v>1.9512091087339998</v>
      </c>
      <c r="CN34" s="3">
        <f>$H34*factors!CH$3</f>
        <v>1.8862344360919998</v>
      </c>
      <c r="CO34" s="3">
        <f>$H34*factors!CI$3</f>
        <v>1.9000169424099997</v>
      </c>
      <c r="CP34" s="3">
        <f>$H34*factors!CJ$3</f>
        <v>1.9905876982139996</v>
      </c>
      <c r="CQ34" s="3">
        <f>$H34*factors!CK$3</f>
        <v>1.9315198139939997</v>
      </c>
      <c r="CR34" s="3">
        <f>$H34*factors!CL$3</f>
        <v>1.9925566276879998</v>
      </c>
      <c r="CS34" s="3">
        <f>$H34*factors!CM$3</f>
        <v>2.0555623708559998</v>
      </c>
      <c r="CT34" s="3">
        <f>$H34*factors!CN$3</f>
        <v>2.0319352171679999</v>
      </c>
      <c r="CU34" s="3">
        <f>$H34*factors!CO$3</f>
        <v>1.9866498392659997</v>
      </c>
      <c r="CV34" s="3">
        <f>$H34*factors!CP$3</f>
        <v>2.0673759477</v>
      </c>
      <c r="CW34" s="3">
        <f>$H34*factors!CQ$3</f>
        <v>1.9551469676820001</v>
      </c>
      <c r="CX34" s="3">
        <f>$H34*factors!CR$3</f>
        <v>1.9256130255719999</v>
      </c>
      <c r="CY34" s="3">
        <f>$H34*factors!CS$3</f>
        <v>1.9078926603059998</v>
      </c>
      <c r="CZ34" s="3">
        <f>$H34*factors!CT$3</f>
        <v>1.8803276476699997</v>
      </c>
      <c r="DA34" s="3">
        <f>$H34*factors!CU$3</f>
        <v>1.952243631</v>
      </c>
      <c r="DB34" s="3">
        <f>$H34*factors!CV$3</f>
        <v>2.0783886040800001</v>
      </c>
      <c r="DC34" s="3">
        <f>$H34*factors!CW$3</f>
        <v>1.9902873530399998</v>
      </c>
      <c r="DD34" s="3">
        <f>$H34*factors!CX$3</f>
        <v>1.9762712449199999</v>
      </c>
      <c r="DE34" s="3">
        <f>$H34*factors!CY$3</f>
        <v>2.03433797856</v>
      </c>
      <c r="DF34" s="3">
        <f>$H34*factors!CZ$3</f>
        <v>2.0303333762399998</v>
      </c>
      <c r="DG34" s="3">
        <f>$H34*factors!DA$3</f>
        <v>2.0223241715999998</v>
      </c>
      <c r="DH34" s="3">
        <f>$H34*factors!DB$3</f>
        <v>2.0223241715999998</v>
      </c>
      <c r="DI34" s="3">
        <f>$H34*factors!DC$3</f>
        <v>1.9462367275199999</v>
      </c>
      <c r="DJ34" s="3">
        <f>$H34*factors!DD$3</f>
        <v>2.0623701948000002</v>
      </c>
      <c r="DK34" s="3">
        <f>$H34*factors!DE$3</f>
        <v>2.0623701948000002</v>
      </c>
      <c r="DL34" s="3">
        <f>$H34*factors!DF$3</f>
        <v>2.0383425808800002</v>
      </c>
      <c r="DM34" s="3">
        <f>$H34*factors!DG$3</f>
        <v>1.9202068124399998</v>
      </c>
      <c r="DN34" s="3">
        <f>$H34*factors!DH$3</f>
        <v>2.0143149669600002</v>
      </c>
      <c r="DO34" s="3">
        <f>$H34*factors!DI$3</f>
        <v>2.0803909052399998</v>
      </c>
      <c r="DP34" s="3">
        <f>$H34*factors!DJ$3</f>
        <v>2.0623701948000002</v>
      </c>
      <c r="DQ34" s="3">
        <f>$H34*factors!DK$3</f>
        <v>1.9662597391199998</v>
      </c>
      <c r="DR34" s="3">
        <f>$H34*factors!DL$3</f>
        <v>1.94423442636</v>
      </c>
      <c r="DS34" s="3">
        <f>$H34*factors!DM$3</f>
        <v>2.10041391684</v>
      </c>
      <c r="DT34" s="3">
        <f>$H34*factors!DN$3</f>
        <v>1.9742689437600001</v>
      </c>
      <c r="DU34" s="3">
        <f>$H34*factors!DO$3</f>
        <v>2.0663747971199999</v>
      </c>
      <c r="DV34" s="3">
        <f>$H34*factors!DP$3</f>
        <v>2.01831956928</v>
      </c>
      <c r="DW34" s="3">
        <f>$H34*factors!DQ$3</f>
        <v>1.9262137159199999</v>
      </c>
      <c r="DX34" s="3">
        <f>$H34*factors!DR$3</f>
        <v>2.0403448820399999</v>
      </c>
      <c r="DY34" s="3">
        <f>$H34*factors!DS$3</f>
        <v>1.9362252217199998</v>
      </c>
      <c r="DZ34" s="3">
        <f>$H34*factors!DT$3</f>
        <v>2.0703793994399997</v>
      </c>
      <c r="EA34" s="3">
        <f>$H34*factors!DU$3</f>
        <v>1.9502413298399996</v>
      </c>
      <c r="EB34" s="3">
        <f>$H34*factors!DV$3</f>
        <v>1.9021861019999999</v>
      </c>
      <c r="EC34" s="3">
        <f>$H34*factors!DW$3</f>
        <v>2.0463517855199997</v>
      </c>
      <c r="ED34" s="3">
        <f>$H34*factors!DX$3</f>
        <v>1.9202068124399998</v>
      </c>
      <c r="EE34" s="3">
        <f>$H34*factors!DY$3</f>
        <v>1.9362252217199998</v>
      </c>
      <c r="EF34" s="3">
        <f>$H34*factors!DZ$3</f>
        <v>2.10041391684</v>
      </c>
      <c r="EG34" s="3">
        <f>$H34*factors!EA$3</f>
        <v>1.9622551367999999</v>
      </c>
      <c r="EH34" s="3">
        <f>$H34*factors!EB$3</f>
        <v>1.96826204028</v>
      </c>
      <c r="EI34" s="3">
        <f>$H34*factors!EC$3</f>
        <v>1.96425743796</v>
      </c>
      <c r="EJ34" s="3">
        <f>$H34*factors!ED$3</f>
        <v>1.9141999089599999</v>
      </c>
      <c r="EK34" s="3">
        <f>$H34*factors!EE$3</f>
        <v>2.0463517855199997</v>
      </c>
      <c r="EL34" s="3">
        <f>$H34*factors!EF$3</f>
        <v>1.9462367275199999</v>
      </c>
      <c r="EM34" s="3">
        <f>$H34*factors!EG$3</f>
        <v>2.0243264727599999</v>
      </c>
      <c r="EN34" s="3">
        <f>$H34*factors!EH$3</f>
        <v>1.9021861019999999</v>
      </c>
      <c r="EO34" s="3">
        <f>$H34*factors!EI$3</f>
        <v>1.9302183182399997</v>
      </c>
      <c r="EP34" s="3">
        <f>$H34*factors!EJ$3</f>
        <v>2.0363402797200001</v>
      </c>
      <c r="EQ34" s="3">
        <f>$H34*factors!EK$3</f>
        <v>1.9802758472399997</v>
      </c>
      <c r="ER34" s="3">
        <f>$H34*factors!EL$3</f>
        <v>2.0623701948000002</v>
      </c>
      <c r="ES34" s="3">
        <f>$H34*factors!EM$3</f>
        <v>2.0363402797200001</v>
      </c>
      <c r="ET34" s="3">
        <f>$H34*factors!EN$3</f>
        <v>2.0823932063999999</v>
      </c>
      <c r="EU34" s="3">
        <f>$H34*factors!EO$3</f>
        <v>2.1024162180000001</v>
      </c>
      <c r="EV34" s="3">
        <f>$H34*factors!EP$3</f>
        <v>1.9702643414399998</v>
      </c>
      <c r="EW34" s="3">
        <f>$H34*factors!EQ$3</f>
        <v>2.1670738596249999</v>
      </c>
      <c r="EX34" s="3">
        <f>$H34*factors!ER$3</f>
        <v>2.1441308255000004</v>
      </c>
      <c r="EY34" s="3">
        <f>$H34*factors!ES$3</f>
        <v>2.1879311633749996</v>
      </c>
      <c r="EZ34" s="3">
        <f>$H34*factors!ET$3</f>
        <v>2.1670738596249999</v>
      </c>
      <c r="FA34" s="3">
        <f>$H34*factors!EU$3</f>
        <v>1.9918725081249997</v>
      </c>
      <c r="FB34" s="3">
        <f>$H34*factors!EV$3</f>
        <v>2.0815589142499999</v>
      </c>
      <c r="FC34" s="3">
        <f>$H34*factors!EW$3</f>
        <v>2.1399593647500001</v>
      </c>
      <c r="FD34" s="3">
        <f>$H34*factors!EX$3</f>
        <v>2.0648730712500001</v>
      </c>
      <c r="FE34" s="3">
        <f>$H34*factors!EY$3</f>
        <v>2.175416781125</v>
      </c>
      <c r="FF34" s="3">
        <f>$H34*factors!EZ$3</f>
        <v>2.1775025115000002</v>
      </c>
      <c r="FG34" s="3">
        <f>$H34*factors!FA$3</f>
        <v>1.9918725081249997</v>
      </c>
      <c r="FH34" s="3">
        <f>$H34*factors!FB$3</f>
        <v>2.0961590268749997</v>
      </c>
      <c r="FI34" s="3">
        <f>$H34*factors!FC$3</f>
        <v>2.1837597026249997</v>
      </c>
      <c r="FJ34" s="3">
        <f>$H34*factors!FD$3</f>
        <v>2.0961590268749997</v>
      </c>
      <c r="FK34" s="3">
        <f>$H34*factors!FE$3</f>
        <v>2.13161644325</v>
      </c>
      <c r="FL34" s="3">
        <f>$H34*factors!FF$3</f>
        <v>2.137873634375</v>
      </c>
      <c r="FM34" s="3">
        <f>$H34*factors!FG$3</f>
        <v>2.1608166684999999</v>
      </c>
      <c r="FN34" s="3">
        <f>$H34*factors!FH$3</f>
        <v>2.021072733375</v>
      </c>
      <c r="FO34" s="3">
        <f>$H34*factors!FI$3</f>
        <v>2.1462165558749997</v>
      </c>
      <c r="FP34" s="3">
        <f>$H34*factors!FJ$3</f>
        <v>2.0857303749999998</v>
      </c>
      <c r="FQ34" s="3">
        <f>$H34*factors!FK$3</f>
        <v>2.0648730712500001</v>
      </c>
      <c r="FR34" s="3">
        <f>$H34*factors!FL$3</f>
        <v>2.10658767875</v>
      </c>
      <c r="FS34" s="3">
        <f>$H34*factors!FM$3</f>
        <v>2.0940732965</v>
      </c>
      <c r="FT34" s="3">
        <f>$H34*factors!FN$3</f>
        <v>2.1399593647500001</v>
      </c>
      <c r="FU34" s="3">
        <f>$H34*factors!FO$3</f>
        <v>2.0565301497499999</v>
      </c>
      <c r="FV34" s="3">
        <f>$H34*factors!FP$3</f>
        <v>2.0398443067500001</v>
      </c>
      <c r="FW34" s="3">
        <f>$H34*factors!FQ$3</f>
        <v>2.1837597026249997</v>
      </c>
      <c r="FX34" s="3">
        <f>$H34*factors!FR$3</f>
        <v>2.1441308255000004</v>
      </c>
      <c r="FY34" s="3">
        <f>$H34*factors!FS$3</f>
        <v>2.1003304876249995</v>
      </c>
      <c r="FZ34" s="3">
        <f>$H34*factors!FT$3</f>
        <v>1.996043968875</v>
      </c>
      <c r="GA34" s="3">
        <f>$H34*factors!FU$3</f>
        <v>2.1003304876249995</v>
      </c>
      <c r="GB34" s="3">
        <f>$H34*factors!FV$3</f>
        <v>2.1775025115000002</v>
      </c>
      <c r="GC34" s="3">
        <f>$H34*factors!FW$3</f>
        <v>2.0398443067500001</v>
      </c>
      <c r="GD34" s="3">
        <f>$H34*factors!FX$3</f>
        <v>2.0753017231249999</v>
      </c>
      <c r="GE34" s="3">
        <f>$H34*factors!FY$3</f>
        <v>2.0753017231249999</v>
      </c>
      <c r="GF34" s="3">
        <f>$H34*factors!FZ$3</f>
        <v>2.0690445319999999</v>
      </c>
      <c r="GG34" s="3">
        <f>$H34*factors!GA$3</f>
        <v>1.9877010473749999</v>
      </c>
      <c r="GH34" s="3">
        <f>$H34*factors!GB$3</f>
        <v>2.1149306002500001</v>
      </c>
      <c r="GI34" s="3">
        <f>$H34*factors!GC$3</f>
        <v>1.983529586625</v>
      </c>
      <c r="GJ34" s="3">
        <f>$H34*factors!GD$3</f>
        <v>1.9877010473749999</v>
      </c>
      <c r="GK34" s="3">
        <f>$H34*factors!GE$3</f>
        <v>2.0377585763749999</v>
      </c>
      <c r="GL34" s="3">
        <f>$H34*factors!GF$3</f>
        <v>2.1587309381250002</v>
      </c>
      <c r="GM34" s="3">
        <f>$H34*factors!GG$3</f>
        <v>2.0461014978750001</v>
      </c>
      <c r="GN34" s="3">
        <f>$H34*factors!GH$3</f>
        <v>2.1107591395000003</v>
      </c>
      <c r="GO34" s="3">
        <f>$H34*factors!GI$3</f>
        <v>1.9939582384999996</v>
      </c>
      <c r="GP34" s="3">
        <f>$H34*factors!GJ$3</f>
        <v>2.137873634375</v>
      </c>
      <c r="GQ34" s="3">
        <f>$H34*factors!GK$3</f>
        <v>2.18167397225</v>
      </c>
      <c r="GR34" s="3">
        <f>$H34*factors!GL$3</f>
        <v>2.1399593647500001</v>
      </c>
      <c r="GS34" s="3">
        <f>$H34*factors!GM$3</f>
        <v>2.023742468255</v>
      </c>
      <c r="GT34" s="3">
        <f>$H34*factors!GN$3</f>
        <v>2.070362713597</v>
      </c>
      <c r="GU34" s="3">
        <f>$H34*factors!GO$3</f>
        <v>2.119102061</v>
      </c>
      <c r="GV34" s="3">
        <f>$H34*factors!GP$3</f>
        <v>2.03433797856</v>
      </c>
      <c r="GW34" s="3">
        <f>$H34*factors!GQ$3</f>
        <v>2.106387448634</v>
      </c>
      <c r="GX34" s="3">
        <f>$H34*factors!GR$3</f>
        <v>2.072481815658</v>
      </c>
      <c r="GY34" s="3">
        <f>$H34*factors!GS$3</f>
        <v>2.0618863053530001</v>
      </c>
      <c r="GZ34" s="3">
        <f>$H34*factors!GT$3</f>
        <v>2.1381739795489998</v>
      </c>
      <c r="HA34" s="3">
        <f>$H34*factors!GU$3</f>
        <v>2.0682436115359999</v>
      </c>
      <c r="HB34" s="3">
        <f>$H34*factors!GV$3</f>
        <v>2.1381739795489998</v>
      </c>
      <c r="HC34" s="3">
        <f>$H34*factors!GW$3</f>
        <v>2.0851964280240001</v>
      </c>
      <c r="HD34" s="3">
        <f>$H34*factors!GX$3</f>
        <v>2.1466503877929997</v>
      </c>
      <c r="HE34" s="3">
        <f>$H34*factors!GY$3</f>
        <v>2.119102061</v>
      </c>
      <c r="HF34" s="3">
        <f>$H34*factors!GZ$3</f>
        <v>2.1847942248909997</v>
      </c>
      <c r="HG34" s="3">
        <f>$H34*factors!HA$3</f>
        <v>2.1000301424510002</v>
      </c>
      <c r="HH34" s="3">
        <f>$H34*factors!HB$3</f>
        <v>2.072481815658</v>
      </c>
      <c r="HI34" s="3">
        <f>$H34*factors!HC$3</f>
        <v>2.047052590926</v>
      </c>
      <c r="HJ34" s="3">
        <f>$H34*factors!HD$3</f>
        <v>2.023742468255</v>
      </c>
      <c r="HK34" s="3">
        <f>$H34*factors!HE$3</f>
        <v>2.1402930816099999</v>
      </c>
      <c r="HL34" s="3">
        <f>$H34*factors!HF$3</f>
        <v>2.0173851620719998</v>
      </c>
      <c r="HM34" s="3">
        <f>$H34*factors!HG$3</f>
        <v>2.0385761826820001</v>
      </c>
      <c r="HN34" s="3">
        <f>$H34*factors!HH$3</f>
        <v>2.1741987145860002</v>
      </c>
      <c r="HO34" s="3">
        <f>$H34*factors!HI$3</f>
        <v>2.0851964280240001</v>
      </c>
      <c r="HP34" s="3">
        <f>$H34*factors!HJ$3</f>
        <v>2.2250571640500003</v>
      </c>
      <c r="HQ34" s="3">
        <f>$H34*factors!HK$3</f>
        <v>2.03433797856</v>
      </c>
      <c r="HR34" s="3">
        <f>$H34*factors!HL$3</f>
        <v>2.157245898098</v>
      </c>
      <c r="HS34" s="3">
        <f>$H34*factors!HM$3</f>
        <v>2.1953897351960001</v>
      </c>
      <c r="HT34" s="3">
        <f>$H34*factors!HN$3</f>
        <v>2.047052590926</v>
      </c>
      <c r="HU34" s="3">
        <f>$H34*factors!HO$3</f>
        <v>2.0682436115359999</v>
      </c>
      <c r="HV34" s="3">
        <f>$H34*factors!HP$3</f>
        <v>2.0936728362680004</v>
      </c>
      <c r="HW34" s="3">
        <f>$H34*factors!HQ$3</f>
        <v>2.1233402651220001</v>
      </c>
      <c r="HX34" s="3">
        <f>$H34*factors!HR$3</f>
        <v>2.2102234496229998</v>
      </c>
      <c r="HY34" s="3">
        <f>$H34*factors!HS$3</f>
        <v>2.1000301424510002</v>
      </c>
      <c r="HZ34" s="3">
        <f>$H34*factors!HT$3</f>
        <v>2.180556020769</v>
      </c>
      <c r="IA34" s="3">
        <f>$H34*factors!HU$3</f>
        <v>2.0746009177190001</v>
      </c>
      <c r="IB34" s="3">
        <f>$H34*factors!HV$3</f>
        <v>2.1466503877929997</v>
      </c>
      <c r="IC34" s="3">
        <f>$H34*factors!HW$3</f>
        <v>2.167841408403</v>
      </c>
      <c r="ID34" s="3">
        <f>$H34*factors!HX$3</f>
        <v>2.0131469579499996</v>
      </c>
      <c r="IE34" s="3">
        <f>$H34*factors!HY$3</f>
        <v>2.1381739795489998</v>
      </c>
      <c r="IF34" s="3">
        <f>$H34*factors!HZ$3</f>
        <v>2.1254593671829998</v>
      </c>
      <c r="IG34" s="3">
        <f>$H34*factors!IA$3</f>
        <v>2.106387448634</v>
      </c>
      <c r="IH34" s="3">
        <f>$H34*factors!IB$3</f>
        <v>2.1847942248909997</v>
      </c>
      <c r="II34" s="3">
        <f>$H34*factors!IC$3</f>
        <v>2.0915537342069999</v>
      </c>
      <c r="IJ34" s="3">
        <f>$H34*factors!ID$3</f>
        <v>2.1106256527560001</v>
      </c>
      <c r="IK34" s="3">
        <f>$H34*factors!IE$3</f>
        <v>2.1869133269520002</v>
      </c>
      <c r="IL34" s="3">
        <f>$H34*factors!IF$3</f>
        <v>2.0936728362680004</v>
      </c>
      <c r="IM34" s="3">
        <f>$H34*factors!IG$3</f>
        <v>2.0746009177190001</v>
      </c>
      <c r="IN34" s="3">
        <f>$H34*factors!IH$3</f>
        <v>2.0873155300850001</v>
      </c>
      <c r="IO34" s="3">
        <f>$H34*factors!II$3</f>
        <v>2.108506550695</v>
      </c>
      <c r="IP34" s="3">
        <f>$H34*factors!IJ$3</f>
        <v>2.0385761826820001</v>
      </c>
      <c r="IQ34" s="3">
        <f>$H34*factors!IK$3</f>
        <v>2.0322188764989999</v>
      </c>
      <c r="IR34" s="3">
        <f>$H34*factors!IL$3</f>
        <v>2.0915537342069999</v>
      </c>
      <c r="IS34" s="3">
        <f>$H34*factors!IM$3</f>
        <v>2.108506550695</v>
      </c>
      <c r="IT34" s="3">
        <f>$H34*factors!IN$3</f>
        <v>2.1233402651220001</v>
      </c>
      <c r="IU34" s="3">
        <f>$H34*factors!IO$3</f>
        <v>2.1699605104640001</v>
      </c>
      <c r="IV34" s="3">
        <f>$H34*factors!IP$3</f>
        <v>2.1975088372569997</v>
      </c>
      <c r="IW34" s="3">
        <f>$H34*factors!IQ$3</f>
        <v>2.0767200197799998</v>
      </c>
      <c r="IX34" s="3">
        <f>$H34*factors!IR$3</f>
        <v>2.1699605104640001</v>
      </c>
      <c r="IY34" s="3">
        <f>$H34*factors!IS$3</f>
        <v>2.1381739795489998</v>
      </c>
      <c r="IZ34" s="3">
        <f>$H34*factors!IT$3</f>
        <v>2.1741987145860002</v>
      </c>
      <c r="JA34" s="3">
        <f>$H34*factors!IU$3</f>
        <v>2.0534098971089998</v>
      </c>
      <c r="JB34" s="3">
        <f>$H34*factors!IV$3</f>
        <v>2.0915537342069999</v>
      </c>
      <c r="JC34" s="3">
        <f>$H34*factors!IW$3</f>
        <v>2.0428143868040003</v>
      </c>
      <c r="JD34" s="3">
        <f>$H34*factors!IX$3</f>
        <v>2.2250571640500003</v>
      </c>
      <c r="JE34" s="3">
        <f>$H34*factors!IY$3</f>
        <v>2.0491716929870001</v>
      </c>
      <c r="JF34" s="3">
        <f>$H34*factors!IZ$3</f>
        <v>2.1508885919149998</v>
      </c>
      <c r="JG34" s="3">
        <f>$H34*factors!JA$3</f>
        <v>2.1127447548169997</v>
      </c>
      <c r="JH34" s="3">
        <f>$H34*factors!JB$3</f>
        <v>2.1530076939760003</v>
      </c>
      <c r="JI34" s="3">
        <f>$H34*factors!JC$3</f>
        <v>2.0152660600110002</v>
      </c>
      <c r="JJ34" s="3">
        <f>$H34*factors!JD$3</f>
        <v>2.1699605104640001</v>
      </c>
      <c r="JK34" s="3">
        <f>$H34*factors!JE$3</f>
        <v>2.1000301424510002</v>
      </c>
      <c r="JL34" s="3">
        <f>$H34*factors!JF$3</f>
        <v>2.1847942248909997</v>
      </c>
      <c r="JM34" s="3">
        <f>$H34*factors!JG$3</f>
        <v>2.0385761826820001</v>
      </c>
      <c r="JN34" s="3">
        <f>$H34*factors!JH$3</f>
        <v>2.0385761826820001</v>
      </c>
      <c r="JO34" s="3">
        <f>$H34*factors!JI$3</f>
        <v>2.0131469579499996</v>
      </c>
      <c r="JP34" s="3">
        <f>$H34*factors!JJ$3</f>
        <v>2.1763178166469999</v>
      </c>
      <c r="JQ34" s="3">
        <f>$H34*factors!JK$3</f>
        <v>2.1212211630610001</v>
      </c>
      <c r="JR34" s="3">
        <f>$H34*factors!JL$3</f>
        <v>2.20386614344</v>
      </c>
      <c r="JS34" s="3">
        <f>$H34*factors!JM$3</f>
        <v>2.0131469579499996</v>
      </c>
      <c r="JT34" s="3">
        <f>$H34*factors!JN$3</f>
        <v>2.1148638568780003</v>
      </c>
      <c r="JU34" s="3">
        <f>$H34*factors!JO$3</f>
        <v>2.0449334888649999</v>
      </c>
      <c r="JV34" s="3">
        <f>$H34*factors!JP$3</f>
        <v>2.0788391218410003</v>
      </c>
      <c r="JW34" s="3">
        <f>$H34*factors!JQ$3</f>
        <v>2.2208189599280002</v>
      </c>
      <c r="JX34" s="3">
        <f>$H34*factors!JR$3</f>
        <v>2.1996279393179998</v>
      </c>
      <c r="JY34" s="3">
        <f>$H34*factors!JS$3</f>
        <v>2.070362713597</v>
      </c>
      <c r="JZ34" s="3">
        <f>$H34*factors!JT$3</f>
        <v>2.0936728362680004</v>
      </c>
      <c r="KA34" s="3">
        <f>$H34*factors!JU$3</f>
        <v>2.1021492445120002</v>
      </c>
      <c r="KB34" s="3">
        <f>$H34*factors!JV$3</f>
        <v>2.0322188764989999</v>
      </c>
      <c r="KC34" s="3">
        <f>$H34*factors!JW$3</f>
        <v>2.0428143868040003</v>
      </c>
      <c r="KD34" s="3">
        <f>$H34*factors!JX$3</f>
        <v>2.0449334888649999</v>
      </c>
      <c r="KE34" s="3">
        <f>$H34*factors!JY$3</f>
        <v>2.1763178166469999</v>
      </c>
      <c r="KF34" s="3">
        <f>$H34*factors!JZ$3</f>
        <v>2.2017470413789999</v>
      </c>
      <c r="KG34" s="3">
        <f>$H34*factors!KA$3</f>
        <v>2.1233402651220001</v>
      </c>
      <c r="KH34" s="3">
        <f>$H34*factors!KB$3</f>
        <v>2.0767200197799998</v>
      </c>
      <c r="KI34" s="3">
        <f>$H34*factors!KC$3</f>
        <v>2.0576481012309999</v>
      </c>
    </row>
    <row r="35" spans="1:295" x14ac:dyDescent="0.55000000000000004">
      <c r="A35" t="s">
        <v>411</v>
      </c>
      <c r="B35">
        <v>34</v>
      </c>
      <c r="C35">
        <v>230</v>
      </c>
      <c r="D35" t="s">
        <v>377</v>
      </c>
      <c r="E35">
        <v>1.5035E-2</v>
      </c>
      <c r="F35">
        <v>34</v>
      </c>
      <c r="G35">
        <f>VLOOKUP(D35,demand_forecasted!$A$2:$G$11,2)</f>
        <v>11098</v>
      </c>
      <c r="H35" s="3">
        <f t="shared" si="1"/>
        <v>1.6685843</v>
      </c>
      <c r="I35" s="3">
        <f>$H35*factors!C$3</f>
        <v>1.8471228201000001</v>
      </c>
      <c r="J35" s="3">
        <f>$H35*factors!D$3</f>
        <v>1.780446191472</v>
      </c>
      <c r="K35" s="3">
        <f>$H35*factors!E$3</f>
        <v>1.7498109837240001</v>
      </c>
      <c r="L35" s="3">
        <f>$H35*factors!F$3</f>
        <v>1.7444047705920003</v>
      </c>
      <c r="M35" s="3">
        <f>$H35*factors!G$3</f>
        <v>1.742602699548</v>
      </c>
      <c r="N35" s="3">
        <f>$H35*factors!H$3</f>
        <v>1.79306068878</v>
      </c>
      <c r="O35" s="3">
        <f>$H35*factors!I$3</f>
        <v>1.8327062517479999</v>
      </c>
      <c r="P35" s="3">
        <f>$H35*factors!J$3</f>
        <v>1.8543311042760002</v>
      </c>
      <c r="Q35" s="3">
        <f>$H35*factors!K$3</f>
        <v>1.7408006285040001</v>
      </c>
      <c r="R35" s="3">
        <f>$H35*factors!L$3</f>
        <v>1.7119674918000001</v>
      </c>
      <c r="S35" s="3">
        <f>$H35*factors!M$3</f>
        <v>1.7822482625159999</v>
      </c>
      <c r="T35" s="3">
        <f>$H35*factors!N$3</f>
        <v>1.8435186780120001</v>
      </c>
      <c r="U35" s="3">
        <f>$H35*factors!O$3</f>
        <v>1.7462068416360002</v>
      </c>
      <c r="V35" s="3">
        <f>$H35*factors!P$3</f>
        <v>1.8164876123520002</v>
      </c>
      <c r="W35" s="3">
        <f>$H35*factors!Q$3</f>
        <v>1.8327062517479999</v>
      </c>
      <c r="X35" s="3">
        <f>$H35*factors!R$3</f>
        <v>1.7534151258120001</v>
      </c>
      <c r="Y35" s="3">
        <f>$H35*factors!S$3</f>
        <v>1.7371964864160001</v>
      </c>
      <c r="Z35" s="3">
        <f>$H35*factors!T$3</f>
        <v>1.8741538857600004</v>
      </c>
      <c r="AA35" s="3">
        <f>$H35*factors!U$3</f>
        <v>1.7696337652079999</v>
      </c>
      <c r="AB35" s="3">
        <f>$H35*factors!V$3</f>
        <v>1.7714358362520002</v>
      </c>
      <c r="AC35" s="3">
        <f>$H35*factors!W$3</f>
        <v>1.7732379072960003</v>
      </c>
      <c r="AD35" s="3">
        <f>$H35*factors!X$3</f>
        <v>1.7353944153720002</v>
      </c>
      <c r="AE35" s="3">
        <f>$H35*factors!Y$3</f>
        <v>1.7498109837240001</v>
      </c>
      <c r="AF35" s="3">
        <f>$H35*factors!Z$3</f>
        <v>1.7858524046040003</v>
      </c>
      <c r="AG35" s="3">
        <f>$H35*factors!AA$3</f>
        <v>1.7408006285040001</v>
      </c>
      <c r="AH35" s="3">
        <f>$H35*factors!AB$3</f>
        <v>1.7335923443280001</v>
      </c>
      <c r="AI35" s="3">
        <f>$H35*factors!AC$3</f>
        <v>1.789456546692</v>
      </c>
      <c r="AJ35" s="3">
        <f>$H35*factors!AD$3</f>
        <v>1.857935246364</v>
      </c>
      <c r="AK35" s="3">
        <f>$H35*factors!AE$3</f>
        <v>1.7876544756480002</v>
      </c>
      <c r="AL35" s="3">
        <f>$H35*factors!AF$3</f>
        <v>1.7173737049319999</v>
      </c>
      <c r="AM35" s="3">
        <f>$H35*factors!AG$3</f>
        <v>1.7660296231200001</v>
      </c>
      <c r="AN35" s="3">
        <f>$H35*factors!AH$3</f>
        <v>1.7371964864160001</v>
      </c>
      <c r="AO35" s="3">
        <f>$H35*factors!AI$3</f>
        <v>1.8200917544399999</v>
      </c>
      <c r="AP35" s="3">
        <f>$H35*factors!AJ$3</f>
        <v>1.7444047705920003</v>
      </c>
      <c r="AQ35" s="3">
        <f>$H35*factors!AK$3</f>
        <v>1.8002689729560002</v>
      </c>
      <c r="AR35" s="3">
        <f>$H35*factors!AL$3</f>
        <v>1.7606234099880003</v>
      </c>
      <c r="AS35" s="3">
        <f>$H35*factors!AM$3</f>
        <v>1.7173737049319999</v>
      </c>
      <c r="AT35" s="3">
        <f>$H35*factors!AN$3</f>
        <v>1.7714358362520002</v>
      </c>
      <c r="AU35" s="3">
        <f>$H35*factors!AO$3</f>
        <v>1.8759559568039998</v>
      </c>
      <c r="AV35" s="3">
        <f>$H35*factors!AP$3</f>
        <v>1.7732379072960003</v>
      </c>
      <c r="AW35" s="3">
        <f>$H35*factors!AQ$3</f>
        <v>1.755217196856</v>
      </c>
      <c r="AX35" s="3">
        <f>$H35*factors!AR$3</f>
        <v>1.8561331753200001</v>
      </c>
      <c r="AY35" s="3">
        <f>$H35*factors!AS$3</f>
        <v>1.7119674918000001</v>
      </c>
      <c r="AZ35" s="3">
        <f>$H35*factors!AT$3</f>
        <v>1.8345083227920003</v>
      </c>
      <c r="BA35" s="3">
        <f>$H35*factors!AU$3</f>
        <v>1.7948627598239999</v>
      </c>
      <c r="BB35" s="3">
        <f>$H35*factors!AV$3</f>
        <v>1.7714358362520002</v>
      </c>
      <c r="BC35" s="3">
        <f>$H35*factors!AW$3</f>
        <v>1.8741538857600004</v>
      </c>
      <c r="BD35" s="3">
        <f>$H35*factors!AX$3</f>
        <v>1.7299882022399999</v>
      </c>
      <c r="BE35" s="3">
        <f>$H35*factors!AY$3</f>
        <v>2.033904146642</v>
      </c>
      <c r="BF35" s="3">
        <f>$H35*factors!AZ$3</f>
        <v>1.8941101539879999</v>
      </c>
      <c r="BG35" s="3">
        <f>$H35*factors!BA$3</f>
        <v>1.9216751666239997</v>
      </c>
      <c r="BH35" s="3">
        <f>$H35*factors!BB$3</f>
        <v>1.9472712497859999</v>
      </c>
      <c r="BI35" s="3">
        <f>$H35*factors!BC$3</f>
        <v>2.0181527108499995</v>
      </c>
      <c r="BJ35" s="3">
        <f>$H35*factors!BD$3</f>
        <v>1.9275819550459998</v>
      </c>
      <c r="BK35" s="3">
        <f>$H35*factors!BE$3</f>
        <v>1.9315198139939997</v>
      </c>
      <c r="BL35" s="3">
        <f>$H35*factors!BF$3</f>
        <v>1.9098615897799998</v>
      </c>
      <c r="BM35" s="3">
        <f>$H35*factors!BG$3</f>
        <v>2.0398109350640001</v>
      </c>
      <c r="BN35" s="3">
        <f>$H35*factors!BH$3</f>
        <v>2.014214851902</v>
      </c>
      <c r="BO35" s="3">
        <f>$H35*factors!BI$3</f>
        <v>1.8941101539879999</v>
      </c>
      <c r="BP35" s="3">
        <f>$H35*factors!BJ$3</f>
        <v>1.8882033655659998</v>
      </c>
      <c r="BQ35" s="3">
        <f>$H35*factors!BK$3</f>
        <v>1.9197062371499998</v>
      </c>
      <c r="BR35" s="3">
        <f>$H35*factors!BL$3</f>
        <v>1.9886187687399999</v>
      </c>
      <c r="BS35" s="3">
        <f>$H35*factors!BM$3</f>
        <v>2.0201216403240001</v>
      </c>
      <c r="BT35" s="3">
        <f>$H35*factors!BN$3</f>
        <v>2.0260284287459998</v>
      </c>
      <c r="BU35" s="3">
        <f>$H35*factors!BO$3</f>
        <v>2.0595002298040002</v>
      </c>
      <c r="BV35" s="3">
        <f>$H35*factors!BP$3</f>
        <v>1.9157683782019999</v>
      </c>
      <c r="BW35" s="3">
        <f>$H35*factors!BQ$3</f>
        <v>1.9590848266299998</v>
      </c>
      <c r="BX35" s="3">
        <f>$H35*factors!BR$3</f>
        <v>1.9216751666239997</v>
      </c>
      <c r="BY35" s="3">
        <f>$H35*factors!BS$3</f>
        <v>2.0102769929539996</v>
      </c>
      <c r="BZ35" s="3">
        <f>$H35*factors!BT$3</f>
        <v>1.9728673329479998</v>
      </c>
      <c r="CA35" s="3">
        <f>$H35*factors!BU$3</f>
        <v>1.9472712497859999</v>
      </c>
      <c r="CB35" s="3">
        <f>$H35*factors!BV$3</f>
        <v>1.8842655066179999</v>
      </c>
      <c r="CC35" s="3">
        <f>$H35*factors!BW$3</f>
        <v>1.9393955318899998</v>
      </c>
      <c r="CD35" s="3">
        <f>$H35*factors!BX$3</f>
        <v>1.9453023203119999</v>
      </c>
      <c r="CE35" s="3">
        <f>$H35*factors!BY$3</f>
        <v>1.9728673329479998</v>
      </c>
      <c r="CF35" s="3">
        <f>$H35*factors!BZ$3</f>
        <v>1.9433333908380002</v>
      </c>
      <c r="CG35" s="3">
        <f>$H35*factors!CA$3</f>
        <v>1.8783587181959998</v>
      </c>
      <c r="CH35" s="3">
        <f>$H35*factors!CB$3</f>
        <v>1.8803276476699997</v>
      </c>
      <c r="CI35" s="3">
        <f>$H35*factors!CC$3</f>
        <v>1.8704830002999999</v>
      </c>
      <c r="CJ35" s="3">
        <f>$H35*factors!CD$3</f>
        <v>1.9472712497859999</v>
      </c>
      <c r="CK35" s="3">
        <f>$H35*factors!CE$3</f>
        <v>2.033904146642</v>
      </c>
      <c r="CL35" s="3">
        <f>$H35*factors!CF$3</f>
        <v>1.9059237308319998</v>
      </c>
      <c r="CM35" s="3">
        <f>$H35*factors!CG$3</f>
        <v>1.9512091087339998</v>
      </c>
      <c r="CN35" s="3">
        <f>$H35*factors!CH$3</f>
        <v>1.8862344360919998</v>
      </c>
      <c r="CO35" s="3">
        <f>$H35*factors!CI$3</f>
        <v>1.9000169424099997</v>
      </c>
      <c r="CP35" s="3">
        <f>$H35*factors!CJ$3</f>
        <v>1.9905876982139996</v>
      </c>
      <c r="CQ35" s="3">
        <f>$H35*factors!CK$3</f>
        <v>1.9315198139939997</v>
      </c>
      <c r="CR35" s="3">
        <f>$H35*factors!CL$3</f>
        <v>1.9925566276879998</v>
      </c>
      <c r="CS35" s="3">
        <f>$H35*factors!CM$3</f>
        <v>2.0555623708559998</v>
      </c>
      <c r="CT35" s="3">
        <f>$H35*factors!CN$3</f>
        <v>2.0319352171679999</v>
      </c>
      <c r="CU35" s="3">
        <f>$H35*factors!CO$3</f>
        <v>1.9866498392659997</v>
      </c>
      <c r="CV35" s="3">
        <f>$H35*factors!CP$3</f>
        <v>2.0673759477</v>
      </c>
      <c r="CW35" s="3">
        <f>$H35*factors!CQ$3</f>
        <v>1.9551469676820001</v>
      </c>
      <c r="CX35" s="3">
        <f>$H35*factors!CR$3</f>
        <v>1.9256130255719999</v>
      </c>
      <c r="CY35" s="3">
        <f>$H35*factors!CS$3</f>
        <v>1.9078926603059998</v>
      </c>
      <c r="CZ35" s="3">
        <f>$H35*factors!CT$3</f>
        <v>1.8803276476699997</v>
      </c>
      <c r="DA35" s="3">
        <f>$H35*factors!CU$3</f>
        <v>1.952243631</v>
      </c>
      <c r="DB35" s="3">
        <f>$H35*factors!CV$3</f>
        <v>2.0783886040800001</v>
      </c>
      <c r="DC35" s="3">
        <f>$H35*factors!CW$3</f>
        <v>1.9902873530399998</v>
      </c>
      <c r="DD35" s="3">
        <f>$H35*factors!CX$3</f>
        <v>1.9762712449199999</v>
      </c>
      <c r="DE35" s="3">
        <f>$H35*factors!CY$3</f>
        <v>2.03433797856</v>
      </c>
      <c r="DF35" s="3">
        <f>$H35*factors!CZ$3</f>
        <v>2.0303333762399998</v>
      </c>
      <c r="DG35" s="3">
        <f>$H35*factors!DA$3</f>
        <v>2.0223241715999998</v>
      </c>
      <c r="DH35" s="3">
        <f>$H35*factors!DB$3</f>
        <v>2.0223241715999998</v>
      </c>
      <c r="DI35" s="3">
        <f>$H35*factors!DC$3</f>
        <v>1.9462367275199999</v>
      </c>
      <c r="DJ35" s="3">
        <f>$H35*factors!DD$3</f>
        <v>2.0623701948000002</v>
      </c>
      <c r="DK35" s="3">
        <f>$H35*factors!DE$3</f>
        <v>2.0623701948000002</v>
      </c>
      <c r="DL35" s="3">
        <f>$H35*factors!DF$3</f>
        <v>2.0383425808800002</v>
      </c>
      <c r="DM35" s="3">
        <f>$H35*factors!DG$3</f>
        <v>1.9202068124399998</v>
      </c>
      <c r="DN35" s="3">
        <f>$H35*factors!DH$3</f>
        <v>2.0143149669600002</v>
      </c>
      <c r="DO35" s="3">
        <f>$H35*factors!DI$3</f>
        <v>2.0803909052399998</v>
      </c>
      <c r="DP35" s="3">
        <f>$H35*factors!DJ$3</f>
        <v>2.0623701948000002</v>
      </c>
      <c r="DQ35" s="3">
        <f>$H35*factors!DK$3</f>
        <v>1.9662597391199998</v>
      </c>
      <c r="DR35" s="3">
        <f>$H35*factors!DL$3</f>
        <v>1.94423442636</v>
      </c>
      <c r="DS35" s="3">
        <f>$H35*factors!DM$3</f>
        <v>2.10041391684</v>
      </c>
      <c r="DT35" s="3">
        <f>$H35*factors!DN$3</f>
        <v>1.9742689437600001</v>
      </c>
      <c r="DU35" s="3">
        <f>$H35*factors!DO$3</f>
        <v>2.0663747971199999</v>
      </c>
      <c r="DV35" s="3">
        <f>$H35*factors!DP$3</f>
        <v>2.01831956928</v>
      </c>
      <c r="DW35" s="3">
        <f>$H35*factors!DQ$3</f>
        <v>1.9262137159199999</v>
      </c>
      <c r="DX35" s="3">
        <f>$H35*factors!DR$3</f>
        <v>2.0403448820399999</v>
      </c>
      <c r="DY35" s="3">
        <f>$H35*factors!DS$3</f>
        <v>1.9362252217199998</v>
      </c>
      <c r="DZ35" s="3">
        <f>$H35*factors!DT$3</f>
        <v>2.0703793994399997</v>
      </c>
      <c r="EA35" s="3">
        <f>$H35*factors!DU$3</f>
        <v>1.9502413298399996</v>
      </c>
      <c r="EB35" s="3">
        <f>$H35*factors!DV$3</f>
        <v>1.9021861019999999</v>
      </c>
      <c r="EC35" s="3">
        <f>$H35*factors!DW$3</f>
        <v>2.0463517855199997</v>
      </c>
      <c r="ED35" s="3">
        <f>$H35*factors!DX$3</f>
        <v>1.9202068124399998</v>
      </c>
      <c r="EE35" s="3">
        <f>$H35*factors!DY$3</f>
        <v>1.9362252217199998</v>
      </c>
      <c r="EF35" s="3">
        <f>$H35*factors!DZ$3</f>
        <v>2.10041391684</v>
      </c>
      <c r="EG35" s="3">
        <f>$H35*factors!EA$3</f>
        <v>1.9622551367999999</v>
      </c>
      <c r="EH35" s="3">
        <f>$H35*factors!EB$3</f>
        <v>1.96826204028</v>
      </c>
      <c r="EI35" s="3">
        <f>$H35*factors!EC$3</f>
        <v>1.96425743796</v>
      </c>
      <c r="EJ35" s="3">
        <f>$H35*factors!ED$3</f>
        <v>1.9141999089599999</v>
      </c>
      <c r="EK35" s="3">
        <f>$H35*factors!EE$3</f>
        <v>2.0463517855199997</v>
      </c>
      <c r="EL35" s="3">
        <f>$H35*factors!EF$3</f>
        <v>1.9462367275199999</v>
      </c>
      <c r="EM35" s="3">
        <f>$H35*factors!EG$3</f>
        <v>2.0243264727599999</v>
      </c>
      <c r="EN35" s="3">
        <f>$H35*factors!EH$3</f>
        <v>1.9021861019999999</v>
      </c>
      <c r="EO35" s="3">
        <f>$H35*factors!EI$3</f>
        <v>1.9302183182399997</v>
      </c>
      <c r="EP35" s="3">
        <f>$H35*factors!EJ$3</f>
        <v>2.0363402797200001</v>
      </c>
      <c r="EQ35" s="3">
        <f>$H35*factors!EK$3</f>
        <v>1.9802758472399997</v>
      </c>
      <c r="ER35" s="3">
        <f>$H35*factors!EL$3</f>
        <v>2.0623701948000002</v>
      </c>
      <c r="ES35" s="3">
        <f>$H35*factors!EM$3</f>
        <v>2.0363402797200001</v>
      </c>
      <c r="ET35" s="3">
        <f>$H35*factors!EN$3</f>
        <v>2.0823932063999999</v>
      </c>
      <c r="EU35" s="3">
        <f>$H35*factors!EO$3</f>
        <v>2.1024162180000001</v>
      </c>
      <c r="EV35" s="3">
        <f>$H35*factors!EP$3</f>
        <v>1.9702643414399998</v>
      </c>
      <c r="EW35" s="3">
        <f>$H35*factors!EQ$3</f>
        <v>2.1670738596249999</v>
      </c>
      <c r="EX35" s="3">
        <f>$H35*factors!ER$3</f>
        <v>2.1441308255000004</v>
      </c>
      <c r="EY35" s="3">
        <f>$H35*factors!ES$3</f>
        <v>2.1879311633749996</v>
      </c>
      <c r="EZ35" s="3">
        <f>$H35*factors!ET$3</f>
        <v>2.1670738596249999</v>
      </c>
      <c r="FA35" s="3">
        <f>$H35*factors!EU$3</f>
        <v>1.9918725081249997</v>
      </c>
      <c r="FB35" s="3">
        <f>$H35*factors!EV$3</f>
        <v>2.0815589142499999</v>
      </c>
      <c r="FC35" s="3">
        <f>$H35*factors!EW$3</f>
        <v>2.1399593647500001</v>
      </c>
      <c r="FD35" s="3">
        <f>$H35*factors!EX$3</f>
        <v>2.0648730712500001</v>
      </c>
      <c r="FE35" s="3">
        <f>$H35*factors!EY$3</f>
        <v>2.175416781125</v>
      </c>
      <c r="FF35" s="3">
        <f>$H35*factors!EZ$3</f>
        <v>2.1775025115000002</v>
      </c>
      <c r="FG35" s="3">
        <f>$H35*factors!FA$3</f>
        <v>1.9918725081249997</v>
      </c>
      <c r="FH35" s="3">
        <f>$H35*factors!FB$3</f>
        <v>2.0961590268749997</v>
      </c>
      <c r="FI35" s="3">
        <f>$H35*factors!FC$3</f>
        <v>2.1837597026249997</v>
      </c>
      <c r="FJ35" s="3">
        <f>$H35*factors!FD$3</f>
        <v>2.0961590268749997</v>
      </c>
      <c r="FK35" s="3">
        <f>$H35*factors!FE$3</f>
        <v>2.13161644325</v>
      </c>
      <c r="FL35" s="3">
        <f>$H35*factors!FF$3</f>
        <v>2.137873634375</v>
      </c>
      <c r="FM35" s="3">
        <f>$H35*factors!FG$3</f>
        <v>2.1608166684999999</v>
      </c>
      <c r="FN35" s="3">
        <f>$H35*factors!FH$3</f>
        <v>2.021072733375</v>
      </c>
      <c r="FO35" s="3">
        <f>$H35*factors!FI$3</f>
        <v>2.1462165558749997</v>
      </c>
      <c r="FP35" s="3">
        <f>$H35*factors!FJ$3</f>
        <v>2.0857303749999998</v>
      </c>
      <c r="FQ35" s="3">
        <f>$H35*factors!FK$3</f>
        <v>2.0648730712500001</v>
      </c>
      <c r="FR35" s="3">
        <f>$H35*factors!FL$3</f>
        <v>2.10658767875</v>
      </c>
      <c r="FS35" s="3">
        <f>$H35*factors!FM$3</f>
        <v>2.0940732965</v>
      </c>
      <c r="FT35" s="3">
        <f>$H35*factors!FN$3</f>
        <v>2.1399593647500001</v>
      </c>
      <c r="FU35" s="3">
        <f>$H35*factors!FO$3</f>
        <v>2.0565301497499999</v>
      </c>
      <c r="FV35" s="3">
        <f>$H35*factors!FP$3</f>
        <v>2.0398443067500001</v>
      </c>
      <c r="FW35" s="3">
        <f>$H35*factors!FQ$3</f>
        <v>2.1837597026249997</v>
      </c>
      <c r="FX35" s="3">
        <f>$H35*factors!FR$3</f>
        <v>2.1441308255000004</v>
      </c>
      <c r="FY35" s="3">
        <f>$H35*factors!FS$3</f>
        <v>2.1003304876249995</v>
      </c>
      <c r="FZ35" s="3">
        <f>$H35*factors!FT$3</f>
        <v>1.996043968875</v>
      </c>
      <c r="GA35" s="3">
        <f>$H35*factors!FU$3</f>
        <v>2.1003304876249995</v>
      </c>
      <c r="GB35" s="3">
        <f>$H35*factors!FV$3</f>
        <v>2.1775025115000002</v>
      </c>
      <c r="GC35" s="3">
        <f>$H35*factors!FW$3</f>
        <v>2.0398443067500001</v>
      </c>
      <c r="GD35" s="3">
        <f>$H35*factors!FX$3</f>
        <v>2.0753017231249999</v>
      </c>
      <c r="GE35" s="3">
        <f>$H35*factors!FY$3</f>
        <v>2.0753017231249999</v>
      </c>
      <c r="GF35" s="3">
        <f>$H35*factors!FZ$3</f>
        <v>2.0690445319999999</v>
      </c>
      <c r="GG35" s="3">
        <f>$H35*factors!GA$3</f>
        <v>1.9877010473749999</v>
      </c>
      <c r="GH35" s="3">
        <f>$H35*factors!GB$3</f>
        <v>2.1149306002500001</v>
      </c>
      <c r="GI35" s="3">
        <f>$H35*factors!GC$3</f>
        <v>1.983529586625</v>
      </c>
      <c r="GJ35" s="3">
        <f>$H35*factors!GD$3</f>
        <v>1.9877010473749999</v>
      </c>
      <c r="GK35" s="3">
        <f>$H35*factors!GE$3</f>
        <v>2.0377585763749999</v>
      </c>
      <c r="GL35" s="3">
        <f>$H35*factors!GF$3</f>
        <v>2.1587309381250002</v>
      </c>
      <c r="GM35" s="3">
        <f>$H35*factors!GG$3</f>
        <v>2.0461014978750001</v>
      </c>
      <c r="GN35" s="3">
        <f>$H35*factors!GH$3</f>
        <v>2.1107591395000003</v>
      </c>
      <c r="GO35" s="3">
        <f>$H35*factors!GI$3</f>
        <v>1.9939582384999996</v>
      </c>
      <c r="GP35" s="3">
        <f>$H35*factors!GJ$3</f>
        <v>2.137873634375</v>
      </c>
      <c r="GQ35" s="3">
        <f>$H35*factors!GK$3</f>
        <v>2.18167397225</v>
      </c>
      <c r="GR35" s="3">
        <f>$H35*factors!GL$3</f>
        <v>2.1399593647500001</v>
      </c>
      <c r="GS35" s="3">
        <f>$H35*factors!GM$3</f>
        <v>2.023742468255</v>
      </c>
      <c r="GT35" s="3">
        <f>$H35*factors!GN$3</f>
        <v>2.070362713597</v>
      </c>
      <c r="GU35" s="3">
        <f>$H35*factors!GO$3</f>
        <v>2.119102061</v>
      </c>
      <c r="GV35" s="3">
        <f>$H35*factors!GP$3</f>
        <v>2.03433797856</v>
      </c>
      <c r="GW35" s="3">
        <f>$H35*factors!GQ$3</f>
        <v>2.106387448634</v>
      </c>
      <c r="GX35" s="3">
        <f>$H35*factors!GR$3</f>
        <v>2.072481815658</v>
      </c>
      <c r="GY35" s="3">
        <f>$H35*factors!GS$3</f>
        <v>2.0618863053530001</v>
      </c>
      <c r="GZ35" s="3">
        <f>$H35*factors!GT$3</f>
        <v>2.1381739795489998</v>
      </c>
      <c r="HA35" s="3">
        <f>$H35*factors!GU$3</f>
        <v>2.0682436115359999</v>
      </c>
      <c r="HB35" s="3">
        <f>$H35*factors!GV$3</f>
        <v>2.1381739795489998</v>
      </c>
      <c r="HC35" s="3">
        <f>$H35*factors!GW$3</f>
        <v>2.0851964280240001</v>
      </c>
      <c r="HD35" s="3">
        <f>$H35*factors!GX$3</f>
        <v>2.1466503877929997</v>
      </c>
      <c r="HE35" s="3">
        <f>$H35*factors!GY$3</f>
        <v>2.119102061</v>
      </c>
      <c r="HF35" s="3">
        <f>$H35*factors!GZ$3</f>
        <v>2.1847942248909997</v>
      </c>
      <c r="HG35" s="3">
        <f>$H35*factors!HA$3</f>
        <v>2.1000301424510002</v>
      </c>
      <c r="HH35" s="3">
        <f>$H35*factors!HB$3</f>
        <v>2.072481815658</v>
      </c>
      <c r="HI35" s="3">
        <f>$H35*factors!HC$3</f>
        <v>2.047052590926</v>
      </c>
      <c r="HJ35" s="3">
        <f>$H35*factors!HD$3</f>
        <v>2.023742468255</v>
      </c>
      <c r="HK35" s="3">
        <f>$H35*factors!HE$3</f>
        <v>2.1402930816099999</v>
      </c>
      <c r="HL35" s="3">
        <f>$H35*factors!HF$3</f>
        <v>2.0173851620719998</v>
      </c>
      <c r="HM35" s="3">
        <f>$H35*factors!HG$3</f>
        <v>2.0385761826820001</v>
      </c>
      <c r="HN35" s="3">
        <f>$H35*factors!HH$3</f>
        <v>2.1741987145860002</v>
      </c>
      <c r="HO35" s="3">
        <f>$H35*factors!HI$3</f>
        <v>2.0851964280240001</v>
      </c>
      <c r="HP35" s="3">
        <f>$H35*factors!HJ$3</f>
        <v>2.2250571640500003</v>
      </c>
      <c r="HQ35" s="3">
        <f>$H35*factors!HK$3</f>
        <v>2.03433797856</v>
      </c>
      <c r="HR35" s="3">
        <f>$H35*factors!HL$3</f>
        <v>2.157245898098</v>
      </c>
      <c r="HS35" s="3">
        <f>$H35*factors!HM$3</f>
        <v>2.1953897351960001</v>
      </c>
      <c r="HT35" s="3">
        <f>$H35*factors!HN$3</f>
        <v>2.047052590926</v>
      </c>
      <c r="HU35" s="3">
        <f>$H35*factors!HO$3</f>
        <v>2.0682436115359999</v>
      </c>
      <c r="HV35" s="3">
        <f>$H35*factors!HP$3</f>
        <v>2.0936728362680004</v>
      </c>
      <c r="HW35" s="3">
        <f>$H35*factors!HQ$3</f>
        <v>2.1233402651220001</v>
      </c>
      <c r="HX35" s="3">
        <f>$H35*factors!HR$3</f>
        <v>2.2102234496229998</v>
      </c>
      <c r="HY35" s="3">
        <f>$H35*factors!HS$3</f>
        <v>2.1000301424510002</v>
      </c>
      <c r="HZ35" s="3">
        <f>$H35*factors!HT$3</f>
        <v>2.180556020769</v>
      </c>
      <c r="IA35" s="3">
        <f>$H35*factors!HU$3</f>
        <v>2.0746009177190001</v>
      </c>
      <c r="IB35" s="3">
        <f>$H35*factors!HV$3</f>
        <v>2.1466503877929997</v>
      </c>
      <c r="IC35" s="3">
        <f>$H35*factors!HW$3</f>
        <v>2.167841408403</v>
      </c>
      <c r="ID35" s="3">
        <f>$H35*factors!HX$3</f>
        <v>2.0131469579499996</v>
      </c>
      <c r="IE35" s="3">
        <f>$H35*factors!HY$3</f>
        <v>2.1381739795489998</v>
      </c>
      <c r="IF35" s="3">
        <f>$H35*factors!HZ$3</f>
        <v>2.1254593671829998</v>
      </c>
      <c r="IG35" s="3">
        <f>$H35*factors!IA$3</f>
        <v>2.106387448634</v>
      </c>
      <c r="IH35" s="3">
        <f>$H35*factors!IB$3</f>
        <v>2.1847942248909997</v>
      </c>
      <c r="II35" s="3">
        <f>$H35*factors!IC$3</f>
        <v>2.0915537342069999</v>
      </c>
      <c r="IJ35" s="3">
        <f>$H35*factors!ID$3</f>
        <v>2.1106256527560001</v>
      </c>
      <c r="IK35" s="3">
        <f>$H35*factors!IE$3</f>
        <v>2.1869133269520002</v>
      </c>
      <c r="IL35" s="3">
        <f>$H35*factors!IF$3</f>
        <v>2.0936728362680004</v>
      </c>
      <c r="IM35" s="3">
        <f>$H35*factors!IG$3</f>
        <v>2.0746009177190001</v>
      </c>
      <c r="IN35" s="3">
        <f>$H35*factors!IH$3</f>
        <v>2.0873155300850001</v>
      </c>
      <c r="IO35" s="3">
        <f>$H35*factors!II$3</f>
        <v>2.108506550695</v>
      </c>
      <c r="IP35" s="3">
        <f>$H35*factors!IJ$3</f>
        <v>2.0385761826820001</v>
      </c>
      <c r="IQ35" s="3">
        <f>$H35*factors!IK$3</f>
        <v>2.0322188764989999</v>
      </c>
      <c r="IR35" s="3">
        <f>$H35*factors!IL$3</f>
        <v>2.0915537342069999</v>
      </c>
      <c r="IS35" s="3">
        <f>$H35*factors!IM$3</f>
        <v>2.108506550695</v>
      </c>
      <c r="IT35" s="3">
        <f>$H35*factors!IN$3</f>
        <v>2.1233402651220001</v>
      </c>
      <c r="IU35" s="3">
        <f>$H35*factors!IO$3</f>
        <v>2.1699605104640001</v>
      </c>
      <c r="IV35" s="3">
        <f>$H35*factors!IP$3</f>
        <v>2.1975088372569997</v>
      </c>
      <c r="IW35" s="3">
        <f>$H35*factors!IQ$3</f>
        <v>2.0767200197799998</v>
      </c>
      <c r="IX35" s="3">
        <f>$H35*factors!IR$3</f>
        <v>2.1699605104640001</v>
      </c>
      <c r="IY35" s="3">
        <f>$H35*factors!IS$3</f>
        <v>2.1381739795489998</v>
      </c>
      <c r="IZ35" s="3">
        <f>$H35*factors!IT$3</f>
        <v>2.1741987145860002</v>
      </c>
      <c r="JA35" s="3">
        <f>$H35*factors!IU$3</f>
        <v>2.0534098971089998</v>
      </c>
      <c r="JB35" s="3">
        <f>$H35*factors!IV$3</f>
        <v>2.0915537342069999</v>
      </c>
      <c r="JC35" s="3">
        <f>$H35*factors!IW$3</f>
        <v>2.0428143868040003</v>
      </c>
      <c r="JD35" s="3">
        <f>$H35*factors!IX$3</f>
        <v>2.2250571640500003</v>
      </c>
      <c r="JE35" s="3">
        <f>$H35*factors!IY$3</f>
        <v>2.0491716929870001</v>
      </c>
      <c r="JF35" s="3">
        <f>$H35*factors!IZ$3</f>
        <v>2.1508885919149998</v>
      </c>
      <c r="JG35" s="3">
        <f>$H35*factors!JA$3</f>
        <v>2.1127447548169997</v>
      </c>
      <c r="JH35" s="3">
        <f>$H35*factors!JB$3</f>
        <v>2.1530076939760003</v>
      </c>
      <c r="JI35" s="3">
        <f>$H35*factors!JC$3</f>
        <v>2.0152660600110002</v>
      </c>
      <c r="JJ35" s="3">
        <f>$H35*factors!JD$3</f>
        <v>2.1699605104640001</v>
      </c>
      <c r="JK35" s="3">
        <f>$H35*factors!JE$3</f>
        <v>2.1000301424510002</v>
      </c>
      <c r="JL35" s="3">
        <f>$H35*factors!JF$3</f>
        <v>2.1847942248909997</v>
      </c>
      <c r="JM35" s="3">
        <f>$H35*factors!JG$3</f>
        <v>2.0385761826820001</v>
      </c>
      <c r="JN35" s="3">
        <f>$H35*factors!JH$3</f>
        <v>2.0385761826820001</v>
      </c>
      <c r="JO35" s="3">
        <f>$H35*factors!JI$3</f>
        <v>2.0131469579499996</v>
      </c>
      <c r="JP35" s="3">
        <f>$H35*factors!JJ$3</f>
        <v>2.1763178166469999</v>
      </c>
      <c r="JQ35" s="3">
        <f>$H35*factors!JK$3</f>
        <v>2.1212211630610001</v>
      </c>
      <c r="JR35" s="3">
        <f>$H35*factors!JL$3</f>
        <v>2.20386614344</v>
      </c>
      <c r="JS35" s="3">
        <f>$H35*factors!JM$3</f>
        <v>2.0131469579499996</v>
      </c>
      <c r="JT35" s="3">
        <f>$H35*factors!JN$3</f>
        <v>2.1148638568780003</v>
      </c>
      <c r="JU35" s="3">
        <f>$H35*factors!JO$3</f>
        <v>2.0449334888649999</v>
      </c>
      <c r="JV35" s="3">
        <f>$H35*factors!JP$3</f>
        <v>2.0788391218410003</v>
      </c>
      <c r="JW35" s="3">
        <f>$H35*factors!JQ$3</f>
        <v>2.2208189599280002</v>
      </c>
      <c r="JX35" s="3">
        <f>$H35*factors!JR$3</f>
        <v>2.1996279393179998</v>
      </c>
      <c r="JY35" s="3">
        <f>$H35*factors!JS$3</f>
        <v>2.070362713597</v>
      </c>
      <c r="JZ35" s="3">
        <f>$H35*factors!JT$3</f>
        <v>2.0936728362680004</v>
      </c>
      <c r="KA35" s="3">
        <f>$H35*factors!JU$3</f>
        <v>2.1021492445120002</v>
      </c>
      <c r="KB35" s="3">
        <f>$H35*factors!JV$3</f>
        <v>2.0322188764989999</v>
      </c>
      <c r="KC35" s="3">
        <f>$H35*factors!JW$3</f>
        <v>2.0428143868040003</v>
      </c>
      <c r="KD35" s="3">
        <f>$H35*factors!JX$3</f>
        <v>2.0449334888649999</v>
      </c>
      <c r="KE35" s="3">
        <f>$H35*factors!JY$3</f>
        <v>2.1763178166469999</v>
      </c>
      <c r="KF35" s="3">
        <f>$H35*factors!JZ$3</f>
        <v>2.2017470413789999</v>
      </c>
      <c r="KG35" s="3">
        <f>$H35*factors!KA$3</f>
        <v>2.1233402651220001</v>
      </c>
      <c r="KH35" s="3">
        <f>$H35*factors!KB$3</f>
        <v>2.0767200197799998</v>
      </c>
      <c r="KI35" s="3">
        <f>$H35*factors!KC$3</f>
        <v>2.0576481012309999</v>
      </c>
    </row>
    <row r="36" spans="1:295" x14ac:dyDescent="0.55000000000000004">
      <c r="A36" t="s">
        <v>412</v>
      </c>
      <c r="B36">
        <v>35</v>
      </c>
      <c r="C36">
        <v>230</v>
      </c>
      <c r="D36" t="s">
        <v>377</v>
      </c>
      <c r="E36">
        <v>5.5840000000000004E-3</v>
      </c>
      <c r="F36">
        <v>35</v>
      </c>
      <c r="G36">
        <f>VLOOKUP(D36,demand_forecasted!$A$2:$G$11,2)</f>
        <v>11098</v>
      </c>
      <c r="H36" s="3">
        <f t="shared" si="1"/>
        <v>0.61971232000000009</v>
      </c>
      <c r="I36" s="3">
        <f>$H36*factors!C$3</f>
        <v>0.68602153824000012</v>
      </c>
      <c r="J36" s="3">
        <f>$H36*factors!D$3</f>
        <v>0.66125783393280013</v>
      </c>
      <c r="K36" s="3">
        <f>$H36*factors!E$3</f>
        <v>0.64987991573760018</v>
      </c>
      <c r="L36" s="3">
        <f>$H36*factors!F$3</f>
        <v>0.64787204782080021</v>
      </c>
      <c r="M36" s="3">
        <f>$H36*factors!G$3</f>
        <v>0.64720275851520004</v>
      </c>
      <c r="N36" s="3">
        <f>$H36*factors!H$3</f>
        <v>0.66594285907200013</v>
      </c>
      <c r="O36" s="3">
        <f>$H36*factors!I$3</f>
        <v>0.68066722379520006</v>
      </c>
      <c r="P36" s="3">
        <f>$H36*factors!J$3</f>
        <v>0.68869869546240015</v>
      </c>
      <c r="Q36" s="3">
        <f>$H36*factors!K$3</f>
        <v>0.64653346920960009</v>
      </c>
      <c r="R36" s="3">
        <f>$H36*factors!L$3</f>
        <v>0.63582484032000008</v>
      </c>
      <c r="S36" s="3">
        <f>$H36*factors!M$3</f>
        <v>0.66192712323840008</v>
      </c>
      <c r="T36" s="3">
        <f>$H36*factors!N$3</f>
        <v>0.6846829596288001</v>
      </c>
      <c r="U36" s="3">
        <f>$H36*factors!O$3</f>
        <v>0.64854133712640016</v>
      </c>
      <c r="V36" s="3">
        <f>$H36*factors!P$3</f>
        <v>0.67464362004480016</v>
      </c>
      <c r="W36" s="3">
        <f>$H36*factors!Q$3</f>
        <v>0.68066722379520006</v>
      </c>
      <c r="X36" s="3">
        <f>$H36*factors!R$3</f>
        <v>0.65121849434880008</v>
      </c>
      <c r="Y36" s="3">
        <f>$H36*factors!S$3</f>
        <v>0.64519489059840007</v>
      </c>
      <c r="Z36" s="3">
        <f>$H36*factors!T$3</f>
        <v>0.69606087782400028</v>
      </c>
      <c r="AA36" s="3">
        <f>$H36*factors!U$3</f>
        <v>0.65724209809920009</v>
      </c>
      <c r="AB36" s="3">
        <f>$H36*factors!V$3</f>
        <v>0.65791138740480015</v>
      </c>
      <c r="AC36" s="3">
        <f>$H36*factors!W$3</f>
        <v>0.65858067671040021</v>
      </c>
      <c r="AD36" s="3">
        <f>$H36*factors!X$3</f>
        <v>0.64452560129280012</v>
      </c>
      <c r="AE36" s="3">
        <f>$H36*factors!Y$3</f>
        <v>0.64987991573760018</v>
      </c>
      <c r="AF36" s="3">
        <f>$H36*factors!Z$3</f>
        <v>0.66326570184960021</v>
      </c>
      <c r="AG36" s="3">
        <f>$H36*factors!AA$3</f>
        <v>0.64653346920960009</v>
      </c>
      <c r="AH36" s="3">
        <f>$H36*factors!AB$3</f>
        <v>0.64385631198720017</v>
      </c>
      <c r="AI36" s="3">
        <f>$H36*factors!AC$3</f>
        <v>0.66460428046080011</v>
      </c>
      <c r="AJ36" s="3">
        <f>$H36*factors!AD$3</f>
        <v>0.69003727407360016</v>
      </c>
      <c r="AK36" s="3">
        <f>$H36*factors!AE$3</f>
        <v>0.66393499115520016</v>
      </c>
      <c r="AL36" s="3">
        <f>$H36*factors!AF$3</f>
        <v>0.63783270823680005</v>
      </c>
      <c r="AM36" s="3">
        <f>$H36*factors!AG$3</f>
        <v>0.65590351948800008</v>
      </c>
      <c r="AN36" s="3">
        <f>$H36*factors!AH$3</f>
        <v>0.64519489059840007</v>
      </c>
      <c r="AO36" s="3">
        <f>$H36*factors!AI$3</f>
        <v>0.67598219865600007</v>
      </c>
      <c r="AP36" s="3">
        <f>$H36*factors!AJ$3</f>
        <v>0.64787204782080021</v>
      </c>
      <c r="AQ36" s="3">
        <f>$H36*factors!AK$3</f>
        <v>0.66862001629440015</v>
      </c>
      <c r="AR36" s="3">
        <f>$H36*factors!AL$3</f>
        <v>0.65389565157120011</v>
      </c>
      <c r="AS36" s="3">
        <f>$H36*factors!AM$3</f>
        <v>0.63783270823680005</v>
      </c>
      <c r="AT36" s="3">
        <f>$H36*factors!AN$3</f>
        <v>0.65791138740480015</v>
      </c>
      <c r="AU36" s="3">
        <f>$H36*factors!AO$3</f>
        <v>0.69673016712960012</v>
      </c>
      <c r="AV36" s="3">
        <f>$H36*factors!AP$3</f>
        <v>0.65858067671040021</v>
      </c>
      <c r="AW36" s="3">
        <f>$H36*factors!AQ$3</f>
        <v>0.65188778365440003</v>
      </c>
      <c r="AX36" s="3">
        <f>$H36*factors!AR$3</f>
        <v>0.6893679847680001</v>
      </c>
      <c r="AY36" s="3">
        <f>$H36*factors!AS$3</f>
        <v>0.63582484032000008</v>
      </c>
      <c r="AZ36" s="3">
        <f>$H36*factors!AT$3</f>
        <v>0.68133651310080023</v>
      </c>
      <c r="BA36" s="3">
        <f>$H36*factors!AU$3</f>
        <v>0.66661214837760008</v>
      </c>
      <c r="BB36" s="3">
        <f>$H36*factors!AV$3</f>
        <v>0.65791138740480015</v>
      </c>
      <c r="BC36" s="3">
        <f>$H36*factors!AW$3</f>
        <v>0.69606087782400028</v>
      </c>
      <c r="BD36" s="3">
        <f>$H36*factors!AX$3</f>
        <v>0.64251773337600004</v>
      </c>
      <c r="BE36" s="3">
        <f>$H36*factors!AY$3</f>
        <v>0.75539213534080007</v>
      </c>
      <c r="BF36" s="3">
        <f>$H36*factors!AZ$3</f>
        <v>0.70347263717120012</v>
      </c>
      <c r="BG36" s="3">
        <f>$H36*factors!BA$3</f>
        <v>0.71371028469760001</v>
      </c>
      <c r="BH36" s="3">
        <f>$H36*factors!BB$3</f>
        <v>0.72321667168640003</v>
      </c>
      <c r="BI36" s="3">
        <f>$H36*factors!BC$3</f>
        <v>0.74954205103999993</v>
      </c>
      <c r="BJ36" s="3">
        <f>$H36*factors!BD$3</f>
        <v>0.71590406631040004</v>
      </c>
      <c r="BK36" s="3">
        <f>$H36*factors!BE$3</f>
        <v>0.7173665873856</v>
      </c>
      <c r="BL36" s="3">
        <f>$H36*factors!BF$3</f>
        <v>0.70932272147200004</v>
      </c>
      <c r="BM36" s="3">
        <f>$H36*factors!BG$3</f>
        <v>0.75758591695360011</v>
      </c>
      <c r="BN36" s="3">
        <f>$H36*factors!BH$3</f>
        <v>0.74807952996480009</v>
      </c>
      <c r="BO36" s="3">
        <f>$H36*factors!BI$3</f>
        <v>0.70347263717120012</v>
      </c>
      <c r="BP36" s="3">
        <f>$H36*factors!BJ$3</f>
        <v>0.70127885555839997</v>
      </c>
      <c r="BQ36" s="3">
        <f>$H36*factors!BK$3</f>
        <v>0.71297902416000003</v>
      </c>
      <c r="BR36" s="3">
        <f>$H36*factors!BL$3</f>
        <v>0.73857314297600007</v>
      </c>
      <c r="BS36" s="3">
        <f>$H36*factors!BM$3</f>
        <v>0.75027331157760013</v>
      </c>
      <c r="BT36" s="3">
        <f>$H36*factors!BN$3</f>
        <v>0.75246709319040006</v>
      </c>
      <c r="BU36" s="3">
        <f>$H36*factors!BO$3</f>
        <v>0.76489852232960009</v>
      </c>
      <c r="BV36" s="3">
        <f>$H36*factors!BP$3</f>
        <v>0.71151650308480008</v>
      </c>
      <c r="BW36" s="3">
        <f>$H36*factors!BQ$3</f>
        <v>0.7276042349120001</v>
      </c>
      <c r="BX36" s="3">
        <f>$H36*factors!BR$3</f>
        <v>0.71371028469760001</v>
      </c>
      <c r="BY36" s="3">
        <f>$H36*factors!BS$3</f>
        <v>0.74661700888959992</v>
      </c>
      <c r="BZ36" s="3">
        <f>$H36*factors!BT$3</f>
        <v>0.73272305867520005</v>
      </c>
      <c r="CA36" s="3">
        <f>$H36*factors!BU$3</f>
        <v>0.72321667168640003</v>
      </c>
      <c r="CB36" s="3">
        <f>$H36*factors!BV$3</f>
        <v>0.69981633448320002</v>
      </c>
      <c r="CC36" s="3">
        <f>$H36*factors!BW$3</f>
        <v>0.72029162953600001</v>
      </c>
      <c r="CD36" s="3">
        <f>$H36*factors!BX$3</f>
        <v>0.72248541114880005</v>
      </c>
      <c r="CE36" s="3">
        <f>$H36*factors!BY$3</f>
        <v>0.73272305867520005</v>
      </c>
      <c r="CF36" s="3">
        <f>$H36*factors!BZ$3</f>
        <v>0.72175415061120007</v>
      </c>
      <c r="CG36" s="3">
        <f>$H36*factors!CA$3</f>
        <v>0.69762255287039998</v>
      </c>
      <c r="CH36" s="3">
        <f>$H36*factors!CB$3</f>
        <v>0.69835381340799996</v>
      </c>
      <c r="CI36" s="3">
        <f>$H36*factors!CC$3</f>
        <v>0.69469751072000008</v>
      </c>
      <c r="CJ36" s="3">
        <f>$H36*factors!CD$3</f>
        <v>0.72321667168640003</v>
      </c>
      <c r="CK36" s="3">
        <f>$H36*factors!CE$3</f>
        <v>0.75539213534080007</v>
      </c>
      <c r="CL36" s="3">
        <f>$H36*factors!CF$3</f>
        <v>0.70786020039680009</v>
      </c>
      <c r="CM36" s="3">
        <f>$H36*factors!CG$3</f>
        <v>0.72467919276159998</v>
      </c>
      <c r="CN36" s="3">
        <f>$H36*factors!CH$3</f>
        <v>0.7005475950208</v>
      </c>
      <c r="CO36" s="3">
        <f>$H36*factors!CI$3</f>
        <v>0.70566641878400005</v>
      </c>
      <c r="CP36" s="3">
        <f>$H36*factors!CJ$3</f>
        <v>0.73930440351359994</v>
      </c>
      <c r="CQ36" s="3">
        <f>$H36*factors!CK$3</f>
        <v>0.7173665873856</v>
      </c>
      <c r="CR36" s="3">
        <f>$H36*factors!CL$3</f>
        <v>0.74003566405120003</v>
      </c>
      <c r="CS36" s="3">
        <f>$H36*factors!CM$3</f>
        <v>0.76343600125440003</v>
      </c>
      <c r="CT36" s="3">
        <f>$H36*factors!CN$3</f>
        <v>0.7546608748032001</v>
      </c>
      <c r="CU36" s="3">
        <f>$H36*factors!CO$3</f>
        <v>0.73784188243839999</v>
      </c>
      <c r="CV36" s="3">
        <f>$H36*factors!CP$3</f>
        <v>0.76782356448</v>
      </c>
      <c r="CW36" s="3">
        <f>$H36*factors!CQ$3</f>
        <v>0.72614171383680015</v>
      </c>
      <c r="CX36" s="3">
        <f>$H36*factors!CR$3</f>
        <v>0.71517280577280007</v>
      </c>
      <c r="CY36" s="3">
        <f>$H36*factors!CS$3</f>
        <v>0.70859146093440006</v>
      </c>
      <c r="CZ36" s="3">
        <f>$H36*factors!CT$3</f>
        <v>0.69835381340799996</v>
      </c>
      <c r="DA36" s="3">
        <f>$H36*factors!CU$3</f>
        <v>0.72506341440000011</v>
      </c>
      <c r="DB36" s="3">
        <f>$H36*factors!CV$3</f>
        <v>0.77191366579200016</v>
      </c>
      <c r="DC36" s="3">
        <f>$H36*factors!CW$3</f>
        <v>0.73919285529599998</v>
      </c>
      <c r="DD36" s="3">
        <f>$H36*factors!CX$3</f>
        <v>0.73398727180800005</v>
      </c>
      <c r="DE36" s="3">
        <f>$H36*factors!CY$3</f>
        <v>0.75555326054400018</v>
      </c>
      <c r="DF36" s="3">
        <f>$H36*factors!CZ$3</f>
        <v>0.75406595097600004</v>
      </c>
      <c r="DG36" s="3">
        <f>$H36*factors!DA$3</f>
        <v>0.7510913318400001</v>
      </c>
      <c r="DH36" s="3">
        <f>$H36*factors!DB$3</f>
        <v>0.7510913318400001</v>
      </c>
      <c r="DI36" s="3">
        <f>$H36*factors!DC$3</f>
        <v>0.72283245004800001</v>
      </c>
      <c r="DJ36" s="3">
        <f>$H36*factors!DD$3</f>
        <v>0.76596442752000016</v>
      </c>
      <c r="DK36" s="3">
        <f>$H36*factors!DE$3</f>
        <v>0.76596442752000016</v>
      </c>
      <c r="DL36" s="3">
        <f>$H36*factors!DF$3</f>
        <v>0.7570405701120001</v>
      </c>
      <c r="DM36" s="3">
        <f>$H36*factors!DG$3</f>
        <v>0.71316493785599999</v>
      </c>
      <c r="DN36" s="3">
        <f>$H36*factors!DH$3</f>
        <v>0.74811671270400015</v>
      </c>
      <c r="DO36" s="3">
        <f>$H36*factors!DI$3</f>
        <v>0.77265732057600001</v>
      </c>
      <c r="DP36" s="3">
        <f>$H36*factors!DJ$3</f>
        <v>0.76596442752000016</v>
      </c>
      <c r="DQ36" s="3">
        <f>$H36*factors!DK$3</f>
        <v>0.73026899788800004</v>
      </c>
      <c r="DR36" s="3">
        <f>$H36*factors!DL$3</f>
        <v>0.72208879526400016</v>
      </c>
      <c r="DS36" s="3">
        <f>$H36*factors!DM$3</f>
        <v>0.78009386841600004</v>
      </c>
      <c r="DT36" s="3">
        <f>$H36*factors!DN$3</f>
        <v>0.73324361702400009</v>
      </c>
      <c r="DU36" s="3">
        <f>$H36*factors!DO$3</f>
        <v>0.76745173708800007</v>
      </c>
      <c r="DV36" s="3">
        <f>$H36*factors!DP$3</f>
        <v>0.74960402227200007</v>
      </c>
      <c r="DW36" s="3">
        <f>$H36*factors!DQ$3</f>
        <v>0.71539590220799998</v>
      </c>
      <c r="DX36" s="3">
        <f>$H36*factors!DR$3</f>
        <v>0.75778422489600006</v>
      </c>
      <c r="DY36" s="3">
        <f>$H36*factors!DS$3</f>
        <v>0.71911417612799999</v>
      </c>
      <c r="DZ36" s="3">
        <f>$H36*factors!DT$3</f>
        <v>0.7689390466560001</v>
      </c>
      <c r="EA36" s="3">
        <f>$H36*factors!DU$3</f>
        <v>0.72431975961600004</v>
      </c>
      <c r="EB36" s="3">
        <f>$H36*factors!DV$3</f>
        <v>0.70647204480000003</v>
      </c>
      <c r="EC36" s="3">
        <f>$H36*factors!DW$3</f>
        <v>0.76001518924800004</v>
      </c>
      <c r="ED36" s="3">
        <f>$H36*factors!DX$3</f>
        <v>0.71316493785599999</v>
      </c>
      <c r="EE36" s="3">
        <f>$H36*factors!DY$3</f>
        <v>0.71911417612799999</v>
      </c>
      <c r="EF36" s="3">
        <f>$H36*factors!DZ$3</f>
        <v>0.78009386841600004</v>
      </c>
      <c r="EG36" s="3">
        <f>$H36*factors!EA$3</f>
        <v>0.72878168832000012</v>
      </c>
      <c r="EH36" s="3">
        <f>$H36*factors!EB$3</f>
        <v>0.73101265267200011</v>
      </c>
      <c r="EI36" s="3">
        <f>$H36*factors!EC$3</f>
        <v>0.72952534310400008</v>
      </c>
      <c r="EJ36" s="3">
        <f>$H36*factors!ED$3</f>
        <v>0.71093397350400012</v>
      </c>
      <c r="EK36" s="3">
        <f>$H36*factors!EE$3</f>
        <v>0.76001518924800004</v>
      </c>
      <c r="EL36" s="3">
        <f>$H36*factors!EF$3</f>
        <v>0.72283245004800001</v>
      </c>
      <c r="EM36" s="3">
        <f>$H36*factors!EG$3</f>
        <v>0.75183498662400006</v>
      </c>
      <c r="EN36" s="3">
        <f>$H36*factors!EH$3</f>
        <v>0.70647204480000003</v>
      </c>
      <c r="EO36" s="3">
        <f>$H36*factors!EI$3</f>
        <v>0.71688321177600001</v>
      </c>
      <c r="EP36" s="3">
        <f>$H36*factors!EJ$3</f>
        <v>0.75629691532800003</v>
      </c>
      <c r="EQ36" s="3">
        <f>$H36*factors!EK$3</f>
        <v>0.73547458137599997</v>
      </c>
      <c r="ER36" s="3">
        <f>$H36*factors!EL$3</f>
        <v>0.76596442752000016</v>
      </c>
      <c r="ES36" s="3">
        <f>$H36*factors!EM$3</f>
        <v>0.75629691532800003</v>
      </c>
      <c r="ET36" s="3">
        <f>$H36*factors!EN$3</f>
        <v>0.77340097536000008</v>
      </c>
      <c r="EU36" s="3">
        <f>$H36*factors!EO$3</f>
        <v>0.78083752320000011</v>
      </c>
      <c r="EV36" s="3">
        <f>$H36*factors!EP$3</f>
        <v>0.73175630745600007</v>
      </c>
      <c r="EW36" s="3">
        <f>$H36*factors!EQ$3</f>
        <v>0.80485137559999997</v>
      </c>
      <c r="EX36" s="3">
        <f>$H36*factors!ER$3</f>
        <v>0.79633033120000019</v>
      </c>
      <c r="EY36" s="3">
        <f>$H36*factors!ES$3</f>
        <v>0.81259777960000001</v>
      </c>
      <c r="EZ36" s="3">
        <f>$H36*factors!ET$3</f>
        <v>0.80485137559999997</v>
      </c>
      <c r="FA36" s="3">
        <f>$H36*factors!EU$3</f>
        <v>0.73978158199999999</v>
      </c>
      <c r="FB36" s="3">
        <f>$H36*factors!EV$3</f>
        <v>0.77309111920000018</v>
      </c>
      <c r="FC36" s="3">
        <f>$H36*factors!EW$3</f>
        <v>0.79478105040000013</v>
      </c>
      <c r="FD36" s="3">
        <f>$H36*factors!EX$3</f>
        <v>0.76689399600000019</v>
      </c>
      <c r="FE36" s="3">
        <f>$H36*factors!EY$3</f>
        <v>0.80794993720000008</v>
      </c>
      <c r="FF36" s="3">
        <f>$H36*factors!EZ$3</f>
        <v>0.80872457760000027</v>
      </c>
      <c r="FG36" s="3">
        <f>$H36*factors!FA$3</f>
        <v>0.73978158199999999</v>
      </c>
      <c r="FH36" s="3">
        <f>$H36*factors!FB$3</f>
        <v>0.77851360200000008</v>
      </c>
      <c r="FI36" s="3">
        <f>$H36*factors!FC$3</f>
        <v>0.81104849880000007</v>
      </c>
      <c r="FJ36" s="3">
        <f>$H36*factors!FD$3</f>
        <v>0.77851360200000008</v>
      </c>
      <c r="FK36" s="3">
        <f>$H36*factors!FE$3</f>
        <v>0.79168248880000014</v>
      </c>
      <c r="FL36" s="3">
        <f>$H36*factors!FF$3</f>
        <v>0.79400641000000016</v>
      </c>
      <c r="FM36" s="3">
        <f>$H36*factors!FG$3</f>
        <v>0.80252745440000006</v>
      </c>
      <c r="FN36" s="3">
        <f>$H36*factors!FH$3</f>
        <v>0.75062654760000003</v>
      </c>
      <c r="FO36" s="3">
        <f>$H36*factors!FI$3</f>
        <v>0.79710497160000005</v>
      </c>
      <c r="FP36" s="3">
        <f>$H36*factors!FJ$3</f>
        <v>0.77464040000000012</v>
      </c>
      <c r="FQ36" s="3">
        <f>$H36*factors!FK$3</f>
        <v>0.76689399600000019</v>
      </c>
      <c r="FR36" s="3">
        <f>$H36*factors!FL$3</f>
        <v>0.78238680400000005</v>
      </c>
      <c r="FS36" s="3">
        <f>$H36*factors!FM$3</f>
        <v>0.7777389616</v>
      </c>
      <c r="FT36" s="3">
        <f>$H36*factors!FN$3</f>
        <v>0.79478105040000013</v>
      </c>
      <c r="FU36" s="3">
        <f>$H36*factors!FO$3</f>
        <v>0.76379543440000008</v>
      </c>
      <c r="FV36" s="3">
        <f>$H36*factors!FP$3</f>
        <v>0.7575983112000001</v>
      </c>
      <c r="FW36" s="3">
        <f>$H36*factors!FQ$3</f>
        <v>0.81104849880000007</v>
      </c>
      <c r="FX36" s="3">
        <f>$H36*factors!FR$3</f>
        <v>0.79633033120000019</v>
      </c>
      <c r="FY36" s="3">
        <f>$H36*factors!FS$3</f>
        <v>0.78006288280000002</v>
      </c>
      <c r="FZ36" s="3">
        <f>$H36*factors!FT$3</f>
        <v>0.74133086280000016</v>
      </c>
      <c r="GA36" s="3">
        <f>$H36*factors!FU$3</f>
        <v>0.78006288280000002</v>
      </c>
      <c r="GB36" s="3">
        <f>$H36*factors!FV$3</f>
        <v>0.80872457760000027</v>
      </c>
      <c r="GC36" s="3">
        <f>$H36*factors!FW$3</f>
        <v>0.7575983112000001</v>
      </c>
      <c r="GD36" s="3">
        <f>$H36*factors!FX$3</f>
        <v>0.77076719800000004</v>
      </c>
      <c r="GE36" s="3">
        <f>$H36*factors!FY$3</f>
        <v>0.77076719800000004</v>
      </c>
      <c r="GF36" s="3">
        <f>$H36*factors!FZ$3</f>
        <v>0.76844327680000013</v>
      </c>
      <c r="GG36" s="3">
        <f>$H36*factors!GA$3</f>
        <v>0.73823230120000005</v>
      </c>
      <c r="GH36" s="3">
        <f>$H36*factors!GB$3</f>
        <v>0.78548536560000015</v>
      </c>
      <c r="GI36" s="3">
        <f>$H36*factors!GC$3</f>
        <v>0.73668302040000011</v>
      </c>
      <c r="GJ36" s="3">
        <f>$H36*factors!GD$3</f>
        <v>0.73823230120000005</v>
      </c>
      <c r="GK36" s="3">
        <f>$H36*factors!GE$3</f>
        <v>0.75682367080000013</v>
      </c>
      <c r="GL36" s="3">
        <f>$H36*factors!GF$3</f>
        <v>0.80175281400000009</v>
      </c>
      <c r="GM36" s="3">
        <f>$H36*factors!GG$3</f>
        <v>0.75992223240000012</v>
      </c>
      <c r="GN36" s="3">
        <f>$H36*factors!GH$3</f>
        <v>0.78393608480000021</v>
      </c>
      <c r="GO36" s="3">
        <f>$H36*factors!GI$3</f>
        <v>0.74055622239999996</v>
      </c>
      <c r="GP36" s="3">
        <f>$H36*factors!GJ$3</f>
        <v>0.79400641000000016</v>
      </c>
      <c r="GQ36" s="3">
        <f>$H36*factors!GK$3</f>
        <v>0.81027385840000021</v>
      </c>
      <c r="GR36" s="3">
        <f>$H36*factors!GL$3</f>
        <v>0.79478105040000013</v>
      </c>
      <c r="GS36" s="3">
        <f>$H36*factors!GM$3</f>
        <v>0.75161808731200008</v>
      </c>
      <c r="GT36" s="3">
        <f>$H36*factors!GN$3</f>
        <v>0.76893284953280017</v>
      </c>
      <c r="GU36" s="3">
        <f>$H36*factors!GO$3</f>
        <v>0.78703464640000009</v>
      </c>
      <c r="GV36" s="3">
        <f>$H36*factors!GP$3</f>
        <v>0.75555326054400018</v>
      </c>
      <c r="GW36" s="3">
        <f>$H36*factors!GQ$3</f>
        <v>0.78231243852160015</v>
      </c>
      <c r="GX36" s="3">
        <f>$H36*factors!GR$3</f>
        <v>0.76971988417920012</v>
      </c>
      <c r="GY36" s="3">
        <f>$H36*factors!GS$3</f>
        <v>0.76578471094720013</v>
      </c>
      <c r="GZ36" s="3">
        <f>$H36*factors!GT$3</f>
        <v>0.79411795821760001</v>
      </c>
      <c r="HA36" s="3">
        <f>$H36*factors!GU$3</f>
        <v>0.7681458148864001</v>
      </c>
      <c r="HB36" s="3">
        <f>$H36*factors!GV$3</f>
        <v>0.79411795821760001</v>
      </c>
      <c r="HC36" s="3">
        <f>$H36*factors!GW$3</f>
        <v>0.77444209205760006</v>
      </c>
      <c r="HD36" s="3">
        <f>$H36*factors!GX$3</f>
        <v>0.79726609680320004</v>
      </c>
      <c r="HE36" s="3">
        <f>$H36*factors!GY$3</f>
        <v>0.78703464640000009</v>
      </c>
      <c r="HF36" s="3">
        <f>$H36*factors!GZ$3</f>
        <v>0.81143272043840009</v>
      </c>
      <c r="HG36" s="3">
        <f>$H36*factors!HA$3</f>
        <v>0.77995133458240007</v>
      </c>
      <c r="HH36" s="3">
        <f>$H36*factors!HB$3</f>
        <v>0.76971988417920012</v>
      </c>
      <c r="HI36" s="3">
        <f>$H36*factors!HC$3</f>
        <v>0.76027546842240012</v>
      </c>
      <c r="HJ36" s="3">
        <f>$H36*factors!HD$3</f>
        <v>0.75161808731200008</v>
      </c>
      <c r="HK36" s="3">
        <f>$H36*factors!HE$3</f>
        <v>0.79490499286400007</v>
      </c>
      <c r="HL36" s="3">
        <f>$H36*factors!HF$3</f>
        <v>0.7492569833728</v>
      </c>
      <c r="HM36" s="3">
        <f>$H36*factors!HG$3</f>
        <v>0.7571273298368002</v>
      </c>
      <c r="HN36" s="3">
        <f>$H36*factors!HH$3</f>
        <v>0.80749754720640021</v>
      </c>
      <c r="HO36" s="3">
        <f>$H36*factors!HI$3</f>
        <v>0.77444209205760006</v>
      </c>
      <c r="HP36" s="3">
        <f>$H36*factors!HJ$3</f>
        <v>0.8263863787200002</v>
      </c>
      <c r="HQ36" s="3">
        <f>$H36*factors!HK$3</f>
        <v>0.75555326054400018</v>
      </c>
      <c r="HR36" s="3">
        <f>$H36*factors!HL$3</f>
        <v>0.80120127003520014</v>
      </c>
      <c r="HS36" s="3">
        <f>$H36*factors!HM$3</f>
        <v>0.81536789367040008</v>
      </c>
      <c r="HT36" s="3">
        <f>$H36*factors!HN$3</f>
        <v>0.76027546842240012</v>
      </c>
      <c r="HU36" s="3">
        <f>$H36*factors!HO$3</f>
        <v>0.7681458148864001</v>
      </c>
      <c r="HV36" s="3">
        <f>$H36*factors!HP$3</f>
        <v>0.77759023064320021</v>
      </c>
      <c r="HW36" s="3">
        <f>$H36*factors!HQ$3</f>
        <v>0.78860871569280011</v>
      </c>
      <c r="HX36" s="3">
        <f>$H36*factors!HR$3</f>
        <v>0.82087713619519997</v>
      </c>
      <c r="HY36" s="3">
        <f>$H36*factors!HS$3</f>
        <v>0.77995133458240007</v>
      </c>
      <c r="HZ36" s="3">
        <f>$H36*factors!HT$3</f>
        <v>0.80985865114560007</v>
      </c>
      <c r="IA36" s="3">
        <f>$H36*factors!HU$3</f>
        <v>0.77050691882560018</v>
      </c>
      <c r="IB36" s="3">
        <f>$H36*factors!HV$3</f>
        <v>0.79726609680320004</v>
      </c>
      <c r="IC36" s="3">
        <f>$H36*factors!HW$3</f>
        <v>0.80513644326720013</v>
      </c>
      <c r="ID36" s="3">
        <f>$H36*factors!HX$3</f>
        <v>0.74768291408000009</v>
      </c>
      <c r="IE36" s="3">
        <f>$H36*factors!HY$3</f>
        <v>0.79411795821760001</v>
      </c>
      <c r="IF36" s="3">
        <f>$H36*factors!HZ$3</f>
        <v>0.78939575033920006</v>
      </c>
      <c r="IG36" s="3">
        <f>$H36*factors!IA$3</f>
        <v>0.78231243852160015</v>
      </c>
      <c r="IH36" s="3">
        <f>$H36*factors!IB$3</f>
        <v>0.81143272043840009</v>
      </c>
      <c r="II36" s="3">
        <f>$H36*factors!IC$3</f>
        <v>0.77680319599680014</v>
      </c>
      <c r="IJ36" s="3">
        <f>$H36*factors!ID$3</f>
        <v>0.78388650781440017</v>
      </c>
      <c r="IK36" s="3">
        <f>$H36*factors!IE$3</f>
        <v>0.81221975508480015</v>
      </c>
      <c r="IL36" s="3">
        <f>$H36*factors!IF$3</f>
        <v>0.77759023064320021</v>
      </c>
      <c r="IM36" s="3">
        <f>$H36*factors!IG$3</f>
        <v>0.77050691882560018</v>
      </c>
      <c r="IN36" s="3">
        <f>$H36*factors!IH$3</f>
        <v>0.77522912670400013</v>
      </c>
      <c r="IO36" s="3">
        <f>$H36*factors!II$3</f>
        <v>0.7830994731680001</v>
      </c>
      <c r="IP36" s="3">
        <f>$H36*factors!IJ$3</f>
        <v>0.7571273298368002</v>
      </c>
      <c r="IQ36" s="3">
        <f>$H36*factors!IK$3</f>
        <v>0.75476622589760012</v>
      </c>
      <c r="IR36" s="3">
        <f>$H36*factors!IL$3</f>
        <v>0.77680319599680014</v>
      </c>
      <c r="IS36" s="3">
        <f>$H36*factors!IM$3</f>
        <v>0.7830994731680001</v>
      </c>
      <c r="IT36" s="3">
        <f>$H36*factors!IN$3</f>
        <v>0.78860871569280011</v>
      </c>
      <c r="IU36" s="3">
        <f>$H36*factors!IO$3</f>
        <v>0.80592347791360019</v>
      </c>
      <c r="IV36" s="3">
        <f>$H36*factors!IP$3</f>
        <v>0.81615492831680003</v>
      </c>
      <c r="IW36" s="3">
        <f>$H36*factors!IQ$3</f>
        <v>0.77129395347200003</v>
      </c>
      <c r="IX36" s="3">
        <f>$H36*factors!IR$3</f>
        <v>0.80592347791360019</v>
      </c>
      <c r="IY36" s="3">
        <f>$H36*factors!IS$3</f>
        <v>0.79411795821760001</v>
      </c>
      <c r="IZ36" s="3">
        <f>$H36*factors!IT$3</f>
        <v>0.80749754720640021</v>
      </c>
      <c r="JA36" s="3">
        <f>$H36*factors!IU$3</f>
        <v>0.7626365723616001</v>
      </c>
      <c r="JB36" s="3">
        <f>$H36*factors!IV$3</f>
        <v>0.77680319599680014</v>
      </c>
      <c r="JC36" s="3">
        <f>$H36*factors!IW$3</f>
        <v>0.75870139912960011</v>
      </c>
      <c r="JD36" s="3">
        <f>$H36*factors!IX$3</f>
        <v>0.8263863787200002</v>
      </c>
      <c r="JE36" s="3">
        <f>$H36*factors!IY$3</f>
        <v>0.76106250306880008</v>
      </c>
      <c r="JF36" s="3">
        <f>$H36*factors!IZ$3</f>
        <v>0.79884016609599995</v>
      </c>
      <c r="JG36" s="3">
        <f>$H36*factors!JA$3</f>
        <v>0.78467354246080012</v>
      </c>
      <c r="JH36" s="3">
        <f>$H36*factors!JB$3</f>
        <v>0.79962720074240023</v>
      </c>
      <c r="JI36" s="3">
        <f>$H36*factors!JC$3</f>
        <v>0.74846994872640016</v>
      </c>
      <c r="JJ36" s="3">
        <f>$H36*factors!JD$3</f>
        <v>0.80592347791360019</v>
      </c>
      <c r="JK36" s="3">
        <f>$H36*factors!JE$3</f>
        <v>0.77995133458240007</v>
      </c>
      <c r="JL36" s="3">
        <f>$H36*factors!JF$3</f>
        <v>0.81143272043840009</v>
      </c>
      <c r="JM36" s="3">
        <f>$H36*factors!JG$3</f>
        <v>0.7571273298368002</v>
      </c>
      <c r="JN36" s="3">
        <f>$H36*factors!JH$3</f>
        <v>0.7571273298368002</v>
      </c>
      <c r="JO36" s="3">
        <f>$H36*factors!JI$3</f>
        <v>0.74768291408000009</v>
      </c>
      <c r="JP36" s="3">
        <f>$H36*factors!JJ$3</f>
        <v>0.80828458185280005</v>
      </c>
      <c r="JQ36" s="3">
        <f>$H36*factors!JK$3</f>
        <v>0.78782168104640005</v>
      </c>
      <c r="JR36" s="3">
        <f>$H36*factors!JL$3</f>
        <v>0.81851603225600011</v>
      </c>
      <c r="JS36" s="3">
        <f>$H36*factors!JM$3</f>
        <v>0.74768291408000009</v>
      </c>
      <c r="JT36" s="3">
        <f>$H36*factors!JN$3</f>
        <v>0.78546057710720019</v>
      </c>
      <c r="JU36" s="3">
        <f>$H36*factors!JO$3</f>
        <v>0.75948843377600006</v>
      </c>
      <c r="JV36" s="3">
        <f>$H36*factors!JP$3</f>
        <v>0.77208098811840009</v>
      </c>
      <c r="JW36" s="3">
        <f>$H36*factors!JQ$3</f>
        <v>0.82481230942720019</v>
      </c>
      <c r="JX36" s="3">
        <f>$H36*factors!JR$3</f>
        <v>0.8169419629632001</v>
      </c>
      <c r="JY36" s="3">
        <f>$H36*factors!JS$3</f>
        <v>0.76893284953280017</v>
      </c>
      <c r="JZ36" s="3">
        <f>$H36*factors!JT$3</f>
        <v>0.77759023064320021</v>
      </c>
      <c r="KA36" s="3">
        <f>$H36*factors!JU$3</f>
        <v>0.78073836922880013</v>
      </c>
      <c r="KB36" s="3">
        <f>$H36*factors!JV$3</f>
        <v>0.75476622589760012</v>
      </c>
      <c r="KC36" s="3">
        <f>$H36*factors!JW$3</f>
        <v>0.75870139912960011</v>
      </c>
      <c r="KD36" s="3">
        <f>$H36*factors!JX$3</f>
        <v>0.75948843377600006</v>
      </c>
      <c r="KE36" s="3">
        <f>$H36*factors!JY$3</f>
        <v>0.80828458185280005</v>
      </c>
      <c r="KF36" s="3">
        <f>$H36*factors!JZ$3</f>
        <v>0.81772899760960005</v>
      </c>
      <c r="KG36" s="3">
        <f>$H36*factors!KA$3</f>
        <v>0.78860871569280011</v>
      </c>
      <c r="KH36" s="3">
        <f>$H36*factors!KB$3</f>
        <v>0.77129395347200003</v>
      </c>
      <c r="KI36" s="3">
        <f>$H36*factors!KC$3</f>
        <v>0.7642106416544</v>
      </c>
    </row>
    <row r="37" spans="1:295" x14ac:dyDescent="0.55000000000000004">
      <c r="A37" t="s">
        <v>413</v>
      </c>
      <c r="B37">
        <v>36</v>
      </c>
      <c r="C37">
        <v>230</v>
      </c>
      <c r="D37" t="s">
        <v>377</v>
      </c>
      <c r="E37">
        <v>3.3409999999999998E-3</v>
      </c>
      <c r="F37">
        <v>36</v>
      </c>
      <c r="G37">
        <f>VLOOKUP(D37,demand_forecasted!$A$2:$G$11,2)</f>
        <v>11098</v>
      </c>
      <c r="H37" s="3">
        <f t="shared" si="1"/>
        <v>0.37078418000000002</v>
      </c>
      <c r="I37" s="3">
        <f>$H37*factors!C$3</f>
        <v>0.41045808725999999</v>
      </c>
      <c r="J37" s="3">
        <f>$H37*factors!D$3</f>
        <v>0.39564155142720003</v>
      </c>
      <c r="K37" s="3">
        <f>$H37*factors!E$3</f>
        <v>0.38883395388240005</v>
      </c>
      <c r="L37" s="3">
        <f>$H37*factors!F$3</f>
        <v>0.38763261313920006</v>
      </c>
      <c r="M37" s="3">
        <f>$H37*factors!G$3</f>
        <v>0.3872321662248</v>
      </c>
      <c r="N37" s="3">
        <f>$H37*factors!H$3</f>
        <v>0.39844467982800003</v>
      </c>
      <c r="O37" s="3">
        <f>$H37*factors!I$3</f>
        <v>0.4072545119448</v>
      </c>
      <c r="P37" s="3">
        <f>$H37*factors!J$3</f>
        <v>0.41205987491760004</v>
      </c>
      <c r="Q37" s="3">
        <f>$H37*factors!K$3</f>
        <v>0.3868317193104</v>
      </c>
      <c r="R37" s="3">
        <f>$H37*factors!L$3</f>
        <v>0.38042456868000002</v>
      </c>
      <c r="S37" s="3">
        <f>$H37*factors!M$3</f>
        <v>0.39604199834160003</v>
      </c>
      <c r="T37" s="3">
        <f>$H37*factors!N$3</f>
        <v>0.40965719343120005</v>
      </c>
      <c r="U37" s="3">
        <f>$H37*factors!O$3</f>
        <v>0.38803306005360005</v>
      </c>
      <c r="V37" s="3">
        <f>$H37*factors!P$3</f>
        <v>0.40365048971520007</v>
      </c>
      <c r="W37" s="3">
        <f>$H37*factors!Q$3</f>
        <v>0.4072545119448</v>
      </c>
      <c r="X37" s="3">
        <f>$H37*factors!R$3</f>
        <v>0.38963484771119999</v>
      </c>
      <c r="Y37" s="3">
        <f>$H37*factors!S$3</f>
        <v>0.38603082548160006</v>
      </c>
      <c r="Z37" s="3">
        <f>$H37*factors!T$3</f>
        <v>0.41646479097600009</v>
      </c>
      <c r="AA37" s="3">
        <f>$H37*factors!U$3</f>
        <v>0.39323886994079998</v>
      </c>
      <c r="AB37" s="3">
        <f>$H37*factors!V$3</f>
        <v>0.39363931685520009</v>
      </c>
      <c r="AC37" s="3">
        <f>$H37*factors!W$3</f>
        <v>0.39403976376960004</v>
      </c>
      <c r="AD37" s="3">
        <f>$H37*factors!X$3</f>
        <v>0.38563037856720006</v>
      </c>
      <c r="AE37" s="3">
        <f>$H37*factors!Y$3</f>
        <v>0.38883395388240005</v>
      </c>
      <c r="AF37" s="3">
        <f>$H37*factors!Z$3</f>
        <v>0.39684289217040009</v>
      </c>
      <c r="AG37" s="3">
        <f>$H37*factors!AA$3</f>
        <v>0.3868317193104</v>
      </c>
      <c r="AH37" s="3">
        <f>$H37*factors!AB$3</f>
        <v>0.38522993165280006</v>
      </c>
      <c r="AI37" s="3">
        <f>$H37*factors!AC$3</f>
        <v>0.39764378599920003</v>
      </c>
      <c r="AJ37" s="3">
        <f>$H37*factors!AD$3</f>
        <v>0.41286076874640004</v>
      </c>
      <c r="AK37" s="3">
        <f>$H37*factors!AE$3</f>
        <v>0.39724333908480003</v>
      </c>
      <c r="AL37" s="3">
        <f>$H37*factors!AF$3</f>
        <v>0.38162590942320002</v>
      </c>
      <c r="AM37" s="3">
        <f>$H37*factors!AG$3</f>
        <v>0.39243797611200004</v>
      </c>
      <c r="AN37" s="3">
        <f>$H37*factors!AH$3</f>
        <v>0.38603082548160006</v>
      </c>
      <c r="AO37" s="3">
        <f>$H37*factors!AI$3</f>
        <v>0.40445138354400001</v>
      </c>
      <c r="AP37" s="3">
        <f>$H37*factors!AJ$3</f>
        <v>0.38763261313920006</v>
      </c>
      <c r="AQ37" s="3">
        <f>$H37*factors!AK$3</f>
        <v>0.40004646748560008</v>
      </c>
      <c r="AR37" s="3">
        <f>$H37*factors!AL$3</f>
        <v>0.39123663536880005</v>
      </c>
      <c r="AS37" s="3">
        <f>$H37*factors!AM$3</f>
        <v>0.38162590942320002</v>
      </c>
      <c r="AT37" s="3">
        <f>$H37*factors!AN$3</f>
        <v>0.39363931685520009</v>
      </c>
      <c r="AU37" s="3">
        <f>$H37*factors!AO$3</f>
        <v>0.41686523789039998</v>
      </c>
      <c r="AV37" s="3">
        <f>$H37*factors!AP$3</f>
        <v>0.39403976376960004</v>
      </c>
      <c r="AW37" s="3">
        <f>$H37*factors!AQ$3</f>
        <v>0.39003529462559999</v>
      </c>
      <c r="AX37" s="3">
        <f>$H37*factors!AR$3</f>
        <v>0.41246032183200004</v>
      </c>
      <c r="AY37" s="3">
        <f>$H37*factors!AS$3</f>
        <v>0.38042456868000002</v>
      </c>
      <c r="AZ37" s="3">
        <f>$H37*factors!AT$3</f>
        <v>0.40765495885920011</v>
      </c>
      <c r="BA37" s="3">
        <f>$H37*factors!AU$3</f>
        <v>0.39884512674240002</v>
      </c>
      <c r="BB37" s="3">
        <f>$H37*factors!AV$3</f>
        <v>0.39363931685520009</v>
      </c>
      <c r="BC37" s="3">
        <f>$H37*factors!AW$3</f>
        <v>0.41646479097600009</v>
      </c>
      <c r="BD37" s="3">
        <f>$H37*factors!AX$3</f>
        <v>0.38442903782400001</v>
      </c>
      <c r="BE37" s="3">
        <f>$H37*factors!AY$3</f>
        <v>0.45196366836919999</v>
      </c>
      <c r="BF37" s="3">
        <f>$H37*factors!AZ$3</f>
        <v>0.42089936976879999</v>
      </c>
      <c r="BG37" s="3">
        <f>$H37*factors!BA$3</f>
        <v>0.42702472442239997</v>
      </c>
      <c r="BH37" s="3">
        <f>$H37*factors!BB$3</f>
        <v>0.43271255374360001</v>
      </c>
      <c r="BI37" s="3">
        <f>$H37*factors!BC$3</f>
        <v>0.44846346570999995</v>
      </c>
      <c r="BJ37" s="3">
        <f>$H37*factors!BD$3</f>
        <v>0.4283373004196</v>
      </c>
      <c r="BK37" s="3">
        <f>$H37*factors!BE$3</f>
        <v>0.42921235108439998</v>
      </c>
      <c r="BL37" s="3">
        <f>$H37*factors!BF$3</f>
        <v>0.42439957242799997</v>
      </c>
      <c r="BM37" s="3">
        <f>$H37*factors!BG$3</f>
        <v>0.45327624436640002</v>
      </c>
      <c r="BN37" s="3">
        <f>$H37*factors!BH$3</f>
        <v>0.44758841504519997</v>
      </c>
      <c r="BO37" s="3">
        <f>$H37*factors!BI$3</f>
        <v>0.42089936976879999</v>
      </c>
      <c r="BP37" s="3">
        <f>$H37*factors!BJ$3</f>
        <v>0.41958679377159996</v>
      </c>
      <c r="BQ37" s="3">
        <f>$H37*factors!BK$3</f>
        <v>0.42658719908999998</v>
      </c>
      <c r="BR37" s="3">
        <f>$H37*factors!BL$3</f>
        <v>0.44190058572400004</v>
      </c>
      <c r="BS37" s="3">
        <f>$H37*factors!BM$3</f>
        <v>0.4489009910424</v>
      </c>
      <c r="BT37" s="3">
        <f>$H37*factors!BN$3</f>
        <v>0.45021356703959997</v>
      </c>
      <c r="BU37" s="3">
        <f>$H37*factors!BO$3</f>
        <v>0.45765149769040003</v>
      </c>
      <c r="BV37" s="3">
        <f>$H37*factors!BP$3</f>
        <v>0.4257121484252</v>
      </c>
      <c r="BW37" s="3">
        <f>$H37*factors!BQ$3</f>
        <v>0.43533770573800001</v>
      </c>
      <c r="BX37" s="3">
        <f>$H37*factors!BR$3</f>
        <v>0.42702472442239997</v>
      </c>
      <c r="BY37" s="3">
        <f>$H37*factors!BS$3</f>
        <v>0.44671336438039994</v>
      </c>
      <c r="BZ37" s="3">
        <f>$H37*factors!BT$3</f>
        <v>0.43840038306479995</v>
      </c>
      <c r="CA37" s="3">
        <f>$H37*factors!BU$3</f>
        <v>0.43271255374360001</v>
      </c>
      <c r="CB37" s="3">
        <f>$H37*factors!BV$3</f>
        <v>0.41871174310679998</v>
      </c>
      <c r="CC37" s="3">
        <f>$H37*factors!BW$3</f>
        <v>0.430962452414</v>
      </c>
      <c r="CD37" s="3">
        <f>$H37*factors!BX$3</f>
        <v>0.43227502841120002</v>
      </c>
      <c r="CE37" s="3">
        <f>$H37*factors!BY$3</f>
        <v>0.43840038306479995</v>
      </c>
      <c r="CF37" s="3">
        <f>$H37*factors!BZ$3</f>
        <v>0.43183750307880003</v>
      </c>
      <c r="CG37" s="3">
        <f>$H37*factors!CA$3</f>
        <v>0.41739916710959996</v>
      </c>
      <c r="CH37" s="3">
        <f>$H37*factors!CB$3</f>
        <v>0.41783669244199995</v>
      </c>
      <c r="CI37" s="3">
        <f>$H37*factors!CC$3</f>
        <v>0.41564906577999999</v>
      </c>
      <c r="CJ37" s="3">
        <f>$H37*factors!CD$3</f>
        <v>0.43271255374360001</v>
      </c>
      <c r="CK37" s="3">
        <f>$H37*factors!CE$3</f>
        <v>0.45196366836919999</v>
      </c>
      <c r="CL37" s="3">
        <f>$H37*factors!CF$3</f>
        <v>0.42352452176319999</v>
      </c>
      <c r="CM37" s="3">
        <f>$H37*factors!CG$3</f>
        <v>0.4335876044084</v>
      </c>
      <c r="CN37" s="3">
        <f>$H37*factors!CH$3</f>
        <v>0.41914926843919997</v>
      </c>
      <c r="CO37" s="3">
        <f>$H37*factors!CI$3</f>
        <v>0.42221194576599996</v>
      </c>
      <c r="CP37" s="3">
        <f>$H37*factors!CJ$3</f>
        <v>0.44233811105639992</v>
      </c>
      <c r="CQ37" s="3">
        <f>$H37*factors!CK$3</f>
        <v>0.42921235108439998</v>
      </c>
      <c r="CR37" s="3">
        <f>$H37*factors!CL$3</f>
        <v>0.44277563638879996</v>
      </c>
      <c r="CS37" s="3">
        <f>$H37*factors!CM$3</f>
        <v>0.4567764470256</v>
      </c>
      <c r="CT37" s="3">
        <f>$H37*factors!CN$3</f>
        <v>0.4515261430368</v>
      </c>
      <c r="CU37" s="3">
        <f>$H37*factors!CO$3</f>
        <v>0.44146306039159994</v>
      </c>
      <c r="CV37" s="3">
        <f>$H37*factors!CP$3</f>
        <v>0.45940159902</v>
      </c>
      <c r="CW37" s="3">
        <f>$H37*factors!CQ$3</f>
        <v>0.43446265507320003</v>
      </c>
      <c r="CX37" s="3">
        <f>$H37*factors!CR$3</f>
        <v>0.42789977508720001</v>
      </c>
      <c r="CY37" s="3">
        <f>$H37*factors!CS$3</f>
        <v>0.42396204709559998</v>
      </c>
      <c r="CZ37" s="3">
        <f>$H37*factors!CT$3</f>
        <v>0.41783669244199995</v>
      </c>
      <c r="DA37" s="3">
        <f>$H37*factors!CU$3</f>
        <v>0.43381749060000002</v>
      </c>
      <c r="DB37" s="3">
        <f>$H37*factors!CV$3</f>
        <v>0.46184877460800006</v>
      </c>
      <c r="DC37" s="3">
        <f>$H37*factors!CW$3</f>
        <v>0.44227136990399996</v>
      </c>
      <c r="DD37" s="3">
        <f>$H37*factors!CX$3</f>
        <v>0.43915678279199999</v>
      </c>
      <c r="DE37" s="3">
        <f>$H37*factors!CY$3</f>
        <v>0.45206007225600003</v>
      </c>
      <c r="DF37" s="3">
        <f>$H37*factors!CZ$3</f>
        <v>0.45117019022399996</v>
      </c>
      <c r="DG37" s="3">
        <f>$H37*factors!DA$3</f>
        <v>0.44939042616000002</v>
      </c>
      <c r="DH37" s="3">
        <f>$H37*factors!DB$3</f>
        <v>0.44939042616000002</v>
      </c>
      <c r="DI37" s="3">
        <f>$H37*factors!DC$3</f>
        <v>0.43248266755199999</v>
      </c>
      <c r="DJ37" s="3">
        <f>$H37*factors!DD$3</f>
        <v>0.45828924648000002</v>
      </c>
      <c r="DK37" s="3">
        <f>$H37*factors!DE$3</f>
        <v>0.45828924648000002</v>
      </c>
      <c r="DL37" s="3">
        <f>$H37*factors!DF$3</f>
        <v>0.45294995428800006</v>
      </c>
      <c r="DM37" s="3">
        <f>$H37*factors!DG$3</f>
        <v>0.42669843434399995</v>
      </c>
      <c r="DN37" s="3">
        <f>$H37*factors!DH$3</f>
        <v>0.44761066209600003</v>
      </c>
      <c r="DO37" s="3">
        <f>$H37*factors!DI$3</f>
        <v>0.46229371562400001</v>
      </c>
      <c r="DP37" s="3">
        <f>$H37*factors!DJ$3</f>
        <v>0.45828924648000002</v>
      </c>
      <c r="DQ37" s="3">
        <f>$H37*factors!DK$3</f>
        <v>0.43693207771199999</v>
      </c>
      <c r="DR37" s="3">
        <f>$H37*factors!DL$3</f>
        <v>0.43203772653600003</v>
      </c>
      <c r="DS37" s="3">
        <f>$H37*factors!DM$3</f>
        <v>0.46674312578400001</v>
      </c>
      <c r="DT37" s="3">
        <f>$H37*factors!DN$3</f>
        <v>0.43871184177600003</v>
      </c>
      <c r="DU37" s="3">
        <f>$H37*factors!DO$3</f>
        <v>0.45917912851199999</v>
      </c>
      <c r="DV37" s="3">
        <f>$H37*factors!DP$3</f>
        <v>0.448500544128</v>
      </c>
      <c r="DW37" s="3">
        <f>$H37*factors!DQ$3</f>
        <v>0.42803325739199999</v>
      </c>
      <c r="DX37" s="3">
        <f>$H37*factors!DR$3</f>
        <v>0.45339489530399996</v>
      </c>
      <c r="DY37" s="3">
        <f>$H37*factors!DS$3</f>
        <v>0.43025796247199999</v>
      </c>
      <c r="DZ37" s="3">
        <f>$H37*factors!DT$3</f>
        <v>0.46006901054400001</v>
      </c>
      <c r="EA37" s="3">
        <f>$H37*factors!DU$3</f>
        <v>0.43337254958399996</v>
      </c>
      <c r="EB37" s="3">
        <f>$H37*factors!DV$3</f>
        <v>0.42269396519999997</v>
      </c>
      <c r="EC37" s="3">
        <f>$H37*factors!DW$3</f>
        <v>0.45472971835199999</v>
      </c>
      <c r="ED37" s="3">
        <f>$H37*factors!DX$3</f>
        <v>0.42669843434399995</v>
      </c>
      <c r="EE37" s="3">
        <f>$H37*factors!DY$3</f>
        <v>0.43025796247199999</v>
      </c>
      <c r="EF37" s="3">
        <f>$H37*factors!DZ$3</f>
        <v>0.46674312578400001</v>
      </c>
      <c r="EG37" s="3">
        <f>$H37*factors!EA$3</f>
        <v>0.43604219568000002</v>
      </c>
      <c r="EH37" s="3">
        <f>$H37*factors!EB$3</f>
        <v>0.437377018728</v>
      </c>
      <c r="EI37" s="3">
        <f>$H37*factors!EC$3</f>
        <v>0.43648713669600003</v>
      </c>
      <c r="EJ37" s="3">
        <f>$H37*factors!ED$3</f>
        <v>0.42536361129600003</v>
      </c>
      <c r="EK37" s="3">
        <f>$H37*factors!EE$3</f>
        <v>0.45472971835199999</v>
      </c>
      <c r="EL37" s="3">
        <f>$H37*factors!EF$3</f>
        <v>0.43248266755199999</v>
      </c>
      <c r="EM37" s="3">
        <f>$H37*factors!EG$3</f>
        <v>0.44983536717599998</v>
      </c>
      <c r="EN37" s="3">
        <f>$H37*factors!EH$3</f>
        <v>0.42269396519999997</v>
      </c>
      <c r="EO37" s="3">
        <f>$H37*factors!EI$3</f>
        <v>0.42892313942399996</v>
      </c>
      <c r="EP37" s="3">
        <f>$H37*factors!EJ$3</f>
        <v>0.45250501327199999</v>
      </c>
      <c r="EQ37" s="3">
        <f>$H37*factors!EK$3</f>
        <v>0.44004666482399996</v>
      </c>
      <c r="ER37" s="3">
        <f>$H37*factors!EL$3</f>
        <v>0.45828924648000002</v>
      </c>
      <c r="ES37" s="3">
        <f>$H37*factors!EM$3</f>
        <v>0.45250501327199999</v>
      </c>
      <c r="ET37" s="3">
        <f>$H37*factors!EN$3</f>
        <v>0.46273865664000002</v>
      </c>
      <c r="EU37" s="3">
        <f>$H37*factors!EO$3</f>
        <v>0.46718806680000002</v>
      </c>
      <c r="EV37" s="3">
        <f>$H37*factors!EP$3</f>
        <v>0.43782195974399996</v>
      </c>
      <c r="EW37" s="3">
        <f>$H37*factors!EQ$3</f>
        <v>0.48155595377499999</v>
      </c>
      <c r="EX37" s="3">
        <f>$H37*factors!ER$3</f>
        <v>0.47645767130000005</v>
      </c>
      <c r="EY37" s="3">
        <f>$H37*factors!ES$3</f>
        <v>0.48619075602499995</v>
      </c>
      <c r="EZ37" s="3">
        <f>$H37*factors!ET$3</f>
        <v>0.48155595377499999</v>
      </c>
      <c r="FA37" s="3">
        <f>$H37*factors!EU$3</f>
        <v>0.44262361487499996</v>
      </c>
      <c r="FB37" s="3">
        <f>$H37*factors!EV$3</f>
        <v>0.46255326455000007</v>
      </c>
      <c r="FC37" s="3">
        <f>$H37*factors!EW$3</f>
        <v>0.47553071085000004</v>
      </c>
      <c r="FD37" s="3">
        <f>$H37*factors!EX$3</f>
        <v>0.45884542275000006</v>
      </c>
      <c r="FE37" s="3">
        <f>$H37*factors!EY$3</f>
        <v>0.48340987467500002</v>
      </c>
      <c r="FF37" s="3">
        <f>$H37*factors!EZ$3</f>
        <v>0.48387335490000011</v>
      </c>
      <c r="FG37" s="3">
        <f>$H37*factors!FA$3</f>
        <v>0.44262361487499996</v>
      </c>
      <c r="FH37" s="3">
        <f>$H37*factors!FB$3</f>
        <v>0.46579762612499997</v>
      </c>
      <c r="FI37" s="3">
        <f>$H37*factors!FC$3</f>
        <v>0.48526379557499999</v>
      </c>
      <c r="FJ37" s="3">
        <f>$H37*factors!FD$3</f>
        <v>0.46579762612499997</v>
      </c>
      <c r="FK37" s="3">
        <f>$H37*factors!FE$3</f>
        <v>0.47367678995000007</v>
      </c>
      <c r="FL37" s="3">
        <f>$H37*factors!FF$3</f>
        <v>0.475067230625</v>
      </c>
      <c r="FM37" s="3">
        <f>$H37*factors!FG$3</f>
        <v>0.4801655131</v>
      </c>
      <c r="FN37" s="3">
        <f>$H37*factors!FH$3</f>
        <v>0.449112338025</v>
      </c>
      <c r="FO37" s="3">
        <f>$H37*factors!FI$3</f>
        <v>0.47692115152499998</v>
      </c>
      <c r="FP37" s="3">
        <f>$H37*factors!FJ$3</f>
        <v>0.46348022500000002</v>
      </c>
      <c r="FQ37" s="3">
        <f>$H37*factors!FK$3</f>
        <v>0.45884542275000006</v>
      </c>
      <c r="FR37" s="3">
        <f>$H37*factors!FL$3</f>
        <v>0.46811502724999998</v>
      </c>
      <c r="FS37" s="3">
        <f>$H37*factors!FM$3</f>
        <v>0.4653341459</v>
      </c>
      <c r="FT37" s="3">
        <f>$H37*factors!FN$3</f>
        <v>0.47553071085000004</v>
      </c>
      <c r="FU37" s="3">
        <f>$H37*factors!FO$3</f>
        <v>0.45699150184999998</v>
      </c>
      <c r="FV37" s="3">
        <f>$H37*factors!FP$3</f>
        <v>0.45328366004999998</v>
      </c>
      <c r="FW37" s="3">
        <f>$H37*factors!FQ$3</f>
        <v>0.48526379557499999</v>
      </c>
      <c r="FX37" s="3">
        <f>$H37*factors!FR$3</f>
        <v>0.47645767130000005</v>
      </c>
      <c r="FY37" s="3">
        <f>$H37*factors!FS$3</f>
        <v>0.46672458657499993</v>
      </c>
      <c r="FZ37" s="3">
        <f>$H37*factors!FT$3</f>
        <v>0.44355057532500003</v>
      </c>
      <c r="GA37" s="3">
        <f>$H37*factors!FU$3</f>
        <v>0.46672458657499993</v>
      </c>
      <c r="GB37" s="3">
        <f>$H37*factors!FV$3</f>
        <v>0.48387335490000011</v>
      </c>
      <c r="GC37" s="3">
        <f>$H37*factors!FW$3</f>
        <v>0.45328366004999998</v>
      </c>
      <c r="GD37" s="3">
        <f>$H37*factors!FX$3</f>
        <v>0.46116282387500002</v>
      </c>
      <c r="GE37" s="3">
        <f>$H37*factors!FY$3</f>
        <v>0.46116282387500002</v>
      </c>
      <c r="GF37" s="3">
        <f>$H37*factors!FZ$3</f>
        <v>0.45977238320000002</v>
      </c>
      <c r="GG37" s="3">
        <f>$H37*factors!GA$3</f>
        <v>0.441696654425</v>
      </c>
      <c r="GH37" s="3">
        <f>$H37*factors!GB$3</f>
        <v>0.46996894815000007</v>
      </c>
      <c r="GI37" s="3">
        <f>$H37*factors!GC$3</f>
        <v>0.44076969397499999</v>
      </c>
      <c r="GJ37" s="3">
        <f>$H37*factors!GD$3</f>
        <v>0.441696654425</v>
      </c>
      <c r="GK37" s="3">
        <f>$H37*factors!GE$3</f>
        <v>0.452820179825</v>
      </c>
      <c r="GL37" s="3">
        <f>$H37*factors!GF$3</f>
        <v>0.47970203287500002</v>
      </c>
      <c r="GM37" s="3">
        <f>$H37*factors!GG$3</f>
        <v>0.45467410072500003</v>
      </c>
      <c r="GN37" s="3">
        <f>$H37*factors!GH$3</f>
        <v>0.46904198770000005</v>
      </c>
      <c r="GO37" s="3">
        <f>$H37*factors!GI$3</f>
        <v>0.44308709509999994</v>
      </c>
      <c r="GP37" s="3">
        <f>$H37*factors!GJ$3</f>
        <v>0.475067230625</v>
      </c>
      <c r="GQ37" s="3">
        <f>$H37*factors!GK$3</f>
        <v>0.48480031535000007</v>
      </c>
      <c r="GR37" s="3">
        <f>$H37*factors!GL$3</f>
        <v>0.47553071085000004</v>
      </c>
      <c r="GS37" s="3">
        <f>$H37*factors!GM$3</f>
        <v>0.44970559271300004</v>
      </c>
      <c r="GT37" s="3">
        <f>$H37*factors!GN$3</f>
        <v>0.46006530270220003</v>
      </c>
      <c r="GU37" s="3">
        <f>$H37*factors!GO$3</f>
        <v>0.47089590860000002</v>
      </c>
      <c r="GV37" s="3">
        <f>$H37*factors!GP$3</f>
        <v>0.45206007225600003</v>
      </c>
      <c r="GW37" s="3">
        <f>$H37*factors!GQ$3</f>
        <v>0.46807053314840003</v>
      </c>
      <c r="GX37" s="3">
        <f>$H37*factors!GR$3</f>
        <v>0.46053619861080003</v>
      </c>
      <c r="GY37" s="3">
        <f>$H37*factors!GS$3</f>
        <v>0.45818171906780003</v>
      </c>
      <c r="GZ37" s="3">
        <f>$H37*factors!GT$3</f>
        <v>0.47513397177739997</v>
      </c>
      <c r="HA37" s="3">
        <f>$H37*factors!GU$3</f>
        <v>0.45959440679360003</v>
      </c>
      <c r="HB37" s="3">
        <f>$H37*factors!GV$3</f>
        <v>0.47513397177739997</v>
      </c>
      <c r="HC37" s="3">
        <f>$H37*factors!GW$3</f>
        <v>0.46336157406239997</v>
      </c>
      <c r="HD37" s="3">
        <f>$H37*factors!GX$3</f>
        <v>0.47701755541179997</v>
      </c>
      <c r="HE37" s="3">
        <f>$H37*factors!GY$3</f>
        <v>0.47089590860000002</v>
      </c>
      <c r="HF37" s="3">
        <f>$H37*factors!GZ$3</f>
        <v>0.48549368176660002</v>
      </c>
      <c r="HG37" s="3">
        <f>$H37*factors!HA$3</f>
        <v>0.46665784542260003</v>
      </c>
      <c r="HH37" s="3">
        <f>$H37*factors!HB$3</f>
        <v>0.46053619861080003</v>
      </c>
      <c r="HI37" s="3">
        <f>$H37*factors!HC$3</f>
        <v>0.45488544770760003</v>
      </c>
      <c r="HJ37" s="3">
        <f>$H37*factors!HD$3</f>
        <v>0.44970559271300004</v>
      </c>
      <c r="HK37" s="3">
        <f>$H37*factors!HE$3</f>
        <v>0.47560486768600002</v>
      </c>
      <c r="HL37" s="3">
        <f>$H37*factors!HF$3</f>
        <v>0.44829290498719998</v>
      </c>
      <c r="HM37" s="3">
        <f>$H37*factors!HG$3</f>
        <v>0.45300186407320003</v>
      </c>
      <c r="HN37" s="3">
        <f>$H37*factors!HH$3</f>
        <v>0.48313920222360007</v>
      </c>
      <c r="HO37" s="3">
        <f>$H37*factors!HI$3</f>
        <v>0.46336157406239997</v>
      </c>
      <c r="HP37" s="3">
        <f>$H37*factors!HJ$3</f>
        <v>0.49444070403000007</v>
      </c>
      <c r="HQ37" s="3">
        <f>$H37*factors!HK$3</f>
        <v>0.45206007225600003</v>
      </c>
      <c r="HR37" s="3">
        <f>$H37*factors!HL$3</f>
        <v>0.47937203495480007</v>
      </c>
      <c r="HS37" s="3">
        <f>$H37*factors!HM$3</f>
        <v>0.48784816130960001</v>
      </c>
      <c r="HT37" s="3">
        <f>$H37*factors!HN$3</f>
        <v>0.45488544770760003</v>
      </c>
      <c r="HU37" s="3">
        <f>$H37*factors!HO$3</f>
        <v>0.45959440679360003</v>
      </c>
      <c r="HV37" s="3">
        <f>$H37*factors!HP$3</f>
        <v>0.46524515769680008</v>
      </c>
      <c r="HW37" s="3">
        <f>$H37*factors!HQ$3</f>
        <v>0.47183770041720002</v>
      </c>
      <c r="HX37" s="3">
        <f>$H37*factors!HR$3</f>
        <v>0.49114443266979996</v>
      </c>
      <c r="HY37" s="3">
        <f>$H37*factors!HS$3</f>
        <v>0.46665784542260003</v>
      </c>
      <c r="HZ37" s="3">
        <f>$H37*factors!HT$3</f>
        <v>0.48455188994940002</v>
      </c>
      <c r="IA37" s="3">
        <f>$H37*factors!HU$3</f>
        <v>0.46100709451940003</v>
      </c>
      <c r="IB37" s="3">
        <f>$H37*factors!HV$3</f>
        <v>0.47701755541179997</v>
      </c>
      <c r="IC37" s="3">
        <f>$H37*factors!HW$3</f>
        <v>0.48172651449780002</v>
      </c>
      <c r="ID37" s="3">
        <f>$H37*factors!HX$3</f>
        <v>0.44735111316999998</v>
      </c>
      <c r="IE37" s="3">
        <f>$H37*factors!HY$3</f>
        <v>0.47513397177739997</v>
      </c>
      <c r="IF37" s="3">
        <f>$H37*factors!HZ$3</f>
        <v>0.47230859632579997</v>
      </c>
      <c r="IG37" s="3">
        <f>$H37*factors!IA$3</f>
        <v>0.46807053314840003</v>
      </c>
      <c r="IH37" s="3">
        <f>$H37*factors!IB$3</f>
        <v>0.48549368176660002</v>
      </c>
      <c r="II37" s="3">
        <f>$H37*factors!IC$3</f>
        <v>0.46477426178820003</v>
      </c>
      <c r="IJ37" s="3">
        <f>$H37*factors!ID$3</f>
        <v>0.46901232496560002</v>
      </c>
      <c r="IK37" s="3">
        <f>$H37*factors!IE$3</f>
        <v>0.48596457767520002</v>
      </c>
      <c r="IL37" s="3">
        <f>$H37*factors!IF$3</f>
        <v>0.46524515769680008</v>
      </c>
      <c r="IM37" s="3">
        <f>$H37*factors!IG$3</f>
        <v>0.46100709451940003</v>
      </c>
      <c r="IN37" s="3">
        <f>$H37*factors!IH$3</f>
        <v>0.46383246997100003</v>
      </c>
      <c r="IO37" s="3">
        <f>$H37*factors!II$3</f>
        <v>0.46854142905700003</v>
      </c>
      <c r="IP37" s="3">
        <f>$H37*factors!IJ$3</f>
        <v>0.45300186407320003</v>
      </c>
      <c r="IQ37" s="3">
        <f>$H37*factors!IK$3</f>
        <v>0.45158917634740003</v>
      </c>
      <c r="IR37" s="3">
        <f>$H37*factors!IL$3</f>
        <v>0.46477426178820003</v>
      </c>
      <c r="IS37" s="3">
        <f>$H37*factors!IM$3</f>
        <v>0.46854142905700003</v>
      </c>
      <c r="IT37" s="3">
        <f>$H37*factors!IN$3</f>
        <v>0.47183770041720002</v>
      </c>
      <c r="IU37" s="3">
        <f>$H37*factors!IO$3</f>
        <v>0.48219741040640007</v>
      </c>
      <c r="IV37" s="3">
        <f>$H37*factors!IP$3</f>
        <v>0.48831905721819996</v>
      </c>
      <c r="IW37" s="3">
        <f>$H37*factors!IQ$3</f>
        <v>0.46147799042799997</v>
      </c>
      <c r="IX37" s="3">
        <f>$H37*factors!IR$3</f>
        <v>0.48219741040640007</v>
      </c>
      <c r="IY37" s="3">
        <f>$H37*factors!IS$3</f>
        <v>0.47513397177739997</v>
      </c>
      <c r="IZ37" s="3">
        <f>$H37*factors!IT$3</f>
        <v>0.48313920222360007</v>
      </c>
      <c r="JA37" s="3">
        <f>$H37*factors!IU$3</f>
        <v>0.45629813543339998</v>
      </c>
      <c r="JB37" s="3">
        <f>$H37*factors!IV$3</f>
        <v>0.46477426178820003</v>
      </c>
      <c r="JC37" s="3">
        <f>$H37*factors!IW$3</f>
        <v>0.45394365589040003</v>
      </c>
      <c r="JD37" s="3">
        <f>$H37*factors!IX$3</f>
        <v>0.49444070403000007</v>
      </c>
      <c r="JE37" s="3">
        <f>$H37*factors!IY$3</f>
        <v>0.45535634361619998</v>
      </c>
      <c r="JF37" s="3">
        <f>$H37*factors!IZ$3</f>
        <v>0.47795934722899996</v>
      </c>
      <c r="JG37" s="3">
        <f>$H37*factors!JA$3</f>
        <v>0.46948322087419997</v>
      </c>
      <c r="JH37" s="3">
        <f>$H37*factors!JB$3</f>
        <v>0.47843024313760008</v>
      </c>
      <c r="JI37" s="3">
        <f>$H37*factors!JC$3</f>
        <v>0.44782200907860004</v>
      </c>
      <c r="JJ37" s="3">
        <f>$H37*factors!JD$3</f>
        <v>0.48219741040640007</v>
      </c>
      <c r="JK37" s="3">
        <f>$H37*factors!JE$3</f>
        <v>0.46665784542260003</v>
      </c>
      <c r="JL37" s="3">
        <f>$H37*factors!JF$3</f>
        <v>0.48549368176660002</v>
      </c>
      <c r="JM37" s="3">
        <f>$H37*factors!JG$3</f>
        <v>0.45300186407320003</v>
      </c>
      <c r="JN37" s="3">
        <f>$H37*factors!JH$3</f>
        <v>0.45300186407320003</v>
      </c>
      <c r="JO37" s="3">
        <f>$H37*factors!JI$3</f>
        <v>0.44735111316999998</v>
      </c>
      <c r="JP37" s="3">
        <f>$H37*factors!JJ$3</f>
        <v>0.48361009813220002</v>
      </c>
      <c r="JQ37" s="3">
        <f>$H37*factors!JK$3</f>
        <v>0.47136680450859997</v>
      </c>
      <c r="JR37" s="3">
        <f>$H37*factors!JL$3</f>
        <v>0.48973174494400001</v>
      </c>
      <c r="JS37" s="3">
        <f>$H37*factors!JM$3</f>
        <v>0.44735111316999998</v>
      </c>
      <c r="JT37" s="3">
        <f>$H37*factors!JN$3</f>
        <v>0.46995411678280002</v>
      </c>
      <c r="JU37" s="3">
        <f>$H37*factors!JO$3</f>
        <v>0.45441455179899998</v>
      </c>
      <c r="JV37" s="3">
        <f>$H37*factors!JP$3</f>
        <v>0.46194888633660003</v>
      </c>
      <c r="JW37" s="3">
        <f>$H37*factors!JQ$3</f>
        <v>0.49349891221280007</v>
      </c>
      <c r="JX37" s="3">
        <f>$H37*factors!JR$3</f>
        <v>0.48878995312680001</v>
      </c>
      <c r="JY37" s="3">
        <f>$H37*factors!JS$3</f>
        <v>0.46006530270220003</v>
      </c>
      <c r="JZ37" s="3">
        <f>$H37*factors!JT$3</f>
        <v>0.46524515769680008</v>
      </c>
      <c r="KA37" s="3">
        <f>$H37*factors!JU$3</f>
        <v>0.46712874133120003</v>
      </c>
      <c r="KB37" s="3">
        <f>$H37*factors!JV$3</f>
        <v>0.45158917634740003</v>
      </c>
      <c r="KC37" s="3">
        <f>$H37*factors!JW$3</f>
        <v>0.45394365589040003</v>
      </c>
      <c r="KD37" s="3">
        <f>$H37*factors!JX$3</f>
        <v>0.45441455179899998</v>
      </c>
      <c r="KE37" s="3">
        <f>$H37*factors!JY$3</f>
        <v>0.48361009813220002</v>
      </c>
      <c r="KF37" s="3">
        <f>$H37*factors!JZ$3</f>
        <v>0.48926084903539996</v>
      </c>
      <c r="KG37" s="3">
        <f>$H37*factors!KA$3</f>
        <v>0.47183770041720002</v>
      </c>
      <c r="KH37" s="3">
        <f>$H37*factors!KB$3</f>
        <v>0.46147799042799997</v>
      </c>
      <c r="KI37" s="3">
        <f>$H37*factors!KC$3</f>
        <v>0.45723992725059998</v>
      </c>
    </row>
    <row r="38" spans="1:295" x14ac:dyDescent="0.55000000000000004">
      <c r="A38" t="s">
        <v>414</v>
      </c>
      <c r="B38">
        <v>37</v>
      </c>
      <c r="C38">
        <v>230</v>
      </c>
      <c r="D38" t="s">
        <v>377</v>
      </c>
      <c r="E38">
        <v>3.3409999999999998E-3</v>
      </c>
      <c r="F38">
        <v>37</v>
      </c>
      <c r="G38">
        <f>VLOOKUP(D38,demand_forecasted!$A$2:$G$11,2)</f>
        <v>11098</v>
      </c>
      <c r="H38" s="3">
        <f t="shared" si="1"/>
        <v>0.37078418000000002</v>
      </c>
      <c r="I38" s="3">
        <f>$H38*factors!C$3</f>
        <v>0.41045808725999999</v>
      </c>
      <c r="J38" s="3">
        <f>$H38*factors!D$3</f>
        <v>0.39564155142720003</v>
      </c>
      <c r="K38" s="3">
        <f>$H38*factors!E$3</f>
        <v>0.38883395388240005</v>
      </c>
      <c r="L38" s="3">
        <f>$H38*factors!F$3</f>
        <v>0.38763261313920006</v>
      </c>
      <c r="M38" s="3">
        <f>$H38*factors!G$3</f>
        <v>0.3872321662248</v>
      </c>
      <c r="N38" s="3">
        <f>$H38*factors!H$3</f>
        <v>0.39844467982800003</v>
      </c>
      <c r="O38" s="3">
        <f>$H38*factors!I$3</f>
        <v>0.4072545119448</v>
      </c>
      <c r="P38" s="3">
        <f>$H38*factors!J$3</f>
        <v>0.41205987491760004</v>
      </c>
      <c r="Q38" s="3">
        <f>$H38*factors!K$3</f>
        <v>0.3868317193104</v>
      </c>
      <c r="R38" s="3">
        <f>$H38*factors!L$3</f>
        <v>0.38042456868000002</v>
      </c>
      <c r="S38" s="3">
        <f>$H38*factors!M$3</f>
        <v>0.39604199834160003</v>
      </c>
      <c r="T38" s="3">
        <f>$H38*factors!N$3</f>
        <v>0.40965719343120005</v>
      </c>
      <c r="U38" s="3">
        <f>$H38*factors!O$3</f>
        <v>0.38803306005360005</v>
      </c>
      <c r="V38" s="3">
        <f>$H38*factors!P$3</f>
        <v>0.40365048971520007</v>
      </c>
      <c r="W38" s="3">
        <f>$H38*factors!Q$3</f>
        <v>0.4072545119448</v>
      </c>
      <c r="X38" s="3">
        <f>$H38*factors!R$3</f>
        <v>0.38963484771119999</v>
      </c>
      <c r="Y38" s="3">
        <f>$H38*factors!S$3</f>
        <v>0.38603082548160006</v>
      </c>
      <c r="Z38" s="3">
        <f>$H38*factors!T$3</f>
        <v>0.41646479097600009</v>
      </c>
      <c r="AA38" s="3">
        <f>$H38*factors!U$3</f>
        <v>0.39323886994079998</v>
      </c>
      <c r="AB38" s="3">
        <f>$H38*factors!V$3</f>
        <v>0.39363931685520009</v>
      </c>
      <c r="AC38" s="3">
        <f>$H38*factors!W$3</f>
        <v>0.39403976376960004</v>
      </c>
      <c r="AD38" s="3">
        <f>$H38*factors!X$3</f>
        <v>0.38563037856720006</v>
      </c>
      <c r="AE38" s="3">
        <f>$H38*factors!Y$3</f>
        <v>0.38883395388240005</v>
      </c>
      <c r="AF38" s="3">
        <f>$H38*factors!Z$3</f>
        <v>0.39684289217040009</v>
      </c>
      <c r="AG38" s="3">
        <f>$H38*factors!AA$3</f>
        <v>0.3868317193104</v>
      </c>
      <c r="AH38" s="3">
        <f>$H38*factors!AB$3</f>
        <v>0.38522993165280006</v>
      </c>
      <c r="AI38" s="3">
        <f>$H38*factors!AC$3</f>
        <v>0.39764378599920003</v>
      </c>
      <c r="AJ38" s="3">
        <f>$H38*factors!AD$3</f>
        <v>0.41286076874640004</v>
      </c>
      <c r="AK38" s="3">
        <f>$H38*factors!AE$3</f>
        <v>0.39724333908480003</v>
      </c>
      <c r="AL38" s="3">
        <f>$H38*factors!AF$3</f>
        <v>0.38162590942320002</v>
      </c>
      <c r="AM38" s="3">
        <f>$H38*factors!AG$3</f>
        <v>0.39243797611200004</v>
      </c>
      <c r="AN38" s="3">
        <f>$H38*factors!AH$3</f>
        <v>0.38603082548160006</v>
      </c>
      <c r="AO38" s="3">
        <f>$H38*factors!AI$3</f>
        <v>0.40445138354400001</v>
      </c>
      <c r="AP38" s="3">
        <f>$H38*factors!AJ$3</f>
        <v>0.38763261313920006</v>
      </c>
      <c r="AQ38" s="3">
        <f>$H38*factors!AK$3</f>
        <v>0.40004646748560008</v>
      </c>
      <c r="AR38" s="3">
        <f>$H38*factors!AL$3</f>
        <v>0.39123663536880005</v>
      </c>
      <c r="AS38" s="3">
        <f>$H38*factors!AM$3</f>
        <v>0.38162590942320002</v>
      </c>
      <c r="AT38" s="3">
        <f>$H38*factors!AN$3</f>
        <v>0.39363931685520009</v>
      </c>
      <c r="AU38" s="3">
        <f>$H38*factors!AO$3</f>
        <v>0.41686523789039998</v>
      </c>
      <c r="AV38" s="3">
        <f>$H38*factors!AP$3</f>
        <v>0.39403976376960004</v>
      </c>
      <c r="AW38" s="3">
        <f>$H38*factors!AQ$3</f>
        <v>0.39003529462559999</v>
      </c>
      <c r="AX38" s="3">
        <f>$H38*factors!AR$3</f>
        <v>0.41246032183200004</v>
      </c>
      <c r="AY38" s="3">
        <f>$H38*factors!AS$3</f>
        <v>0.38042456868000002</v>
      </c>
      <c r="AZ38" s="3">
        <f>$H38*factors!AT$3</f>
        <v>0.40765495885920011</v>
      </c>
      <c r="BA38" s="3">
        <f>$H38*factors!AU$3</f>
        <v>0.39884512674240002</v>
      </c>
      <c r="BB38" s="3">
        <f>$H38*factors!AV$3</f>
        <v>0.39363931685520009</v>
      </c>
      <c r="BC38" s="3">
        <f>$H38*factors!AW$3</f>
        <v>0.41646479097600009</v>
      </c>
      <c r="BD38" s="3">
        <f>$H38*factors!AX$3</f>
        <v>0.38442903782400001</v>
      </c>
      <c r="BE38" s="3">
        <f>$H38*factors!AY$3</f>
        <v>0.45196366836919999</v>
      </c>
      <c r="BF38" s="3">
        <f>$H38*factors!AZ$3</f>
        <v>0.42089936976879999</v>
      </c>
      <c r="BG38" s="3">
        <f>$H38*factors!BA$3</f>
        <v>0.42702472442239997</v>
      </c>
      <c r="BH38" s="3">
        <f>$H38*factors!BB$3</f>
        <v>0.43271255374360001</v>
      </c>
      <c r="BI38" s="3">
        <f>$H38*factors!BC$3</f>
        <v>0.44846346570999995</v>
      </c>
      <c r="BJ38" s="3">
        <f>$H38*factors!BD$3</f>
        <v>0.4283373004196</v>
      </c>
      <c r="BK38" s="3">
        <f>$H38*factors!BE$3</f>
        <v>0.42921235108439998</v>
      </c>
      <c r="BL38" s="3">
        <f>$H38*factors!BF$3</f>
        <v>0.42439957242799997</v>
      </c>
      <c r="BM38" s="3">
        <f>$H38*factors!BG$3</f>
        <v>0.45327624436640002</v>
      </c>
      <c r="BN38" s="3">
        <f>$H38*factors!BH$3</f>
        <v>0.44758841504519997</v>
      </c>
      <c r="BO38" s="3">
        <f>$H38*factors!BI$3</f>
        <v>0.42089936976879999</v>
      </c>
      <c r="BP38" s="3">
        <f>$H38*factors!BJ$3</f>
        <v>0.41958679377159996</v>
      </c>
      <c r="BQ38" s="3">
        <f>$H38*factors!BK$3</f>
        <v>0.42658719908999998</v>
      </c>
      <c r="BR38" s="3">
        <f>$H38*factors!BL$3</f>
        <v>0.44190058572400004</v>
      </c>
      <c r="BS38" s="3">
        <f>$H38*factors!BM$3</f>
        <v>0.4489009910424</v>
      </c>
      <c r="BT38" s="3">
        <f>$H38*factors!BN$3</f>
        <v>0.45021356703959997</v>
      </c>
      <c r="BU38" s="3">
        <f>$H38*factors!BO$3</f>
        <v>0.45765149769040003</v>
      </c>
      <c r="BV38" s="3">
        <f>$H38*factors!BP$3</f>
        <v>0.4257121484252</v>
      </c>
      <c r="BW38" s="3">
        <f>$H38*factors!BQ$3</f>
        <v>0.43533770573800001</v>
      </c>
      <c r="BX38" s="3">
        <f>$H38*factors!BR$3</f>
        <v>0.42702472442239997</v>
      </c>
      <c r="BY38" s="3">
        <f>$H38*factors!BS$3</f>
        <v>0.44671336438039994</v>
      </c>
      <c r="BZ38" s="3">
        <f>$H38*factors!BT$3</f>
        <v>0.43840038306479995</v>
      </c>
      <c r="CA38" s="3">
        <f>$H38*factors!BU$3</f>
        <v>0.43271255374360001</v>
      </c>
      <c r="CB38" s="3">
        <f>$H38*factors!BV$3</f>
        <v>0.41871174310679998</v>
      </c>
      <c r="CC38" s="3">
        <f>$H38*factors!BW$3</f>
        <v>0.430962452414</v>
      </c>
      <c r="CD38" s="3">
        <f>$H38*factors!BX$3</f>
        <v>0.43227502841120002</v>
      </c>
      <c r="CE38" s="3">
        <f>$H38*factors!BY$3</f>
        <v>0.43840038306479995</v>
      </c>
      <c r="CF38" s="3">
        <f>$H38*factors!BZ$3</f>
        <v>0.43183750307880003</v>
      </c>
      <c r="CG38" s="3">
        <f>$H38*factors!CA$3</f>
        <v>0.41739916710959996</v>
      </c>
      <c r="CH38" s="3">
        <f>$H38*factors!CB$3</f>
        <v>0.41783669244199995</v>
      </c>
      <c r="CI38" s="3">
        <f>$H38*factors!CC$3</f>
        <v>0.41564906577999999</v>
      </c>
      <c r="CJ38" s="3">
        <f>$H38*factors!CD$3</f>
        <v>0.43271255374360001</v>
      </c>
      <c r="CK38" s="3">
        <f>$H38*factors!CE$3</f>
        <v>0.45196366836919999</v>
      </c>
      <c r="CL38" s="3">
        <f>$H38*factors!CF$3</f>
        <v>0.42352452176319999</v>
      </c>
      <c r="CM38" s="3">
        <f>$H38*factors!CG$3</f>
        <v>0.4335876044084</v>
      </c>
      <c r="CN38" s="3">
        <f>$H38*factors!CH$3</f>
        <v>0.41914926843919997</v>
      </c>
      <c r="CO38" s="3">
        <f>$H38*factors!CI$3</f>
        <v>0.42221194576599996</v>
      </c>
      <c r="CP38" s="3">
        <f>$H38*factors!CJ$3</f>
        <v>0.44233811105639992</v>
      </c>
      <c r="CQ38" s="3">
        <f>$H38*factors!CK$3</f>
        <v>0.42921235108439998</v>
      </c>
      <c r="CR38" s="3">
        <f>$H38*factors!CL$3</f>
        <v>0.44277563638879996</v>
      </c>
      <c r="CS38" s="3">
        <f>$H38*factors!CM$3</f>
        <v>0.4567764470256</v>
      </c>
      <c r="CT38" s="3">
        <f>$H38*factors!CN$3</f>
        <v>0.4515261430368</v>
      </c>
      <c r="CU38" s="3">
        <f>$H38*factors!CO$3</f>
        <v>0.44146306039159994</v>
      </c>
      <c r="CV38" s="3">
        <f>$H38*factors!CP$3</f>
        <v>0.45940159902</v>
      </c>
      <c r="CW38" s="3">
        <f>$H38*factors!CQ$3</f>
        <v>0.43446265507320003</v>
      </c>
      <c r="CX38" s="3">
        <f>$H38*factors!CR$3</f>
        <v>0.42789977508720001</v>
      </c>
      <c r="CY38" s="3">
        <f>$H38*factors!CS$3</f>
        <v>0.42396204709559998</v>
      </c>
      <c r="CZ38" s="3">
        <f>$H38*factors!CT$3</f>
        <v>0.41783669244199995</v>
      </c>
      <c r="DA38" s="3">
        <f>$H38*factors!CU$3</f>
        <v>0.43381749060000002</v>
      </c>
      <c r="DB38" s="3">
        <f>$H38*factors!CV$3</f>
        <v>0.46184877460800006</v>
      </c>
      <c r="DC38" s="3">
        <f>$H38*factors!CW$3</f>
        <v>0.44227136990399996</v>
      </c>
      <c r="DD38" s="3">
        <f>$H38*factors!CX$3</f>
        <v>0.43915678279199999</v>
      </c>
      <c r="DE38" s="3">
        <f>$H38*factors!CY$3</f>
        <v>0.45206007225600003</v>
      </c>
      <c r="DF38" s="3">
        <f>$H38*factors!CZ$3</f>
        <v>0.45117019022399996</v>
      </c>
      <c r="DG38" s="3">
        <f>$H38*factors!DA$3</f>
        <v>0.44939042616000002</v>
      </c>
      <c r="DH38" s="3">
        <f>$H38*factors!DB$3</f>
        <v>0.44939042616000002</v>
      </c>
      <c r="DI38" s="3">
        <f>$H38*factors!DC$3</f>
        <v>0.43248266755199999</v>
      </c>
      <c r="DJ38" s="3">
        <f>$H38*factors!DD$3</f>
        <v>0.45828924648000002</v>
      </c>
      <c r="DK38" s="3">
        <f>$H38*factors!DE$3</f>
        <v>0.45828924648000002</v>
      </c>
      <c r="DL38" s="3">
        <f>$H38*factors!DF$3</f>
        <v>0.45294995428800006</v>
      </c>
      <c r="DM38" s="3">
        <f>$H38*factors!DG$3</f>
        <v>0.42669843434399995</v>
      </c>
      <c r="DN38" s="3">
        <f>$H38*factors!DH$3</f>
        <v>0.44761066209600003</v>
      </c>
      <c r="DO38" s="3">
        <f>$H38*factors!DI$3</f>
        <v>0.46229371562400001</v>
      </c>
      <c r="DP38" s="3">
        <f>$H38*factors!DJ$3</f>
        <v>0.45828924648000002</v>
      </c>
      <c r="DQ38" s="3">
        <f>$H38*factors!DK$3</f>
        <v>0.43693207771199999</v>
      </c>
      <c r="DR38" s="3">
        <f>$H38*factors!DL$3</f>
        <v>0.43203772653600003</v>
      </c>
      <c r="DS38" s="3">
        <f>$H38*factors!DM$3</f>
        <v>0.46674312578400001</v>
      </c>
      <c r="DT38" s="3">
        <f>$H38*factors!DN$3</f>
        <v>0.43871184177600003</v>
      </c>
      <c r="DU38" s="3">
        <f>$H38*factors!DO$3</f>
        <v>0.45917912851199999</v>
      </c>
      <c r="DV38" s="3">
        <f>$H38*factors!DP$3</f>
        <v>0.448500544128</v>
      </c>
      <c r="DW38" s="3">
        <f>$H38*factors!DQ$3</f>
        <v>0.42803325739199999</v>
      </c>
      <c r="DX38" s="3">
        <f>$H38*factors!DR$3</f>
        <v>0.45339489530399996</v>
      </c>
      <c r="DY38" s="3">
        <f>$H38*factors!DS$3</f>
        <v>0.43025796247199999</v>
      </c>
      <c r="DZ38" s="3">
        <f>$H38*factors!DT$3</f>
        <v>0.46006901054400001</v>
      </c>
      <c r="EA38" s="3">
        <f>$H38*factors!DU$3</f>
        <v>0.43337254958399996</v>
      </c>
      <c r="EB38" s="3">
        <f>$H38*factors!DV$3</f>
        <v>0.42269396519999997</v>
      </c>
      <c r="EC38" s="3">
        <f>$H38*factors!DW$3</f>
        <v>0.45472971835199999</v>
      </c>
      <c r="ED38" s="3">
        <f>$H38*factors!DX$3</f>
        <v>0.42669843434399995</v>
      </c>
      <c r="EE38" s="3">
        <f>$H38*factors!DY$3</f>
        <v>0.43025796247199999</v>
      </c>
      <c r="EF38" s="3">
        <f>$H38*factors!DZ$3</f>
        <v>0.46674312578400001</v>
      </c>
      <c r="EG38" s="3">
        <f>$H38*factors!EA$3</f>
        <v>0.43604219568000002</v>
      </c>
      <c r="EH38" s="3">
        <f>$H38*factors!EB$3</f>
        <v>0.437377018728</v>
      </c>
      <c r="EI38" s="3">
        <f>$H38*factors!EC$3</f>
        <v>0.43648713669600003</v>
      </c>
      <c r="EJ38" s="3">
        <f>$H38*factors!ED$3</f>
        <v>0.42536361129600003</v>
      </c>
      <c r="EK38" s="3">
        <f>$H38*factors!EE$3</f>
        <v>0.45472971835199999</v>
      </c>
      <c r="EL38" s="3">
        <f>$H38*factors!EF$3</f>
        <v>0.43248266755199999</v>
      </c>
      <c r="EM38" s="3">
        <f>$H38*factors!EG$3</f>
        <v>0.44983536717599998</v>
      </c>
      <c r="EN38" s="3">
        <f>$H38*factors!EH$3</f>
        <v>0.42269396519999997</v>
      </c>
      <c r="EO38" s="3">
        <f>$H38*factors!EI$3</f>
        <v>0.42892313942399996</v>
      </c>
      <c r="EP38" s="3">
        <f>$H38*factors!EJ$3</f>
        <v>0.45250501327199999</v>
      </c>
      <c r="EQ38" s="3">
        <f>$H38*factors!EK$3</f>
        <v>0.44004666482399996</v>
      </c>
      <c r="ER38" s="3">
        <f>$H38*factors!EL$3</f>
        <v>0.45828924648000002</v>
      </c>
      <c r="ES38" s="3">
        <f>$H38*factors!EM$3</f>
        <v>0.45250501327199999</v>
      </c>
      <c r="ET38" s="3">
        <f>$H38*factors!EN$3</f>
        <v>0.46273865664000002</v>
      </c>
      <c r="EU38" s="3">
        <f>$H38*factors!EO$3</f>
        <v>0.46718806680000002</v>
      </c>
      <c r="EV38" s="3">
        <f>$H38*factors!EP$3</f>
        <v>0.43782195974399996</v>
      </c>
      <c r="EW38" s="3">
        <f>$H38*factors!EQ$3</f>
        <v>0.48155595377499999</v>
      </c>
      <c r="EX38" s="3">
        <f>$H38*factors!ER$3</f>
        <v>0.47645767130000005</v>
      </c>
      <c r="EY38" s="3">
        <f>$H38*factors!ES$3</f>
        <v>0.48619075602499995</v>
      </c>
      <c r="EZ38" s="3">
        <f>$H38*factors!ET$3</f>
        <v>0.48155595377499999</v>
      </c>
      <c r="FA38" s="3">
        <f>$H38*factors!EU$3</f>
        <v>0.44262361487499996</v>
      </c>
      <c r="FB38" s="3">
        <f>$H38*factors!EV$3</f>
        <v>0.46255326455000007</v>
      </c>
      <c r="FC38" s="3">
        <f>$H38*factors!EW$3</f>
        <v>0.47553071085000004</v>
      </c>
      <c r="FD38" s="3">
        <f>$H38*factors!EX$3</f>
        <v>0.45884542275000006</v>
      </c>
      <c r="FE38" s="3">
        <f>$H38*factors!EY$3</f>
        <v>0.48340987467500002</v>
      </c>
      <c r="FF38" s="3">
        <f>$H38*factors!EZ$3</f>
        <v>0.48387335490000011</v>
      </c>
      <c r="FG38" s="3">
        <f>$H38*factors!FA$3</f>
        <v>0.44262361487499996</v>
      </c>
      <c r="FH38" s="3">
        <f>$H38*factors!FB$3</f>
        <v>0.46579762612499997</v>
      </c>
      <c r="FI38" s="3">
        <f>$H38*factors!FC$3</f>
        <v>0.48526379557499999</v>
      </c>
      <c r="FJ38" s="3">
        <f>$H38*factors!FD$3</f>
        <v>0.46579762612499997</v>
      </c>
      <c r="FK38" s="3">
        <f>$H38*factors!FE$3</f>
        <v>0.47367678995000007</v>
      </c>
      <c r="FL38" s="3">
        <f>$H38*factors!FF$3</f>
        <v>0.475067230625</v>
      </c>
      <c r="FM38" s="3">
        <f>$H38*factors!FG$3</f>
        <v>0.4801655131</v>
      </c>
      <c r="FN38" s="3">
        <f>$H38*factors!FH$3</f>
        <v>0.449112338025</v>
      </c>
      <c r="FO38" s="3">
        <f>$H38*factors!FI$3</f>
        <v>0.47692115152499998</v>
      </c>
      <c r="FP38" s="3">
        <f>$H38*factors!FJ$3</f>
        <v>0.46348022500000002</v>
      </c>
      <c r="FQ38" s="3">
        <f>$H38*factors!FK$3</f>
        <v>0.45884542275000006</v>
      </c>
      <c r="FR38" s="3">
        <f>$H38*factors!FL$3</f>
        <v>0.46811502724999998</v>
      </c>
      <c r="FS38" s="3">
        <f>$H38*factors!FM$3</f>
        <v>0.4653341459</v>
      </c>
      <c r="FT38" s="3">
        <f>$H38*factors!FN$3</f>
        <v>0.47553071085000004</v>
      </c>
      <c r="FU38" s="3">
        <f>$H38*factors!FO$3</f>
        <v>0.45699150184999998</v>
      </c>
      <c r="FV38" s="3">
        <f>$H38*factors!FP$3</f>
        <v>0.45328366004999998</v>
      </c>
      <c r="FW38" s="3">
        <f>$H38*factors!FQ$3</f>
        <v>0.48526379557499999</v>
      </c>
      <c r="FX38" s="3">
        <f>$H38*factors!FR$3</f>
        <v>0.47645767130000005</v>
      </c>
      <c r="FY38" s="3">
        <f>$H38*factors!FS$3</f>
        <v>0.46672458657499993</v>
      </c>
      <c r="FZ38" s="3">
        <f>$H38*factors!FT$3</f>
        <v>0.44355057532500003</v>
      </c>
      <c r="GA38" s="3">
        <f>$H38*factors!FU$3</f>
        <v>0.46672458657499993</v>
      </c>
      <c r="GB38" s="3">
        <f>$H38*factors!FV$3</f>
        <v>0.48387335490000011</v>
      </c>
      <c r="GC38" s="3">
        <f>$H38*factors!FW$3</f>
        <v>0.45328366004999998</v>
      </c>
      <c r="GD38" s="3">
        <f>$H38*factors!FX$3</f>
        <v>0.46116282387500002</v>
      </c>
      <c r="GE38" s="3">
        <f>$H38*factors!FY$3</f>
        <v>0.46116282387500002</v>
      </c>
      <c r="GF38" s="3">
        <f>$H38*factors!FZ$3</f>
        <v>0.45977238320000002</v>
      </c>
      <c r="GG38" s="3">
        <f>$H38*factors!GA$3</f>
        <v>0.441696654425</v>
      </c>
      <c r="GH38" s="3">
        <f>$H38*factors!GB$3</f>
        <v>0.46996894815000007</v>
      </c>
      <c r="GI38" s="3">
        <f>$H38*factors!GC$3</f>
        <v>0.44076969397499999</v>
      </c>
      <c r="GJ38" s="3">
        <f>$H38*factors!GD$3</f>
        <v>0.441696654425</v>
      </c>
      <c r="GK38" s="3">
        <f>$H38*factors!GE$3</f>
        <v>0.452820179825</v>
      </c>
      <c r="GL38" s="3">
        <f>$H38*factors!GF$3</f>
        <v>0.47970203287500002</v>
      </c>
      <c r="GM38" s="3">
        <f>$H38*factors!GG$3</f>
        <v>0.45467410072500003</v>
      </c>
      <c r="GN38" s="3">
        <f>$H38*factors!GH$3</f>
        <v>0.46904198770000005</v>
      </c>
      <c r="GO38" s="3">
        <f>$H38*factors!GI$3</f>
        <v>0.44308709509999994</v>
      </c>
      <c r="GP38" s="3">
        <f>$H38*factors!GJ$3</f>
        <v>0.475067230625</v>
      </c>
      <c r="GQ38" s="3">
        <f>$H38*factors!GK$3</f>
        <v>0.48480031535000007</v>
      </c>
      <c r="GR38" s="3">
        <f>$H38*factors!GL$3</f>
        <v>0.47553071085000004</v>
      </c>
      <c r="GS38" s="3">
        <f>$H38*factors!GM$3</f>
        <v>0.44970559271300004</v>
      </c>
      <c r="GT38" s="3">
        <f>$H38*factors!GN$3</f>
        <v>0.46006530270220003</v>
      </c>
      <c r="GU38" s="3">
        <f>$H38*factors!GO$3</f>
        <v>0.47089590860000002</v>
      </c>
      <c r="GV38" s="3">
        <f>$H38*factors!GP$3</f>
        <v>0.45206007225600003</v>
      </c>
      <c r="GW38" s="3">
        <f>$H38*factors!GQ$3</f>
        <v>0.46807053314840003</v>
      </c>
      <c r="GX38" s="3">
        <f>$H38*factors!GR$3</f>
        <v>0.46053619861080003</v>
      </c>
      <c r="GY38" s="3">
        <f>$H38*factors!GS$3</f>
        <v>0.45818171906780003</v>
      </c>
      <c r="GZ38" s="3">
        <f>$H38*factors!GT$3</f>
        <v>0.47513397177739997</v>
      </c>
      <c r="HA38" s="3">
        <f>$H38*factors!GU$3</f>
        <v>0.45959440679360003</v>
      </c>
      <c r="HB38" s="3">
        <f>$H38*factors!GV$3</f>
        <v>0.47513397177739997</v>
      </c>
      <c r="HC38" s="3">
        <f>$H38*factors!GW$3</f>
        <v>0.46336157406239997</v>
      </c>
      <c r="HD38" s="3">
        <f>$H38*factors!GX$3</f>
        <v>0.47701755541179997</v>
      </c>
      <c r="HE38" s="3">
        <f>$H38*factors!GY$3</f>
        <v>0.47089590860000002</v>
      </c>
      <c r="HF38" s="3">
        <f>$H38*factors!GZ$3</f>
        <v>0.48549368176660002</v>
      </c>
      <c r="HG38" s="3">
        <f>$H38*factors!HA$3</f>
        <v>0.46665784542260003</v>
      </c>
      <c r="HH38" s="3">
        <f>$H38*factors!HB$3</f>
        <v>0.46053619861080003</v>
      </c>
      <c r="HI38" s="3">
        <f>$H38*factors!HC$3</f>
        <v>0.45488544770760003</v>
      </c>
      <c r="HJ38" s="3">
        <f>$H38*factors!HD$3</f>
        <v>0.44970559271300004</v>
      </c>
      <c r="HK38" s="3">
        <f>$H38*factors!HE$3</f>
        <v>0.47560486768600002</v>
      </c>
      <c r="HL38" s="3">
        <f>$H38*factors!HF$3</f>
        <v>0.44829290498719998</v>
      </c>
      <c r="HM38" s="3">
        <f>$H38*factors!HG$3</f>
        <v>0.45300186407320003</v>
      </c>
      <c r="HN38" s="3">
        <f>$H38*factors!HH$3</f>
        <v>0.48313920222360007</v>
      </c>
      <c r="HO38" s="3">
        <f>$H38*factors!HI$3</f>
        <v>0.46336157406239997</v>
      </c>
      <c r="HP38" s="3">
        <f>$H38*factors!HJ$3</f>
        <v>0.49444070403000007</v>
      </c>
      <c r="HQ38" s="3">
        <f>$H38*factors!HK$3</f>
        <v>0.45206007225600003</v>
      </c>
      <c r="HR38" s="3">
        <f>$H38*factors!HL$3</f>
        <v>0.47937203495480007</v>
      </c>
      <c r="HS38" s="3">
        <f>$H38*factors!HM$3</f>
        <v>0.48784816130960001</v>
      </c>
      <c r="HT38" s="3">
        <f>$H38*factors!HN$3</f>
        <v>0.45488544770760003</v>
      </c>
      <c r="HU38" s="3">
        <f>$H38*factors!HO$3</f>
        <v>0.45959440679360003</v>
      </c>
      <c r="HV38" s="3">
        <f>$H38*factors!HP$3</f>
        <v>0.46524515769680008</v>
      </c>
      <c r="HW38" s="3">
        <f>$H38*factors!HQ$3</f>
        <v>0.47183770041720002</v>
      </c>
      <c r="HX38" s="3">
        <f>$H38*factors!HR$3</f>
        <v>0.49114443266979996</v>
      </c>
      <c r="HY38" s="3">
        <f>$H38*factors!HS$3</f>
        <v>0.46665784542260003</v>
      </c>
      <c r="HZ38" s="3">
        <f>$H38*factors!HT$3</f>
        <v>0.48455188994940002</v>
      </c>
      <c r="IA38" s="3">
        <f>$H38*factors!HU$3</f>
        <v>0.46100709451940003</v>
      </c>
      <c r="IB38" s="3">
        <f>$H38*factors!HV$3</f>
        <v>0.47701755541179997</v>
      </c>
      <c r="IC38" s="3">
        <f>$H38*factors!HW$3</f>
        <v>0.48172651449780002</v>
      </c>
      <c r="ID38" s="3">
        <f>$H38*factors!HX$3</f>
        <v>0.44735111316999998</v>
      </c>
      <c r="IE38" s="3">
        <f>$H38*factors!HY$3</f>
        <v>0.47513397177739997</v>
      </c>
      <c r="IF38" s="3">
        <f>$H38*factors!HZ$3</f>
        <v>0.47230859632579997</v>
      </c>
      <c r="IG38" s="3">
        <f>$H38*factors!IA$3</f>
        <v>0.46807053314840003</v>
      </c>
      <c r="IH38" s="3">
        <f>$H38*factors!IB$3</f>
        <v>0.48549368176660002</v>
      </c>
      <c r="II38" s="3">
        <f>$H38*factors!IC$3</f>
        <v>0.46477426178820003</v>
      </c>
      <c r="IJ38" s="3">
        <f>$H38*factors!ID$3</f>
        <v>0.46901232496560002</v>
      </c>
      <c r="IK38" s="3">
        <f>$H38*factors!IE$3</f>
        <v>0.48596457767520002</v>
      </c>
      <c r="IL38" s="3">
        <f>$H38*factors!IF$3</f>
        <v>0.46524515769680008</v>
      </c>
      <c r="IM38" s="3">
        <f>$H38*factors!IG$3</f>
        <v>0.46100709451940003</v>
      </c>
      <c r="IN38" s="3">
        <f>$H38*factors!IH$3</f>
        <v>0.46383246997100003</v>
      </c>
      <c r="IO38" s="3">
        <f>$H38*factors!II$3</f>
        <v>0.46854142905700003</v>
      </c>
      <c r="IP38" s="3">
        <f>$H38*factors!IJ$3</f>
        <v>0.45300186407320003</v>
      </c>
      <c r="IQ38" s="3">
        <f>$H38*factors!IK$3</f>
        <v>0.45158917634740003</v>
      </c>
      <c r="IR38" s="3">
        <f>$H38*factors!IL$3</f>
        <v>0.46477426178820003</v>
      </c>
      <c r="IS38" s="3">
        <f>$H38*factors!IM$3</f>
        <v>0.46854142905700003</v>
      </c>
      <c r="IT38" s="3">
        <f>$H38*factors!IN$3</f>
        <v>0.47183770041720002</v>
      </c>
      <c r="IU38" s="3">
        <f>$H38*factors!IO$3</f>
        <v>0.48219741040640007</v>
      </c>
      <c r="IV38" s="3">
        <f>$H38*factors!IP$3</f>
        <v>0.48831905721819996</v>
      </c>
      <c r="IW38" s="3">
        <f>$H38*factors!IQ$3</f>
        <v>0.46147799042799997</v>
      </c>
      <c r="IX38" s="3">
        <f>$H38*factors!IR$3</f>
        <v>0.48219741040640007</v>
      </c>
      <c r="IY38" s="3">
        <f>$H38*factors!IS$3</f>
        <v>0.47513397177739997</v>
      </c>
      <c r="IZ38" s="3">
        <f>$H38*factors!IT$3</f>
        <v>0.48313920222360007</v>
      </c>
      <c r="JA38" s="3">
        <f>$H38*factors!IU$3</f>
        <v>0.45629813543339998</v>
      </c>
      <c r="JB38" s="3">
        <f>$H38*factors!IV$3</f>
        <v>0.46477426178820003</v>
      </c>
      <c r="JC38" s="3">
        <f>$H38*factors!IW$3</f>
        <v>0.45394365589040003</v>
      </c>
      <c r="JD38" s="3">
        <f>$H38*factors!IX$3</f>
        <v>0.49444070403000007</v>
      </c>
      <c r="JE38" s="3">
        <f>$H38*factors!IY$3</f>
        <v>0.45535634361619998</v>
      </c>
      <c r="JF38" s="3">
        <f>$H38*factors!IZ$3</f>
        <v>0.47795934722899996</v>
      </c>
      <c r="JG38" s="3">
        <f>$H38*factors!JA$3</f>
        <v>0.46948322087419997</v>
      </c>
      <c r="JH38" s="3">
        <f>$H38*factors!JB$3</f>
        <v>0.47843024313760008</v>
      </c>
      <c r="JI38" s="3">
        <f>$H38*factors!JC$3</f>
        <v>0.44782200907860004</v>
      </c>
      <c r="JJ38" s="3">
        <f>$H38*factors!JD$3</f>
        <v>0.48219741040640007</v>
      </c>
      <c r="JK38" s="3">
        <f>$H38*factors!JE$3</f>
        <v>0.46665784542260003</v>
      </c>
      <c r="JL38" s="3">
        <f>$H38*factors!JF$3</f>
        <v>0.48549368176660002</v>
      </c>
      <c r="JM38" s="3">
        <f>$H38*factors!JG$3</f>
        <v>0.45300186407320003</v>
      </c>
      <c r="JN38" s="3">
        <f>$H38*factors!JH$3</f>
        <v>0.45300186407320003</v>
      </c>
      <c r="JO38" s="3">
        <f>$H38*factors!JI$3</f>
        <v>0.44735111316999998</v>
      </c>
      <c r="JP38" s="3">
        <f>$H38*factors!JJ$3</f>
        <v>0.48361009813220002</v>
      </c>
      <c r="JQ38" s="3">
        <f>$H38*factors!JK$3</f>
        <v>0.47136680450859997</v>
      </c>
      <c r="JR38" s="3">
        <f>$H38*factors!JL$3</f>
        <v>0.48973174494400001</v>
      </c>
      <c r="JS38" s="3">
        <f>$H38*factors!JM$3</f>
        <v>0.44735111316999998</v>
      </c>
      <c r="JT38" s="3">
        <f>$H38*factors!JN$3</f>
        <v>0.46995411678280002</v>
      </c>
      <c r="JU38" s="3">
        <f>$H38*factors!JO$3</f>
        <v>0.45441455179899998</v>
      </c>
      <c r="JV38" s="3">
        <f>$H38*factors!JP$3</f>
        <v>0.46194888633660003</v>
      </c>
      <c r="JW38" s="3">
        <f>$H38*factors!JQ$3</f>
        <v>0.49349891221280007</v>
      </c>
      <c r="JX38" s="3">
        <f>$H38*factors!JR$3</f>
        <v>0.48878995312680001</v>
      </c>
      <c r="JY38" s="3">
        <f>$H38*factors!JS$3</f>
        <v>0.46006530270220003</v>
      </c>
      <c r="JZ38" s="3">
        <f>$H38*factors!JT$3</f>
        <v>0.46524515769680008</v>
      </c>
      <c r="KA38" s="3">
        <f>$H38*factors!JU$3</f>
        <v>0.46712874133120003</v>
      </c>
      <c r="KB38" s="3">
        <f>$H38*factors!JV$3</f>
        <v>0.45158917634740003</v>
      </c>
      <c r="KC38" s="3">
        <f>$H38*factors!JW$3</f>
        <v>0.45394365589040003</v>
      </c>
      <c r="KD38" s="3">
        <f>$H38*factors!JX$3</f>
        <v>0.45441455179899998</v>
      </c>
      <c r="KE38" s="3">
        <f>$H38*factors!JY$3</f>
        <v>0.48361009813220002</v>
      </c>
      <c r="KF38" s="3">
        <f>$H38*factors!JZ$3</f>
        <v>0.48926084903539996</v>
      </c>
      <c r="KG38" s="3">
        <f>$H38*factors!KA$3</f>
        <v>0.47183770041720002</v>
      </c>
      <c r="KH38" s="3">
        <f>$H38*factors!KB$3</f>
        <v>0.46147799042799997</v>
      </c>
      <c r="KI38" s="3">
        <f>$H38*factors!KC$3</f>
        <v>0.45723992725059998</v>
      </c>
    </row>
    <row r="39" spans="1:295" x14ac:dyDescent="0.55000000000000004">
      <c r="A39" t="s">
        <v>415</v>
      </c>
      <c r="B39">
        <v>38</v>
      </c>
      <c r="C39">
        <v>230</v>
      </c>
      <c r="D39" t="s">
        <v>377</v>
      </c>
      <c r="E39">
        <v>5.0220000000000004E-3</v>
      </c>
      <c r="F39">
        <v>38</v>
      </c>
      <c r="G39">
        <f>VLOOKUP(D39,demand_forecasted!$A$2:$G$11,2)</f>
        <v>11098</v>
      </c>
      <c r="H39" s="3">
        <f t="shared" si="1"/>
        <v>0.55734156000000001</v>
      </c>
      <c r="I39" s="3">
        <f>$H39*factors!C$3</f>
        <v>0.61697710691999996</v>
      </c>
      <c r="J39" s="3">
        <f>$H39*factors!D$3</f>
        <v>0.59470573818240002</v>
      </c>
      <c r="K39" s="3">
        <f>$H39*factors!E$3</f>
        <v>0.5844729471408</v>
      </c>
      <c r="L39" s="3">
        <f>$H39*factors!F$3</f>
        <v>0.5826671604864001</v>
      </c>
      <c r="M39" s="3">
        <f>$H39*factors!G$3</f>
        <v>0.58206523160159995</v>
      </c>
      <c r="N39" s="3">
        <f>$H39*factors!H$3</f>
        <v>0.59891924037599997</v>
      </c>
      <c r="O39" s="3">
        <f>$H39*factors!I$3</f>
        <v>0.61216167584159997</v>
      </c>
      <c r="P39" s="3">
        <f>$H39*factors!J$3</f>
        <v>0.61938482245920001</v>
      </c>
      <c r="Q39" s="3">
        <f>$H39*factors!K$3</f>
        <v>0.58146330271680002</v>
      </c>
      <c r="R39" s="3">
        <f>$H39*factors!L$3</f>
        <v>0.57183244056000004</v>
      </c>
      <c r="S39" s="3">
        <f>$H39*factors!M$3</f>
        <v>0.59530766706719995</v>
      </c>
      <c r="T39" s="3">
        <f>$H39*factors!N$3</f>
        <v>0.61577324915039999</v>
      </c>
      <c r="U39" s="3">
        <f>$H39*factors!O$3</f>
        <v>0.58326908937120003</v>
      </c>
      <c r="V39" s="3">
        <f>$H39*factors!P$3</f>
        <v>0.60674431587840005</v>
      </c>
      <c r="W39" s="3">
        <f>$H39*factors!Q$3</f>
        <v>0.61216167584159997</v>
      </c>
      <c r="X39" s="3">
        <f>$H39*factors!R$3</f>
        <v>0.58567680491039997</v>
      </c>
      <c r="Y39" s="3">
        <f>$H39*factors!S$3</f>
        <v>0.58025944494720005</v>
      </c>
      <c r="Z39" s="3">
        <f>$H39*factors!T$3</f>
        <v>0.62600604019200012</v>
      </c>
      <c r="AA39" s="3">
        <f>$H39*factors!U$3</f>
        <v>0.5910941648736</v>
      </c>
      <c r="AB39" s="3">
        <f>$H39*factors!V$3</f>
        <v>0.59169609375840004</v>
      </c>
      <c r="AC39" s="3">
        <f>$H39*factors!W$3</f>
        <v>0.59229802264320008</v>
      </c>
      <c r="AD39" s="3">
        <f>$H39*factors!X$3</f>
        <v>0.57965751606240001</v>
      </c>
      <c r="AE39" s="3">
        <f>$H39*factors!Y$3</f>
        <v>0.5844729471408</v>
      </c>
      <c r="AF39" s="3">
        <f>$H39*factors!Z$3</f>
        <v>0.59651152483680003</v>
      </c>
      <c r="AG39" s="3">
        <f>$H39*factors!AA$3</f>
        <v>0.58146330271680002</v>
      </c>
      <c r="AH39" s="3">
        <f>$H39*factors!AB$3</f>
        <v>0.57905558717760008</v>
      </c>
      <c r="AI39" s="3">
        <f>$H39*factors!AC$3</f>
        <v>0.5977153826064</v>
      </c>
      <c r="AJ39" s="3">
        <f>$H39*factors!AD$3</f>
        <v>0.62058868022879998</v>
      </c>
      <c r="AK39" s="3">
        <f>$H39*factors!AE$3</f>
        <v>0.59711345372160007</v>
      </c>
      <c r="AL39" s="3">
        <f>$H39*factors!AF$3</f>
        <v>0.57363822721439994</v>
      </c>
      <c r="AM39" s="3">
        <f>$H39*factors!AG$3</f>
        <v>0.58989030710400003</v>
      </c>
      <c r="AN39" s="3">
        <f>$H39*factors!AH$3</f>
        <v>0.58025944494720005</v>
      </c>
      <c r="AO39" s="3">
        <f>$H39*factors!AI$3</f>
        <v>0.60794817364800002</v>
      </c>
      <c r="AP39" s="3">
        <f>$H39*factors!AJ$3</f>
        <v>0.5826671604864001</v>
      </c>
      <c r="AQ39" s="3">
        <f>$H39*factors!AK$3</f>
        <v>0.60132695591520002</v>
      </c>
      <c r="AR39" s="3">
        <f>$H39*factors!AL$3</f>
        <v>0.58808452044960002</v>
      </c>
      <c r="AS39" s="3">
        <f>$H39*factors!AM$3</f>
        <v>0.57363822721439994</v>
      </c>
      <c r="AT39" s="3">
        <f>$H39*factors!AN$3</f>
        <v>0.59169609375840004</v>
      </c>
      <c r="AU39" s="3">
        <f>$H39*factors!AO$3</f>
        <v>0.62660796907679994</v>
      </c>
      <c r="AV39" s="3">
        <f>$H39*factors!AP$3</f>
        <v>0.59229802264320008</v>
      </c>
      <c r="AW39" s="3">
        <f>$H39*factors!AQ$3</f>
        <v>0.58627873379520001</v>
      </c>
      <c r="AX39" s="3">
        <f>$H39*factors!AR$3</f>
        <v>0.61998675134400005</v>
      </c>
      <c r="AY39" s="3">
        <f>$H39*factors!AS$3</f>
        <v>0.57183244056000004</v>
      </c>
      <c r="AZ39" s="3">
        <f>$H39*factors!AT$3</f>
        <v>0.61276360472640012</v>
      </c>
      <c r="BA39" s="3">
        <f>$H39*factors!AU$3</f>
        <v>0.59952116926080001</v>
      </c>
      <c r="BB39" s="3">
        <f>$H39*factors!AV$3</f>
        <v>0.59169609375840004</v>
      </c>
      <c r="BC39" s="3">
        <f>$H39*factors!AW$3</f>
        <v>0.62600604019200012</v>
      </c>
      <c r="BD39" s="3">
        <f>$H39*factors!AX$3</f>
        <v>0.577851729408</v>
      </c>
      <c r="BE39" s="3">
        <f>$H39*factors!AY$3</f>
        <v>0.67936592114639993</v>
      </c>
      <c r="BF39" s="3">
        <f>$H39*factors!AZ$3</f>
        <v>0.63267184524959996</v>
      </c>
      <c r="BG39" s="3">
        <f>$H39*factors!BA$3</f>
        <v>0.64187912782079992</v>
      </c>
      <c r="BH39" s="3">
        <f>$H39*factors!BB$3</f>
        <v>0.65042874735119993</v>
      </c>
      <c r="BI39" s="3">
        <f>$H39*factors!BC$3</f>
        <v>0.67410461681999989</v>
      </c>
      <c r="BJ39" s="3">
        <f>$H39*factors!BD$3</f>
        <v>0.64385211694319999</v>
      </c>
      <c r="BK39" s="3">
        <f>$H39*factors!BE$3</f>
        <v>0.64516744302479989</v>
      </c>
      <c r="BL39" s="3">
        <f>$H39*factors!BF$3</f>
        <v>0.63793314957599989</v>
      </c>
      <c r="BM39" s="3">
        <f>$H39*factors!BG$3</f>
        <v>0.6813389102688</v>
      </c>
      <c r="BN39" s="3">
        <f>$H39*factors!BH$3</f>
        <v>0.67278929073839999</v>
      </c>
      <c r="BO39" s="3">
        <f>$H39*factors!BI$3</f>
        <v>0.63267184524959996</v>
      </c>
      <c r="BP39" s="3">
        <f>$H39*factors!BJ$3</f>
        <v>0.63069885612719989</v>
      </c>
      <c r="BQ39" s="3">
        <f>$H39*factors!BK$3</f>
        <v>0.64122146477999997</v>
      </c>
      <c r="BR39" s="3">
        <f>$H39*factors!BL$3</f>
        <v>0.66423967120799998</v>
      </c>
      <c r="BS39" s="3">
        <f>$H39*factors!BM$3</f>
        <v>0.67476227986079995</v>
      </c>
      <c r="BT39" s="3">
        <f>$H39*factors!BN$3</f>
        <v>0.67673526898319991</v>
      </c>
      <c r="BU39" s="3">
        <f>$H39*factors!BO$3</f>
        <v>0.68791554067680005</v>
      </c>
      <c r="BV39" s="3">
        <f>$H39*factors!BP$3</f>
        <v>0.63990613869839996</v>
      </c>
      <c r="BW39" s="3">
        <f>$H39*factors!BQ$3</f>
        <v>0.65437472559599996</v>
      </c>
      <c r="BX39" s="3">
        <f>$H39*factors!BR$3</f>
        <v>0.64187912782079992</v>
      </c>
      <c r="BY39" s="3">
        <f>$H39*factors!BS$3</f>
        <v>0.67147396465679987</v>
      </c>
      <c r="BZ39" s="3">
        <f>$H39*factors!BT$3</f>
        <v>0.65897836688159994</v>
      </c>
      <c r="CA39" s="3">
        <f>$H39*factors!BU$3</f>
        <v>0.65042874735119993</v>
      </c>
      <c r="CB39" s="3">
        <f>$H39*factors!BV$3</f>
        <v>0.62938353004559999</v>
      </c>
      <c r="CC39" s="3">
        <f>$H39*factors!BW$3</f>
        <v>0.64779809518799991</v>
      </c>
      <c r="CD39" s="3">
        <f>$H39*factors!BX$3</f>
        <v>0.64977108431039998</v>
      </c>
      <c r="CE39" s="3">
        <f>$H39*factors!BY$3</f>
        <v>0.65897836688159994</v>
      </c>
      <c r="CF39" s="3">
        <f>$H39*factors!BZ$3</f>
        <v>0.64911342126960003</v>
      </c>
      <c r="CG39" s="3">
        <f>$H39*factors!CA$3</f>
        <v>0.62741054092319992</v>
      </c>
      <c r="CH39" s="3">
        <f>$H39*factors!CB$3</f>
        <v>0.62806820396399987</v>
      </c>
      <c r="CI39" s="3">
        <f>$H39*factors!CC$3</f>
        <v>0.62477988876000001</v>
      </c>
      <c r="CJ39" s="3">
        <f>$H39*factors!CD$3</f>
        <v>0.65042874735119993</v>
      </c>
      <c r="CK39" s="3">
        <f>$H39*factors!CE$3</f>
        <v>0.67936592114639993</v>
      </c>
      <c r="CL39" s="3">
        <f>$H39*factors!CF$3</f>
        <v>0.63661782349439999</v>
      </c>
      <c r="CM39" s="3">
        <f>$H39*factors!CG$3</f>
        <v>0.65174407343279994</v>
      </c>
      <c r="CN39" s="3">
        <f>$H39*factors!CH$3</f>
        <v>0.63004119308639994</v>
      </c>
      <c r="CO39" s="3">
        <f>$H39*factors!CI$3</f>
        <v>0.63464483437199992</v>
      </c>
      <c r="CP39" s="3">
        <f>$H39*factors!CJ$3</f>
        <v>0.66489733424879982</v>
      </c>
      <c r="CQ39" s="3">
        <f>$H39*factors!CK$3</f>
        <v>0.64516744302479989</v>
      </c>
      <c r="CR39" s="3">
        <f>$H39*factors!CL$3</f>
        <v>0.66555499728959999</v>
      </c>
      <c r="CS39" s="3">
        <f>$H39*factors!CM$3</f>
        <v>0.68660021459519993</v>
      </c>
      <c r="CT39" s="3">
        <f>$H39*factors!CN$3</f>
        <v>0.67870825810559998</v>
      </c>
      <c r="CU39" s="3">
        <f>$H39*factors!CO$3</f>
        <v>0.66358200816719992</v>
      </c>
      <c r="CV39" s="3">
        <f>$H39*factors!CP$3</f>
        <v>0.69054619283999996</v>
      </c>
      <c r="CW39" s="3">
        <f>$H39*factors!CQ$3</f>
        <v>0.65305939951440006</v>
      </c>
      <c r="CX39" s="3">
        <f>$H39*factors!CR$3</f>
        <v>0.64319445390240004</v>
      </c>
      <c r="CY39" s="3">
        <f>$H39*factors!CS$3</f>
        <v>0.63727548653519994</v>
      </c>
      <c r="CZ39" s="3">
        <f>$H39*factors!CT$3</f>
        <v>0.62806820396399987</v>
      </c>
      <c r="DA39" s="3">
        <f>$H39*factors!CU$3</f>
        <v>0.65208962520000002</v>
      </c>
      <c r="DB39" s="3">
        <f>$H39*factors!CV$3</f>
        <v>0.69422464713600007</v>
      </c>
      <c r="DC39" s="3">
        <f>$H39*factors!CW$3</f>
        <v>0.66479701276799996</v>
      </c>
      <c r="DD39" s="3">
        <f>$H39*factors!CX$3</f>
        <v>0.66011534366399993</v>
      </c>
      <c r="DE39" s="3">
        <f>$H39*factors!CY$3</f>
        <v>0.67951082995200007</v>
      </c>
      <c r="DF39" s="3">
        <f>$H39*factors!CZ$3</f>
        <v>0.67817321020799992</v>
      </c>
      <c r="DG39" s="3">
        <f>$H39*factors!DA$3</f>
        <v>0.67549797071999995</v>
      </c>
      <c r="DH39" s="3">
        <f>$H39*factors!DB$3</f>
        <v>0.67549797071999995</v>
      </c>
      <c r="DI39" s="3">
        <f>$H39*factors!DC$3</f>
        <v>0.65008319558399996</v>
      </c>
      <c r="DJ39" s="3">
        <f>$H39*factors!DD$3</f>
        <v>0.68887416816000002</v>
      </c>
      <c r="DK39" s="3">
        <f>$H39*factors!DE$3</f>
        <v>0.68887416816000002</v>
      </c>
      <c r="DL39" s="3">
        <f>$H39*factors!DF$3</f>
        <v>0.680848449696</v>
      </c>
      <c r="DM39" s="3">
        <f>$H39*factors!DG$3</f>
        <v>0.64138866724799992</v>
      </c>
      <c r="DN39" s="3">
        <f>$H39*factors!DH$3</f>
        <v>0.67282273123200009</v>
      </c>
      <c r="DO39" s="3">
        <f>$H39*factors!DI$3</f>
        <v>0.69489345700799998</v>
      </c>
      <c r="DP39" s="3">
        <f>$H39*factors!DJ$3</f>
        <v>0.68887416816000002</v>
      </c>
      <c r="DQ39" s="3">
        <f>$H39*factors!DK$3</f>
        <v>0.65677129430399994</v>
      </c>
      <c r="DR39" s="3">
        <f>$H39*factors!DL$3</f>
        <v>0.64941438571200005</v>
      </c>
      <c r="DS39" s="3">
        <f>$H39*factors!DM$3</f>
        <v>0.70158155572799996</v>
      </c>
      <c r="DT39" s="3">
        <f>$H39*factors!DN$3</f>
        <v>0.65944653379200002</v>
      </c>
      <c r="DU39" s="3">
        <f>$H39*factors!DO$3</f>
        <v>0.69021178790399995</v>
      </c>
      <c r="DV39" s="3">
        <f>$H39*factors!DP$3</f>
        <v>0.67416035097600002</v>
      </c>
      <c r="DW39" s="3">
        <f>$H39*factors!DQ$3</f>
        <v>0.64339509686399998</v>
      </c>
      <c r="DX39" s="3">
        <f>$H39*factors!DR$3</f>
        <v>0.68151725956799991</v>
      </c>
      <c r="DY39" s="3">
        <f>$H39*factors!DS$3</f>
        <v>0.64673914622399997</v>
      </c>
      <c r="DZ39" s="3">
        <f>$H39*factors!DT$3</f>
        <v>0.69154940764799999</v>
      </c>
      <c r="EA39" s="3">
        <f>$H39*factors!DU$3</f>
        <v>0.65142081532799989</v>
      </c>
      <c r="EB39" s="3">
        <f>$H39*factors!DV$3</f>
        <v>0.63536937839999996</v>
      </c>
      <c r="EC39" s="3">
        <f>$H39*factors!DW$3</f>
        <v>0.68352368918399997</v>
      </c>
      <c r="ED39" s="3">
        <f>$H39*factors!DX$3</f>
        <v>0.64138866724799992</v>
      </c>
      <c r="EE39" s="3">
        <f>$H39*factors!DY$3</f>
        <v>0.64673914622399997</v>
      </c>
      <c r="EF39" s="3">
        <f>$H39*factors!DZ$3</f>
        <v>0.70158155572799996</v>
      </c>
      <c r="EG39" s="3">
        <f>$H39*factors!EA$3</f>
        <v>0.65543367456000001</v>
      </c>
      <c r="EH39" s="3">
        <f>$H39*factors!EB$3</f>
        <v>0.65744010417599996</v>
      </c>
      <c r="EI39" s="3">
        <f>$H39*factors!EC$3</f>
        <v>0.65610248443200003</v>
      </c>
      <c r="EJ39" s="3">
        <f>$H39*factors!ED$3</f>
        <v>0.63938223763199997</v>
      </c>
      <c r="EK39" s="3">
        <f>$H39*factors!EE$3</f>
        <v>0.68352368918399997</v>
      </c>
      <c r="EL39" s="3">
        <f>$H39*factors!EF$3</f>
        <v>0.65008319558399996</v>
      </c>
      <c r="EM39" s="3">
        <f>$H39*factors!EG$3</f>
        <v>0.67616678059199997</v>
      </c>
      <c r="EN39" s="3">
        <f>$H39*factors!EH$3</f>
        <v>0.63536937839999996</v>
      </c>
      <c r="EO39" s="3">
        <f>$H39*factors!EI$3</f>
        <v>0.64473271660799991</v>
      </c>
      <c r="EP39" s="3">
        <f>$H39*factors!EJ$3</f>
        <v>0.68017963982399998</v>
      </c>
      <c r="EQ39" s="3">
        <f>$H39*factors!EK$3</f>
        <v>0.66145296340799997</v>
      </c>
      <c r="ER39" s="3">
        <f>$H39*factors!EL$3</f>
        <v>0.68887416816000002</v>
      </c>
      <c r="ES39" s="3">
        <f>$H39*factors!EM$3</f>
        <v>0.68017963982399998</v>
      </c>
      <c r="ET39" s="3">
        <f>$H39*factors!EN$3</f>
        <v>0.69556226688</v>
      </c>
      <c r="EU39" s="3">
        <f>$H39*factors!EO$3</f>
        <v>0.70225036559999998</v>
      </c>
      <c r="EV39" s="3">
        <f>$H39*factors!EP$3</f>
        <v>0.65810891404799998</v>
      </c>
      <c r="EW39" s="3">
        <f>$H39*factors!EQ$3</f>
        <v>0.72384735104999998</v>
      </c>
      <c r="EX39" s="3">
        <f>$H39*factors!ER$3</f>
        <v>0.71618390460000014</v>
      </c>
      <c r="EY39" s="3">
        <f>$H39*factors!ES$3</f>
        <v>0.73081412054999995</v>
      </c>
      <c r="EZ39" s="3">
        <f>$H39*factors!ET$3</f>
        <v>0.72384735104999998</v>
      </c>
      <c r="FA39" s="3">
        <f>$H39*factors!EU$3</f>
        <v>0.66532648724999999</v>
      </c>
      <c r="FB39" s="3">
        <f>$H39*factors!EV$3</f>
        <v>0.69528359610000001</v>
      </c>
      <c r="FC39" s="3">
        <f>$H39*factors!EW$3</f>
        <v>0.71479055069999997</v>
      </c>
      <c r="FD39" s="3">
        <f>$H39*factors!EX$3</f>
        <v>0.68971018049999999</v>
      </c>
      <c r="FE39" s="3">
        <f>$H39*factors!EY$3</f>
        <v>0.72663405884999999</v>
      </c>
      <c r="FF39" s="3">
        <f>$H39*factors!EZ$3</f>
        <v>0.72733073580000007</v>
      </c>
      <c r="FG39" s="3">
        <f>$H39*factors!FA$3</f>
        <v>0.66532648724999999</v>
      </c>
      <c r="FH39" s="3">
        <f>$H39*factors!FB$3</f>
        <v>0.70016033474999995</v>
      </c>
      <c r="FI39" s="3">
        <f>$H39*factors!FC$3</f>
        <v>0.72942076664999989</v>
      </c>
      <c r="FJ39" s="3">
        <f>$H39*factors!FD$3</f>
        <v>0.70016033474999995</v>
      </c>
      <c r="FK39" s="3">
        <f>$H39*factors!FE$3</f>
        <v>0.71200384290000007</v>
      </c>
      <c r="FL39" s="3">
        <f>$H39*factors!FF$3</f>
        <v>0.71409387375</v>
      </c>
      <c r="FM39" s="3">
        <f>$H39*factors!FG$3</f>
        <v>0.72175732019999994</v>
      </c>
      <c r="FN39" s="3">
        <f>$H39*factors!FH$3</f>
        <v>0.67507996454999997</v>
      </c>
      <c r="FO39" s="3">
        <f>$H39*factors!FI$3</f>
        <v>0.71688058155000001</v>
      </c>
      <c r="FP39" s="3">
        <f>$H39*factors!FJ$3</f>
        <v>0.69667695000000007</v>
      </c>
      <c r="FQ39" s="3">
        <f>$H39*factors!FK$3</f>
        <v>0.68971018049999999</v>
      </c>
      <c r="FR39" s="3">
        <f>$H39*factors!FL$3</f>
        <v>0.70364371950000004</v>
      </c>
      <c r="FS39" s="3">
        <f>$H39*factors!FM$3</f>
        <v>0.69946365779999997</v>
      </c>
      <c r="FT39" s="3">
        <f>$H39*factors!FN$3</f>
        <v>0.71479055069999997</v>
      </c>
      <c r="FU39" s="3">
        <f>$H39*factors!FO$3</f>
        <v>0.68692347269999998</v>
      </c>
      <c r="FV39" s="3">
        <f>$H39*factors!FP$3</f>
        <v>0.68135005709999996</v>
      </c>
      <c r="FW39" s="3">
        <f>$H39*factors!FQ$3</f>
        <v>0.72942076664999989</v>
      </c>
      <c r="FX39" s="3">
        <f>$H39*factors!FR$3</f>
        <v>0.71618390460000014</v>
      </c>
      <c r="FY39" s="3">
        <f>$H39*factors!FS$3</f>
        <v>0.7015536886499999</v>
      </c>
      <c r="FZ39" s="3">
        <f>$H39*factors!FT$3</f>
        <v>0.66671984115000005</v>
      </c>
      <c r="GA39" s="3">
        <f>$H39*factors!FU$3</f>
        <v>0.7015536886499999</v>
      </c>
      <c r="GB39" s="3">
        <f>$H39*factors!FV$3</f>
        <v>0.72733073580000007</v>
      </c>
      <c r="GC39" s="3">
        <f>$H39*factors!FW$3</f>
        <v>0.68135005709999996</v>
      </c>
      <c r="GD39" s="3">
        <f>$H39*factors!FX$3</f>
        <v>0.69319356524999998</v>
      </c>
      <c r="GE39" s="3">
        <f>$H39*factors!FY$3</f>
        <v>0.69319356524999998</v>
      </c>
      <c r="GF39" s="3">
        <f>$H39*factors!FZ$3</f>
        <v>0.69110353440000005</v>
      </c>
      <c r="GG39" s="3">
        <f>$H39*factors!GA$3</f>
        <v>0.66393313334999993</v>
      </c>
      <c r="GH39" s="3">
        <f>$H39*factors!GB$3</f>
        <v>0.70643042730000005</v>
      </c>
      <c r="GI39" s="3">
        <f>$H39*factors!GC$3</f>
        <v>0.66253977944999998</v>
      </c>
      <c r="GJ39" s="3">
        <f>$H39*factors!GD$3</f>
        <v>0.66393313334999993</v>
      </c>
      <c r="GK39" s="3">
        <f>$H39*factors!GE$3</f>
        <v>0.68065338014999999</v>
      </c>
      <c r="GL39" s="3">
        <f>$H39*factors!GF$3</f>
        <v>0.72106064324999997</v>
      </c>
      <c r="GM39" s="3">
        <f>$H39*factors!GG$3</f>
        <v>0.68344008795</v>
      </c>
      <c r="GN39" s="3">
        <f>$H39*factors!GH$3</f>
        <v>0.7050370734000001</v>
      </c>
      <c r="GO39" s="3">
        <f>$H39*factors!GI$3</f>
        <v>0.66602316419999996</v>
      </c>
      <c r="GP39" s="3">
        <f>$H39*factors!GJ$3</f>
        <v>0.71409387375</v>
      </c>
      <c r="GQ39" s="3">
        <f>$H39*factors!GK$3</f>
        <v>0.72872408970000002</v>
      </c>
      <c r="GR39" s="3">
        <f>$H39*factors!GL$3</f>
        <v>0.71479055069999997</v>
      </c>
      <c r="GS39" s="3">
        <f>$H39*factors!GM$3</f>
        <v>0.67597171104599996</v>
      </c>
      <c r="GT39" s="3">
        <f>$H39*factors!GN$3</f>
        <v>0.69154383423240007</v>
      </c>
      <c r="GU39" s="3">
        <f>$H39*factors!GO$3</f>
        <v>0.7078237812</v>
      </c>
      <c r="GV39" s="3">
        <f>$H39*factors!GP$3</f>
        <v>0.67951082995200007</v>
      </c>
      <c r="GW39" s="3">
        <f>$H39*factors!GQ$3</f>
        <v>0.70357683851280006</v>
      </c>
      <c r="GX39" s="3">
        <f>$H39*factors!GR$3</f>
        <v>0.6922516580136</v>
      </c>
      <c r="GY39" s="3">
        <f>$H39*factors!GS$3</f>
        <v>0.68871253910760011</v>
      </c>
      <c r="GZ39" s="3">
        <f>$H39*factors!GT$3</f>
        <v>0.71419419523079997</v>
      </c>
      <c r="HA39" s="3">
        <f>$H39*factors!GU$3</f>
        <v>0.69083601045120002</v>
      </c>
      <c r="HB39" s="3">
        <f>$H39*factors!GV$3</f>
        <v>0.71419419523079997</v>
      </c>
      <c r="HC39" s="3">
        <f>$H39*factors!GW$3</f>
        <v>0.69649860070079994</v>
      </c>
      <c r="HD39" s="3">
        <f>$H39*factors!GX$3</f>
        <v>0.71702549035559993</v>
      </c>
      <c r="HE39" s="3">
        <f>$H39*factors!GY$3</f>
        <v>0.7078237812</v>
      </c>
      <c r="HF39" s="3">
        <f>$H39*factors!GZ$3</f>
        <v>0.72976631841719997</v>
      </c>
      <c r="HG39" s="3">
        <f>$H39*factors!HA$3</f>
        <v>0.70145336716920004</v>
      </c>
      <c r="HH39" s="3">
        <f>$H39*factors!HB$3</f>
        <v>0.6922516580136</v>
      </c>
      <c r="HI39" s="3">
        <f>$H39*factors!HC$3</f>
        <v>0.68375777263920001</v>
      </c>
      <c r="HJ39" s="3">
        <f>$H39*factors!HD$3</f>
        <v>0.67597171104599996</v>
      </c>
      <c r="HK39" s="3">
        <f>$H39*factors!HE$3</f>
        <v>0.71490201901200001</v>
      </c>
      <c r="HL39" s="3">
        <f>$H39*factors!HF$3</f>
        <v>0.67384823970239993</v>
      </c>
      <c r="HM39" s="3">
        <f>$H39*factors!HG$3</f>
        <v>0.68092647751440005</v>
      </c>
      <c r="HN39" s="3">
        <f>$H39*factors!HH$3</f>
        <v>0.72622719951120007</v>
      </c>
      <c r="HO39" s="3">
        <f>$H39*factors!HI$3</f>
        <v>0.69649860070079994</v>
      </c>
      <c r="HP39" s="3">
        <f>$H39*factors!HJ$3</f>
        <v>0.74321497026000005</v>
      </c>
      <c r="HQ39" s="3">
        <f>$H39*factors!HK$3</f>
        <v>0.67951082995200007</v>
      </c>
      <c r="HR39" s="3">
        <f>$H39*factors!HL$3</f>
        <v>0.72056460926160004</v>
      </c>
      <c r="HS39" s="3">
        <f>$H39*factors!HM$3</f>
        <v>0.73330543732319997</v>
      </c>
      <c r="HT39" s="3">
        <f>$H39*factors!HN$3</f>
        <v>0.68375777263920001</v>
      </c>
      <c r="HU39" s="3">
        <f>$H39*factors!HO$3</f>
        <v>0.69083601045120002</v>
      </c>
      <c r="HV39" s="3">
        <f>$H39*factors!HP$3</f>
        <v>0.69932989582560012</v>
      </c>
      <c r="HW39" s="3">
        <f>$H39*factors!HQ$3</f>
        <v>0.70923942876239998</v>
      </c>
      <c r="HX39" s="3">
        <f>$H39*factors!HR$3</f>
        <v>0.73826020379159996</v>
      </c>
      <c r="HY39" s="3">
        <f>$H39*factors!HS$3</f>
        <v>0.70145336716920004</v>
      </c>
      <c r="HZ39" s="3">
        <f>$H39*factors!HT$3</f>
        <v>0.72835067085479999</v>
      </c>
      <c r="IA39" s="3">
        <f>$H39*factors!HU$3</f>
        <v>0.69295948179480005</v>
      </c>
      <c r="IB39" s="3">
        <f>$H39*factors!HV$3</f>
        <v>0.71702549035559993</v>
      </c>
      <c r="IC39" s="3">
        <f>$H39*factors!HW$3</f>
        <v>0.72410372816760005</v>
      </c>
      <c r="ID39" s="3">
        <f>$H39*factors!HX$3</f>
        <v>0.67243259213999995</v>
      </c>
      <c r="IE39" s="3">
        <f>$H39*factors!HY$3</f>
        <v>0.71419419523079997</v>
      </c>
      <c r="IF39" s="3">
        <f>$H39*factors!HZ$3</f>
        <v>0.70994725254359992</v>
      </c>
      <c r="IG39" s="3">
        <f>$H39*factors!IA$3</f>
        <v>0.70357683851280006</v>
      </c>
      <c r="IH39" s="3">
        <f>$H39*factors!IB$3</f>
        <v>0.72976631841719997</v>
      </c>
      <c r="II39" s="3">
        <f>$H39*factors!IC$3</f>
        <v>0.69862207204439997</v>
      </c>
      <c r="IJ39" s="3">
        <f>$H39*factors!ID$3</f>
        <v>0.70499248607520004</v>
      </c>
      <c r="IK39" s="3">
        <f>$H39*factors!IE$3</f>
        <v>0.73047414219840001</v>
      </c>
      <c r="IL39" s="3">
        <f>$H39*factors!IF$3</f>
        <v>0.69932989582560012</v>
      </c>
      <c r="IM39" s="3">
        <f>$H39*factors!IG$3</f>
        <v>0.69295948179480005</v>
      </c>
      <c r="IN39" s="3">
        <f>$H39*factors!IH$3</f>
        <v>0.69720642448199999</v>
      </c>
      <c r="IO39" s="3">
        <f>$H39*factors!II$3</f>
        <v>0.704284662294</v>
      </c>
      <c r="IP39" s="3">
        <f>$H39*factors!IJ$3</f>
        <v>0.68092647751440005</v>
      </c>
      <c r="IQ39" s="3">
        <f>$H39*factors!IK$3</f>
        <v>0.67880300617080003</v>
      </c>
      <c r="IR39" s="3">
        <f>$H39*factors!IL$3</f>
        <v>0.69862207204439997</v>
      </c>
      <c r="IS39" s="3">
        <f>$H39*factors!IM$3</f>
        <v>0.704284662294</v>
      </c>
      <c r="IT39" s="3">
        <f>$H39*factors!IN$3</f>
        <v>0.70923942876239998</v>
      </c>
      <c r="IU39" s="3">
        <f>$H39*factors!IO$3</f>
        <v>0.72481155194880009</v>
      </c>
      <c r="IV39" s="3">
        <f>$H39*factors!IP$3</f>
        <v>0.73401326110439991</v>
      </c>
      <c r="IW39" s="3">
        <f>$H39*factors!IQ$3</f>
        <v>0.69366730557599998</v>
      </c>
      <c r="IX39" s="3">
        <f>$H39*factors!IR$3</f>
        <v>0.72481155194880009</v>
      </c>
      <c r="IY39" s="3">
        <f>$H39*factors!IS$3</f>
        <v>0.71419419523079997</v>
      </c>
      <c r="IZ39" s="3">
        <f>$H39*factors!IT$3</f>
        <v>0.72622719951120007</v>
      </c>
      <c r="JA39" s="3">
        <f>$H39*factors!IU$3</f>
        <v>0.68588124398279993</v>
      </c>
      <c r="JB39" s="3">
        <f>$H39*factors!IV$3</f>
        <v>0.69862207204439997</v>
      </c>
      <c r="JC39" s="3">
        <f>$H39*factors!IW$3</f>
        <v>0.68234212507680003</v>
      </c>
      <c r="JD39" s="3">
        <f>$H39*factors!IX$3</f>
        <v>0.74321497026000005</v>
      </c>
      <c r="JE39" s="3">
        <f>$H39*factors!IY$3</f>
        <v>0.68446559642039995</v>
      </c>
      <c r="JF39" s="3">
        <f>$H39*factors!IZ$3</f>
        <v>0.71844113791799991</v>
      </c>
      <c r="JG39" s="3">
        <f>$H39*factors!JA$3</f>
        <v>0.70570030985639998</v>
      </c>
      <c r="JH39" s="3">
        <f>$H39*factors!JB$3</f>
        <v>0.71914896169920006</v>
      </c>
      <c r="JI39" s="3">
        <f>$H39*factors!JC$3</f>
        <v>0.6731404159212</v>
      </c>
      <c r="JJ39" s="3">
        <f>$H39*factors!JD$3</f>
        <v>0.72481155194880009</v>
      </c>
      <c r="JK39" s="3">
        <f>$H39*factors!JE$3</f>
        <v>0.70145336716920004</v>
      </c>
      <c r="JL39" s="3">
        <f>$H39*factors!JF$3</f>
        <v>0.72976631841719997</v>
      </c>
      <c r="JM39" s="3">
        <f>$H39*factors!JG$3</f>
        <v>0.68092647751440005</v>
      </c>
      <c r="JN39" s="3">
        <f>$H39*factors!JH$3</f>
        <v>0.68092647751440005</v>
      </c>
      <c r="JO39" s="3">
        <f>$H39*factors!JI$3</f>
        <v>0.67243259213999995</v>
      </c>
      <c r="JP39" s="3">
        <f>$H39*factors!JJ$3</f>
        <v>0.72693502329240001</v>
      </c>
      <c r="JQ39" s="3">
        <f>$H39*factors!JK$3</f>
        <v>0.70853160498119994</v>
      </c>
      <c r="JR39" s="3">
        <f>$H39*factors!JL$3</f>
        <v>0.73613673244800004</v>
      </c>
      <c r="JS39" s="3">
        <f>$H39*factors!JM$3</f>
        <v>0.67243259213999995</v>
      </c>
      <c r="JT39" s="3">
        <f>$H39*factors!JN$3</f>
        <v>0.70640813363760002</v>
      </c>
      <c r="JU39" s="3">
        <f>$H39*factors!JO$3</f>
        <v>0.68304994885799997</v>
      </c>
      <c r="JV39" s="3">
        <f>$H39*factors!JP$3</f>
        <v>0.69437512935720003</v>
      </c>
      <c r="JW39" s="3">
        <f>$H39*factors!JQ$3</f>
        <v>0.74179932269760007</v>
      </c>
      <c r="JX39" s="3">
        <f>$H39*factors!JR$3</f>
        <v>0.73472108488560006</v>
      </c>
      <c r="JY39" s="3">
        <f>$H39*factors!JS$3</f>
        <v>0.69154383423240007</v>
      </c>
      <c r="JZ39" s="3">
        <f>$H39*factors!JT$3</f>
        <v>0.69932989582560012</v>
      </c>
      <c r="KA39" s="3">
        <f>$H39*factors!JU$3</f>
        <v>0.70216119095040008</v>
      </c>
      <c r="KB39" s="3">
        <f>$H39*factors!JV$3</f>
        <v>0.67880300617080003</v>
      </c>
      <c r="KC39" s="3">
        <f>$H39*factors!JW$3</f>
        <v>0.68234212507680003</v>
      </c>
      <c r="KD39" s="3">
        <f>$H39*factors!JX$3</f>
        <v>0.68304994885799997</v>
      </c>
      <c r="KE39" s="3">
        <f>$H39*factors!JY$3</f>
        <v>0.72693502329240001</v>
      </c>
      <c r="KF39" s="3">
        <f>$H39*factors!JZ$3</f>
        <v>0.7354289086668</v>
      </c>
      <c r="KG39" s="3">
        <f>$H39*factors!KA$3</f>
        <v>0.70923942876239998</v>
      </c>
      <c r="KH39" s="3">
        <f>$H39*factors!KB$3</f>
        <v>0.69366730557599998</v>
      </c>
      <c r="KI39" s="3">
        <f>$H39*factors!KC$3</f>
        <v>0.68729689154519991</v>
      </c>
    </row>
    <row r="40" spans="1:295" x14ac:dyDescent="0.55000000000000004">
      <c r="A40" t="s">
        <v>416</v>
      </c>
      <c r="B40">
        <v>39</v>
      </c>
      <c r="C40">
        <v>230</v>
      </c>
      <c r="D40" t="s">
        <v>377</v>
      </c>
      <c r="E40">
        <v>1.5035E-2</v>
      </c>
      <c r="F40">
        <v>39</v>
      </c>
      <c r="G40">
        <f>VLOOKUP(D40,demand_forecasted!$A$2:$G$11,2)</f>
        <v>11098</v>
      </c>
      <c r="H40" s="3">
        <f t="shared" si="1"/>
        <v>1.6685843</v>
      </c>
      <c r="I40" s="3">
        <f>$H40*factors!C$3</f>
        <v>1.8471228201000001</v>
      </c>
      <c r="J40" s="3">
        <f>$H40*factors!D$3</f>
        <v>1.780446191472</v>
      </c>
      <c r="K40" s="3">
        <f>$H40*factors!E$3</f>
        <v>1.7498109837240001</v>
      </c>
      <c r="L40" s="3">
        <f>$H40*factors!F$3</f>
        <v>1.7444047705920003</v>
      </c>
      <c r="M40" s="3">
        <f>$H40*factors!G$3</f>
        <v>1.742602699548</v>
      </c>
      <c r="N40" s="3">
        <f>$H40*factors!H$3</f>
        <v>1.79306068878</v>
      </c>
      <c r="O40" s="3">
        <f>$H40*factors!I$3</f>
        <v>1.8327062517479999</v>
      </c>
      <c r="P40" s="3">
        <f>$H40*factors!J$3</f>
        <v>1.8543311042760002</v>
      </c>
      <c r="Q40" s="3">
        <f>$H40*factors!K$3</f>
        <v>1.7408006285040001</v>
      </c>
      <c r="R40" s="3">
        <f>$H40*factors!L$3</f>
        <v>1.7119674918000001</v>
      </c>
      <c r="S40" s="3">
        <f>$H40*factors!M$3</f>
        <v>1.7822482625159999</v>
      </c>
      <c r="T40" s="3">
        <f>$H40*factors!N$3</f>
        <v>1.8435186780120001</v>
      </c>
      <c r="U40" s="3">
        <f>$H40*factors!O$3</f>
        <v>1.7462068416360002</v>
      </c>
      <c r="V40" s="3">
        <f>$H40*factors!P$3</f>
        <v>1.8164876123520002</v>
      </c>
      <c r="W40" s="3">
        <f>$H40*factors!Q$3</f>
        <v>1.8327062517479999</v>
      </c>
      <c r="X40" s="3">
        <f>$H40*factors!R$3</f>
        <v>1.7534151258120001</v>
      </c>
      <c r="Y40" s="3">
        <f>$H40*factors!S$3</f>
        <v>1.7371964864160001</v>
      </c>
      <c r="Z40" s="3">
        <f>$H40*factors!T$3</f>
        <v>1.8741538857600004</v>
      </c>
      <c r="AA40" s="3">
        <f>$H40*factors!U$3</f>
        <v>1.7696337652079999</v>
      </c>
      <c r="AB40" s="3">
        <f>$H40*factors!V$3</f>
        <v>1.7714358362520002</v>
      </c>
      <c r="AC40" s="3">
        <f>$H40*factors!W$3</f>
        <v>1.7732379072960003</v>
      </c>
      <c r="AD40" s="3">
        <f>$H40*factors!X$3</f>
        <v>1.7353944153720002</v>
      </c>
      <c r="AE40" s="3">
        <f>$H40*factors!Y$3</f>
        <v>1.7498109837240001</v>
      </c>
      <c r="AF40" s="3">
        <f>$H40*factors!Z$3</f>
        <v>1.7858524046040003</v>
      </c>
      <c r="AG40" s="3">
        <f>$H40*factors!AA$3</f>
        <v>1.7408006285040001</v>
      </c>
      <c r="AH40" s="3">
        <f>$H40*factors!AB$3</f>
        <v>1.7335923443280001</v>
      </c>
      <c r="AI40" s="3">
        <f>$H40*factors!AC$3</f>
        <v>1.789456546692</v>
      </c>
      <c r="AJ40" s="3">
        <f>$H40*factors!AD$3</f>
        <v>1.857935246364</v>
      </c>
      <c r="AK40" s="3">
        <f>$H40*factors!AE$3</f>
        <v>1.7876544756480002</v>
      </c>
      <c r="AL40" s="3">
        <f>$H40*factors!AF$3</f>
        <v>1.7173737049319999</v>
      </c>
      <c r="AM40" s="3">
        <f>$H40*factors!AG$3</f>
        <v>1.7660296231200001</v>
      </c>
      <c r="AN40" s="3">
        <f>$H40*factors!AH$3</f>
        <v>1.7371964864160001</v>
      </c>
      <c r="AO40" s="3">
        <f>$H40*factors!AI$3</f>
        <v>1.8200917544399999</v>
      </c>
      <c r="AP40" s="3">
        <f>$H40*factors!AJ$3</f>
        <v>1.7444047705920003</v>
      </c>
      <c r="AQ40" s="3">
        <f>$H40*factors!AK$3</f>
        <v>1.8002689729560002</v>
      </c>
      <c r="AR40" s="3">
        <f>$H40*factors!AL$3</f>
        <v>1.7606234099880003</v>
      </c>
      <c r="AS40" s="3">
        <f>$H40*factors!AM$3</f>
        <v>1.7173737049319999</v>
      </c>
      <c r="AT40" s="3">
        <f>$H40*factors!AN$3</f>
        <v>1.7714358362520002</v>
      </c>
      <c r="AU40" s="3">
        <f>$H40*factors!AO$3</f>
        <v>1.8759559568039998</v>
      </c>
      <c r="AV40" s="3">
        <f>$H40*factors!AP$3</f>
        <v>1.7732379072960003</v>
      </c>
      <c r="AW40" s="3">
        <f>$H40*factors!AQ$3</f>
        <v>1.755217196856</v>
      </c>
      <c r="AX40" s="3">
        <f>$H40*factors!AR$3</f>
        <v>1.8561331753200001</v>
      </c>
      <c r="AY40" s="3">
        <f>$H40*factors!AS$3</f>
        <v>1.7119674918000001</v>
      </c>
      <c r="AZ40" s="3">
        <f>$H40*factors!AT$3</f>
        <v>1.8345083227920003</v>
      </c>
      <c r="BA40" s="3">
        <f>$H40*factors!AU$3</f>
        <v>1.7948627598239999</v>
      </c>
      <c r="BB40" s="3">
        <f>$H40*factors!AV$3</f>
        <v>1.7714358362520002</v>
      </c>
      <c r="BC40" s="3">
        <f>$H40*factors!AW$3</f>
        <v>1.8741538857600004</v>
      </c>
      <c r="BD40" s="3">
        <f>$H40*factors!AX$3</f>
        <v>1.7299882022399999</v>
      </c>
      <c r="BE40" s="3">
        <f>$H40*factors!AY$3</f>
        <v>2.033904146642</v>
      </c>
      <c r="BF40" s="3">
        <f>$H40*factors!AZ$3</f>
        <v>1.8941101539879999</v>
      </c>
      <c r="BG40" s="3">
        <f>$H40*factors!BA$3</f>
        <v>1.9216751666239997</v>
      </c>
      <c r="BH40" s="3">
        <f>$H40*factors!BB$3</f>
        <v>1.9472712497859999</v>
      </c>
      <c r="BI40" s="3">
        <f>$H40*factors!BC$3</f>
        <v>2.0181527108499995</v>
      </c>
      <c r="BJ40" s="3">
        <f>$H40*factors!BD$3</f>
        <v>1.9275819550459998</v>
      </c>
      <c r="BK40" s="3">
        <f>$H40*factors!BE$3</f>
        <v>1.9315198139939997</v>
      </c>
      <c r="BL40" s="3">
        <f>$H40*factors!BF$3</f>
        <v>1.9098615897799998</v>
      </c>
      <c r="BM40" s="3">
        <f>$H40*factors!BG$3</f>
        <v>2.0398109350640001</v>
      </c>
      <c r="BN40" s="3">
        <f>$H40*factors!BH$3</f>
        <v>2.014214851902</v>
      </c>
      <c r="BO40" s="3">
        <f>$H40*factors!BI$3</f>
        <v>1.8941101539879999</v>
      </c>
      <c r="BP40" s="3">
        <f>$H40*factors!BJ$3</f>
        <v>1.8882033655659998</v>
      </c>
      <c r="BQ40" s="3">
        <f>$H40*factors!BK$3</f>
        <v>1.9197062371499998</v>
      </c>
      <c r="BR40" s="3">
        <f>$H40*factors!BL$3</f>
        <v>1.9886187687399999</v>
      </c>
      <c r="BS40" s="3">
        <f>$H40*factors!BM$3</f>
        <v>2.0201216403240001</v>
      </c>
      <c r="BT40" s="3">
        <f>$H40*factors!BN$3</f>
        <v>2.0260284287459998</v>
      </c>
      <c r="BU40" s="3">
        <f>$H40*factors!BO$3</f>
        <v>2.0595002298040002</v>
      </c>
      <c r="BV40" s="3">
        <f>$H40*factors!BP$3</f>
        <v>1.9157683782019999</v>
      </c>
      <c r="BW40" s="3">
        <f>$H40*factors!BQ$3</f>
        <v>1.9590848266299998</v>
      </c>
      <c r="BX40" s="3">
        <f>$H40*factors!BR$3</f>
        <v>1.9216751666239997</v>
      </c>
      <c r="BY40" s="3">
        <f>$H40*factors!BS$3</f>
        <v>2.0102769929539996</v>
      </c>
      <c r="BZ40" s="3">
        <f>$H40*factors!BT$3</f>
        <v>1.9728673329479998</v>
      </c>
      <c r="CA40" s="3">
        <f>$H40*factors!BU$3</f>
        <v>1.9472712497859999</v>
      </c>
      <c r="CB40" s="3">
        <f>$H40*factors!BV$3</f>
        <v>1.8842655066179999</v>
      </c>
      <c r="CC40" s="3">
        <f>$H40*factors!BW$3</f>
        <v>1.9393955318899998</v>
      </c>
      <c r="CD40" s="3">
        <f>$H40*factors!BX$3</f>
        <v>1.9453023203119999</v>
      </c>
      <c r="CE40" s="3">
        <f>$H40*factors!BY$3</f>
        <v>1.9728673329479998</v>
      </c>
      <c r="CF40" s="3">
        <f>$H40*factors!BZ$3</f>
        <v>1.9433333908380002</v>
      </c>
      <c r="CG40" s="3">
        <f>$H40*factors!CA$3</f>
        <v>1.8783587181959998</v>
      </c>
      <c r="CH40" s="3">
        <f>$H40*factors!CB$3</f>
        <v>1.8803276476699997</v>
      </c>
      <c r="CI40" s="3">
        <f>$H40*factors!CC$3</f>
        <v>1.8704830002999999</v>
      </c>
      <c r="CJ40" s="3">
        <f>$H40*factors!CD$3</f>
        <v>1.9472712497859999</v>
      </c>
      <c r="CK40" s="3">
        <f>$H40*factors!CE$3</f>
        <v>2.033904146642</v>
      </c>
      <c r="CL40" s="3">
        <f>$H40*factors!CF$3</f>
        <v>1.9059237308319998</v>
      </c>
      <c r="CM40" s="3">
        <f>$H40*factors!CG$3</f>
        <v>1.9512091087339998</v>
      </c>
      <c r="CN40" s="3">
        <f>$H40*factors!CH$3</f>
        <v>1.8862344360919998</v>
      </c>
      <c r="CO40" s="3">
        <f>$H40*factors!CI$3</f>
        <v>1.9000169424099997</v>
      </c>
      <c r="CP40" s="3">
        <f>$H40*factors!CJ$3</f>
        <v>1.9905876982139996</v>
      </c>
      <c r="CQ40" s="3">
        <f>$H40*factors!CK$3</f>
        <v>1.9315198139939997</v>
      </c>
      <c r="CR40" s="3">
        <f>$H40*factors!CL$3</f>
        <v>1.9925566276879998</v>
      </c>
      <c r="CS40" s="3">
        <f>$H40*factors!CM$3</f>
        <v>2.0555623708559998</v>
      </c>
      <c r="CT40" s="3">
        <f>$H40*factors!CN$3</f>
        <v>2.0319352171679999</v>
      </c>
      <c r="CU40" s="3">
        <f>$H40*factors!CO$3</f>
        <v>1.9866498392659997</v>
      </c>
      <c r="CV40" s="3">
        <f>$H40*factors!CP$3</f>
        <v>2.0673759477</v>
      </c>
      <c r="CW40" s="3">
        <f>$H40*factors!CQ$3</f>
        <v>1.9551469676820001</v>
      </c>
      <c r="CX40" s="3">
        <f>$H40*factors!CR$3</f>
        <v>1.9256130255719999</v>
      </c>
      <c r="CY40" s="3">
        <f>$H40*factors!CS$3</f>
        <v>1.9078926603059998</v>
      </c>
      <c r="CZ40" s="3">
        <f>$H40*factors!CT$3</f>
        <v>1.8803276476699997</v>
      </c>
      <c r="DA40" s="3">
        <f>$H40*factors!CU$3</f>
        <v>1.952243631</v>
      </c>
      <c r="DB40" s="3">
        <f>$H40*factors!CV$3</f>
        <v>2.0783886040800001</v>
      </c>
      <c r="DC40" s="3">
        <f>$H40*factors!CW$3</f>
        <v>1.9902873530399998</v>
      </c>
      <c r="DD40" s="3">
        <f>$H40*factors!CX$3</f>
        <v>1.9762712449199999</v>
      </c>
      <c r="DE40" s="3">
        <f>$H40*factors!CY$3</f>
        <v>2.03433797856</v>
      </c>
      <c r="DF40" s="3">
        <f>$H40*factors!CZ$3</f>
        <v>2.0303333762399998</v>
      </c>
      <c r="DG40" s="3">
        <f>$H40*factors!DA$3</f>
        <v>2.0223241715999998</v>
      </c>
      <c r="DH40" s="3">
        <f>$H40*factors!DB$3</f>
        <v>2.0223241715999998</v>
      </c>
      <c r="DI40" s="3">
        <f>$H40*factors!DC$3</f>
        <v>1.9462367275199999</v>
      </c>
      <c r="DJ40" s="3">
        <f>$H40*factors!DD$3</f>
        <v>2.0623701948000002</v>
      </c>
      <c r="DK40" s="3">
        <f>$H40*factors!DE$3</f>
        <v>2.0623701948000002</v>
      </c>
      <c r="DL40" s="3">
        <f>$H40*factors!DF$3</f>
        <v>2.0383425808800002</v>
      </c>
      <c r="DM40" s="3">
        <f>$H40*factors!DG$3</f>
        <v>1.9202068124399998</v>
      </c>
      <c r="DN40" s="3">
        <f>$H40*factors!DH$3</f>
        <v>2.0143149669600002</v>
      </c>
      <c r="DO40" s="3">
        <f>$H40*factors!DI$3</f>
        <v>2.0803909052399998</v>
      </c>
      <c r="DP40" s="3">
        <f>$H40*factors!DJ$3</f>
        <v>2.0623701948000002</v>
      </c>
      <c r="DQ40" s="3">
        <f>$H40*factors!DK$3</f>
        <v>1.9662597391199998</v>
      </c>
      <c r="DR40" s="3">
        <f>$H40*factors!DL$3</f>
        <v>1.94423442636</v>
      </c>
      <c r="DS40" s="3">
        <f>$H40*factors!DM$3</f>
        <v>2.10041391684</v>
      </c>
      <c r="DT40" s="3">
        <f>$H40*factors!DN$3</f>
        <v>1.9742689437600001</v>
      </c>
      <c r="DU40" s="3">
        <f>$H40*factors!DO$3</f>
        <v>2.0663747971199999</v>
      </c>
      <c r="DV40" s="3">
        <f>$H40*factors!DP$3</f>
        <v>2.01831956928</v>
      </c>
      <c r="DW40" s="3">
        <f>$H40*factors!DQ$3</f>
        <v>1.9262137159199999</v>
      </c>
      <c r="DX40" s="3">
        <f>$H40*factors!DR$3</f>
        <v>2.0403448820399999</v>
      </c>
      <c r="DY40" s="3">
        <f>$H40*factors!DS$3</f>
        <v>1.9362252217199998</v>
      </c>
      <c r="DZ40" s="3">
        <f>$H40*factors!DT$3</f>
        <v>2.0703793994399997</v>
      </c>
      <c r="EA40" s="3">
        <f>$H40*factors!DU$3</f>
        <v>1.9502413298399996</v>
      </c>
      <c r="EB40" s="3">
        <f>$H40*factors!DV$3</f>
        <v>1.9021861019999999</v>
      </c>
      <c r="EC40" s="3">
        <f>$H40*factors!DW$3</f>
        <v>2.0463517855199997</v>
      </c>
      <c r="ED40" s="3">
        <f>$H40*factors!DX$3</f>
        <v>1.9202068124399998</v>
      </c>
      <c r="EE40" s="3">
        <f>$H40*factors!DY$3</f>
        <v>1.9362252217199998</v>
      </c>
      <c r="EF40" s="3">
        <f>$H40*factors!DZ$3</f>
        <v>2.10041391684</v>
      </c>
      <c r="EG40" s="3">
        <f>$H40*factors!EA$3</f>
        <v>1.9622551367999999</v>
      </c>
      <c r="EH40" s="3">
        <f>$H40*factors!EB$3</f>
        <v>1.96826204028</v>
      </c>
      <c r="EI40" s="3">
        <f>$H40*factors!EC$3</f>
        <v>1.96425743796</v>
      </c>
      <c r="EJ40" s="3">
        <f>$H40*factors!ED$3</f>
        <v>1.9141999089599999</v>
      </c>
      <c r="EK40" s="3">
        <f>$H40*factors!EE$3</f>
        <v>2.0463517855199997</v>
      </c>
      <c r="EL40" s="3">
        <f>$H40*factors!EF$3</f>
        <v>1.9462367275199999</v>
      </c>
      <c r="EM40" s="3">
        <f>$H40*factors!EG$3</f>
        <v>2.0243264727599999</v>
      </c>
      <c r="EN40" s="3">
        <f>$H40*factors!EH$3</f>
        <v>1.9021861019999999</v>
      </c>
      <c r="EO40" s="3">
        <f>$H40*factors!EI$3</f>
        <v>1.9302183182399997</v>
      </c>
      <c r="EP40" s="3">
        <f>$H40*factors!EJ$3</f>
        <v>2.0363402797200001</v>
      </c>
      <c r="EQ40" s="3">
        <f>$H40*factors!EK$3</f>
        <v>1.9802758472399997</v>
      </c>
      <c r="ER40" s="3">
        <f>$H40*factors!EL$3</f>
        <v>2.0623701948000002</v>
      </c>
      <c r="ES40" s="3">
        <f>$H40*factors!EM$3</f>
        <v>2.0363402797200001</v>
      </c>
      <c r="ET40" s="3">
        <f>$H40*factors!EN$3</f>
        <v>2.0823932063999999</v>
      </c>
      <c r="EU40" s="3">
        <f>$H40*factors!EO$3</f>
        <v>2.1024162180000001</v>
      </c>
      <c r="EV40" s="3">
        <f>$H40*factors!EP$3</f>
        <v>1.9702643414399998</v>
      </c>
      <c r="EW40" s="3">
        <f>$H40*factors!EQ$3</f>
        <v>2.1670738596249999</v>
      </c>
      <c r="EX40" s="3">
        <f>$H40*factors!ER$3</f>
        <v>2.1441308255000004</v>
      </c>
      <c r="EY40" s="3">
        <f>$H40*factors!ES$3</f>
        <v>2.1879311633749996</v>
      </c>
      <c r="EZ40" s="3">
        <f>$H40*factors!ET$3</f>
        <v>2.1670738596249999</v>
      </c>
      <c r="FA40" s="3">
        <f>$H40*factors!EU$3</f>
        <v>1.9918725081249997</v>
      </c>
      <c r="FB40" s="3">
        <f>$H40*factors!EV$3</f>
        <v>2.0815589142499999</v>
      </c>
      <c r="FC40" s="3">
        <f>$H40*factors!EW$3</f>
        <v>2.1399593647500001</v>
      </c>
      <c r="FD40" s="3">
        <f>$H40*factors!EX$3</f>
        <v>2.0648730712500001</v>
      </c>
      <c r="FE40" s="3">
        <f>$H40*factors!EY$3</f>
        <v>2.175416781125</v>
      </c>
      <c r="FF40" s="3">
        <f>$H40*factors!EZ$3</f>
        <v>2.1775025115000002</v>
      </c>
      <c r="FG40" s="3">
        <f>$H40*factors!FA$3</f>
        <v>1.9918725081249997</v>
      </c>
      <c r="FH40" s="3">
        <f>$H40*factors!FB$3</f>
        <v>2.0961590268749997</v>
      </c>
      <c r="FI40" s="3">
        <f>$H40*factors!FC$3</f>
        <v>2.1837597026249997</v>
      </c>
      <c r="FJ40" s="3">
        <f>$H40*factors!FD$3</f>
        <v>2.0961590268749997</v>
      </c>
      <c r="FK40" s="3">
        <f>$H40*factors!FE$3</f>
        <v>2.13161644325</v>
      </c>
      <c r="FL40" s="3">
        <f>$H40*factors!FF$3</f>
        <v>2.137873634375</v>
      </c>
      <c r="FM40" s="3">
        <f>$H40*factors!FG$3</f>
        <v>2.1608166684999999</v>
      </c>
      <c r="FN40" s="3">
        <f>$H40*factors!FH$3</f>
        <v>2.021072733375</v>
      </c>
      <c r="FO40" s="3">
        <f>$H40*factors!FI$3</f>
        <v>2.1462165558749997</v>
      </c>
      <c r="FP40" s="3">
        <f>$H40*factors!FJ$3</f>
        <v>2.0857303749999998</v>
      </c>
      <c r="FQ40" s="3">
        <f>$H40*factors!FK$3</f>
        <v>2.0648730712500001</v>
      </c>
      <c r="FR40" s="3">
        <f>$H40*factors!FL$3</f>
        <v>2.10658767875</v>
      </c>
      <c r="FS40" s="3">
        <f>$H40*factors!FM$3</f>
        <v>2.0940732965</v>
      </c>
      <c r="FT40" s="3">
        <f>$H40*factors!FN$3</f>
        <v>2.1399593647500001</v>
      </c>
      <c r="FU40" s="3">
        <f>$H40*factors!FO$3</f>
        <v>2.0565301497499999</v>
      </c>
      <c r="FV40" s="3">
        <f>$H40*factors!FP$3</f>
        <v>2.0398443067500001</v>
      </c>
      <c r="FW40" s="3">
        <f>$H40*factors!FQ$3</f>
        <v>2.1837597026249997</v>
      </c>
      <c r="FX40" s="3">
        <f>$H40*factors!FR$3</f>
        <v>2.1441308255000004</v>
      </c>
      <c r="FY40" s="3">
        <f>$H40*factors!FS$3</f>
        <v>2.1003304876249995</v>
      </c>
      <c r="FZ40" s="3">
        <f>$H40*factors!FT$3</f>
        <v>1.996043968875</v>
      </c>
      <c r="GA40" s="3">
        <f>$H40*factors!FU$3</f>
        <v>2.1003304876249995</v>
      </c>
      <c r="GB40" s="3">
        <f>$H40*factors!FV$3</f>
        <v>2.1775025115000002</v>
      </c>
      <c r="GC40" s="3">
        <f>$H40*factors!FW$3</f>
        <v>2.0398443067500001</v>
      </c>
      <c r="GD40" s="3">
        <f>$H40*factors!FX$3</f>
        <v>2.0753017231249999</v>
      </c>
      <c r="GE40" s="3">
        <f>$H40*factors!FY$3</f>
        <v>2.0753017231249999</v>
      </c>
      <c r="GF40" s="3">
        <f>$H40*factors!FZ$3</f>
        <v>2.0690445319999999</v>
      </c>
      <c r="GG40" s="3">
        <f>$H40*factors!GA$3</f>
        <v>1.9877010473749999</v>
      </c>
      <c r="GH40" s="3">
        <f>$H40*factors!GB$3</f>
        <v>2.1149306002500001</v>
      </c>
      <c r="GI40" s="3">
        <f>$H40*factors!GC$3</f>
        <v>1.983529586625</v>
      </c>
      <c r="GJ40" s="3">
        <f>$H40*factors!GD$3</f>
        <v>1.9877010473749999</v>
      </c>
      <c r="GK40" s="3">
        <f>$H40*factors!GE$3</f>
        <v>2.0377585763749999</v>
      </c>
      <c r="GL40" s="3">
        <f>$H40*factors!GF$3</f>
        <v>2.1587309381250002</v>
      </c>
      <c r="GM40" s="3">
        <f>$H40*factors!GG$3</f>
        <v>2.0461014978750001</v>
      </c>
      <c r="GN40" s="3">
        <f>$H40*factors!GH$3</f>
        <v>2.1107591395000003</v>
      </c>
      <c r="GO40" s="3">
        <f>$H40*factors!GI$3</f>
        <v>1.9939582384999996</v>
      </c>
      <c r="GP40" s="3">
        <f>$H40*factors!GJ$3</f>
        <v>2.137873634375</v>
      </c>
      <c r="GQ40" s="3">
        <f>$H40*factors!GK$3</f>
        <v>2.18167397225</v>
      </c>
      <c r="GR40" s="3">
        <f>$H40*factors!GL$3</f>
        <v>2.1399593647500001</v>
      </c>
      <c r="GS40" s="3">
        <f>$H40*factors!GM$3</f>
        <v>2.023742468255</v>
      </c>
      <c r="GT40" s="3">
        <f>$H40*factors!GN$3</f>
        <v>2.070362713597</v>
      </c>
      <c r="GU40" s="3">
        <f>$H40*factors!GO$3</f>
        <v>2.119102061</v>
      </c>
      <c r="GV40" s="3">
        <f>$H40*factors!GP$3</f>
        <v>2.03433797856</v>
      </c>
      <c r="GW40" s="3">
        <f>$H40*factors!GQ$3</f>
        <v>2.106387448634</v>
      </c>
      <c r="GX40" s="3">
        <f>$H40*factors!GR$3</f>
        <v>2.072481815658</v>
      </c>
      <c r="GY40" s="3">
        <f>$H40*factors!GS$3</f>
        <v>2.0618863053530001</v>
      </c>
      <c r="GZ40" s="3">
        <f>$H40*factors!GT$3</f>
        <v>2.1381739795489998</v>
      </c>
      <c r="HA40" s="3">
        <f>$H40*factors!GU$3</f>
        <v>2.0682436115359999</v>
      </c>
      <c r="HB40" s="3">
        <f>$H40*factors!GV$3</f>
        <v>2.1381739795489998</v>
      </c>
      <c r="HC40" s="3">
        <f>$H40*factors!GW$3</f>
        <v>2.0851964280240001</v>
      </c>
      <c r="HD40" s="3">
        <f>$H40*factors!GX$3</f>
        <v>2.1466503877929997</v>
      </c>
      <c r="HE40" s="3">
        <f>$H40*factors!GY$3</f>
        <v>2.119102061</v>
      </c>
      <c r="HF40" s="3">
        <f>$H40*factors!GZ$3</f>
        <v>2.1847942248909997</v>
      </c>
      <c r="HG40" s="3">
        <f>$H40*factors!HA$3</f>
        <v>2.1000301424510002</v>
      </c>
      <c r="HH40" s="3">
        <f>$H40*factors!HB$3</f>
        <v>2.072481815658</v>
      </c>
      <c r="HI40" s="3">
        <f>$H40*factors!HC$3</f>
        <v>2.047052590926</v>
      </c>
      <c r="HJ40" s="3">
        <f>$H40*factors!HD$3</f>
        <v>2.023742468255</v>
      </c>
      <c r="HK40" s="3">
        <f>$H40*factors!HE$3</f>
        <v>2.1402930816099999</v>
      </c>
      <c r="HL40" s="3">
        <f>$H40*factors!HF$3</f>
        <v>2.0173851620719998</v>
      </c>
      <c r="HM40" s="3">
        <f>$H40*factors!HG$3</f>
        <v>2.0385761826820001</v>
      </c>
      <c r="HN40" s="3">
        <f>$H40*factors!HH$3</f>
        <v>2.1741987145860002</v>
      </c>
      <c r="HO40" s="3">
        <f>$H40*factors!HI$3</f>
        <v>2.0851964280240001</v>
      </c>
      <c r="HP40" s="3">
        <f>$H40*factors!HJ$3</f>
        <v>2.2250571640500003</v>
      </c>
      <c r="HQ40" s="3">
        <f>$H40*factors!HK$3</f>
        <v>2.03433797856</v>
      </c>
      <c r="HR40" s="3">
        <f>$H40*factors!HL$3</f>
        <v>2.157245898098</v>
      </c>
      <c r="HS40" s="3">
        <f>$H40*factors!HM$3</f>
        <v>2.1953897351960001</v>
      </c>
      <c r="HT40" s="3">
        <f>$H40*factors!HN$3</f>
        <v>2.047052590926</v>
      </c>
      <c r="HU40" s="3">
        <f>$H40*factors!HO$3</f>
        <v>2.0682436115359999</v>
      </c>
      <c r="HV40" s="3">
        <f>$H40*factors!HP$3</f>
        <v>2.0936728362680004</v>
      </c>
      <c r="HW40" s="3">
        <f>$H40*factors!HQ$3</f>
        <v>2.1233402651220001</v>
      </c>
      <c r="HX40" s="3">
        <f>$H40*factors!HR$3</f>
        <v>2.2102234496229998</v>
      </c>
      <c r="HY40" s="3">
        <f>$H40*factors!HS$3</f>
        <v>2.1000301424510002</v>
      </c>
      <c r="HZ40" s="3">
        <f>$H40*factors!HT$3</f>
        <v>2.180556020769</v>
      </c>
      <c r="IA40" s="3">
        <f>$H40*factors!HU$3</f>
        <v>2.0746009177190001</v>
      </c>
      <c r="IB40" s="3">
        <f>$H40*factors!HV$3</f>
        <v>2.1466503877929997</v>
      </c>
      <c r="IC40" s="3">
        <f>$H40*factors!HW$3</f>
        <v>2.167841408403</v>
      </c>
      <c r="ID40" s="3">
        <f>$H40*factors!HX$3</f>
        <v>2.0131469579499996</v>
      </c>
      <c r="IE40" s="3">
        <f>$H40*factors!HY$3</f>
        <v>2.1381739795489998</v>
      </c>
      <c r="IF40" s="3">
        <f>$H40*factors!HZ$3</f>
        <v>2.1254593671829998</v>
      </c>
      <c r="IG40" s="3">
        <f>$H40*factors!IA$3</f>
        <v>2.106387448634</v>
      </c>
      <c r="IH40" s="3">
        <f>$H40*factors!IB$3</f>
        <v>2.1847942248909997</v>
      </c>
      <c r="II40" s="3">
        <f>$H40*factors!IC$3</f>
        <v>2.0915537342069999</v>
      </c>
      <c r="IJ40" s="3">
        <f>$H40*factors!ID$3</f>
        <v>2.1106256527560001</v>
      </c>
      <c r="IK40" s="3">
        <f>$H40*factors!IE$3</f>
        <v>2.1869133269520002</v>
      </c>
      <c r="IL40" s="3">
        <f>$H40*factors!IF$3</f>
        <v>2.0936728362680004</v>
      </c>
      <c r="IM40" s="3">
        <f>$H40*factors!IG$3</f>
        <v>2.0746009177190001</v>
      </c>
      <c r="IN40" s="3">
        <f>$H40*factors!IH$3</f>
        <v>2.0873155300850001</v>
      </c>
      <c r="IO40" s="3">
        <f>$H40*factors!II$3</f>
        <v>2.108506550695</v>
      </c>
      <c r="IP40" s="3">
        <f>$H40*factors!IJ$3</f>
        <v>2.0385761826820001</v>
      </c>
      <c r="IQ40" s="3">
        <f>$H40*factors!IK$3</f>
        <v>2.0322188764989999</v>
      </c>
      <c r="IR40" s="3">
        <f>$H40*factors!IL$3</f>
        <v>2.0915537342069999</v>
      </c>
      <c r="IS40" s="3">
        <f>$H40*factors!IM$3</f>
        <v>2.108506550695</v>
      </c>
      <c r="IT40" s="3">
        <f>$H40*factors!IN$3</f>
        <v>2.1233402651220001</v>
      </c>
      <c r="IU40" s="3">
        <f>$H40*factors!IO$3</f>
        <v>2.1699605104640001</v>
      </c>
      <c r="IV40" s="3">
        <f>$H40*factors!IP$3</f>
        <v>2.1975088372569997</v>
      </c>
      <c r="IW40" s="3">
        <f>$H40*factors!IQ$3</f>
        <v>2.0767200197799998</v>
      </c>
      <c r="IX40" s="3">
        <f>$H40*factors!IR$3</f>
        <v>2.1699605104640001</v>
      </c>
      <c r="IY40" s="3">
        <f>$H40*factors!IS$3</f>
        <v>2.1381739795489998</v>
      </c>
      <c r="IZ40" s="3">
        <f>$H40*factors!IT$3</f>
        <v>2.1741987145860002</v>
      </c>
      <c r="JA40" s="3">
        <f>$H40*factors!IU$3</f>
        <v>2.0534098971089998</v>
      </c>
      <c r="JB40" s="3">
        <f>$H40*factors!IV$3</f>
        <v>2.0915537342069999</v>
      </c>
      <c r="JC40" s="3">
        <f>$H40*factors!IW$3</f>
        <v>2.0428143868040003</v>
      </c>
      <c r="JD40" s="3">
        <f>$H40*factors!IX$3</f>
        <v>2.2250571640500003</v>
      </c>
      <c r="JE40" s="3">
        <f>$H40*factors!IY$3</f>
        <v>2.0491716929870001</v>
      </c>
      <c r="JF40" s="3">
        <f>$H40*factors!IZ$3</f>
        <v>2.1508885919149998</v>
      </c>
      <c r="JG40" s="3">
        <f>$H40*factors!JA$3</f>
        <v>2.1127447548169997</v>
      </c>
      <c r="JH40" s="3">
        <f>$H40*factors!JB$3</f>
        <v>2.1530076939760003</v>
      </c>
      <c r="JI40" s="3">
        <f>$H40*factors!JC$3</f>
        <v>2.0152660600110002</v>
      </c>
      <c r="JJ40" s="3">
        <f>$H40*factors!JD$3</f>
        <v>2.1699605104640001</v>
      </c>
      <c r="JK40" s="3">
        <f>$H40*factors!JE$3</f>
        <v>2.1000301424510002</v>
      </c>
      <c r="JL40" s="3">
        <f>$H40*factors!JF$3</f>
        <v>2.1847942248909997</v>
      </c>
      <c r="JM40" s="3">
        <f>$H40*factors!JG$3</f>
        <v>2.0385761826820001</v>
      </c>
      <c r="JN40" s="3">
        <f>$H40*factors!JH$3</f>
        <v>2.0385761826820001</v>
      </c>
      <c r="JO40" s="3">
        <f>$H40*factors!JI$3</f>
        <v>2.0131469579499996</v>
      </c>
      <c r="JP40" s="3">
        <f>$H40*factors!JJ$3</f>
        <v>2.1763178166469999</v>
      </c>
      <c r="JQ40" s="3">
        <f>$H40*factors!JK$3</f>
        <v>2.1212211630610001</v>
      </c>
      <c r="JR40" s="3">
        <f>$H40*factors!JL$3</f>
        <v>2.20386614344</v>
      </c>
      <c r="JS40" s="3">
        <f>$H40*factors!JM$3</f>
        <v>2.0131469579499996</v>
      </c>
      <c r="JT40" s="3">
        <f>$H40*factors!JN$3</f>
        <v>2.1148638568780003</v>
      </c>
      <c r="JU40" s="3">
        <f>$H40*factors!JO$3</f>
        <v>2.0449334888649999</v>
      </c>
      <c r="JV40" s="3">
        <f>$H40*factors!JP$3</f>
        <v>2.0788391218410003</v>
      </c>
      <c r="JW40" s="3">
        <f>$H40*factors!JQ$3</f>
        <v>2.2208189599280002</v>
      </c>
      <c r="JX40" s="3">
        <f>$H40*factors!JR$3</f>
        <v>2.1996279393179998</v>
      </c>
      <c r="JY40" s="3">
        <f>$H40*factors!JS$3</f>
        <v>2.070362713597</v>
      </c>
      <c r="JZ40" s="3">
        <f>$H40*factors!JT$3</f>
        <v>2.0936728362680004</v>
      </c>
      <c r="KA40" s="3">
        <f>$H40*factors!JU$3</f>
        <v>2.1021492445120002</v>
      </c>
      <c r="KB40" s="3">
        <f>$H40*factors!JV$3</f>
        <v>2.0322188764989999</v>
      </c>
      <c r="KC40" s="3">
        <f>$H40*factors!JW$3</f>
        <v>2.0428143868040003</v>
      </c>
      <c r="KD40" s="3">
        <f>$H40*factors!JX$3</f>
        <v>2.0449334888649999</v>
      </c>
      <c r="KE40" s="3">
        <f>$H40*factors!JY$3</f>
        <v>2.1763178166469999</v>
      </c>
      <c r="KF40" s="3">
        <f>$H40*factors!JZ$3</f>
        <v>2.2017470413789999</v>
      </c>
      <c r="KG40" s="3">
        <f>$H40*factors!KA$3</f>
        <v>2.1233402651220001</v>
      </c>
      <c r="KH40" s="3">
        <f>$H40*factors!KB$3</f>
        <v>2.0767200197799998</v>
      </c>
      <c r="KI40" s="3">
        <f>$H40*factors!KC$3</f>
        <v>2.0576481012309999</v>
      </c>
    </row>
    <row r="41" spans="1:295" x14ac:dyDescent="0.55000000000000004">
      <c r="A41" t="s">
        <v>417</v>
      </c>
      <c r="B41">
        <v>40</v>
      </c>
      <c r="C41">
        <v>230</v>
      </c>
      <c r="D41" t="s">
        <v>377</v>
      </c>
      <c r="E41">
        <v>7.1729999999999997E-3</v>
      </c>
      <c r="F41">
        <v>40</v>
      </c>
      <c r="G41">
        <f>VLOOKUP(D41,demand_forecasted!$A$2:$G$11,2)</f>
        <v>11098</v>
      </c>
      <c r="H41" s="3">
        <f t="shared" si="1"/>
        <v>0.79605954000000001</v>
      </c>
      <c r="I41" s="3">
        <f>$H41*factors!C$3</f>
        <v>0.88123791078000002</v>
      </c>
      <c r="J41" s="3">
        <f>$H41*factors!D$3</f>
        <v>0.84942737156159998</v>
      </c>
      <c r="K41" s="3">
        <f>$H41*factors!E$3</f>
        <v>0.83481171840720003</v>
      </c>
      <c r="L41" s="3">
        <f>$H41*factors!F$3</f>
        <v>0.83223248549760009</v>
      </c>
      <c r="M41" s="3">
        <f>$H41*factors!G$3</f>
        <v>0.83137274119439997</v>
      </c>
      <c r="N41" s="3">
        <f>$H41*factors!H$3</f>
        <v>0.85544558168399998</v>
      </c>
      <c r="O41" s="3">
        <f>$H41*factors!I$3</f>
        <v>0.8743599563544</v>
      </c>
      <c r="P41" s="3">
        <f>$H41*factors!J$3</f>
        <v>0.88467688799280009</v>
      </c>
      <c r="Q41" s="3">
        <f>$H41*factors!K$3</f>
        <v>0.83051299689119995</v>
      </c>
      <c r="R41" s="3">
        <f>$H41*factors!L$3</f>
        <v>0.81675708804000002</v>
      </c>
      <c r="S41" s="3">
        <f>$H41*factors!M$3</f>
        <v>0.85028711586479999</v>
      </c>
      <c r="T41" s="3">
        <f>$H41*factors!N$3</f>
        <v>0.8795184221736001</v>
      </c>
      <c r="U41" s="3">
        <f>$H41*factors!O$3</f>
        <v>0.83309222980080011</v>
      </c>
      <c r="V41" s="3">
        <f>$H41*factors!P$3</f>
        <v>0.86662225762560008</v>
      </c>
      <c r="W41" s="3">
        <f>$H41*factors!Q$3</f>
        <v>0.8743599563544</v>
      </c>
      <c r="X41" s="3">
        <f>$H41*factors!R$3</f>
        <v>0.83653120701359995</v>
      </c>
      <c r="Y41" s="3">
        <f>$H41*factors!S$3</f>
        <v>0.82879350828480003</v>
      </c>
      <c r="Z41" s="3">
        <f>$H41*factors!T$3</f>
        <v>0.89413407532800016</v>
      </c>
      <c r="AA41" s="3">
        <f>$H41*factors!U$3</f>
        <v>0.84426890574239999</v>
      </c>
      <c r="AB41" s="3">
        <f>$H41*factors!V$3</f>
        <v>0.84512865004560012</v>
      </c>
      <c r="AC41" s="3">
        <f>$H41*factors!W$3</f>
        <v>0.84598839434880013</v>
      </c>
      <c r="AD41" s="3">
        <f>$H41*factors!X$3</f>
        <v>0.82793376398160012</v>
      </c>
      <c r="AE41" s="3">
        <f>$H41*factors!Y$3</f>
        <v>0.83481171840720003</v>
      </c>
      <c r="AF41" s="3">
        <f>$H41*factors!Z$3</f>
        <v>0.85200660447120014</v>
      </c>
      <c r="AG41" s="3">
        <f>$H41*factors!AA$3</f>
        <v>0.83051299689119995</v>
      </c>
      <c r="AH41" s="3">
        <f>$H41*factors!AB$3</f>
        <v>0.82707401967840011</v>
      </c>
      <c r="AI41" s="3">
        <f>$H41*factors!AC$3</f>
        <v>0.85372609307760006</v>
      </c>
      <c r="AJ41" s="3">
        <f>$H41*factors!AD$3</f>
        <v>0.88639637659920001</v>
      </c>
      <c r="AK41" s="3">
        <f>$H41*factors!AE$3</f>
        <v>0.85286634877440004</v>
      </c>
      <c r="AL41" s="3">
        <f>$H41*factors!AF$3</f>
        <v>0.81933632094959996</v>
      </c>
      <c r="AM41" s="3">
        <f>$H41*factors!AG$3</f>
        <v>0.84254941713600007</v>
      </c>
      <c r="AN41" s="3">
        <f>$H41*factors!AH$3</f>
        <v>0.82879350828480003</v>
      </c>
      <c r="AO41" s="3">
        <f>$H41*factors!AI$3</f>
        <v>0.868341746232</v>
      </c>
      <c r="AP41" s="3">
        <f>$H41*factors!AJ$3</f>
        <v>0.83223248549760009</v>
      </c>
      <c r="AQ41" s="3">
        <f>$H41*factors!AK$3</f>
        <v>0.85888455889680004</v>
      </c>
      <c r="AR41" s="3">
        <f>$H41*factors!AL$3</f>
        <v>0.83997018422640013</v>
      </c>
      <c r="AS41" s="3">
        <f>$H41*factors!AM$3</f>
        <v>0.81933632094959996</v>
      </c>
      <c r="AT41" s="3">
        <f>$H41*factors!AN$3</f>
        <v>0.84512865004560012</v>
      </c>
      <c r="AU41" s="3">
        <f>$H41*factors!AO$3</f>
        <v>0.89499381963119995</v>
      </c>
      <c r="AV41" s="3">
        <f>$H41*factors!AP$3</f>
        <v>0.84598839434880013</v>
      </c>
      <c r="AW41" s="3">
        <f>$H41*factors!AQ$3</f>
        <v>0.83739095131679997</v>
      </c>
      <c r="AX41" s="3">
        <f>$H41*factors!AR$3</f>
        <v>0.8855366322960001</v>
      </c>
      <c r="AY41" s="3">
        <f>$H41*factors!AS$3</f>
        <v>0.81675708804000002</v>
      </c>
      <c r="AZ41" s="3">
        <f>$H41*factors!AT$3</f>
        <v>0.87521970065760013</v>
      </c>
      <c r="BA41" s="3">
        <f>$H41*factors!AU$3</f>
        <v>0.85630532598719999</v>
      </c>
      <c r="BB41" s="3">
        <f>$H41*factors!AV$3</f>
        <v>0.84512865004560012</v>
      </c>
      <c r="BC41" s="3">
        <f>$H41*factors!AW$3</f>
        <v>0.89413407532800016</v>
      </c>
      <c r="BD41" s="3">
        <f>$H41*factors!AX$3</f>
        <v>0.82535453107199996</v>
      </c>
      <c r="BE41" s="3">
        <f>$H41*factors!AY$3</f>
        <v>0.9703488156875999</v>
      </c>
      <c r="BF41" s="3">
        <f>$H41*factors!AZ$3</f>
        <v>0.90365494742639996</v>
      </c>
      <c r="BG41" s="3">
        <f>$H41*factors!BA$3</f>
        <v>0.91680585102719991</v>
      </c>
      <c r="BH41" s="3">
        <f>$H41*factors!BB$3</f>
        <v>0.92901740437079994</v>
      </c>
      <c r="BI41" s="3">
        <f>$H41*factors!BC$3</f>
        <v>0.96283401362999987</v>
      </c>
      <c r="BJ41" s="3">
        <f>$H41*factors!BD$3</f>
        <v>0.91962390179879994</v>
      </c>
      <c r="BK41" s="3">
        <f>$H41*factors!BE$3</f>
        <v>0.92150260231319991</v>
      </c>
      <c r="BL41" s="3">
        <f>$H41*factors!BF$3</f>
        <v>0.91116974948399987</v>
      </c>
      <c r="BM41" s="3">
        <f>$H41*factors!BG$3</f>
        <v>0.97316686645920003</v>
      </c>
      <c r="BN41" s="3">
        <f>$H41*factors!BH$3</f>
        <v>0.9609553131155999</v>
      </c>
      <c r="BO41" s="3">
        <f>$H41*factors!BI$3</f>
        <v>0.90365494742639996</v>
      </c>
      <c r="BP41" s="3">
        <f>$H41*factors!BJ$3</f>
        <v>0.90083689665479993</v>
      </c>
      <c r="BQ41" s="3">
        <f>$H41*factors!BK$3</f>
        <v>0.91586650076999987</v>
      </c>
      <c r="BR41" s="3">
        <f>$H41*factors!BL$3</f>
        <v>0.94874375977199998</v>
      </c>
      <c r="BS41" s="3">
        <f>$H41*factors!BM$3</f>
        <v>0.96377336388720003</v>
      </c>
      <c r="BT41" s="3">
        <f>$H41*factors!BN$3</f>
        <v>0.96659141465879994</v>
      </c>
      <c r="BU41" s="3">
        <f>$H41*factors!BO$3</f>
        <v>0.98256036903120003</v>
      </c>
      <c r="BV41" s="3">
        <f>$H41*factors!BP$3</f>
        <v>0.9139878002556</v>
      </c>
      <c r="BW41" s="3">
        <f>$H41*factors!BQ$3</f>
        <v>0.93465350591399998</v>
      </c>
      <c r="BX41" s="3">
        <f>$H41*factors!BR$3</f>
        <v>0.91680585102719991</v>
      </c>
      <c r="BY41" s="3">
        <f>$H41*factors!BS$3</f>
        <v>0.95907661260119981</v>
      </c>
      <c r="BZ41" s="3">
        <f>$H41*factors!BT$3</f>
        <v>0.94122895771439985</v>
      </c>
      <c r="CA41" s="3">
        <f>$H41*factors!BU$3</f>
        <v>0.92901740437079994</v>
      </c>
      <c r="CB41" s="3">
        <f>$H41*factors!BV$3</f>
        <v>0.89895819614039996</v>
      </c>
      <c r="CC41" s="3">
        <f>$H41*factors!BW$3</f>
        <v>0.92526000334199987</v>
      </c>
      <c r="CD41" s="3">
        <f>$H41*factors!BX$3</f>
        <v>0.9280780541136</v>
      </c>
      <c r="CE41" s="3">
        <f>$H41*factors!BY$3</f>
        <v>0.94122895771439985</v>
      </c>
      <c r="CF41" s="3">
        <f>$H41*factors!BZ$3</f>
        <v>0.92713870385640007</v>
      </c>
      <c r="CG41" s="3">
        <f>$H41*factors!CA$3</f>
        <v>0.89614014536879982</v>
      </c>
      <c r="CH41" s="3">
        <f>$H41*factors!CB$3</f>
        <v>0.89707949562599987</v>
      </c>
      <c r="CI41" s="3">
        <f>$H41*factors!CC$3</f>
        <v>0.89238274433999998</v>
      </c>
      <c r="CJ41" s="3">
        <f>$H41*factors!CD$3</f>
        <v>0.92901740437079994</v>
      </c>
      <c r="CK41" s="3">
        <f>$H41*factors!CE$3</f>
        <v>0.9703488156875999</v>
      </c>
      <c r="CL41" s="3">
        <f>$H41*factors!CF$3</f>
        <v>0.9092910489696</v>
      </c>
      <c r="CM41" s="3">
        <f>$H41*factors!CG$3</f>
        <v>0.93089610488519992</v>
      </c>
      <c r="CN41" s="3">
        <f>$H41*factors!CH$3</f>
        <v>0.89989754639759989</v>
      </c>
      <c r="CO41" s="3">
        <f>$H41*factors!CI$3</f>
        <v>0.90647299819799987</v>
      </c>
      <c r="CP41" s="3">
        <f>$H41*factors!CJ$3</f>
        <v>0.94968311002919981</v>
      </c>
      <c r="CQ41" s="3">
        <f>$H41*factors!CK$3</f>
        <v>0.92150260231319991</v>
      </c>
      <c r="CR41" s="3">
        <f>$H41*factors!CL$3</f>
        <v>0.95062246028639996</v>
      </c>
      <c r="CS41" s="3">
        <f>$H41*factors!CM$3</f>
        <v>0.98068166851679994</v>
      </c>
      <c r="CT41" s="3">
        <f>$H41*factors!CN$3</f>
        <v>0.96940946543039996</v>
      </c>
      <c r="CU41" s="3">
        <f>$H41*factors!CO$3</f>
        <v>0.94780440951479983</v>
      </c>
      <c r="CV41" s="3">
        <f>$H41*factors!CP$3</f>
        <v>0.98631777005999988</v>
      </c>
      <c r="CW41" s="3">
        <f>$H41*factors!CQ$3</f>
        <v>0.9327748053996</v>
      </c>
      <c r="CX41" s="3">
        <f>$H41*factors!CR$3</f>
        <v>0.9186845515416</v>
      </c>
      <c r="CY41" s="3">
        <f>$H41*factors!CS$3</f>
        <v>0.91023039922679994</v>
      </c>
      <c r="CZ41" s="3">
        <f>$H41*factors!CT$3</f>
        <v>0.89707949562599987</v>
      </c>
      <c r="DA41" s="3">
        <f>$H41*factors!CU$3</f>
        <v>0.93138966179999993</v>
      </c>
      <c r="DB41" s="3">
        <f>$H41*factors!CV$3</f>
        <v>0.99157176302400007</v>
      </c>
      <c r="DC41" s="3">
        <f>$H41*factors!CW$3</f>
        <v>0.94953981931199993</v>
      </c>
      <c r="DD41" s="3">
        <f>$H41*factors!CX$3</f>
        <v>0.94285291917599989</v>
      </c>
      <c r="DE41" s="3">
        <f>$H41*factors!CY$3</f>
        <v>0.97055579116800006</v>
      </c>
      <c r="DF41" s="3">
        <f>$H41*factors!CZ$3</f>
        <v>0.96864524827199994</v>
      </c>
      <c r="DG41" s="3">
        <f>$H41*factors!DA$3</f>
        <v>0.96482416248000002</v>
      </c>
      <c r="DH41" s="3">
        <f>$H41*factors!DB$3</f>
        <v>0.96482416248000002</v>
      </c>
      <c r="DI41" s="3">
        <f>$H41*factors!DC$3</f>
        <v>0.92852384745599992</v>
      </c>
      <c r="DJ41" s="3">
        <f>$H41*factors!DD$3</f>
        <v>0.98392959144000003</v>
      </c>
      <c r="DK41" s="3">
        <f>$H41*factors!DE$3</f>
        <v>0.98392959144000003</v>
      </c>
      <c r="DL41" s="3">
        <f>$H41*factors!DF$3</f>
        <v>0.97246633406400007</v>
      </c>
      <c r="DM41" s="3">
        <f>$H41*factors!DG$3</f>
        <v>0.91610531863199984</v>
      </c>
      <c r="DN41" s="3">
        <f>$H41*factors!DH$3</f>
        <v>0.961003076688</v>
      </c>
      <c r="DO41" s="3">
        <f>$H41*factors!DI$3</f>
        <v>0.99252703447199997</v>
      </c>
      <c r="DP41" s="3">
        <f>$H41*factors!DJ$3</f>
        <v>0.98392959144000003</v>
      </c>
      <c r="DQ41" s="3">
        <f>$H41*factors!DK$3</f>
        <v>0.93807656193599998</v>
      </c>
      <c r="DR41" s="3">
        <f>$H41*factors!DL$3</f>
        <v>0.92756857600800002</v>
      </c>
      <c r="DS41" s="3">
        <f>$H41*factors!DM$3</f>
        <v>1.0020797489519999</v>
      </c>
      <c r="DT41" s="3">
        <f>$H41*factors!DN$3</f>
        <v>0.941897647728</v>
      </c>
      <c r="DU41" s="3">
        <f>$H41*factors!DO$3</f>
        <v>0.98584013433599993</v>
      </c>
      <c r="DV41" s="3">
        <f>$H41*factors!DP$3</f>
        <v>0.96291361958400001</v>
      </c>
      <c r="DW41" s="3">
        <f>$H41*factors!DQ$3</f>
        <v>0.91897113297599986</v>
      </c>
      <c r="DX41" s="3">
        <f>$H41*factors!DR$3</f>
        <v>0.97342160551199997</v>
      </c>
      <c r="DY41" s="3">
        <f>$H41*factors!DS$3</f>
        <v>0.92374749021599989</v>
      </c>
      <c r="DZ41" s="3">
        <f>$H41*factors!DT$3</f>
        <v>0.98775067723199994</v>
      </c>
      <c r="EA41" s="3">
        <f>$H41*factors!DU$3</f>
        <v>0.93043439035199993</v>
      </c>
      <c r="EB41" s="3">
        <f>$H41*factors!DV$3</f>
        <v>0.9075078755999999</v>
      </c>
      <c r="EC41" s="3">
        <f>$H41*factors!DW$3</f>
        <v>0.97628741985599998</v>
      </c>
      <c r="ED41" s="3">
        <f>$H41*factors!DX$3</f>
        <v>0.91610531863199984</v>
      </c>
      <c r="EE41" s="3">
        <f>$H41*factors!DY$3</f>
        <v>0.92374749021599989</v>
      </c>
      <c r="EF41" s="3">
        <f>$H41*factors!DZ$3</f>
        <v>1.0020797489519999</v>
      </c>
      <c r="EG41" s="3">
        <f>$H41*factors!EA$3</f>
        <v>0.93616601903999996</v>
      </c>
      <c r="EH41" s="3">
        <f>$H41*factors!EB$3</f>
        <v>0.93903183338399998</v>
      </c>
      <c r="EI41" s="3">
        <f>$H41*factors!EC$3</f>
        <v>0.93712129048800008</v>
      </c>
      <c r="EJ41" s="3">
        <f>$H41*factors!ED$3</f>
        <v>0.91323950428800005</v>
      </c>
      <c r="EK41" s="3">
        <f>$H41*factors!EE$3</f>
        <v>0.97628741985599998</v>
      </c>
      <c r="EL41" s="3">
        <f>$H41*factors!EF$3</f>
        <v>0.92852384745599992</v>
      </c>
      <c r="EM41" s="3">
        <f>$H41*factors!EG$3</f>
        <v>0.96577943392799992</v>
      </c>
      <c r="EN41" s="3">
        <f>$H41*factors!EH$3</f>
        <v>0.9075078755999999</v>
      </c>
      <c r="EO41" s="3">
        <f>$H41*factors!EI$3</f>
        <v>0.92088167587199987</v>
      </c>
      <c r="EP41" s="3">
        <f>$H41*factors!EJ$3</f>
        <v>0.97151106261599995</v>
      </c>
      <c r="EQ41" s="3">
        <f>$H41*factors!EK$3</f>
        <v>0.9447634620719999</v>
      </c>
      <c r="ER41" s="3">
        <f>$H41*factors!EL$3</f>
        <v>0.98392959144000003</v>
      </c>
      <c r="ES41" s="3">
        <f>$H41*factors!EM$3</f>
        <v>0.97151106261599995</v>
      </c>
      <c r="ET41" s="3">
        <f>$H41*factors!EN$3</f>
        <v>0.99348230591999998</v>
      </c>
      <c r="EU41" s="3">
        <f>$H41*factors!EO$3</f>
        <v>1.0030350204</v>
      </c>
      <c r="EV41" s="3">
        <f>$H41*factors!EP$3</f>
        <v>0.93998710483199988</v>
      </c>
      <c r="EW41" s="3">
        <f>$H41*factors!EQ$3</f>
        <v>1.033882327575</v>
      </c>
      <c r="EX41" s="3">
        <f>$H41*factors!ER$3</f>
        <v>1.0229365089000002</v>
      </c>
      <c r="EY41" s="3">
        <f>$H41*factors!ES$3</f>
        <v>1.043833071825</v>
      </c>
      <c r="EZ41" s="3">
        <f>$H41*factors!ET$3</f>
        <v>1.033882327575</v>
      </c>
      <c r="FA41" s="3">
        <f>$H41*factors!EU$3</f>
        <v>0.95029607587499987</v>
      </c>
      <c r="FB41" s="3">
        <f>$H41*factors!EV$3</f>
        <v>0.99308427615000006</v>
      </c>
      <c r="FC41" s="3">
        <f>$H41*factors!EW$3</f>
        <v>1.0209463600499999</v>
      </c>
      <c r="FD41" s="3">
        <f>$H41*factors!EX$3</f>
        <v>0.98512368075000001</v>
      </c>
      <c r="FE41" s="3">
        <f>$H41*factors!EY$3</f>
        <v>1.0378626252750001</v>
      </c>
      <c r="FF41" s="3">
        <f>$H41*factors!EZ$3</f>
        <v>1.0388576997000001</v>
      </c>
      <c r="FG41" s="3">
        <f>$H41*factors!FA$3</f>
        <v>0.95029607587499987</v>
      </c>
      <c r="FH41" s="3">
        <f>$H41*factors!FB$3</f>
        <v>1.000049797125</v>
      </c>
      <c r="FI41" s="3">
        <f>$H41*factors!FC$3</f>
        <v>1.0418429229749999</v>
      </c>
      <c r="FJ41" s="3">
        <f>$H41*factors!FD$3</f>
        <v>1.000049797125</v>
      </c>
      <c r="FK41" s="3">
        <f>$H41*factors!FE$3</f>
        <v>1.0169660623500001</v>
      </c>
      <c r="FL41" s="3">
        <f>$H41*factors!FF$3</f>
        <v>1.0199512856249999</v>
      </c>
      <c r="FM41" s="3">
        <f>$H41*factors!FG$3</f>
        <v>1.0308971042999999</v>
      </c>
      <c r="FN41" s="3">
        <f>$H41*factors!FH$3</f>
        <v>0.96422711782499992</v>
      </c>
      <c r="FO41" s="3">
        <f>$H41*factors!FI$3</f>
        <v>1.023931583325</v>
      </c>
      <c r="FP41" s="3">
        <f>$H41*factors!FJ$3</f>
        <v>0.99507442499999998</v>
      </c>
      <c r="FQ41" s="3">
        <f>$H41*factors!FK$3</f>
        <v>0.98512368075000001</v>
      </c>
      <c r="FR41" s="3">
        <f>$H41*factors!FL$3</f>
        <v>1.0050251692500001</v>
      </c>
      <c r="FS41" s="3">
        <f>$H41*factors!FM$3</f>
        <v>0.99905472269999995</v>
      </c>
      <c r="FT41" s="3">
        <f>$H41*factors!FN$3</f>
        <v>1.0209463600499999</v>
      </c>
      <c r="FU41" s="3">
        <f>$H41*factors!FO$3</f>
        <v>0.98114338304999993</v>
      </c>
      <c r="FV41" s="3">
        <f>$H41*factors!FP$3</f>
        <v>0.97318278764999999</v>
      </c>
      <c r="FW41" s="3">
        <f>$H41*factors!FQ$3</f>
        <v>1.0418429229749999</v>
      </c>
      <c r="FX41" s="3">
        <f>$H41*factors!FR$3</f>
        <v>1.0229365089000002</v>
      </c>
      <c r="FY41" s="3">
        <f>$H41*factors!FS$3</f>
        <v>1.0020399459749998</v>
      </c>
      <c r="FZ41" s="3">
        <f>$H41*factors!FT$3</f>
        <v>0.95228622472500002</v>
      </c>
      <c r="GA41" s="3">
        <f>$H41*factors!FU$3</f>
        <v>1.0020399459749998</v>
      </c>
      <c r="GB41" s="3">
        <f>$H41*factors!FV$3</f>
        <v>1.0388576997000001</v>
      </c>
      <c r="GC41" s="3">
        <f>$H41*factors!FW$3</f>
        <v>0.97318278764999999</v>
      </c>
      <c r="GD41" s="3">
        <f>$H41*factors!FX$3</f>
        <v>0.990099052875</v>
      </c>
      <c r="GE41" s="3">
        <f>$H41*factors!FY$3</f>
        <v>0.990099052875</v>
      </c>
      <c r="GF41" s="3">
        <f>$H41*factors!FZ$3</f>
        <v>0.98711382960000005</v>
      </c>
      <c r="GG41" s="3">
        <f>$H41*factors!GA$3</f>
        <v>0.94830592702499994</v>
      </c>
      <c r="GH41" s="3">
        <f>$H41*factors!GB$3</f>
        <v>1.0090054669500002</v>
      </c>
      <c r="GI41" s="3">
        <f>$H41*factors!GC$3</f>
        <v>0.94631577817500001</v>
      </c>
      <c r="GJ41" s="3">
        <f>$H41*factors!GD$3</f>
        <v>0.94830592702499994</v>
      </c>
      <c r="GK41" s="3">
        <f>$H41*factors!GE$3</f>
        <v>0.97218771322499997</v>
      </c>
      <c r="GL41" s="3">
        <f>$H41*factors!GF$3</f>
        <v>1.0299020298749999</v>
      </c>
      <c r="GM41" s="3">
        <f>$H41*factors!GG$3</f>
        <v>0.97616801092500005</v>
      </c>
      <c r="GN41" s="3">
        <f>$H41*factors!GH$3</f>
        <v>1.0070153181000001</v>
      </c>
      <c r="GO41" s="3">
        <f>$H41*factors!GI$3</f>
        <v>0.95129115029999989</v>
      </c>
      <c r="GP41" s="3">
        <f>$H41*factors!GJ$3</f>
        <v>1.0199512856249999</v>
      </c>
      <c r="GQ41" s="3">
        <f>$H41*factors!GK$3</f>
        <v>1.0408478485500001</v>
      </c>
      <c r="GR41" s="3">
        <f>$H41*factors!GL$3</f>
        <v>1.0209463600499999</v>
      </c>
      <c r="GS41" s="3">
        <f>$H41*factors!GM$3</f>
        <v>0.96550081308900004</v>
      </c>
      <c r="GT41" s="3">
        <f>$H41*factors!GN$3</f>
        <v>0.98774271663660007</v>
      </c>
      <c r="GU41" s="3">
        <f>$H41*factors!GO$3</f>
        <v>1.0109956158</v>
      </c>
      <c r="GV41" s="3">
        <f>$H41*factors!GP$3</f>
        <v>0.97055579116800006</v>
      </c>
      <c r="GW41" s="3">
        <f>$H41*factors!GQ$3</f>
        <v>1.0049296421052001</v>
      </c>
      <c r="GX41" s="3">
        <f>$H41*factors!GR$3</f>
        <v>0.98875371225239994</v>
      </c>
      <c r="GY41" s="3">
        <f>$H41*factors!GS$3</f>
        <v>0.98369873417340004</v>
      </c>
      <c r="GZ41" s="3">
        <f>$H41*factors!GT$3</f>
        <v>1.0200945763421998</v>
      </c>
      <c r="HA41" s="3">
        <f>$H41*factors!GU$3</f>
        <v>0.98673172102079998</v>
      </c>
      <c r="HB41" s="3">
        <f>$H41*factors!GV$3</f>
        <v>1.0200945763421998</v>
      </c>
      <c r="HC41" s="3">
        <f>$H41*factors!GW$3</f>
        <v>0.99481968594719994</v>
      </c>
      <c r="HD41" s="3">
        <f>$H41*factors!GX$3</f>
        <v>1.0241385588053999</v>
      </c>
      <c r="HE41" s="3">
        <f>$H41*factors!GY$3</f>
        <v>1.0109956158</v>
      </c>
      <c r="HF41" s="3">
        <f>$H41*factors!GZ$3</f>
        <v>1.0423364798898</v>
      </c>
      <c r="HG41" s="3">
        <f>$H41*factors!HA$3</f>
        <v>1.0018966552577999</v>
      </c>
      <c r="HH41" s="3">
        <f>$H41*factors!HB$3</f>
        <v>0.98875371225239994</v>
      </c>
      <c r="HI41" s="3">
        <f>$H41*factors!HC$3</f>
        <v>0.97662176486280006</v>
      </c>
      <c r="HJ41" s="3">
        <f>$H41*factors!HD$3</f>
        <v>0.96550081308900004</v>
      </c>
      <c r="HK41" s="3">
        <f>$H41*factors!HE$3</f>
        <v>1.021105571958</v>
      </c>
      <c r="HL41" s="3">
        <f>$H41*factors!HF$3</f>
        <v>0.96246782624159988</v>
      </c>
      <c r="HM41" s="3">
        <f>$H41*factors!HG$3</f>
        <v>0.97257778239960002</v>
      </c>
      <c r="HN41" s="3">
        <f>$H41*factors!HH$3</f>
        <v>1.0372815018108001</v>
      </c>
      <c r="HO41" s="3">
        <f>$H41*factors!HI$3</f>
        <v>0.99481968594719994</v>
      </c>
      <c r="HP41" s="3">
        <f>$H41*factors!HJ$3</f>
        <v>1.0615453965900001</v>
      </c>
      <c r="HQ41" s="3">
        <f>$H41*factors!HK$3</f>
        <v>0.97055579116800006</v>
      </c>
      <c r="HR41" s="3">
        <f>$H41*factors!HL$3</f>
        <v>1.0291935368844001</v>
      </c>
      <c r="HS41" s="3">
        <f>$H41*factors!HM$3</f>
        <v>1.0473914579688</v>
      </c>
      <c r="HT41" s="3">
        <f>$H41*factors!HN$3</f>
        <v>0.97662176486280006</v>
      </c>
      <c r="HU41" s="3">
        <f>$H41*factors!HO$3</f>
        <v>0.98673172102079998</v>
      </c>
      <c r="HV41" s="3">
        <f>$H41*factors!HP$3</f>
        <v>0.99886366841040009</v>
      </c>
      <c r="HW41" s="3">
        <f>$H41*factors!HQ$3</f>
        <v>1.0130176070315999</v>
      </c>
      <c r="HX41" s="3">
        <f>$H41*factors!HR$3</f>
        <v>1.0544684272793998</v>
      </c>
      <c r="HY41" s="3">
        <f>$H41*factors!HS$3</f>
        <v>1.0018966552577999</v>
      </c>
      <c r="HZ41" s="3">
        <f>$H41*factors!HT$3</f>
        <v>1.0403144886581999</v>
      </c>
      <c r="IA41" s="3">
        <f>$H41*factors!HU$3</f>
        <v>0.98976470786820003</v>
      </c>
      <c r="IB41" s="3">
        <f>$H41*factors!HV$3</f>
        <v>1.0241385588053999</v>
      </c>
      <c r="IC41" s="3">
        <f>$H41*factors!HW$3</f>
        <v>1.0342485149634</v>
      </c>
      <c r="ID41" s="3">
        <f>$H41*factors!HX$3</f>
        <v>0.96044583500999992</v>
      </c>
      <c r="IE41" s="3">
        <f>$H41*factors!HY$3</f>
        <v>1.0200945763421998</v>
      </c>
      <c r="IF41" s="3">
        <f>$H41*factors!HZ$3</f>
        <v>1.0140286026473999</v>
      </c>
      <c r="IG41" s="3">
        <f>$H41*factors!IA$3</f>
        <v>1.0049296421052001</v>
      </c>
      <c r="IH41" s="3">
        <f>$H41*factors!IB$3</f>
        <v>1.0423364798898</v>
      </c>
      <c r="II41" s="3">
        <f>$H41*factors!IC$3</f>
        <v>0.99785267279459999</v>
      </c>
      <c r="IJ41" s="3">
        <f>$H41*factors!ID$3</f>
        <v>1.0069516333368</v>
      </c>
      <c r="IK41" s="3">
        <f>$H41*factors!IE$3</f>
        <v>1.0433474755056</v>
      </c>
      <c r="IL41" s="3">
        <f>$H41*factors!IF$3</f>
        <v>0.99886366841040009</v>
      </c>
      <c r="IM41" s="3">
        <f>$H41*factors!IG$3</f>
        <v>0.98976470786820003</v>
      </c>
      <c r="IN41" s="3">
        <f>$H41*factors!IH$3</f>
        <v>0.99583068156300003</v>
      </c>
      <c r="IO41" s="3">
        <f>$H41*factors!II$3</f>
        <v>1.0059406377210001</v>
      </c>
      <c r="IP41" s="3">
        <f>$H41*factors!IJ$3</f>
        <v>0.97257778239960002</v>
      </c>
      <c r="IQ41" s="3">
        <f>$H41*factors!IK$3</f>
        <v>0.96954479555219997</v>
      </c>
      <c r="IR41" s="3">
        <f>$H41*factors!IL$3</f>
        <v>0.99785267279459999</v>
      </c>
      <c r="IS41" s="3">
        <f>$H41*factors!IM$3</f>
        <v>1.0059406377210001</v>
      </c>
      <c r="IT41" s="3">
        <f>$H41*factors!IN$3</f>
        <v>1.0130176070315999</v>
      </c>
      <c r="IU41" s="3">
        <f>$H41*factors!IO$3</f>
        <v>1.0352595105792002</v>
      </c>
      <c r="IV41" s="3">
        <f>$H41*factors!IP$3</f>
        <v>1.0484024535845999</v>
      </c>
      <c r="IW41" s="3">
        <f>$H41*factors!IQ$3</f>
        <v>0.9907757034839999</v>
      </c>
      <c r="IX41" s="3">
        <f>$H41*factors!IR$3</f>
        <v>1.0352595105792002</v>
      </c>
      <c r="IY41" s="3">
        <f>$H41*factors!IS$3</f>
        <v>1.0200945763421998</v>
      </c>
      <c r="IZ41" s="3">
        <f>$H41*factors!IT$3</f>
        <v>1.0372815018108001</v>
      </c>
      <c r="JA41" s="3">
        <f>$H41*factors!IU$3</f>
        <v>0.97965475171019989</v>
      </c>
      <c r="JB41" s="3">
        <f>$H41*factors!IV$3</f>
        <v>0.99785267279459999</v>
      </c>
      <c r="JC41" s="3">
        <f>$H41*factors!IW$3</f>
        <v>0.97459977363120009</v>
      </c>
      <c r="JD41" s="3">
        <f>$H41*factors!IX$3</f>
        <v>1.0615453965900001</v>
      </c>
      <c r="JE41" s="3">
        <f>$H41*factors!IY$3</f>
        <v>0.97763276047859993</v>
      </c>
      <c r="JF41" s="3">
        <f>$H41*factors!IZ$3</f>
        <v>1.0261605500369999</v>
      </c>
      <c r="JG41" s="3">
        <f>$H41*factors!JA$3</f>
        <v>1.0079626289526</v>
      </c>
      <c r="JH41" s="3">
        <f>$H41*factors!JB$3</f>
        <v>1.0271715456528001</v>
      </c>
      <c r="JI41" s="3">
        <f>$H41*factors!JC$3</f>
        <v>0.96145683062580001</v>
      </c>
      <c r="JJ41" s="3">
        <f>$H41*factors!JD$3</f>
        <v>1.0352595105792002</v>
      </c>
      <c r="JK41" s="3">
        <f>$H41*factors!JE$3</f>
        <v>1.0018966552577999</v>
      </c>
      <c r="JL41" s="3">
        <f>$H41*factors!JF$3</f>
        <v>1.0423364798898</v>
      </c>
      <c r="JM41" s="3">
        <f>$H41*factors!JG$3</f>
        <v>0.97257778239960002</v>
      </c>
      <c r="JN41" s="3">
        <f>$H41*factors!JH$3</f>
        <v>0.97257778239960002</v>
      </c>
      <c r="JO41" s="3">
        <f>$H41*factors!JI$3</f>
        <v>0.96044583500999992</v>
      </c>
      <c r="JP41" s="3">
        <f>$H41*factors!JJ$3</f>
        <v>1.0382924974265999</v>
      </c>
      <c r="JQ41" s="3">
        <f>$H41*factors!JK$3</f>
        <v>1.0120066114158</v>
      </c>
      <c r="JR41" s="3">
        <f>$H41*factors!JL$3</f>
        <v>1.0514354404320001</v>
      </c>
      <c r="JS41" s="3">
        <f>$H41*factors!JM$3</f>
        <v>0.96044583500999992</v>
      </c>
      <c r="JT41" s="3">
        <f>$H41*factors!JN$3</f>
        <v>1.0089736245684</v>
      </c>
      <c r="JU41" s="3">
        <f>$H41*factors!JO$3</f>
        <v>0.97561076924699996</v>
      </c>
      <c r="JV41" s="3">
        <f>$H41*factors!JP$3</f>
        <v>0.9917866990998</v>
      </c>
      <c r="JW41" s="3">
        <f>$H41*factors!JQ$3</f>
        <v>1.0595234053584002</v>
      </c>
      <c r="JX41" s="3">
        <f>$H41*factors!JR$3</f>
        <v>1.0494134492003999</v>
      </c>
      <c r="JY41" s="3">
        <f>$H41*factors!JS$3</f>
        <v>0.98774271663660007</v>
      </c>
      <c r="JZ41" s="3">
        <f>$H41*factors!JT$3</f>
        <v>0.99886366841040009</v>
      </c>
      <c r="KA41" s="3">
        <f>$H41*factors!JU$3</f>
        <v>1.0029076508736001</v>
      </c>
      <c r="KB41" s="3">
        <f>$H41*factors!JV$3</f>
        <v>0.96954479555219997</v>
      </c>
      <c r="KC41" s="3">
        <f>$H41*factors!JW$3</f>
        <v>0.97459977363120009</v>
      </c>
      <c r="KD41" s="3">
        <f>$H41*factors!JX$3</f>
        <v>0.97561076924699996</v>
      </c>
      <c r="KE41" s="3">
        <f>$H41*factors!JY$3</f>
        <v>1.0382924974265999</v>
      </c>
      <c r="KF41" s="3">
        <f>$H41*factors!JZ$3</f>
        <v>1.0504244448161999</v>
      </c>
      <c r="KG41" s="3">
        <f>$H41*factors!KA$3</f>
        <v>1.0130176070315999</v>
      </c>
      <c r="KH41" s="3">
        <f>$H41*factors!KB$3</f>
        <v>0.9907757034839999</v>
      </c>
      <c r="KI41" s="3">
        <f>$H41*factors!KC$3</f>
        <v>0.98167674294179996</v>
      </c>
    </row>
    <row r="42" spans="1:295" x14ac:dyDescent="0.55000000000000004">
      <c r="A42" t="s">
        <v>418</v>
      </c>
      <c r="B42">
        <v>41</v>
      </c>
      <c r="C42">
        <v>230</v>
      </c>
      <c r="D42" t="s">
        <v>377</v>
      </c>
      <c r="E42">
        <v>2.1940000000000002E-3</v>
      </c>
      <c r="F42">
        <v>41</v>
      </c>
      <c r="G42">
        <f>VLOOKUP(D42,demand_forecasted!$A$2:$G$11,2)</f>
        <v>11098</v>
      </c>
      <c r="H42" s="3">
        <f t="shared" si="1"/>
        <v>0.24349012000000003</v>
      </c>
      <c r="I42" s="3">
        <f>$H42*factors!C$3</f>
        <v>0.26954356284000003</v>
      </c>
      <c r="J42" s="3">
        <f>$H42*factors!D$3</f>
        <v>0.25981369764480006</v>
      </c>
      <c r="K42" s="3">
        <f>$H42*factors!E$3</f>
        <v>0.25534321904160007</v>
      </c>
      <c r="L42" s="3">
        <f>$H42*factors!F$3</f>
        <v>0.25455431105280008</v>
      </c>
      <c r="M42" s="3">
        <f>$H42*factors!G$3</f>
        <v>0.2542913417232</v>
      </c>
      <c r="N42" s="3">
        <f>$H42*factors!H$3</f>
        <v>0.26165448295200006</v>
      </c>
      <c r="O42" s="3">
        <f>$H42*factors!I$3</f>
        <v>0.26743980820320001</v>
      </c>
      <c r="P42" s="3">
        <f>$H42*factors!J$3</f>
        <v>0.27059544015840004</v>
      </c>
      <c r="Q42" s="3">
        <f>$H42*factors!K$3</f>
        <v>0.25402837239360004</v>
      </c>
      <c r="R42" s="3">
        <f>$H42*factors!L$3</f>
        <v>0.24982086312000004</v>
      </c>
      <c r="S42" s="3">
        <f>$H42*factors!M$3</f>
        <v>0.26007666697440002</v>
      </c>
      <c r="T42" s="3">
        <f>$H42*factors!N$3</f>
        <v>0.26901762418080005</v>
      </c>
      <c r="U42" s="3">
        <f>$H42*factors!O$3</f>
        <v>0.25481728038240004</v>
      </c>
      <c r="V42" s="3">
        <f>$H42*factors!P$3</f>
        <v>0.26507308423680004</v>
      </c>
      <c r="W42" s="3">
        <f>$H42*factors!Q$3</f>
        <v>0.26743980820320001</v>
      </c>
      <c r="X42" s="3">
        <f>$H42*factors!R$3</f>
        <v>0.25586915770080004</v>
      </c>
      <c r="Y42" s="3">
        <f>$H42*factors!S$3</f>
        <v>0.25350243373440007</v>
      </c>
      <c r="Z42" s="3">
        <f>$H42*factors!T$3</f>
        <v>0.2734881027840001</v>
      </c>
      <c r="AA42" s="3">
        <f>$H42*factors!U$3</f>
        <v>0.25823588166720002</v>
      </c>
      <c r="AB42" s="3">
        <f>$H42*factors!V$3</f>
        <v>0.25849885099680009</v>
      </c>
      <c r="AC42" s="3">
        <f>$H42*factors!W$3</f>
        <v>0.25876182032640005</v>
      </c>
      <c r="AD42" s="3">
        <f>$H42*factors!X$3</f>
        <v>0.25323946440480005</v>
      </c>
      <c r="AE42" s="3">
        <f>$H42*factors!Y$3</f>
        <v>0.25534321904160007</v>
      </c>
      <c r="AF42" s="3">
        <f>$H42*factors!Z$3</f>
        <v>0.26060260563360005</v>
      </c>
      <c r="AG42" s="3">
        <f>$H42*factors!AA$3</f>
        <v>0.25402837239360004</v>
      </c>
      <c r="AH42" s="3">
        <f>$H42*factors!AB$3</f>
        <v>0.25297649507520004</v>
      </c>
      <c r="AI42" s="3">
        <f>$H42*factors!AC$3</f>
        <v>0.26112854429280002</v>
      </c>
      <c r="AJ42" s="3">
        <f>$H42*factors!AD$3</f>
        <v>0.27112137881760007</v>
      </c>
      <c r="AK42" s="3">
        <f>$H42*factors!AE$3</f>
        <v>0.26086557496320006</v>
      </c>
      <c r="AL42" s="3">
        <f>$H42*factors!AF$3</f>
        <v>0.25060977110880001</v>
      </c>
      <c r="AM42" s="3">
        <f>$H42*factors!AG$3</f>
        <v>0.25770994300800004</v>
      </c>
      <c r="AN42" s="3">
        <f>$H42*factors!AH$3</f>
        <v>0.25350243373440007</v>
      </c>
      <c r="AO42" s="3">
        <f>$H42*factors!AI$3</f>
        <v>0.26559902289600001</v>
      </c>
      <c r="AP42" s="3">
        <f>$H42*factors!AJ$3</f>
        <v>0.25455431105280008</v>
      </c>
      <c r="AQ42" s="3">
        <f>$H42*factors!AK$3</f>
        <v>0.26270636027040006</v>
      </c>
      <c r="AR42" s="3">
        <f>$H42*factors!AL$3</f>
        <v>0.25692103501920005</v>
      </c>
      <c r="AS42" s="3">
        <f>$H42*factors!AM$3</f>
        <v>0.25060977110880001</v>
      </c>
      <c r="AT42" s="3">
        <f>$H42*factors!AN$3</f>
        <v>0.25849885099680009</v>
      </c>
      <c r="AU42" s="3">
        <f>$H42*factors!AO$3</f>
        <v>0.2737510721136</v>
      </c>
      <c r="AV42" s="3">
        <f>$H42*factors!AP$3</f>
        <v>0.25876182032640005</v>
      </c>
      <c r="AW42" s="3">
        <f>$H42*factors!AQ$3</f>
        <v>0.2561321270304</v>
      </c>
      <c r="AX42" s="3">
        <f>$H42*factors!AR$3</f>
        <v>0.27085840948800005</v>
      </c>
      <c r="AY42" s="3">
        <f>$H42*factors!AS$3</f>
        <v>0.24982086312000004</v>
      </c>
      <c r="AZ42" s="3">
        <f>$H42*factors!AT$3</f>
        <v>0.26770277753280008</v>
      </c>
      <c r="BA42" s="3">
        <f>$H42*factors!AU$3</f>
        <v>0.26191745228160002</v>
      </c>
      <c r="BB42" s="3">
        <f>$H42*factors!AV$3</f>
        <v>0.25849885099680009</v>
      </c>
      <c r="BC42" s="3">
        <f>$H42*factors!AW$3</f>
        <v>0.2734881027840001</v>
      </c>
      <c r="BD42" s="3">
        <f>$H42*factors!AX$3</f>
        <v>0.252450556416</v>
      </c>
      <c r="BE42" s="3">
        <f>$H42*factors!AY$3</f>
        <v>0.29679984687280003</v>
      </c>
      <c r="BF42" s="3">
        <f>$H42*factors!AZ$3</f>
        <v>0.27640024461920004</v>
      </c>
      <c r="BG42" s="3">
        <f>$H42*factors!BA$3</f>
        <v>0.28042270140159997</v>
      </c>
      <c r="BH42" s="3">
        <f>$H42*factors!BB$3</f>
        <v>0.28415783984240001</v>
      </c>
      <c r="BI42" s="3">
        <f>$H42*factors!BC$3</f>
        <v>0.29450130013999998</v>
      </c>
      <c r="BJ42" s="3">
        <f>$H42*factors!BD$3</f>
        <v>0.28128465642639999</v>
      </c>
      <c r="BK42" s="3">
        <f>$H42*factors!BE$3</f>
        <v>0.28185929310960001</v>
      </c>
      <c r="BL42" s="3">
        <f>$H42*factors!BF$3</f>
        <v>0.27869879135199999</v>
      </c>
      <c r="BM42" s="3">
        <f>$H42*factors!BG$3</f>
        <v>0.29766180189760005</v>
      </c>
      <c r="BN42" s="3">
        <f>$H42*factors!BH$3</f>
        <v>0.29392666345680002</v>
      </c>
      <c r="BO42" s="3">
        <f>$H42*factors!BI$3</f>
        <v>0.27640024461920004</v>
      </c>
      <c r="BP42" s="3">
        <f>$H42*factors!BJ$3</f>
        <v>0.27553828959440002</v>
      </c>
      <c r="BQ42" s="3">
        <f>$H42*factors!BK$3</f>
        <v>0.28013538306000002</v>
      </c>
      <c r="BR42" s="3">
        <f>$H42*factors!BL$3</f>
        <v>0.29019152501600004</v>
      </c>
      <c r="BS42" s="3">
        <f>$H42*factors!BM$3</f>
        <v>0.29478861848160004</v>
      </c>
      <c r="BT42" s="3">
        <f>$H42*factors!BN$3</f>
        <v>0.29565057350640001</v>
      </c>
      <c r="BU42" s="3">
        <f>$H42*factors!BO$3</f>
        <v>0.30053498531360007</v>
      </c>
      <c r="BV42" s="3">
        <f>$H42*factors!BP$3</f>
        <v>0.27956074637680001</v>
      </c>
      <c r="BW42" s="3">
        <f>$H42*factors!BQ$3</f>
        <v>0.28588174989199999</v>
      </c>
      <c r="BX42" s="3">
        <f>$H42*factors!BR$3</f>
        <v>0.28042270140159997</v>
      </c>
      <c r="BY42" s="3">
        <f>$H42*factors!BS$3</f>
        <v>0.29335202677359995</v>
      </c>
      <c r="BZ42" s="3">
        <f>$H42*factors!BT$3</f>
        <v>0.28789297828319999</v>
      </c>
      <c r="CA42" s="3">
        <f>$H42*factors!BU$3</f>
        <v>0.28415783984240001</v>
      </c>
      <c r="CB42" s="3">
        <f>$H42*factors!BV$3</f>
        <v>0.27496365291120001</v>
      </c>
      <c r="CC42" s="3">
        <f>$H42*factors!BW$3</f>
        <v>0.28300856647600003</v>
      </c>
      <c r="CD42" s="3">
        <f>$H42*factors!BX$3</f>
        <v>0.28387052150080005</v>
      </c>
      <c r="CE42" s="3">
        <f>$H42*factors!BY$3</f>
        <v>0.28789297828319999</v>
      </c>
      <c r="CF42" s="3">
        <f>$H42*factors!BZ$3</f>
        <v>0.28358320315920005</v>
      </c>
      <c r="CG42" s="3">
        <f>$H42*factors!CA$3</f>
        <v>0.27410169788639999</v>
      </c>
      <c r="CH42" s="3">
        <f>$H42*factors!CB$3</f>
        <v>0.27438901622799999</v>
      </c>
      <c r="CI42" s="3">
        <f>$H42*factors!CC$3</f>
        <v>0.27295242452000001</v>
      </c>
      <c r="CJ42" s="3">
        <f>$H42*factors!CD$3</f>
        <v>0.28415783984240001</v>
      </c>
      <c r="CK42" s="3">
        <f>$H42*factors!CE$3</f>
        <v>0.29679984687280003</v>
      </c>
      <c r="CL42" s="3">
        <f>$H42*factors!CF$3</f>
        <v>0.27812415466880003</v>
      </c>
      <c r="CM42" s="3">
        <f>$H42*factors!CG$3</f>
        <v>0.28473247652560002</v>
      </c>
      <c r="CN42" s="3">
        <f>$H42*factors!CH$3</f>
        <v>0.27525097125280001</v>
      </c>
      <c r="CO42" s="3">
        <f>$H42*factors!CI$3</f>
        <v>0.27726219964400001</v>
      </c>
      <c r="CP42" s="3">
        <f>$H42*factors!CJ$3</f>
        <v>0.29047884335759999</v>
      </c>
      <c r="CQ42" s="3">
        <f>$H42*factors!CK$3</f>
        <v>0.28185929310960001</v>
      </c>
      <c r="CR42" s="3">
        <f>$H42*factors!CL$3</f>
        <v>0.2907661616992</v>
      </c>
      <c r="CS42" s="3">
        <f>$H42*factors!CM$3</f>
        <v>0.2999603486304</v>
      </c>
      <c r="CT42" s="3">
        <f>$H42*factors!CN$3</f>
        <v>0.29651252853120003</v>
      </c>
      <c r="CU42" s="3">
        <f>$H42*factors!CO$3</f>
        <v>0.28990420667439998</v>
      </c>
      <c r="CV42" s="3">
        <f>$H42*factors!CP$3</f>
        <v>0.30168425867999998</v>
      </c>
      <c r="CW42" s="3">
        <f>$H42*factors!CQ$3</f>
        <v>0.28530711320880003</v>
      </c>
      <c r="CX42" s="3">
        <f>$H42*factors!CR$3</f>
        <v>0.28099733808480004</v>
      </c>
      <c r="CY42" s="3">
        <f>$H42*factors!CS$3</f>
        <v>0.27841147301040003</v>
      </c>
      <c r="CZ42" s="3">
        <f>$H42*factors!CT$3</f>
        <v>0.27438901622799999</v>
      </c>
      <c r="DA42" s="3">
        <f>$H42*factors!CU$3</f>
        <v>0.28488344040000002</v>
      </c>
      <c r="DB42" s="3">
        <f>$H42*factors!CV$3</f>
        <v>0.30329129347200007</v>
      </c>
      <c r="DC42" s="3">
        <f>$H42*factors!CW$3</f>
        <v>0.29043501513600001</v>
      </c>
      <c r="DD42" s="3">
        <f>$H42*factors!CX$3</f>
        <v>0.28838969812800003</v>
      </c>
      <c r="DE42" s="3">
        <f>$H42*factors!CY$3</f>
        <v>0.29686315430400007</v>
      </c>
      <c r="DF42" s="3">
        <f>$H42*factors!CZ$3</f>
        <v>0.296278778016</v>
      </c>
      <c r="DG42" s="3">
        <f>$H42*factors!DA$3</f>
        <v>0.29511002544000003</v>
      </c>
      <c r="DH42" s="3">
        <f>$H42*factors!DB$3</f>
        <v>0.29511002544000003</v>
      </c>
      <c r="DI42" s="3">
        <f>$H42*factors!DC$3</f>
        <v>0.28400687596800001</v>
      </c>
      <c r="DJ42" s="3">
        <f>$H42*factors!DD$3</f>
        <v>0.30095378832000003</v>
      </c>
      <c r="DK42" s="3">
        <f>$H42*factors!DE$3</f>
        <v>0.30095378832000003</v>
      </c>
      <c r="DL42" s="3">
        <f>$H42*factors!DF$3</f>
        <v>0.29744753059200002</v>
      </c>
      <c r="DM42" s="3">
        <f>$H42*factors!DG$3</f>
        <v>0.28020843009599999</v>
      </c>
      <c r="DN42" s="3">
        <f>$H42*factors!DH$3</f>
        <v>0.29394127286400007</v>
      </c>
      <c r="DO42" s="3">
        <f>$H42*factors!DI$3</f>
        <v>0.30358348161600002</v>
      </c>
      <c r="DP42" s="3">
        <f>$H42*factors!DJ$3</f>
        <v>0.30095378832000003</v>
      </c>
      <c r="DQ42" s="3">
        <f>$H42*factors!DK$3</f>
        <v>0.286928757408</v>
      </c>
      <c r="DR42" s="3">
        <f>$H42*factors!DL$3</f>
        <v>0.28371468782400006</v>
      </c>
      <c r="DS42" s="3">
        <f>$H42*factors!DM$3</f>
        <v>0.30650536305600001</v>
      </c>
      <c r="DT42" s="3">
        <f>$H42*factors!DN$3</f>
        <v>0.28809750998400002</v>
      </c>
      <c r="DU42" s="3">
        <f>$H42*factors!DO$3</f>
        <v>0.30153816460800004</v>
      </c>
      <c r="DV42" s="3">
        <f>$H42*factors!DP$3</f>
        <v>0.29452564915200002</v>
      </c>
      <c r="DW42" s="3">
        <f>$H42*factors!DQ$3</f>
        <v>0.28108499452800001</v>
      </c>
      <c r="DX42" s="3">
        <f>$H42*factors!DR$3</f>
        <v>0.29773971873600003</v>
      </c>
      <c r="DY42" s="3">
        <f>$H42*factors!DS$3</f>
        <v>0.28254593524799998</v>
      </c>
      <c r="DZ42" s="3">
        <f>$H42*factors!DT$3</f>
        <v>0.30212254089599999</v>
      </c>
      <c r="EA42" s="3">
        <f>$H42*factors!DU$3</f>
        <v>0.28459125225600002</v>
      </c>
      <c r="EB42" s="3">
        <f>$H42*factors!DV$3</f>
        <v>0.2775787368</v>
      </c>
      <c r="EC42" s="3">
        <f>$H42*factors!DW$3</f>
        <v>0.29861628316800004</v>
      </c>
      <c r="ED42" s="3">
        <f>$H42*factors!DX$3</f>
        <v>0.28020843009599999</v>
      </c>
      <c r="EE42" s="3">
        <f>$H42*factors!DY$3</f>
        <v>0.28254593524799998</v>
      </c>
      <c r="EF42" s="3">
        <f>$H42*factors!DZ$3</f>
        <v>0.30650536305600001</v>
      </c>
      <c r="EG42" s="3">
        <f>$H42*factors!EA$3</f>
        <v>0.28634438112000005</v>
      </c>
      <c r="EH42" s="3">
        <f>$H42*factors!EB$3</f>
        <v>0.28722094555200001</v>
      </c>
      <c r="EI42" s="3">
        <f>$H42*factors!EC$3</f>
        <v>0.28663656926400005</v>
      </c>
      <c r="EJ42" s="3">
        <f>$H42*factors!ED$3</f>
        <v>0.27933186566400003</v>
      </c>
      <c r="EK42" s="3">
        <f>$H42*factors!EE$3</f>
        <v>0.29861628316800004</v>
      </c>
      <c r="EL42" s="3">
        <f>$H42*factors!EF$3</f>
        <v>0.28400687596800001</v>
      </c>
      <c r="EM42" s="3">
        <f>$H42*factors!EG$3</f>
        <v>0.29540221358399998</v>
      </c>
      <c r="EN42" s="3">
        <f>$H42*factors!EH$3</f>
        <v>0.2775787368</v>
      </c>
      <c r="EO42" s="3">
        <f>$H42*factors!EI$3</f>
        <v>0.28166937081600002</v>
      </c>
      <c r="EP42" s="3">
        <f>$H42*factors!EJ$3</f>
        <v>0.29715534244800001</v>
      </c>
      <c r="EQ42" s="3">
        <f>$H42*factors!EK$3</f>
        <v>0.28897407441599998</v>
      </c>
      <c r="ER42" s="3">
        <f>$H42*factors!EL$3</f>
        <v>0.30095378832000003</v>
      </c>
      <c r="ES42" s="3">
        <f>$H42*factors!EM$3</f>
        <v>0.29715534244800001</v>
      </c>
      <c r="ET42" s="3">
        <f>$H42*factors!EN$3</f>
        <v>0.30387566976000002</v>
      </c>
      <c r="EU42" s="3">
        <f>$H42*factors!EO$3</f>
        <v>0.30679755120000002</v>
      </c>
      <c r="EV42" s="3">
        <f>$H42*factors!EP$3</f>
        <v>0.28751313369600001</v>
      </c>
      <c r="EW42" s="3">
        <f>$H42*factors!EQ$3</f>
        <v>0.31623279334999999</v>
      </c>
      <c r="EX42" s="3">
        <f>$H42*factors!ER$3</f>
        <v>0.31288480420000009</v>
      </c>
      <c r="EY42" s="3">
        <f>$H42*factors!ES$3</f>
        <v>0.31927641984999999</v>
      </c>
      <c r="EZ42" s="3">
        <f>$H42*factors!ET$3</f>
        <v>0.31623279334999999</v>
      </c>
      <c r="FA42" s="3">
        <f>$H42*factors!EU$3</f>
        <v>0.29066633074999998</v>
      </c>
      <c r="FB42" s="3">
        <f>$H42*factors!EV$3</f>
        <v>0.30375392470000007</v>
      </c>
      <c r="FC42" s="3">
        <f>$H42*factors!EW$3</f>
        <v>0.31227607890000003</v>
      </c>
      <c r="FD42" s="3">
        <f>$H42*factors!EX$3</f>
        <v>0.30131902350000006</v>
      </c>
      <c r="FE42" s="3">
        <f>$H42*factors!EY$3</f>
        <v>0.31745024395000004</v>
      </c>
      <c r="FF42" s="3">
        <f>$H42*factors!EZ$3</f>
        <v>0.3177546066000001</v>
      </c>
      <c r="FG42" s="3">
        <f>$H42*factors!FA$3</f>
        <v>0.29066633074999998</v>
      </c>
      <c r="FH42" s="3">
        <f>$H42*factors!FB$3</f>
        <v>0.30588446325000002</v>
      </c>
      <c r="FI42" s="3">
        <f>$H42*factors!FC$3</f>
        <v>0.31866769454999999</v>
      </c>
      <c r="FJ42" s="3">
        <f>$H42*factors!FD$3</f>
        <v>0.30588446325000002</v>
      </c>
      <c r="FK42" s="3">
        <f>$H42*factors!FE$3</f>
        <v>0.31105862830000008</v>
      </c>
      <c r="FL42" s="3">
        <f>$H42*factors!FF$3</f>
        <v>0.31197171625000003</v>
      </c>
      <c r="FM42" s="3">
        <f>$H42*factors!FG$3</f>
        <v>0.31531970540000004</v>
      </c>
      <c r="FN42" s="3">
        <f>$H42*factors!FH$3</f>
        <v>0.29492740785000005</v>
      </c>
      <c r="FO42" s="3">
        <f>$H42*factors!FI$3</f>
        <v>0.31318916685000003</v>
      </c>
      <c r="FP42" s="3">
        <f>$H42*factors!FJ$3</f>
        <v>0.30436265000000007</v>
      </c>
      <c r="FQ42" s="3">
        <f>$H42*factors!FK$3</f>
        <v>0.30131902350000006</v>
      </c>
      <c r="FR42" s="3">
        <f>$H42*factors!FL$3</f>
        <v>0.30740627650000002</v>
      </c>
      <c r="FS42" s="3">
        <f>$H42*factors!FM$3</f>
        <v>0.30558010060000002</v>
      </c>
      <c r="FT42" s="3">
        <f>$H42*factors!FN$3</f>
        <v>0.31227607890000003</v>
      </c>
      <c r="FU42" s="3">
        <f>$H42*factors!FO$3</f>
        <v>0.3001015729</v>
      </c>
      <c r="FV42" s="3">
        <f>$H42*factors!FP$3</f>
        <v>0.2976666717</v>
      </c>
      <c r="FW42" s="3">
        <f>$H42*factors!FQ$3</f>
        <v>0.31866769454999999</v>
      </c>
      <c r="FX42" s="3">
        <f>$H42*factors!FR$3</f>
        <v>0.31288480420000009</v>
      </c>
      <c r="FY42" s="3">
        <f>$H42*factors!FS$3</f>
        <v>0.30649318855000002</v>
      </c>
      <c r="FZ42" s="3">
        <f>$H42*factors!FT$3</f>
        <v>0.29127505605000004</v>
      </c>
      <c r="GA42" s="3">
        <f>$H42*factors!FU$3</f>
        <v>0.30649318855000002</v>
      </c>
      <c r="GB42" s="3">
        <f>$H42*factors!FV$3</f>
        <v>0.3177546066000001</v>
      </c>
      <c r="GC42" s="3">
        <f>$H42*factors!FW$3</f>
        <v>0.2976666717</v>
      </c>
      <c r="GD42" s="3">
        <f>$H42*factors!FX$3</f>
        <v>0.30284083675000001</v>
      </c>
      <c r="GE42" s="3">
        <f>$H42*factors!FY$3</f>
        <v>0.30284083675000001</v>
      </c>
      <c r="GF42" s="3">
        <f>$H42*factors!FZ$3</f>
        <v>0.30192774880000006</v>
      </c>
      <c r="GG42" s="3">
        <f>$H42*factors!GA$3</f>
        <v>0.29005760545000003</v>
      </c>
      <c r="GH42" s="3">
        <f>$H42*factors!GB$3</f>
        <v>0.30862372710000008</v>
      </c>
      <c r="GI42" s="3">
        <f>$H42*factors!GC$3</f>
        <v>0.28944888015000003</v>
      </c>
      <c r="GJ42" s="3">
        <f>$H42*factors!GD$3</f>
        <v>0.29005760545000003</v>
      </c>
      <c r="GK42" s="3">
        <f>$H42*factors!GE$3</f>
        <v>0.29736230905000005</v>
      </c>
      <c r="GL42" s="3">
        <f>$H42*factors!GF$3</f>
        <v>0.31501534275000004</v>
      </c>
      <c r="GM42" s="3">
        <f>$H42*factors!GG$3</f>
        <v>0.29857975965000005</v>
      </c>
      <c r="GN42" s="3">
        <f>$H42*factors!GH$3</f>
        <v>0.30801500180000008</v>
      </c>
      <c r="GO42" s="3">
        <f>$H42*factors!GI$3</f>
        <v>0.29097069339999998</v>
      </c>
      <c r="GP42" s="3">
        <f>$H42*factors!GJ$3</f>
        <v>0.31197171625000003</v>
      </c>
      <c r="GQ42" s="3">
        <f>$H42*factors!GK$3</f>
        <v>0.31836333190000005</v>
      </c>
      <c r="GR42" s="3">
        <f>$H42*factors!GL$3</f>
        <v>0.31227607890000003</v>
      </c>
      <c r="GS42" s="3">
        <f>$H42*factors!GM$3</f>
        <v>0.29531699204200001</v>
      </c>
      <c r="GT42" s="3">
        <f>$H42*factors!GN$3</f>
        <v>0.30212010599480005</v>
      </c>
      <c r="GU42" s="3">
        <f>$H42*factors!GO$3</f>
        <v>0.30923245240000002</v>
      </c>
      <c r="GV42" s="3">
        <f>$H42*factors!GP$3</f>
        <v>0.29686315430400007</v>
      </c>
      <c r="GW42" s="3">
        <f>$H42*factors!GQ$3</f>
        <v>0.30737705768560003</v>
      </c>
      <c r="GX42" s="3">
        <f>$H42*factors!GR$3</f>
        <v>0.30242933844720005</v>
      </c>
      <c r="GY42" s="3">
        <f>$H42*factors!GS$3</f>
        <v>0.30088317618520005</v>
      </c>
      <c r="GZ42" s="3">
        <f>$H42*factors!GT$3</f>
        <v>0.31201554447160001</v>
      </c>
      <c r="HA42" s="3">
        <f>$H42*factors!GU$3</f>
        <v>0.30181087354240005</v>
      </c>
      <c r="HB42" s="3">
        <f>$H42*factors!GV$3</f>
        <v>0.31201554447160001</v>
      </c>
      <c r="HC42" s="3">
        <f>$H42*factors!GW$3</f>
        <v>0.30428473316160004</v>
      </c>
      <c r="HD42" s="3">
        <f>$H42*factors!GX$3</f>
        <v>0.31325247428120001</v>
      </c>
      <c r="HE42" s="3">
        <f>$H42*factors!GY$3</f>
        <v>0.30923245240000002</v>
      </c>
      <c r="HF42" s="3">
        <f>$H42*factors!GZ$3</f>
        <v>0.31881865842440005</v>
      </c>
      <c r="HG42" s="3">
        <f>$H42*factors!HA$3</f>
        <v>0.30644936032840003</v>
      </c>
      <c r="HH42" s="3">
        <f>$H42*factors!HB$3</f>
        <v>0.30242933844720005</v>
      </c>
      <c r="HI42" s="3">
        <f>$H42*factors!HC$3</f>
        <v>0.29871854901840006</v>
      </c>
      <c r="HJ42" s="3">
        <f>$H42*factors!HD$3</f>
        <v>0.29531699204200001</v>
      </c>
      <c r="HK42" s="3">
        <f>$H42*factors!HE$3</f>
        <v>0.31232477692400001</v>
      </c>
      <c r="HL42" s="3">
        <f>$H42*factors!HF$3</f>
        <v>0.29438929468480002</v>
      </c>
      <c r="HM42" s="3">
        <f>$H42*factors!HG$3</f>
        <v>0.29748161920880006</v>
      </c>
      <c r="HN42" s="3">
        <f>$H42*factors!HH$3</f>
        <v>0.31727249616240005</v>
      </c>
      <c r="HO42" s="3">
        <f>$H42*factors!HI$3</f>
        <v>0.30428473316160004</v>
      </c>
      <c r="HP42" s="3">
        <f>$H42*factors!HJ$3</f>
        <v>0.32469407502000008</v>
      </c>
      <c r="HQ42" s="3">
        <f>$H42*factors!HK$3</f>
        <v>0.29686315430400007</v>
      </c>
      <c r="HR42" s="3">
        <f>$H42*factors!HL$3</f>
        <v>0.31479863654320006</v>
      </c>
      <c r="HS42" s="3">
        <f>$H42*factors!HM$3</f>
        <v>0.32036482068640004</v>
      </c>
      <c r="HT42" s="3">
        <f>$H42*factors!HN$3</f>
        <v>0.29871854901840006</v>
      </c>
      <c r="HU42" s="3">
        <f>$H42*factors!HO$3</f>
        <v>0.30181087354240005</v>
      </c>
      <c r="HV42" s="3">
        <f>$H42*factors!HP$3</f>
        <v>0.30552166297120004</v>
      </c>
      <c r="HW42" s="3">
        <f>$H42*factors!HQ$3</f>
        <v>0.30985091730480002</v>
      </c>
      <c r="HX42" s="3">
        <f>$H42*factors!HR$3</f>
        <v>0.32252944785319998</v>
      </c>
      <c r="HY42" s="3">
        <f>$H42*factors!HS$3</f>
        <v>0.30644936032840003</v>
      </c>
      <c r="HZ42" s="3">
        <f>$H42*factors!HT$3</f>
        <v>0.31820019351960005</v>
      </c>
      <c r="IA42" s="3">
        <f>$H42*factors!HU$3</f>
        <v>0.30273857089960005</v>
      </c>
      <c r="IB42" s="3">
        <f>$H42*factors!HV$3</f>
        <v>0.31325247428120001</v>
      </c>
      <c r="IC42" s="3">
        <f>$H42*factors!HW$3</f>
        <v>0.31634479880520006</v>
      </c>
      <c r="ID42" s="3">
        <f>$H42*factors!HX$3</f>
        <v>0.29377082978000002</v>
      </c>
      <c r="IE42" s="3">
        <f>$H42*factors!HY$3</f>
        <v>0.31201554447160001</v>
      </c>
      <c r="IF42" s="3">
        <f>$H42*factors!HZ$3</f>
        <v>0.31016014975720002</v>
      </c>
      <c r="IG42" s="3">
        <f>$H42*factors!IA$3</f>
        <v>0.30737705768560003</v>
      </c>
      <c r="IH42" s="3">
        <f>$H42*factors!IB$3</f>
        <v>0.31881865842440005</v>
      </c>
      <c r="II42" s="3">
        <f>$H42*factors!IC$3</f>
        <v>0.30521243051880004</v>
      </c>
      <c r="IJ42" s="3">
        <f>$H42*factors!ID$3</f>
        <v>0.30799552259040003</v>
      </c>
      <c r="IK42" s="3">
        <f>$H42*factors!IE$3</f>
        <v>0.31912789087680005</v>
      </c>
      <c r="IL42" s="3">
        <f>$H42*factors!IF$3</f>
        <v>0.30552166297120004</v>
      </c>
      <c r="IM42" s="3">
        <f>$H42*factors!IG$3</f>
        <v>0.30273857089960005</v>
      </c>
      <c r="IN42" s="3">
        <f>$H42*factors!IH$3</f>
        <v>0.30459396561400004</v>
      </c>
      <c r="IO42" s="3">
        <f>$H42*factors!II$3</f>
        <v>0.30768629013800003</v>
      </c>
      <c r="IP42" s="3">
        <f>$H42*factors!IJ$3</f>
        <v>0.29748161920880006</v>
      </c>
      <c r="IQ42" s="3">
        <f>$H42*factors!IK$3</f>
        <v>0.29655392185160001</v>
      </c>
      <c r="IR42" s="3">
        <f>$H42*factors!IL$3</f>
        <v>0.30521243051880004</v>
      </c>
      <c r="IS42" s="3">
        <f>$H42*factors!IM$3</f>
        <v>0.30768629013800003</v>
      </c>
      <c r="IT42" s="3">
        <f>$H42*factors!IN$3</f>
        <v>0.30985091730480002</v>
      </c>
      <c r="IU42" s="3">
        <f>$H42*factors!IO$3</f>
        <v>0.31665403125760005</v>
      </c>
      <c r="IV42" s="3">
        <f>$H42*factors!IP$3</f>
        <v>0.32067405313880004</v>
      </c>
      <c r="IW42" s="3">
        <f>$H42*factors!IQ$3</f>
        <v>0.30304780335200004</v>
      </c>
      <c r="IX42" s="3">
        <f>$H42*factors!IR$3</f>
        <v>0.31665403125760005</v>
      </c>
      <c r="IY42" s="3">
        <f>$H42*factors!IS$3</f>
        <v>0.31201554447160001</v>
      </c>
      <c r="IZ42" s="3">
        <f>$H42*factors!IT$3</f>
        <v>0.31727249616240005</v>
      </c>
      <c r="JA42" s="3">
        <f>$H42*factors!IU$3</f>
        <v>0.2996462463756</v>
      </c>
      <c r="JB42" s="3">
        <f>$H42*factors!IV$3</f>
        <v>0.30521243051880004</v>
      </c>
      <c r="JC42" s="3">
        <f>$H42*factors!IW$3</f>
        <v>0.29810008411360006</v>
      </c>
      <c r="JD42" s="3">
        <f>$H42*factors!IX$3</f>
        <v>0.32469407502000008</v>
      </c>
      <c r="JE42" s="3">
        <f>$H42*factors!IY$3</f>
        <v>0.2990277814708</v>
      </c>
      <c r="JF42" s="3">
        <f>$H42*factors!IZ$3</f>
        <v>0.31387093918600001</v>
      </c>
      <c r="JG42" s="3">
        <f>$H42*factors!JA$3</f>
        <v>0.30830475504280003</v>
      </c>
      <c r="JH42" s="3">
        <f>$H42*factors!JB$3</f>
        <v>0.31418017163840006</v>
      </c>
      <c r="JI42" s="3">
        <f>$H42*factors!JC$3</f>
        <v>0.29408006223240002</v>
      </c>
      <c r="JJ42" s="3">
        <f>$H42*factors!JD$3</f>
        <v>0.31665403125760005</v>
      </c>
      <c r="JK42" s="3">
        <f>$H42*factors!JE$3</f>
        <v>0.30644936032840003</v>
      </c>
      <c r="JL42" s="3">
        <f>$H42*factors!JF$3</f>
        <v>0.31881865842440005</v>
      </c>
      <c r="JM42" s="3">
        <f>$H42*factors!JG$3</f>
        <v>0.29748161920880006</v>
      </c>
      <c r="JN42" s="3">
        <f>$H42*factors!JH$3</f>
        <v>0.29748161920880006</v>
      </c>
      <c r="JO42" s="3">
        <f>$H42*factors!JI$3</f>
        <v>0.29377082978000002</v>
      </c>
      <c r="JP42" s="3">
        <f>$H42*factors!JJ$3</f>
        <v>0.31758172861480005</v>
      </c>
      <c r="JQ42" s="3">
        <f>$H42*factors!JK$3</f>
        <v>0.30954168485240002</v>
      </c>
      <c r="JR42" s="3">
        <f>$H42*factors!JL$3</f>
        <v>0.32160175049600004</v>
      </c>
      <c r="JS42" s="3">
        <f>$H42*factors!JM$3</f>
        <v>0.29377082978000002</v>
      </c>
      <c r="JT42" s="3">
        <f>$H42*factors!JN$3</f>
        <v>0.30861398749520003</v>
      </c>
      <c r="JU42" s="3">
        <f>$H42*factors!JO$3</f>
        <v>0.298409316566</v>
      </c>
      <c r="JV42" s="3">
        <f>$H42*factors!JP$3</f>
        <v>0.30335703580440004</v>
      </c>
      <c r="JW42" s="3">
        <f>$H42*factors!JQ$3</f>
        <v>0.32407561011520009</v>
      </c>
      <c r="JX42" s="3">
        <f>$H42*factors!JR$3</f>
        <v>0.32098328559120004</v>
      </c>
      <c r="JY42" s="3">
        <f>$H42*factors!JS$3</f>
        <v>0.30212010599480005</v>
      </c>
      <c r="JZ42" s="3">
        <f>$H42*factors!JT$3</f>
        <v>0.30552166297120004</v>
      </c>
      <c r="KA42" s="3">
        <f>$H42*factors!JU$3</f>
        <v>0.30675859278080003</v>
      </c>
      <c r="KB42" s="3">
        <f>$H42*factors!JV$3</f>
        <v>0.29655392185160001</v>
      </c>
      <c r="KC42" s="3">
        <f>$H42*factors!JW$3</f>
        <v>0.29810008411360006</v>
      </c>
      <c r="KD42" s="3">
        <f>$H42*factors!JX$3</f>
        <v>0.298409316566</v>
      </c>
      <c r="KE42" s="3">
        <f>$H42*factors!JY$3</f>
        <v>0.31758172861480005</v>
      </c>
      <c r="KF42" s="3">
        <f>$H42*factors!JZ$3</f>
        <v>0.32129251804359998</v>
      </c>
      <c r="KG42" s="3">
        <f>$H42*factors!KA$3</f>
        <v>0.30985091730480002</v>
      </c>
      <c r="KH42" s="3">
        <f>$H42*factors!KB$3</f>
        <v>0.30304780335200004</v>
      </c>
      <c r="KI42" s="3">
        <f>$H42*factors!KC$3</f>
        <v>0.3002647112804</v>
      </c>
    </row>
    <row r="43" spans="1:295" x14ac:dyDescent="0.55000000000000004">
      <c r="A43" t="s">
        <v>419</v>
      </c>
      <c r="B43">
        <v>42</v>
      </c>
      <c r="C43">
        <v>287</v>
      </c>
      <c r="D43" t="s">
        <v>377</v>
      </c>
      <c r="E43">
        <v>3.431E-3</v>
      </c>
      <c r="F43">
        <v>42</v>
      </c>
      <c r="G43">
        <f>VLOOKUP(D43,demand_forecasted!$A$2:$G$11,2)</f>
        <v>11098</v>
      </c>
      <c r="H43" s="3">
        <f t="shared" si="1"/>
        <v>0.38077238000000002</v>
      </c>
      <c r="I43" s="3">
        <f>$H43*factors!C$3</f>
        <v>0.42151502466000002</v>
      </c>
      <c r="J43" s="3">
        <f>$H43*factors!D$3</f>
        <v>0.40629936035520003</v>
      </c>
      <c r="K43" s="3">
        <f>$H43*factors!E$3</f>
        <v>0.39930837945840003</v>
      </c>
      <c r="L43" s="3">
        <f>$H43*factors!F$3</f>
        <v>0.39807467694720006</v>
      </c>
      <c r="M43" s="3">
        <f>$H43*factors!G$3</f>
        <v>0.39766344277679999</v>
      </c>
      <c r="N43" s="3">
        <f>$H43*factors!H$3</f>
        <v>0.40917799954800005</v>
      </c>
      <c r="O43" s="3">
        <f>$H43*factors!I$3</f>
        <v>0.41822515129680005</v>
      </c>
      <c r="P43" s="3">
        <f>$H43*factors!J$3</f>
        <v>0.42315996134160005</v>
      </c>
      <c r="Q43" s="3">
        <f>$H43*factors!K$3</f>
        <v>0.39725220860640004</v>
      </c>
      <c r="R43" s="3">
        <f>$H43*factors!L$3</f>
        <v>0.39067246188000004</v>
      </c>
      <c r="S43" s="3">
        <f>$H43*factors!M$3</f>
        <v>0.40671059452559999</v>
      </c>
      <c r="T43" s="3">
        <f>$H43*factors!N$3</f>
        <v>0.42069255631920005</v>
      </c>
      <c r="U43" s="3">
        <f>$H43*factors!O$3</f>
        <v>0.39848591111760007</v>
      </c>
      <c r="V43" s="3">
        <f>$H43*factors!P$3</f>
        <v>0.41452404376320007</v>
      </c>
      <c r="W43" s="3">
        <f>$H43*factors!Q$3</f>
        <v>0.41822515129680005</v>
      </c>
      <c r="X43" s="3">
        <f>$H43*factors!R$3</f>
        <v>0.4001308477992</v>
      </c>
      <c r="Y43" s="3">
        <f>$H43*factors!S$3</f>
        <v>0.39642974026560002</v>
      </c>
      <c r="Z43" s="3">
        <f>$H43*factors!T$3</f>
        <v>0.42768353721600011</v>
      </c>
      <c r="AA43" s="3">
        <f>$H43*factors!U$3</f>
        <v>0.40383195533280003</v>
      </c>
      <c r="AB43" s="3">
        <f>$H43*factors!V$3</f>
        <v>0.4042431895032001</v>
      </c>
      <c r="AC43" s="3">
        <f>$H43*factors!W$3</f>
        <v>0.40465442367360005</v>
      </c>
      <c r="AD43" s="3">
        <f>$H43*factors!X$3</f>
        <v>0.39601850609520006</v>
      </c>
      <c r="AE43" s="3">
        <f>$H43*factors!Y$3</f>
        <v>0.39930837945840003</v>
      </c>
      <c r="AF43" s="3">
        <f>$H43*factors!Z$3</f>
        <v>0.40753306286640006</v>
      </c>
      <c r="AG43" s="3">
        <f>$H43*factors!AA$3</f>
        <v>0.39725220860640004</v>
      </c>
      <c r="AH43" s="3">
        <f>$H43*factors!AB$3</f>
        <v>0.39560727192480005</v>
      </c>
      <c r="AI43" s="3">
        <f>$H43*factors!AC$3</f>
        <v>0.40835553120720003</v>
      </c>
      <c r="AJ43" s="3">
        <f>$H43*factors!AD$3</f>
        <v>0.42398242968240002</v>
      </c>
      <c r="AK43" s="3">
        <f>$H43*factors!AE$3</f>
        <v>0.40794429703680007</v>
      </c>
      <c r="AL43" s="3">
        <f>$H43*factors!AF$3</f>
        <v>0.39190616439120002</v>
      </c>
      <c r="AM43" s="3">
        <f>$H43*factors!AG$3</f>
        <v>0.40300948699200001</v>
      </c>
      <c r="AN43" s="3">
        <f>$H43*factors!AH$3</f>
        <v>0.39642974026560002</v>
      </c>
      <c r="AO43" s="3">
        <f>$H43*factors!AI$3</f>
        <v>0.41534651210400003</v>
      </c>
      <c r="AP43" s="3">
        <f>$H43*factors!AJ$3</f>
        <v>0.39807467694720006</v>
      </c>
      <c r="AQ43" s="3">
        <f>$H43*factors!AK$3</f>
        <v>0.41082293622960009</v>
      </c>
      <c r="AR43" s="3">
        <f>$H43*factors!AL$3</f>
        <v>0.40177578448080004</v>
      </c>
      <c r="AS43" s="3">
        <f>$H43*factors!AM$3</f>
        <v>0.39190616439120002</v>
      </c>
      <c r="AT43" s="3">
        <f>$H43*factors!AN$3</f>
        <v>0.4042431895032001</v>
      </c>
      <c r="AU43" s="3">
        <f>$H43*factors!AO$3</f>
        <v>0.42809477138640001</v>
      </c>
      <c r="AV43" s="3">
        <f>$H43*factors!AP$3</f>
        <v>0.40465442367360005</v>
      </c>
      <c r="AW43" s="3">
        <f>$H43*factors!AQ$3</f>
        <v>0.40054208196960001</v>
      </c>
      <c r="AX43" s="3">
        <f>$H43*factors!AR$3</f>
        <v>0.42357119551200006</v>
      </c>
      <c r="AY43" s="3">
        <f>$H43*factors!AS$3</f>
        <v>0.39067246188000004</v>
      </c>
      <c r="AZ43" s="3">
        <f>$H43*factors!AT$3</f>
        <v>0.41863638546720011</v>
      </c>
      <c r="BA43" s="3">
        <f>$H43*factors!AU$3</f>
        <v>0.4095892337184</v>
      </c>
      <c r="BB43" s="3">
        <f>$H43*factors!AV$3</f>
        <v>0.4042431895032001</v>
      </c>
      <c r="BC43" s="3">
        <f>$H43*factors!AW$3</f>
        <v>0.42768353721600011</v>
      </c>
      <c r="BD43" s="3">
        <f>$H43*factors!AX$3</f>
        <v>0.39478480358399998</v>
      </c>
      <c r="BE43" s="3">
        <f>$H43*factors!AY$3</f>
        <v>0.4641386848772</v>
      </c>
      <c r="BF43" s="3">
        <f>$H43*factors!AZ$3</f>
        <v>0.4322375748808</v>
      </c>
      <c r="BG43" s="3">
        <f>$H43*factors!BA$3</f>
        <v>0.43852793459839995</v>
      </c>
      <c r="BH43" s="3">
        <f>$H43*factors!BB$3</f>
        <v>0.44436898290760002</v>
      </c>
      <c r="BI43" s="3">
        <f>$H43*factors!BC$3</f>
        <v>0.46054419360999993</v>
      </c>
      <c r="BJ43" s="3">
        <f>$H43*factors!BD$3</f>
        <v>0.43987586882359997</v>
      </c>
      <c r="BK43" s="3">
        <f>$H43*factors!BE$3</f>
        <v>0.44077449164039995</v>
      </c>
      <c r="BL43" s="3">
        <f>$H43*factors!BF$3</f>
        <v>0.43583206614799996</v>
      </c>
      <c r="BM43" s="3">
        <f>$H43*factors!BG$3</f>
        <v>0.46548661910240002</v>
      </c>
      <c r="BN43" s="3">
        <f>$H43*factors!BH$3</f>
        <v>0.45964557079319995</v>
      </c>
      <c r="BO43" s="3">
        <f>$H43*factors!BI$3</f>
        <v>0.4322375748808</v>
      </c>
      <c r="BP43" s="3">
        <f>$H43*factors!BJ$3</f>
        <v>0.43088964065559998</v>
      </c>
      <c r="BQ43" s="3">
        <f>$H43*factors!BK$3</f>
        <v>0.43807862318999996</v>
      </c>
      <c r="BR43" s="3">
        <f>$H43*factors!BL$3</f>
        <v>0.45380452248399999</v>
      </c>
      <c r="BS43" s="3">
        <f>$H43*factors!BM$3</f>
        <v>0.46099350501840003</v>
      </c>
      <c r="BT43" s="3">
        <f>$H43*factors!BN$3</f>
        <v>0.46234143924359999</v>
      </c>
      <c r="BU43" s="3">
        <f>$H43*factors!BO$3</f>
        <v>0.46997973318640002</v>
      </c>
      <c r="BV43" s="3">
        <f>$H43*factors!BP$3</f>
        <v>0.43718000037319998</v>
      </c>
      <c r="BW43" s="3">
        <f>$H43*factors!BQ$3</f>
        <v>0.447064851358</v>
      </c>
      <c r="BX43" s="3">
        <f>$H43*factors!BR$3</f>
        <v>0.43852793459839995</v>
      </c>
      <c r="BY43" s="3">
        <f>$H43*factors!BS$3</f>
        <v>0.45874694797639992</v>
      </c>
      <c r="BZ43" s="3">
        <f>$H43*factors!BT$3</f>
        <v>0.45021003121679998</v>
      </c>
      <c r="CA43" s="3">
        <f>$H43*factors!BU$3</f>
        <v>0.44436898290760002</v>
      </c>
      <c r="CB43" s="3">
        <f>$H43*factors!BV$3</f>
        <v>0.4299910178388</v>
      </c>
      <c r="CC43" s="3">
        <f>$H43*factors!BW$3</f>
        <v>0.44257173727400001</v>
      </c>
      <c r="CD43" s="3">
        <f>$H43*factors!BX$3</f>
        <v>0.44391967149920003</v>
      </c>
      <c r="CE43" s="3">
        <f>$H43*factors!BY$3</f>
        <v>0.45021003121679998</v>
      </c>
      <c r="CF43" s="3">
        <f>$H43*factors!BZ$3</f>
        <v>0.44347036009080004</v>
      </c>
      <c r="CG43" s="3">
        <f>$H43*factors!CA$3</f>
        <v>0.42864308361359998</v>
      </c>
      <c r="CH43" s="3">
        <f>$H43*factors!CB$3</f>
        <v>0.42909239502199992</v>
      </c>
      <c r="CI43" s="3">
        <f>$H43*factors!CC$3</f>
        <v>0.42684583798000003</v>
      </c>
      <c r="CJ43" s="3">
        <f>$H43*factors!CD$3</f>
        <v>0.44436898290760002</v>
      </c>
      <c r="CK43" s="3">
        <f>$H43*factors!CE$3</f>
        <v>0.4641386848772</v>
      </c>
      <c r="CL43" s="3">
        <f>$H43*factors!CF$3</f>
        <v>0.43493344333119999</v>
      </c>
      <c r="CM43" s="3">
        <f>$H43*factors!CG$3</f>
        <v>0.4452676057244</v>
      </c>
      <c r="CN43" s="3">
        <f>$H43*factors!CH$3</f>
        <v>0.43044032924719999</v>
      </c>
      <c r="CO43" s="3">
        <f>$H43*factors!CI$3</f>
        <v>0.43358550910599997</v>
      </c>
      <c r="CP43" s="3">
        <f>$H43*factors!CJ$3</f>
        <v>0.45425383389239993</v>
      </c>
      <c r="CQ43" s="3">
        <f>$H43*factors!CK$3</f>
        <v>0.44077449164039995</v>
      </c>
      <c r="CR43" s="3">
        <f>$H43*factors!CL$3</f>
        <v>0.45470314530079997</v>
      </c>
      <c r="CS43" s="3">
        <f>$H43*factors!CM$3</f>
        <v>0.46908111036959999</v>
      </c>
      <c r="CT43" s="3">
        <f>$H43*factors!CN$3</f>
        <v>0.46368937346880001</v>
      </c>
      <c r="CU43" s="3">
        <f>$H43*factors!CO$3</f>
        <v>0.45335521107559995</v>
      </c>
      <c r="CV43" s="3">
        <f>$H43*factors!CP$3</f>
        <v>0.47177697881999997</v>
      </c>
      <c r="CW43" s="3">
        <f>$H43*factors!CQ$3</f>
        <v>0.44616622854120003</v>
      </c>
      <c r="CX43" s="3">
        <f>$H43*factors!CR$3</f>
        <v>0.43942655741519998</v>
      </c>
      <c r="CY43" s="3">
        <f>$H43*factors!CS$3</f>
        <v>0.43538275473959998</v>
      </c>
      <c r="CZ43" s="3">
        <f>$H43*factors!CT$3</f>
        <v>0.42909239502199992</v>
      </c>
      <c r="DA43" s="3">
        <f>$H43*factors!CU$3</f>
        <v>0.44550368460000001</v>
      </c>
      <c r="DB43" s="3">
        <f>$H43*factors!CV$3</f>
        <v>0.47429007652800004</v>
      </c>
      <c r="DC43" s="3">
        <f>$H43*factors!CW$3</f>
        <v>0.454185294864</v>
      </c>
      <c r="DD43" s="3">
        <f>$H43*factors!CX$3</f>
        <v>0.45098680687199999</v>
      </c>
      <c r="DE43" s="3">
        <f>$H43*factors!CY$3</f>
        <v>0.46423768569600005</v>
      </c>
      <c r="DF43" s="3">
        <f>$H43*factors!CZ$3</f>
        <v>0.46332383198399996</v>
      </c>
      <c r="DG43" s="3">
        <f>$H43*factors!DA$3</f>
        <v>0.46149612456</v>
      </c>
      <c r="DH43" s="3">
        <f>$H43*factors!DB$3</f>
        <v>0.46149612456</v>
      </c>
      <c r="DI43" s="3">
        <f>$H43*factors!DC$3</f>
        <v>0.44413290403199995</v>
      </c>
      <c r="DJ43" s="3">
        <f>$H43*factors!DD$3</f>
        <v>0.47063466168000001</v>
      </c>
      <c r="DK43" s="3">
        <f>$H43*factors!DE$3</f>
        <v>0.47063466168000001</v>
      </c>
      <c r="DL43" s="3">
        <f>$H43*factors!DF$3</f>
        <v>0.46515153940800003</v>
      </c>
      <c r="DM43" s="3">
        <f>$H43*factors!DG$3</f>
        <v>0.43819285490399995</v>
      </c>
      <c r="DN43" s="3">
        <f>$H43*factors!DH$3</f>
        <v>0.45966841713600004</v>
      </c>
      <c r="DO43" s="3">
        <f>$H43*factors!DI$3</f>
        <v>0.474747003384</v>
      </c>
      <c r="DP43" s="3">
        <f>$H43*factors!DJ$3</f>
        <v>0.47063466168000001</v>
      </c>
      <c r="DQ43" s="3">
        <f>$H43*factors!DK$3</f>
        <v>0.44870217259199996</v>
      </c>
      <c r="DR43" s="3">
        <f>$H43*factors!DL$3</f>
        <v>0.44367597717600005</v>
      </c>
      <c r="DS43" s="3">
        <f>$H43*factors!DM$3</f>
        <v>0.47931627194400001</v>
      </c>
      <c r="DT43" s="3">
        <f>$H43*factors!DN$3</f>
        <v>0.45052988001600003</v>
      </c>
      <c r="DU43" s="3">
        <f>$H43*factors!DO$3</f>
        <v>0.47154851539199999</v>
      </c>
      <c r="DV43" s="3">
        <f>$H43*factors!DP$3</f>
        <v>0.46058227084800002</v>
      </c>
      <c r="DW43" s="3">
        <f>$H43*factors!DQ$3</f>
        <v>0.439563635472</v>
      </c>
      <c r="DX43" s="3">
        <f>$H43*factors!DR$3</f>
        <v>0.46560846626399999</v>
      </c>
      <c r="DY43" s="3">
        <f>$H43*factors!DS$3</f>
        <v>0.44184826975199998</v>
      </c>
      <c r="DZ43" s="3">
        <f>$H43*factors!DT$3</f>
        <v>0.47246236910399997</v>
      </c>
      <c r="EA43" s="3">
        <f>$H43*factors!DU$3</f>
        <v>0.44504675774399999</v>
      </c>
      <c r="EB43" s="3">
        <f>$H43*factors!DV$3</f>
        <v>0.43408051319999996</v>
      </c>
      <c r="EC43" s="3">
        <f>$H43*factors!DW$3</f>
        <v>0.46697924683199998</v>
      </c>
      <c r="ED43" s="3">
        <f>$H43*factors!DX$3</f>
        <v>0.43819285490399995</v>
      </c>
      <c r="EE43" s="3">
        <f>$H43*factors!DY$3</f>
        <v>0.44184826975199998</v>
      </c>
      <c r="EF43" s="3">
        <f>$H43*factors!DZ$3</f>
        <v>0.47931627194400001</v>
      </c>
      <c r="EG43" s="3">
        <f>$H43*factors!EA$3</f>
        <v>0.44778831887999998</v>
      </c>
      <c r="EH43" s="3">
        <f>$H43*factors!EB$3</f>
        <v>0.44915909944800003</v>
      </c>
      <c r="EI43" s="3">
        <f>$H43*factors!EC$3</f>
        <v>0.44824524573600005</v>
      </c>
      <c r="EJ43" s="3">
        <f>$H43*factors!ED$3</f>
        <v>0.43682207433600001</v>
      </c>
      <c r="EK43" s="3">
        <f>$H43*factors!EE$3</f>
        <v>0.46697924683199998</v>
      </c>
      <c r="EL43" s="3">
        <f>$H43*factors!EF$3</f>
        <v>0.44413290403199995</v>
      </c>
      <c r="EM43" s="3">
        <f>$H43*factors!EG$3</f>
        <v>0.46195305141599996</v>
      </c>
      <c r="EN43" s="3">
        <f>$H43*factors!EH$3</f>
        <v>0.43408051319999996</v>
      </c>
      <c r="EO43" s="3">
        <f>$H43*factors!EI$3</f>
        <v>0.44047748918399998</v>
      </c>
      <c r="EP43" s="3">
        <f>$H43*factors!EJ$3</f>
        <v>0.46469461255200001</v>
      </c>
      <c r="EQ43" s="3">
        <f>$H43*factors!EK$3</f>
        <v>0.45190066058399997</v>
      </c>
      <c r="ER43" s="3">
        <f>$H43*factors!EL$3</f>
        <v>0.47063466168000001</v>
      </c>
      <c r="ES43" s="3">
        <f>$H43*factors!EM$3</f>
        <v>0.46469461255200001</v>
      </c>
      <c r="ET43" s="3">
        <f>$H43*factors!EN$3</f>
        <v>0.47520393024000002</v>
      </c>
      <c r="EU43" s="3">
        <f>$H43*factors!EO$3</f>
        <v>0.47977319880000002</v>
      </c>
      <c r="EV43" s="3">
        <f>$H43*factors!EP$3</f>
        <v>0.44961602630399999</v>
      </c>
      <c r="EW43" s="3">
        <f>$H43*factors!EQ$3</f>
        <v>0.49452812852499994</v>
      </c>
      <c r="EX43" s="3">
        <f>$H43*factors!ER$3</f>
        <v>0.4892925083000001</v>
      </c>
      <c r="EY43" s="3">
        <f>$H43*factors!ES$3</f>
        <v>0.49928778327499995</v>
      </c>
      <c r="EZ43" s="3">
        <f>$H43*factors!ET$3</f>
        <v>0.49452812852499994</v>
      </c>
      <c r="FA43" s="3">
        <f>$H43*factors!EU$3</f>
        <v>0.45454702862499996</v>
      </c>
      <c r="FB43" s="3">
        <f>$H43*factors!EV$3</f>
        <v>0.47501354405000007</v>
      </c>
      <c r="FC43" s="3">
        <f>$H43*factors!EW$3</f>
        <v>0.48834057735000003</v>
      </c>
      <c r="FD43" s="3">
        <f>$H43*factors!EX$3</f>
        <v>0.47120582025000002</v>
      </c>
      <c r="FE43" s="3">
        <f>$H43*factors!EY$3</f>
        <v>0.49643199042500002</v>
      </c>
      <c r="FF43" s="3">
        <f>$H43*factors!EZ$3</f>
        <v>0.49690795590000009</v>
      </c>
      <c r="FG43" s="3">
        <f>$H43*factors!FA$3</f>
        <v>0.45454702862499996</v>
      </c>
      <c r="FH43" s="3">
        <f>$H43*factors!FB$3</f>
        <v>0.478345302375</v>
      </c>
      <c r="FI43" s="3">
        <f>$H43*factors!FC$3</f>
        <v>0.49833585232499999</v>
      </c>
      <c r="FJ43" s="3">
        <f>$H43*factors!FD$3</f>
        <v>0.478345302375</v>
      </c>
      <c r="FK43" s="3">
        <f>$H43*factors!FE$3</f>
        <v>0.48643671545000006</v>
      </c>
      <c r="FL43" s="3">
        <f>$H43*factors!FF$3</f>
        <v>0.48786461187500002</v>
      </c>
      <c r="FM43" s="3">
        <f>$H43*factors!FG$3</f>
        <v>0.49310023209999998</v>
      </c>
      <c r="FN43" s="3">
        <f>$H43*factors!FH$3</f>
        <v>0.46121054527499999</v>
      </c>
      <c r="FO43" s="3">
        <f>$H43*factors!FI$3</f>
        <v>0.48976847377499999</v>
      </c>
      <c r="FP43" s="3">
        <f>$H43*factors!FJ$3</f>
        <v>0.47596547500000003</v>
      </c>
      <c r="FQ43" s="3">
        <f>$H43*factors!FK$3</f>
        <v>0.47120582025000002</v>
      </c>
      <c r="FR43" s="3">
        <f>$H43*factors!FL$3</f>
        <v>0.48072512975000004</v>
      </c>
      <c r="FS43" s="3">
        <f>$H43*factors!FM$3</f>
        <v>0.4778693369</v>
      </c>
      <c r="FT43" s="3">
        <f>$H43*factors!FN$3</f>
        <v>0.48834057735000003</v>
      </c>
      <c r="FU43" s="3">
        <f>$H43*factors!FO$3</f>
        <v>0.46930195834999999</v>
      </c>
      <c r="FV43" s="3">
        <f>$H43*factors!FP$3</f>
        <v>0.46549423455</v>
      </c>
      <c r="FW43" s="3">
        <f>$H43*factors!FQ$3</f>
        <v>0.49833585232499999</v>
      </c>
      <c r="FX43" s="3">
        <f>$H43*factors!FR$3</f>
        <v>0.4892925083000001</v>
      </c>
      <c r="FY43" s="3">
        <f>$H43*factors!FS$3</f>
        <v>0.47929723332499996</v>
      </c>
      <c r="FZ43" s="3">
        <f>$H43*factors!FT$3</f>
        <v>0.45549895957500003</v>
      </c>
      <c r="GA43" s="3">
        <f>$H43*factors!FU$3</f>
        <v>0.47929723332499996</v>
      </c>
      <c r="GB43" s="3">
        <f>$H43*factors!FV$3</f>
        <v>0.49690795590000009</v>
      </c>
      <c r="GC43" s="3">
        <f>$H43*factors!FW$3</f>
        <v>0.46549423455</v>
      </c>
      <c r="GD43" s="3">
        <f>$H43*factors!FX$3</f>
        <v>0.47358564762499999</v>
      </c>
      <c r="GE43" s="3">
        <f>$H43*factors!FY$3</f>
        <v>0.47358564762499999</v>
      </c>
      <c r="GF43" s="3">
        <f>$H43*factors!FZ$3</f>
        <v>0.47215775120000003</v>
      </c>
      <c r="GG43" s="3">
        <f>$H43*factors!GA$3</f>
        <v>0.453595097675</v>
      </c>
      <c r="GH43" s="3">
        <f>$H43*factors!GB$3</f>
        <v>0.48262899165000006</v>
      </c>
      <c r="GI43" s="3">
        <f>$H43*factors!GC$3</f>
        <v>0.45264316672499999</v>
      </c>
      <c r="GJ43" s="3">
        <f>$H43*factors!GD$3</f>
        <v>0.453595097675</v>
      </c>
      <c r="GK43" s="3">
        <f>$H43*factors!GE$3</f>
        <v>0.46501826907499999</v>
      </c>
      <c r="GL43" s="3">
        <f>$H43*factors!GF$3</f>
        <v>0.49262426662500003</v>
      </c>
      <c r="GM43" s="3">
        <f>$H43*factors!GG$3</f>
        <v>0.46692213097500007</v>
      </c>
      <c r="GN43" s="3">
        <f>$H43*factors!GH$3</f>
        <v>0.48167706070000005</v>
      </c>
      <c r="GO43" s="3">
        <f>$H43*factors!GI$3</f>
        <v>0.45502299409999997</v>
      </c>
      <c r="GP43" s="3">
        <f>$H43*factors!GJ$3</f>
        <v>0.48786461187500002</v>
      </c>
      <c r="GQ43" s="3">
        <f>$H43*factors!GK$3</f>
        <v>0.49785988685000004</v>
      </c>
      <c r="GR43" s="3">
        <f>$H43*factors!GL$3</f>
        <v>0.48834057735000003</v>
      </c>
      <c r="GS43" s="3">
        <f>$H43*factors!GM$3</f>
        <v>0.46181978108300004</v>
      </c>
      <c r="GT43" s="3">
        <f>$H43*factors!GN$3</f>
        <v>0.47245856138020004</v>
      </c>
      <c r="GU43" s="3">
        <f>$H43*factors!GO$3</f>
        <v>0.48358092260000002</v>
      </c>
      <c r="GV43" s="3">
        <f>$H43*factors!GP$3</f>
        <v>0.46423768569600005</v>
      </c>
      <c r="GW43" s="3">
        <f>$H43*factors!GQ$3</f>
        <v>0.48067943706440003</v>
      </c>
      <c r="GX43" s="3">
        <f>$H43*factors!GR$3</f>
        <v>0.47294214230280002</v>
      </c>
      <c r="GY43" s="3">
        <f>$H43*factors!GS$3</f>
        <v>0.47052423768980006</v>
      </c>
      <c r="GZ43" s="3">
        <f>$H43*factors!GT$3</f>
        <v>0.48793315090339995</v>
      </c>
      <c r="HA43" s="3">
        <f>$H43*factors!GU$3</f>
        <v>0.4719749804576</v>
      </c>
      <c r="HB43" s="3">
        <f>$H43*factors!GV$3</f>
        <v>0.48793315090339995</v>
      </c>
      <c r="HC43" s="3">
        <f>$H43*factors!GW$3</f>
        <v>0.47584362783840001</v>
      </c>
      <c r="HD43" s="3">
        <f>$H43*factors!GX$3</f>
        <v>0.48986747459379998</v>
      </c>
      <c r="HE43" s="3">
        <f>$H43*factors!GY$3</f>
        <v>0.48358092260000002</v>
      </c>
      <c r="HF43" s="3">
        <f>$H43*factors!GZ$3</f>
        <v>0.4985719312006</v>
      </c>
      <c r="HG43" s="3">
        <f>$H43*factors!HA$3</f>
        <v>0.47922869429660003</v>
      </c>
      <c r="HH43" s="3">
        <f>$H43*factors!HB$3</f>
        <v>0.47294214230280002</v>
      </c>
      <c r="HI43" s="3">
        <f>$H43*factors!HC$3</f>
        <v>0.46713917123160004</v>
      </c>
      <c r="HJ43" s="3">
        <f>$H43*factors!HD$3</f>
        <v>0.46181978108300004</v>
      </c>
      <c r="HK43" s="3">
        <f>$H43*factors!HE$3</f>
        <v>0.48841673182599998</v>
      </c>
      <c r="HL43" s="3">
        <f>$H43*factors!HF$3</f>
        <v>0.46036903831519999</v>
      </c>
      <c r="HM43" s="3">
        <f>$H43*factors!HG$3</f>
        <v>0.46520484754120006</v>
      </c>
      <c r="HN43" s="3">
        <f>$H43*factors!HH$3</f>
        <v>0.49615402658760005</v>
      </c>
      <c r="HO43" s="3">
        <f>$H43*factors!HI$3</f>
        <v>0.47584362783840001</v>
      </c>
      <c r="HP43" s="3">
        <f>$H43*factors!HJ$3</f>
        <v>0.50775996873000007</v>
      </c>
      <c r="HQ43" s="3">
        <f>$H43*factors!HK$3</f>
        <v>0.46423768569600005</v>
      </c>
      <c r="HR43" s="3">
        <f>$H43*factors!HL$3</f>
        <v>0.4922853792068001</v>
      </c>
      <c r="HS43" s="3">
        <f>$H43*factors!HM$3</f>
        <v>0.50098983581360002</v>
      </c>
      <c r="HT43" s="3">
        <f>$H43*factors!HN$3</f>
        <v>0.46713917123160004</v>
      </c>
      <c r="HU43" s="3">
        <f>$H43*factors!HO$3</f>
        <v>0.4719749804576</v>
      </c>
      <c r="HV43" s="3">
        <f>$H43*factors!HP$3</f>
        <v>0.47777795152880004</v>
      </c>
      <c r="HW43" s="3">
        <f>$H43*factors!HQ$3</f>
        <v>0.48454808444520003</v>
      </c>
      <c r="HX43" s="3">
        <f>$H43*factors!HR$3</f>
        <v>0.50437490227179993</v>
      </c>
      <c r="HY43" s="3">
        <f>$H43*factors!HS$3</f>
        <v>0.47922869429660003</v>
      </c>
      <c r="HZ43" s="3">
        <f>$H43*factors!HT$3</f>
        <v>0.49760476935539999</v>
      </c>
      <c r="IA43" s="3">
        <f>$H43*factors!HU$3</f>
        <v>0.47342572322540005</v>
      </c>
      <c r="IB43" s="3">
        <f>$H43*factors!HV$3</f>
        <v>0.48986747459379998</v>
      </c>
      <c r="IC43" s="3">
        <f>$H43*factors!HW$3</f>
        <v>0.4947032838198</v>
      </c>
      <c r="ID43" s="3">
        <f>$H43*factors!HX$3</f>
        <v>0.45940187646999997</v>
      </c>
      <c r="IE43" s="3">
        <f>$H43*factors!HY$3</f>
        <v>0.48793315090339995</v>
      </c>
      <c r="IF43" s="3">
        <f>$H43*factors!HZ$3</f>
        <v>0.48503166536779996</v>
      </c>
      <c r="IG43" s="3">
        <f>$H43*factors!IA$3</f>
        <v>0.48067943706440003</v>
      </c>
      <c r="IH43" s="3">
        <f>$H43*factors!IB$3</f>
        <v>0.4985719312006</v>
      </c>
      <c r="II43" s="3">
        <f>$H43*factors!IC$3</f>
        <v>0.4772943706062</v>
      </c>
      <c r="IJ43" s="3">
        <f>$H43*factors!ID$3</f>
        <v>0.48164659890960004</v>
      </c>
      <c r="IK43" s="3">
        <f>$H43*factors!IE$3</f>
        <v>0.49905551212320004</v>
      </c>
      <c r="IL43" s="3">
        <f>$H43*factors!IF$3</f>
        <v>0.47777795152880004</v>
      </c>
      <c r="IM43" s="3">
        <f>$H43*factors!IG$3</f>
        <v>0.47342572322540005</v>
      </c>
      <c r="IN43" s="3">
        <f>$H43*factors!IH$3</f>
        <v>0.47632720876100004</v>
      </c>
      <c r="IO43" s="3">
        <f>$H43*factors!II$3</f>
        <v>0.48116301798700001</v>
      </c>
      <c r="IP43" s="3">
        <f>$H43*factors!IJ$3</f>
        <v>0.46520484754120006</v>
      </c>
      <c r="IQ43" s="3">
        <f>$H43*factors!IK$3</f>
        <v>0.46375410477340001</v>
      </c>
      <c r="IR43" s="3">
        <f>$H43*factors!IL$3</f>
        <v>0.4772943706062</v>
      </c>
      <c r="IS43" s="3">
        <f>$H43*factors!IM$3</f>
        <v>0.48116301798700001</v>
      </c>
      <c r="IT43" s="3">
        <f>$H43*factors!IN$3</f>
        <v>0.48454808444520003</v>
      </c>
      <c r="IU43" s="3">
        <f>$H43*factors!IO$3</f>
        <v>0.49518686474240003</v>
      </c>
      <c r="IV43" s="3">
        <f>$H43*factors!IP$3</f>
        <v>0.50147341673619994</v>
      </c>
      <c r="IW43" s="3">
        <f>$H43*factors!IQ$3</f>
        <v>0.47390930414799998</v>
      </c>
      <c r="IX43" s="3">
        <f>$H43*factors!IR$3</f>
        <v>0.49518686474240003</v>
      </c>
      <c r="IY43" s="3">
        <f>$H43*factors!IS$3</f>
        <v>0.48793315090339995</v>
      </c>
      <c r="IZ43" s="3">
        <f>$H43*factors!IT$3</f>
        <v>0.49615402658760005</v>
      </c>
      <c r="JA43" s="3">
        <f>$H43*factors!IU$3</f>
        <v>0.46858991399939998</v>
      </c>
      <c r="JB43" s="3">
        <f>$H43*factors!IV$3</f>
        <v>0.4772943706062</v>
      </c>
      <c r="JC43" s="3">
        <f>$H43*factors!IW$3</f>
        <v>0.46617200938640002</v>
      </c>
      <c r="JD43" s="3">
        <f>$H43*factors!IX$3</f>
        <v>0.50775996873000007</v>
      </c>
      <c r="JE43" s="3">
        <f>$H43*factors!IY$3</f>
        <v>0.46762275215420002</v>
      </c>
      <c r="JF43" s="3">
        <f>$H43*factors!IZ$3</f>
        <v>0.49083463643899994</v>
      </c>
      <c r="JG43" s="3">
        <f>$H43*factors!JA$3</f>
        <v>0.48213017983220002</v>
      </c>
      <c r="JH43" s="3">
        <f>$H43*factors!JB$3</f>
        <v>0.49131821736160008</v>
      </c>
      <c r="JI43" s="3">
        <f>$H43*factors!JC$3</f>
        <v>0.45988545739260001</v>
      </c>
      <c r="JJ43" s="3">
        <f>$H43*factors!JD$3</f>
        <v>0.49518686474240003</v>
      </c>
      <c r="JK43" s="3">
        <f>$H43*factors!JE$3</f>
        <v>0.47922869429660003</v>
      </c>
      <c r="JL43" s="3">
        <f>$H43*factors!JF$3</f>
        <v>0.4985719312006</v>
      </c>
      <c r="JM43" s="3">
        <f>$H43*factors!JG$3</f>
        <v>0.46520484754120006</v>
      </c>
      <c r="JN43" s="3">
        <f>$H43*factors!JH$3</f>
        <v>0.46520484754120006</v>
      </c>
      <c r="JO43" s="3">
        <f>$H43*factors!JI$3</f>
        <v>0.45940187646999997</v>
      </c>
      <c r="JP43" s="3">
        <f>$H43*factors!JJ$3</f>
        <v>0.49663760751020003</v>
      </c>
      <c r="JQ43" s="3">
        <f>$H43*factors!JK$3</f>
        <v>0.4840645035226</v>
      </c>
      <c r="JR43" s="3">
        <f>$H43*factors!JL$3</f>
        <v>0.50292415950400005</v>
      </c>
      <c r="JS43" s="3">
        <f>$H43*factors!JM$3</f>
        <v>0.45940187646999997</v>
      </c>
      <c r="JT43" s="3">
        <f>$H43*factors!JN$3</f>
        <v>0.48261376075480006</v>
      </c>
      <c r="JU43" s="3">
        <f>$H43*factors!JO$3</f>
        <v>0.466655590309</v>
      </c>
      <c r="JV43" s="3">
        <f>$H43*factors!JP$3</f>
        <v>0.47439288507060001</v>
      </c>
      <c r="JW43" s="3">
        <f>$H43*factors!JQ$3</f>
        <v>0.50679280688480011</v>
      </c>
      <c r="JX43" s="3">
        <f>$H43*factors!JR$3</f>
        <v>0.50195699765879997</v>
      </c>
      <c r="JY43" s="3">
        <f>$H43*factors!JS$3</f>
        <v>0.47245856138020004</v>
      </c>
      <c r="JZ43" s="3">
        <f>$H43*factors!JT$3</f>
        <v>0.47777795152880004</v>
      </c>
      <c r="KA43" s="3">
        <f>$H43*factors!JU$3</f>
        <v>0.47971227521920007</v>
      </c>
      <c r="KB43" s="3">
        <f>$H43*factors!JV$3</f>
        <v>0.46375410477340001</v>
      </c>
      <c r="KC43" s="3">
        <f>$H43*factors!JW$3</f>
        <v>0.46617200938640002</v>
      </c>
      <c r="KD43" s="3">
        <f>$H43*factors!JX$3</f>
        <v>0.466655590309</v>
      </c>
      <c r="KE43" s="3">
        <f>$H43*factors!JY$3</f>
        <v>0.49663760751020003</v>
      </c>
      <c r="KF43" s="3">
        <f>$H43*factors!JZ$3</f>
        <v>0.50244057858140001</v>
      </c>
      <c r="KG43" s="3">
        <f>$H43*factors!KA$3</f>
        <v>0.48454808444520003</v>
      </c>
      <c r="KH43" s="3">
        <f>$H43*factors!KB$3</f>
        <v>0.47390930414799998</v>
      </c>
      <c r="KI43" s="3">
        <f>$H43*factors!KC$3</f>
        <v>0.46955707584459999</v>
      </c>
    </row>
    <row r="44" spans="1:295" x14ac:dyDescent="0.55000000000000004">
      <c r="A44" t="s">
        <v>420</v>
      </c>
      <c r="B44">
        <v>43</v>
      </c>
      <c r="C44">
        <v>230</v>
      </c>
      <c r="D44" t="s">
        <v>377</v>
      </c>
      <c r="E44">
        <v>3.0869999999999999E-3</v>
      </c>
      <c r="F44">
        <v>43</v>
      </c>
      <c r="G44">
        <f>VLOOKUP(D44,demand_forecasted!$A$2:$G$11,2)</f>
        <v>11098</v>
      </c>
      <c r="H44" s="3">
        <f t="shared" si="1"/>
        <v>0.34259526000000001</v>
      </c>
      <c r="I44" s="3">
        <f>$H44*factors!C$3</f>
        <v>0.37925295281999999</v>
      </c>
      <c r="J44" s="3">
        <f>$H44*factors!D$3</f>
        <v>0.36556284623040003</v>
      </c>
      <c r="K44" s="3">
        <f>$H44*factors!E$3</f>
        <v>0.35927279725680006</v>
      </c>
      <c r="L44" s="3">
        <f>$H44*factors!F$3</f>
        <v>0.35816278861440004</v>
      </c>
      <c r="M44" s="3">
        <f>$H44*factors!G$3</f>
        <v>0.35779278573360002</v>
      </c>
      <c r="N44" s="3">
        <f>$H44*factors!H$3</f>
        <v>0.36815286639600003</v>
      </c>
      <c r="O44" s="3">
        <f>$H44*factors!I$3</f>
        <v>0.37629292977360002</v>
      </c>
      <c r="P44" s="3">
        <f>$H44*factors!J$3</f>
        <v>0.38073296434320003</v>
      </c>
      <c r="Q44" s="3">
        <f>$H44*factors!K$3</f>
        <v>0.35742278285279999</v>
      </c>
      <c r="R44" s="3">
        <f>$H44*factors!L$3</f>
        <v>0.35150273676000005</v>
      </c>
      <c r="S44" s="3">
        <f>$H44*factors!M$3</f>
        <v>0.3659328491112</v>
      </c>
      <c r="T44" s="3">
        <f>$H44*factors!N$3</f>
        <v>0.37851294705840005</v>
      </c>
      <c r="U44" s="3">
        <f>$H44*factors!O$3</f>
        <v>0.35853279149520006</v>
      </c>
      <c r="V44" s="3">
        <f>$H44*factors!P$3</f>
        <v>0.37296290384640002</v>
      </c>
      <c r="W44" s="3">
        <f>$H44*factors!Q$3</f>
        <v>0.37629292977360002</v>
      </c>
      <c r="X44" s="3">
        <f>$H44*factors!R$3</f>
        <v>0.3600128030184</v>
      </c>
      <c r="Y44" s="3">
        <f>$H44*factors!S$3</f>
        <v>0.35668277709120005</v>
      </c>
      <c r="Z44" s="3">
        <f>$H44*factors!T$3</f>
        <v>0.38480299603200008</v>
      </c>
      <c r="AA44" s="3">
        <f>$H44*factors!U$3</f>
        <v>0.36334282894559999</v>
      </c>
      <c r="AB44" s="3">
        <f>$H44*factors!V$3</f>
        <v>0.36371283182640007</v>
      </c>
      <c r="AC44" s="3">
        <f>$H44*factors!W$3</f>
        <v>0.36408283470720004</v>
      </c>
      <c r="AD44" s="3">
        <f>$H44*factors!X$3</f>
        <v>0.35631277421040003</v>
      </c>
      <c r="AE44" s="3">
        <f>$H44*factors!Y$3</f>
        <v>0.35927279725680006</v>
      </c>
      <c r="AF44" s="3">
        <f>$H44*factors!Z$3</f>
        <v>0.36667285487280005</v>
      </c>
      <c r="AG44" s="3">
        <f>$H44*factors!AA$3</f>
        <v>0.35742278285279999</v>
      </c>
      <c r="AH44" s="3">
        <f>$H44*factors!AB$3</f>
        <v>0.35594277132960006</v>
      </c>
      <c r="AI44" s="3">
        <f>$H44*factors!AC$3</f>
        <v>0.36741286063440004</v>
      </c>
      <c r="AJ44" s="3">
        <f>$H44*factors!AD$3</f>
        <v>0.38147297010480002</v>
      </c>
      <c r="AK44" s="3">
        <f>$H44*factors!AE$3</f>
        <v>0.36704285775360007</v>
      </c>
      <c r="AL44" s="3">
        <f>$H44*factors!AF$3</f>
        <v>0.35261274540240001</v>
      </c>
      <c r="AM44" s="3">
        <f>$H44*factors!AG$3</f>
        <v>0.362602823184</v>
      </c>
      <c r="AN44" s="3">
        <f>$H44*factors!AH$3</f>
        <v>0.35668277709120005</v>
      </c>
      <c r="AO44" s="3">
        <f>$H44*factors!AI$3</f>
        <v>0.37370290960800001</v>
      </c>
      <c r="AP44" s="3">
        <f>$H44*factors!AJ$3</f>
        <v>0.35816278861440004</v>
      </c>
      <c r="AQ44" s="3">
        <f>$H44*factors!AK$3</f>
        <v>0.36963287791920008</v>
      </c>
      <c r="AR44" s="3">
        <f>$H44*factors!AL$3</f>
        <v>0.36149281454160004</v>
      </c>
      <c r="AS44" s="3">
        <f>$H44*factors!AM$3</f>
        <v>0.35261274540240001</v>
      </c>
      <c r="AT44" s="3">
        <f>$H44*factors!AN$3</f>
        <v>0.36371283182640007</v>
      </c>
      <c r="AU44" s="3">
        <f>$H44*factors!AO$3</f>
        <v>0.38517299891279999</v>
      </c>
      <c r="AV44" s="3">
        <f>$H44*factors!AP$3</f>
        <v>0.36408283470720004</v>
      </c>
      <c r="AW44" s="3">
        <f>$H44*factors!AQ$3</f>
        <v>0.36038280589920002</v>
      </c>
      <c r="AX44" s="3">
        <f>$H44*factors!AR$3</f>
        <v>0.38110296722400006</v>
      </c>
      <c r="AY44" s="3">
        <f>$H44*factors!AS$3</f>
        <v>0.35150273676000005</v>
      </c>
      <c r="AZ44" s="3">
        <f>$H44*factors!AT$3</f>
        <v>0.3766629326544001</v>
      </c>
      <c r="BA44" s="3">
        <f>$H44*factors!AU$3</f>
        <v>0.3685228692768</v>
      </c>
      <c r="BB44" s="3">
        <f>$H44*factors!AV$3</f>
        <v>0.36371283182640007</v>
      </c>
      <c r="BC44" s="3">
        <f>$H44*factors!AW$3</f>
        <v>0.38480299603200008</v>
      </c>
      <c r="BD44" s="3">
        <f>$H44*factors!AX$3</f>
        <v>0.35520276556800001</v>
      </c>
      <c r="BE44" s="3">
        <f>$H44*factors!AY$3</f>
        <v>0.41760306622439997</v>
      </c>
      <c r="BF44" s="3">
        <f>$H44*factors!AZ$3</f>
        <v>0.38890043534160001</v>
      </c>
      <c r="BG44" s="3">
        <f>$H44*factors!BA$3</f>
        <v>0.39456010903679994</v>
      </c>
      <c r="BH44" s="3">
        <f>$H44*factors!BB$3</f>
        <v>0.39981552032520001</v>
      </c>
      <c r="BI44" s="3">
        <f>$H44*factors!BC$3</f>
        <v>0.41436896696999992</v>
      </c>
      <c r="BJ44" s="3">
        <f>$H44*factors!BD$3</f>
        <v>0.39577289625719997</v>
      </c>
      <c r="BK44" s="3">
        <f>$H44*factors!BE$3</f>
        <v>0.39658142107079997</v>
      </c>
      <c r="BL44" s="3">
        <f>$H44*factors!BF$3</f>
        <v>0.39213453459599995</v>
      </c>
      <c r="BM44" s="3">
        <f>$H44*factors!BG$3</f>
        <v>0.41881585344480005</v>
      </c>
      <c r="BN44" s="3">
        <f>$H44*factors!BH$3</f>
        <v>0.41356044215639998</v>
      </c>
      <c r="BO44" s="3">
        <f>$H44*factors!BI$3</f>
        <v>0.38890043534160001</v>
      </c>
      <c r="BP44" s="3">
        <f>$H44*factors!BJ$3</f>
        <v>0.38768764812119993</v>
      </c>
      <c r="BQ44" s="3">
        <f>$H44*factors!BK$3</f>
        <v>0.39415584662999997</v>
      </c>
      <c r="BR44" s="3">
        <f>$H44*factors!BL$3</f>
        <v>0.40830503086800002</v>
      </c>
      <c r="BS44" s="3">
        <f>$H44*factors!BM$3</f>
        <v>0.4147732293768</v>
      </c>
      <c r="BT44" s="3">
        <f>$H44*factors!BN$3</f>
        <v>0.41598601659719997</v>
      </c>
      <c r="BU44" s="3">
        <f>$H44*factors!BO$3</f>
        <v>0.42285847751280004</v>
      </c>
      <c r="BV44" s="3">
        <f>$H44*factors!BP$3</f>
        <v>0.39334732181639998</v>
      </c>
      <c r="BW44" s="3">
        <f>$H44*factors!BQ$3</f>
        <v>0.40224109476600001</v>
      </c>
      <c r="BX44" s="3">
        <f>$H44*factors!BR$3</f>
        <v>0.39456010903679994</v>
      </c>
      <c r="BY44" s="3">
        <f>$H44*factors!BS$3</f>
        <v>0.41275191734279992</v>
      </c>
      <c r="BZ44" s="3">
        <f>$H44*factors!BT$3</f>
        <v>0.40507093161359997</v>
      </c>
      <c r="CA44" s="3">
        <f>$H44*factors!BU$3</f>
        <v>0.39981552032520001</v>
      </c>
      <c r="CB44" s="3">
        <f>$H44*factors!BV$3</f>
        <v>0.38687912330759999</v>
      </c>
      <c r="CC44" s="3">
        <f>$H44*factors!BW$3</f>
        <v>0.39819847069799996</v>
      </c>
      <c r="CD44" s="3">
        <f>$H44*factors!BX$3</f>
        <v>0.39941125791839999</v>
      </c>
      <c r="CE44" s="3">
        <f>$H44*factors!BY$3</f>
        <v>0.40507093161359997</v>
      </c>
      <c r="CF44" s="3">
        <f>$H44*factors!BZ$3</f>
        <v>0.39900699551160002</v>
      </c>
      <c r="CG44" s="3">
        <f>$H44*factors!CA$3</f>
        <v>0.38566633608719997</v>
      </c>
      <c r="CH44" s="3">
        <f>$H44*factors!CB$3</f>
        <v>0.38607059849399994</v>
      </c>
      <c r="CI44" s="3">
        <f>$H44*factors!CC$3</f>
        <v>0.38404928646000003</v>
      </c>
      <c r="CJ44" s="3">
        <f>$H44*factors!CD$3</f>
        <v>0.39981552032520001</v>
      </c>
      <c r="CK44" s="3">
        <f>$H44*factors!CE$3</f>
        <v>0.41760306622439997</v>
      </c>
      <c r="CL44" s="3">
        <f>$H44*factors!CF$3</f>
        <v>0.39132600978240001</v>
      </c>
      <c r="CM44" s="3">
        <f>$H44*factors!CG$3</f>
        <v>0.40062404513879996</v>
      </c>
      <c r="CN44" s="3">
        <f>$H44*factors!CH$3</f>
        <v>0.38728338571439996</v>
      </c>
      <c r="CO44" s="3">
        <f>$H44*factors!CI$3</f>
        <v>0.39011322256199993</v>
      </c>
      <c r="CP44" s="3">
        <f>$H44*factors!CJ$3</f>
        <v>0.40870929327479993</v>
      </c>
      <c r="CQ44" s="3">
        <f>$H44*factors!CK$3</f>
        <v>0.39658142107079997</v>
      </c>
      <c r="CR44" s="3">
        <f>$H44*factors!CL$3</f>
        <v>0.40911355568159996</v>
      </c>
      <c r="CS44" s="3">
        <f>$H44*factors!CM$3</f>
        <v>0.42204995269919998</v>
      </c>
      <c r="CT44" s="3">
        <f>$H44*factors!CN$3</f>
        <v>0.41719880381759999</v>
      </c>
      <c r="CU44" s="3">
        <f>$H44*factors!CO$3</f>
        <v>0.40790076846119994</v>
      </c>
      <c r="CV44" s="3">
        <f>$H44*factors!CP$3</f>
        <v>0.42447552713999998</v>
      </c>
      <c r="CW44" s="3">
        <f>$H44*factors!CQ$3</f>
        <v>0.40143256995240001</v>
      </c>
      <c r="CX44" s="3">
        <f>$H44*factors!CR$3</f>
        <v>0.3953686338504</v>
      </c>
      <c r="CY44" s="3">
        <f>$H44*factors!CS$3</f>
        <v>0.39173027218919998</v>
      </c>
      <c r="CZ44" s="3">
        <f>$H44*factors!CT$3</f>
        <v>0.38607059849399994</v>
      </c>
      <c r="DA44" s="3">
        <f>$H44*factors!CU$3</f>
        <v>0.40083645419999997</v>
      </c>
      <c r="DB44" s="3">
        <f>$H44*factors!CV$3</f>
        <v>0.42673665585600001</v>
      </c>
      <c r="DC44" s="3">
        <f>$H44*factors!CW$3</f>
        <v>0.40864762612799999</v>
      </c>
      <c r="DD44" s="3">
        <f>$H44*factors!CX$3</f>
        <v>0.40576982594399996</v>
      </c>
      <c r="DE44" s="3">
        <f>$H44*factors!CY$3</f>
        <v>0.41769214099200003</v>
      </c>
      <c r="DF44" s="3">
        <f>$H44*factors!CZ$3</f>
        <v>0.41686991236799997</v>
      </c>
      <c r="DG44" s="3">
        <f>$H44*factors!DA$3</f>
        <v>0.41522545512000003</v>
      </c>
      <c r="DH44" s="3">
        <f>$H44*factors!DB$3</f>
        <v>0.41522545512000003</v>
      </c>
      <c r="DI44" s="3">
        <f>$H44*factors!DC$3</f>
        <v>0.399603111264</v>
      </c>
      <c r="DJ44" s="3">
        <f>$H44*factors!DD$3</f>
        <v>0.42344774136000002</v>
      </c>
      <c r="DK44" s="3">
        <f>$H44*factors!DE$3</f>
        <v>0.42344774136000002</v>
      </c>
      <c r="DL44" s="3">
        <f>$H44*factors!DF$3</f>
        <v>0.41851436961600003</v>
      </c>
      <c r="DM44" s="3">
        <f>$H44*factors!DG$3</f>
        <v>0.39425862520799998</v>
      </c>
      <c r="DN44" s="3">
        <f>$H44*factors!DH$3</f>
        <v>0.41358099787200003</v>
      </c>
      <c r="DO44" s="3">
        <f>$H44*factors!DI$3</f>
        <v>0.42714777016799998</v>
      </c>
      <c r="DP44" s="3">
        <f>$H44*factors!DJ$3</f>
        <v>0.42344774136000002</v>
      </c>
      <c r="DQ44" s="3">
        <f>$H44*factors!DK$3</f>
        <v>0.40371425438399999</v>
      </c>
      <c r="DR44" s="3">
        <f>$H44*factors!DL$3</f>
        <v>0.39919199695200003</v>
      </c>
      <c r="DS44" s="3">
        <f>$H44*factors!DM$3</f>
        <v>0.43125891328799998</v>
      </c>
      <c r="DT44" s="3">
        <f>$H44*factors!DN$3</f>
        <v>0.40535871163200005</v>
      </c>
      <c r="DU44" s="3">
        <f>$H44*factors!DO$3</f>
        <v>0.42426996998400002</v>
      </c>
      <c r="DV44" s="3">
        <f>$H44*factors!DP$3</f>
        <v>0.41440322649600003</v>
      </c>
      <c r="DW44" s="3">
        <f>$H44*factors!DQ$3</f>
        <v>0.39549196814399995</v>
      </c>
      <c r="DX44" s="3">
        <f>$H44*factors!DR$3</f>
        <v>0.418925483928</v>
      </c>
      <c r="DY44" s="3">
        <f>$H44*factors!DS$3</f>
        <v>0.39754753970399997</v>
      </c>
      <c r="DZ44" s="3">
        <f>$H44*factors!DT$3</f>
        <v>0.42509219860799996</v>
      </c>
      <c r="EA44" s="3">
        <f>$H44*factors!DU$3</f>
        <v>0.40042533988799994</v>
      </c>
      <c r="EB44" s="3">
        <f>$H44*factors!DV$3</f>
        <v>0.39055859639999996</v>
      </c>
      <c r="EC44" s="3">
        <f>$H44*factors!DW$3</f>
        <v>0.42015882686399997</v>
      </c>
      <c r="ED44" s="3">
        <f>$H44*factors!DX$3</f>
        <v>0.39425862520799998</v>
      </c>
      <c r="EE44" s="3">
        <f>$H44*factors!DY$3</f>
        <v>0.39754753970399997</v>
      </c>
      <c r="EF44" s="3">
        <f>$H44*factors!DZ$3</f>
        <v>0.43125891328799998</v>
      </c>
      <c r="EG44" s="3">
        <f>$H44*factors!EA$3</f>
        <v>0.40289202575999999</v>
      </c>
      <c r="EH44" s="3">
        <f>$H44*factors!EB$3</f>
        <v>0.40412536869600002</v>
      </c>
      <c r="EI44" s="3">
        <f>$H44*factors!EC$3</f>
        <v>0.40330314007200002</v>
      </c>
      <c r="EJ44" s="3">
        <f>$H44*factors!ED$3</f>
        <v>0.39302528227200001</v>
      </c>
      <c r="EK44" s="3">
        <f>$H44*factors!EE$3</f>
        <v>0.42015882686399997</v>
      </c>
      <c r="EL44" s="3">
        <f>$H44*factors!EF$3</f>
        <v>0.399603111264</v>
      </c>
      <c r="EM44" s="3">
        <f>$H44*factors!EG$3</f>
        <v>0.41563656943199995</v>
      </c>
      <c r="EN44" s="3">
        <f>$H44*factors!EH$3</f>
        <v>0.39055859639999996</v>
      </c>
      <c r="EO44" s="3">
        <f>$H44*factors!EI$3</f>
        <v>0.39631419676799995</v>
      </c>
      <c r="EP44" s="3">
        <f>$H44*factors!EJ$3</f>
        <v>0.418103255304</v>
      </c>
      <c r="EQ44" s="3">
        <f>$H44*factors!EK$3</f>
        <v>0.40659205456799996</v>
      </c>
      <c r="ER44" s="3">
        <f>$H44*factors!EL$3</f>
        <v>0.42344774136000002</v>
      </c>
      <c r="ES44" s="3">
        <f>$H44*factors!EM$3</f>
        <v>0.418103255304</v>
      </c>
      <c r="ET44" s="3">
        <f>$H44*factors!EN$3</f>
        <v>0.42755888448000001</v>
      </c>
      <c r="EU44" s="3">
        <f>$H44*factors!EO$3</f>
        <v>0.43167002760000001</v>
      </c>
      <c r="EV44" s="3">
        <f>$H44*factors!EP$3</f>
        <v>0.40453648300799994</v>
      </c>
      <c r="EW44" s="3">
        <f>$H44*factors!EQ$3</f>
        <v>0.44494559392499994</v>
      </c>
      <c r="EX44" s="3">
        <f>$H44*factors!ER$3</f>
        <v>0.44023490910000007</v>
      </c>
      <c r="EY44" s="3">
        <f>$H44*factors!ES$3</f>
        <v>0.44922803467499994</v>
      </c>
      <c r="EZ44" s="3">
        <f>$H44*factors!ET$3</f>
        <v>0.44494559392499994</v>
      </c>
      <c r="FA44" s="3">
        <f>$H44*factors!EU$3</f>
        <v>0.40897309162499995</v>
      </c>
      <c r="FB44" s="3">
        <f>$H44*factors!EV$3</f>
        <v>0.42738758685000006</v>
      </c>
      <c r="FC44" s="3">
        <f>$H44*factors!EW$3</f>
        <v>0.43937842095000001</v>
      </c>
      <c r="FD44" s="3">
        <f>$H44*factors!EX$3</f>
        <v>0.42396163425000005</v>
      </c>
      <c r="FE44" s="3">
        <f>$H44*factors!EY$3</f>
        <v>0.446658570225</v>
      </c>
      <c r="FF44" s="3">
        <f>$H44*factors!EZ$3</f>
        <v>0.44708681430000008</v>
      </c>
      <c r="FG44" s="3">
        <f>$H44*factors!FA$3</f>
        <v>0.40897309162499995</v>
      </c>
      <c r="FH44" s="3">
        <f>$H44*factors!FB$3</f>
        <v>0.43038529537499998</v>
      </c>
      <c r="FI44" s="3">
        <f>$H44*factors!FC$3</f>
        <v>0.44837154652499994</v>
      </c>
      <c r="FJ44" s="3">
        <f>$H44*factors!FD$3</f>
        <v>0.43038529537499998</v>
      </c>
      <c r="FK44" s="3">
        <f>$H44*factors!FE$3</f>
        <v>0.43766544465000007</v>
      </c>
      <c r="FL44" s="3">
        <f>$H44*factors!FF$3</f>
        <v>0.43895017687500004</v>
      </c>
      <c r="FM44" s="3">
        <f>$H44*factors!FG$3</f>
        <v>0.44366086169999996</v>
      </c>
      <c r="FN44" s="3">
        <f>$H44*factors!FH$3</f>
        <v>0.41496850867500001</v>
      </c>
      <c r="FO44" s="3">
        <f>$H44*factors!FI$3</f>
        <v>0.44066315317499999</v>
      </c>
      <c r="FP44" s="3">
        <f>$H44*factors!FJ$3</f>
        <v>0.428244075</v>
      </c>
      <c r="FQ44" s="3">
        <f>$H44*factors!FK$3</f>
        <v>0.42396163425000005</v>
      </c>
      <c r="FR44" s="3">
        <f>$H44*factors!FL$3</f>
        <v>0.43252651575000001</v>
      </c>
      <c r="FS44" s="3">
        <f>$H44*factors!FM$3</f>
        <v>0.4299570513</v>
      </c>
      <c r="FT44" s="3">
        <f>$H44*factors!FN$3</f>
        <v>0.43937842095000001</v>
      </c>
      <c r="FU44" s="3">
        <f>$H44*factors!FO$3</f>
        <v>0.42224865794999999</v>
      </c>
      <c r="FV44" s="3">
        <f>$H44*factors!FP$3</f>
        <v>0.41882270534999999</v>
      </c>
      <c r="FW44" s="3">
        <f>$H44*factors!FQ$3</f>
        <v>0.44837154652499994</v>
      </c>
      <c r="FX44" s="3">
        <f>$H44*factors!FR$3</f>
        <v>0.44023490910000007</v>
      </c>
      <c r="FY44" s="3">
        <f>$H44*factors!FS$3</f>
        <v>0.43124178352499998</v>
      </c>
      <c r="FZ44" s="3">
        <f>$H44*factors!FT$3</f>
        <v>0.40982957977500001</v>
      </c>
      <c r="GA44" s="3">
        <f>$H44*factors!FU$3</f>
        <v>0.43124178352499998</v>
      </c>
      <c r="GB44" s="3">
        <f>$H44*factors!FV$3</f>
        <v>0.44708681430000008</v>
      </c>
      <c r="GC44" s="3">
        <f>$H44*factors!FW$3</f>
        <v>0.41882270534999999</v>
      </c>
      <c r="GD44" s="3">
        <f>$H44*factors!FX$3</f>
        <v>0.42610285462499997</v>
      </c>
      <c r="GE44" s="3">
        <f>$H44*factors!FY$3</f>
        <v>0.42610285462499997</v>
      </c>
      <c r="GF44" s="3">
        <f>$H44*factors!FZ$3</f>
        <v>0.4248181224</v>
      </c>
      <c r="GG44" s="3">
        <f>$H44*factors!GA$3</f>
        <v>0.40811660347500001</v>
      </c>
      <c r="GH44" s="3">
        <f>$H44*factors!GB$3</f>
        <v>0.43423949205000006</v>
      </c>
      <c r="GI44" s="3">
        <f>$H44*factors!GC$3</f>
        <v>0.40726011532500001</v>
      </c>
      <c r="GJ44" s="3">
        <f>$H44*factors!GD$3</f>
        <v>0.40811660347500001</v>
      </c>
      <c r="GK44" s="3">
        <f>$H44*factors!GE$3</f>
        <v>0.41839446127500002</v>
      </c>
      <c r="GL44" s="3">
        <f>$H44*factors!GF$3</f>
        <v>0.44323261762499999</v>
      </c>
      <c r="GM44" s="3">
        <f>$H44*factors!GG$3</f>
        <v>0.42010743757500002</v>
      </c>
      <c r="GN44" s="3">
        <f>$H44*factors!GH$3</f>
        <v>0.43338300390000006</v>
      </c>
      <c r="GO44" s="3">
        <f>$H44*factors!GI$3</f>
        <v>0.40940133569999998</v>
      </c>
      <c r="GP44" s="3">
        <f>$H44*factors!GJ$3</f>
        <v>0.43895017687500004</v>
      </c>
      <c r="GQ44" s="3">
        <f>$H44*factors!GK$3</f>
        <v>0.44794330245000008</v>
      </c>
      <c r="GR44" s="3">
        <f>$H44*factors!GL$3</f>
        <v>0.43937842095000001</v>
      </c>
      <c r="GS44" s="3">
        <f>$H44*factors!GM$3</f>
        <v>0.41551666109099999</v>
      </c>
      <c r="GT44" s="3">
        <f>$H44*factors!GN$3</f>
        <v>0.42508877265540002</v>
      </c>
      <c r="GU44" s="3">
        <f>$H44*factors!GO$3</f>
        <v>0.43509598020000001</v>
      </c>
      <c r="GV44" s="3">
        <f>$H44*factors!GP$3</f>
        <v>0.41769214099200003</v>
      </c>
      <c r="GW44" s="3">
        <f>$H44*factors!GQ$3</f>
        <v>0.43248540431880006</v>
      </c>
      <c r="GX44" s="3">
        <f>$H44*factors!GR$3</f>
        <v>0.42552386863559999</v>
      </c>
      <c r="GY44" s="3">
        <f>$H44*factors!GS$3</f>
        <v>0.42334838873460007</v>
      </c>
      <c r="GZ44" s="3">
        <f>$H44*factors!GT$3</f>
        <v>0.43901184402179999</v>
      </c>
      <c r="HA44" s="3">
        <f>$H44*factors!GU$3</f>
        <v>0.42465367667519999</v>
      </c>
      <c r="HB44" s="3">
        <f>$H44*factors!GV$3</f>
        <v>0.43901184402179999</v>
      </c>
      <c r="HC44" s="3">
        <f>$H44*factors!GW$3</f>
        <v>0.42813444451679999</v>
      </c>
      <c r="HD44" s="3">
        <f>$H44*factors!GX$3</f>
        <v>0.44075222794259994</v>
      </c>
      <c r="HE44" s="3">
        <f>$H44*factors!GY$3</f>
        <v>0.43509598020000001</v>
      </c>
      <c r="HF44" s="3">
        <f>$H44*factors!GZ$3</f>
        <v>0.44858395558620001</v>
      </c>
      <c r="HG44" s="3">
        <f>$H44*factors!HA$3</f>
        <v>0.43118011637820003</v>
      </c>
      <c r="HH44" s="3">
        <f>$H44*factors!HB$3</f>
        <v>0.42552386863559999</v>
      </c>
      <c r="HI44" s="3">
        <f>$H44*factors!HC$3</f>
        <v>0.42030271687320003</v>
      </c>
      <c r="HJ44" s="3">
        <f>$H44*factors!HD$3</f>
        <v>0.41551666109099999</v>
      </c>
      <c r="HK44" s="3">
        <f>$H44*factors!HE$3</f>
        <v>0.43944694000200002</v>
      </c>
      <c r="HL44" s="3">
        <f>$H44*factors!HF$3</f>
        <v>0.41421137315039996</v>
      </c>
      <c r="HM44" s="3">
        <f>$H44*factors!HG$3</f>
        <v>0.41856233295240003</v>
      </c>
      <c r="HN44" s="3">
        <f>$H44*factors!HH$3</f>
        <v>0.44640847568520003</v>
      </c>
      <c r="HO44" s="3">
        <f>$H44*factors!HI$3</f>
        <v>0.42813444451679999</v>
      </c>
      <c r="HP44" s="3">
        <f>$H44*factors!HJ$3</f>
        <v>0.45685077921000006</v>
      </c>
      <c r="HQ44" s="3">
        <f>$H44*factors!HK$3</f>
        <v>0.41769214099200003</v>
      </c>
      <c r="HR44" s="3">
        <f>$H44*factors!HL$3</f>
        <v>0.44292770784360008</v>
      </c>
      <c r="HS44" s="3">
        <f>$H44*factors!HM$3</f>
        <v>0.45075943548720004</v>
      </c>
      <c r="HT44" s="3">
        <f>$H44*factors!HN$3</f>
        <v>0.42030271687320003</v>
      </c>
      <c r="HU44" s="3">
        <f>$H44*factors!HO$3</f>
        <v>0.42465367667519999</v>
      </c>
      <c r="HV44" s="3">
        <f>$H44*factors!HP$3</f>
        <v>0.42987482843760005</v>
      </c>
      <c r="HW44" s="3">
        <f>$H44*factors!HQ$3</f>
        <v>0.43596617216040001</v>
      </c>
      <c r="HX44" s="3">
        <f>$H44*factors!HR$3</f>
        <v>0.45380510734859997</v>
      </c>
      <c r="HY44" s="3">
        <f>$H44*factors!HS$3</f>
        <v>0.43118011637820003</v>
      </c>
      <c r="HZ44" s="3">
        <f>$H44*factors!HT$3</f>
        <v>0.44771376362580001</v>
      </c>
      <c r="IA44" s="3">
        <f>$H44*factors!HU$3</f>
        <v>0.42595896461580002</v>
      </c>
      <c r="IB44" s="3">
        <f>$H44*factors!HV$3</f>
        <v>0.44075222794259994</v>
      </c>
      <c r="IC44" s="3">
        <f>$H44*factors!HW$3</f>
        <v>0.4451031877446</v>
      </c>
      <c r="ID44" s="3">
        <f>$H44*factors!HX$3</f>
        <v>0.41334118118999996</v>
      </c>
      <c r="IE44" s="3">
        <f>$H44*factors!HY$3</f>
        <v>0.43901184402179999</v>
      </c>
      <c r="IF44" s="3">
        <f>$H44*factors!HZ$3</f>
        <v>0.43640126814059998</v>
      </c>
      <c r="IG44" s="3">
        <f>$H44*factors!IA$3</f>
        <v>0.43248540431880006</v>
      </c>
      <c r="IH44" s="3">
        <f>$H44*factors!IB$3</f>
        <v>0.44858395558620001</v>
      </c>
      <c r="II44" s="3">
        <f>$H44*factors!IC$3</f>
        <v>0.42943973245740003</v>
      </c>
      <c r="IJ44" s="3">
        <f>$H44*factors!ID$3</f>
        <v>0.43335559627920001</v>
      </c>
      <c r="IK44" s="3">
        <f>$H44*factors!IE$3</f>
        <v>0.44901905156640004</v>
      </c>
      <c r="IL44" s="3">
        <f>$H44*factors!IF$3</f>
        <v>0.42987482843760005</v>
      </c>
      <c r="IM44" s="3">
        <f>$H44*factors!IG$3</f>
        <v>0.42595896461580002</v>
      </c>
      <c r="IN44" s="3">
        <f>$H44*factors!IH$3</f>
        <v>0.42856954049700002</v>
      </c>
      <c r="IO44" s="3">
        <f>$H44*factors!II$3</f>
        <v>0.43292050029899998</v>
      </c>
      <c r="IP44" s="3">
        <f>$H44*factors!IJ$3</f>
        <v>0.41856233295240003</v>
      </c>
      <c r="IQ44" s="3">
        <f>$H44*factors!IK$3</f>
        <v>0.4172570450118</v>
      </c>
      <c r="IR44" s="3">
        <f>$H44*factors!IL$3</f>
        <v>0.42943973245740003</v>
      </c>
      <c r="IS44" s="3">
        <f>$H44*factors!IM$3</f>
        <v>0.43292050029899998</v>
      </c>
      <c r="IT44" s="3">
        <f>$H44*factors!IN$3</f>
        <v>0.43596617216040001</v>
      </c>
      <c r="IU44" s="3">
        <f>$H44*factors!IO$3</f>
        <v>0.44553828372480003</v>
      </c>
      <c r="IV44" s="3">
        <f>$H44*factors!IP$3</f>
        <v>0.45119453146739996</v>
      </c>
      <c r="IW44" s="3">
        <f>$H44*factors!IQ$3</f>
        <v>0.42639406059599999</v>
      </c>
      <c r="IX44" s="3">
        <f>$H44*factors!IR$3</f>
        <v>0.44553828372480003</v>
      </c>
      <c r="IY44" s="3">
        <f>$H44*factors!IS$3</f>
        <v>0.43901184402179999</v>
      </c>
      <c r="IZ44" s="3">
        <f>$H44*factors!IT$3</f>
        <v>0.44640847568520003</v>
      </c>
      <c r="JA44" s="3">
        <f>$H44*factors!IU$3</f>
        <v>0.42160800481379995</v>
      </c>
      <c r="JB44" s="3">
        <f>$H44*factors!IV$3</f>
        <v>0.42943973245740003</v>
      </c>
      <c r="JC44" s="3">
        <f>$H44*factors!IW$3</f>
        <v>0.41943252491280003</v>
      </c>
      <c r="JD44" s="3">
        <f>$H44*factors!IX$3</f>
        <v>0.45685077921000006</v>
      </c>
      <c r="JE44" s="3">
        <f>$H44*factors!IY$3</f>
        <v>0.42073781285340001</v>
      </c>
      <c r="JF44" s="3">
        <f>$H44*factors!IZ$3</f>
        <v>0.44162241990299994</v>
      </c>
      <c r="JG44" s="3">
        <f>$H44*factors!JA$3</f>
        <v>0.43379069225939998</v>
      </c>
      <c r="JH44" s="3">
        <f>$H44*factors!JB$3</f>
        <v>0.44205751588320008</v>
      </c>
      <c r="JI44" s="3">
        <f>$H44*factors!JC$3</f>
        <v>0.41377627717020005</v>
      </c>
      <c r="JJ44" s="3">
        <f>$H44*factors!JD$3</f>
        <v>0.44553828372480003</v>
      </c>
      <c r="JK44" s="3">
        <f>$H44*factors!JE$3</f>
        <v>0.43118011637820003</v>
      </c>
      <c r="JL44" s="3">
        <f>$H44*factors!JF$3</f>
        <v>0.44858395558620001</v>
      </c>
      <c r="JM44" s="3">
        <f>$H44*factors!JG$3</f>
        <v>0.41856233295240003</v>
      </c>
      <c r="JN44" s="3">
        <f>$H44*factors!JH$3</f>
        <v>0.41856233295240003</v>
      </c>
      <c r="JO44" s="3">
        <f>$H44*factors!JI$3</f>
        <v>0.41334118118999996</v>
      </c>
      <c r="JP44" s="3">
        <f>$H44*factors!JJ$3</f>
        <v>0.44684357166540001</v>
      </c>
      <c r="JQ44" s="3">
        <f>$H44*factors!JK$3</f>
        <v>0.43553107618019998</v>
      </c>
      <c r="JR44" s="3">
        <f>$H44*factors!JL$3</f>
        <v>0.45249981940799999</v>
      </c>
      <c r="JS44" s="3">
        <f>$H44*factors!JM$3</f>
        <v>0.41334118118999996</v>
      </c>
      <c r="JT44" s="3">
        <f>$H44*factors!JN$3</f>
        <v>0.43422578823960001</v>
      </c>
      <c r="JU44" s="3">
        <f>$H44*factors!JO$3</f>
        <v>0.419867620893</v>
      </c>
      <c r="JV44" s="3">
        <f>$H44*factors!JP$3</f>
        <v>0.42682915657620002</v>
      </c>
      <c r="JW44" s="3">
        <f>$H44*factors!JQ$3</f>
        <v>0.45598058724960006</v>
      </c>
      <c r="JX44" s="3">
        <f>$H44*factors!JR$3</f>
        <v>0.45162962744759999</v>
      </c>
      <c r="JY44" s="3">
        <f>$H44*factors!JS$3</f>
        <v>0.42508877265540002</v>
      </c>
      <c r="JZ44" s="3">
        <f>$H44*factors!JT$3</f>
        <v>0.42987482843760005</v>
      </c>
      <c r="KA44" s="3">
        <f>$H44*factors!JU$3</f>
        <v>0.43161521235840006</v>
      </c>
      <c r="KB44" s="3">
        <f>$H44*factors!JV$3</f>
        <v>0.4172570450118</v>
      </c>
      <c r="KC44" s="3">
        <f>$H44*factors!JW$3</f>
        <v>0.41943252491280003</v>
      </c>
      <c r="KD44" s="3">
        <f>$H44*factors!JX$3</f>
        <v>0.419867620893</v>
      </c>
      <c r="KE44" s="3">
        <f>$H44*factors!JY$3</f>
        <v>0.44684357166540001</v>
      </c>
      <c r="KF44" s="3">
        <f>$H44*factors!JZ$3</f>
        <v>0.45206472342779996</v>
      </c>
      <c r="KG44" s="3">
        <f>$H44*factors!KA$3</f>
        <v>0.43596617216040001</v>
      </c>
      <c r="KH44" s="3">
        <f>$H44*factors!KB$3</f>
        <v>0.42639406059599999</v>
      </c>
      <c r="KI44" s="3">
        <f>$H44*factors!KC$3</f>
        <v>0.42247819677419995</v>
      </c>
    </row>
    <row r="45" spans="1:295" x14ac:dyDescent="0.55000000000000004">
      <c r="A45" t="s">
        <v>421</v>
      </c>
      <c r="B45">
        <v>44</v>
      </c>
      <c r="C45">
        <v>287</v>
      </c>
      <c r="D45" t="s">
        <v>377</v>
      </c>
      <c r="E45">
        <v>3.431E-3</v>
      </c>
      <c r="F45">
        <v>44</v>
      </c>
      <c r="G45">
        <f>VLOOKUP(D45,demand_forecasted!$A$2:$G$11,2)</f>
        <v>11098</v>
      </c>
      <c r="H45" s="3">
        <f t="shared" si="1"/>
        <v>0.38077238000000002</v>
      </c>
      <c r="I45" s="3">
        <f>$H45*factors!C$3</f>
        <v>0.42151502466000002</v>
      </c>
      <c r="J45" s="3">
        <f>$H45*factors!D$3</f>
        <v>0.40629936035520003</v>
      </c>
      <c r="K45" s="3">
        <f>$H45*factors!E$3</f>
        <v>0.39930837945840003</v>
      </c>
      <c r="L45" s="3">
        <f>$H45*factors!F$3</f>
        <v>0.39807467694720006</v>
      </c>
      <c r="M45" s="3">
        <f>$H45*factors!G$3</f>
        <v>0.39766344277679999</v>
      </c>
      <c r="N45" s="3">
        <f>$H45*factors!H$3</f>
        <v>0.40917799954800005</v>
      </c>
      <c r="O45" s="3">
        <f>$H45*factors!I$3</f>
        <v>0.41822515129680005</v>
      </c>
      <c r="P45" s="3">
        <f>$H45*factors!J$3</f>
        <v>0.42315996134160005</v>
      </c>
      <c r="Q45" s="3">
        <f>$H45*factors!K$3</f>
        <v>0.39725220860640004</v>
      </c>
      <c r="R45" s="3">
        <f>$H45*factors!L$3</f>
        <v>0.39067246188000004</v>
      </c>
      <c r="S45" s="3">
        <f>$H45*factors!M$3</f>
        <v>0.40671059452559999</v>
      </c>
      <c r="T45" s="3">
        <f>$H45*factors!N$3</f>
        <v>0.42069255631920005</v>
      </c>
      <c r="U45" s="3">
        <f>$H45*factors!O$3</f>
        <v>0.39848591111760007</v>
      </c>
      <c r="V45" s="3">
        <f>$H45*factors!P$3</f>
        <v>0.41452404376320007</v>
      </c>
      <c r="W45" s="3">
        <f>$H45*factors!Q$3</f>
        <v>0.41822515129680005</v>
      </c>
      <c r="X45" s="3">
        <f>$H45*factors!R$3</f>
        <v>0.4001308477992</v>
      </c>
      <c r="Y45" s="3">
        <f>$H45*factors!S$3</f>
        <v>0.39642974026560002</v>
      </c>
      <c r="Z45" s="3">
        <f>$H45*factors!T$3</f>
        <v>0.42768353721600011</v>
      </c>
      <c r="AA45" s="3">
        <f>$H45*factors!U$3</f>
        <v>0.40383195533280003</v>
      </c>
      <c r="AB45" s="3">
        <f>$H45*factors!V$3</f>
        <v>0.4042431895032001</v>
      </c>
      <c r="AC45" s="3">
        <f>$H45*factors!W$3</f>
        <v>0.40465442367360005</v>
      </c>
      <c r="AD45" s="3">
        <f>$H45*factors!X$3</f>
        <v>0.39601850609520006</v>
      </c>
      <c r="AE45" s="3">
        <f>$H45*factors!Y$3</f>
        <v>0.39930837945840003</v>
      </c>
      <c r="AF45" s="3">
        <f>$H45*factors!Z$3</f>
        <v>0.40753306286640006</v>
      </c>
      <c r="AG45" s="3">
        <f>$H45*factors!AA$3</f>
        <v>0.39725220860640004</v>
      </c>
      <c r="AH45" s="3">
        <f>$H45*factors!AB$3</f>
        <v>0.39560727192480005</v>
      </c>
      <c r="AI45" s="3">
        <f>$H45*factors!AC$3</f>
        <v>0.40835553120720003</v>
      </c>
      <c r="AJ45" s="3">
        <f>$H45*factors!AD$3</f>
        <v>0.42398242968240002</v>
      </c>
      <c r="AK45" s="3">
        <f>$H45*factors!AE$3</f>
        <v>0.40794429703680007</v>
      </c>
      <c r="AL45" s="3">
        <f>$H45*factors!AF$3</f>
        <v>0.39190616439120002</v>
      </c>
      <c r="AM45" s="3">
        <f>$H45*factors!AG$3</f>
        <v>0.40300948699200001</v>
      </c>
      <c r="AN45" s="3">
        <f>$H45*factors!AH$3</f>
        <v>0.39642974026560002</v>
      </c>
      <c r="AO45" s="3">
        <f>$H45*factors!AI$3</f>
        <v>0.41534651210400003</v>
      </c>
      <c r="AP45" s="3">
        <f>$H45*factors!AJ$3</f>
        <v>0.39807467694720006</v>
      </c>
      <c r="AQ45" s="3">
        <f>$H45*factors!AK$3</f>
        <v>0.41082293622960009</v>
      </c>
      <c r="AR45" s="3">
        <f>$H45*factors!AL$3</f>
        <v>0.40177578448080004</v>
      </c>
      <c r="AS45" s="3">
        <f>$H45*factors!AM$3</f>
        <v>0.39190616439120002</v>
      </c>
      <c r="AT45" s="3">
        <f>$H45*factors!AN$3</f>
        <v>0.4042431895032001</v>
      </c>
      <c r="AU45" s="3">
        <f>$H45*factors!AO$3</f>
        <v>0.42809477138640001</v>
      </c>
      <c r="AV45" s="3">
        <f>$H45*factors!AP$3</f>
        <v>0.40465442367360005</v>
      </c>
      <c r="AW45" s="3">
        <f>$H45*factors!AQ$3</f>
        <v>0.40054208196960001</v>
      </c>
      <c r="AX45" s="3">
        <f>$H45*factors!AR$3</f>
        <v>0.42357119551200006</v>
      </c>
      <c r="AY45" s="3">
        <f>$H45*factors!AS$3</f>
        <v>0.39067246188000004</v>
      </c>
      <c r="AZ45" s="3">
        <f>$H45*factors!AT$3</f>
        <v>0.41863638546720011</v>
      </c>
      <c r="BA45" s="3">
        <f>$H45*factors!AU$3</f>
        <v>0.4095892337184</v>
      </c>
      <c r="BB45" s="3">
        <f>$H45*factors!AV$3</f>
        <v>0.4042431895032001</v>
      </c>
      <c r="BC45" s="3">
        <f>$H45*factors!AW$3</f>
        <v>0.42768353721600011</v>
      </c>
      <c r="BD45" s="3">
        <f>$H45*factors!AX$3</f>
        <v>0.39478480358399998</v>
      </c>
      <c r="BE45" s="3">
        <f>$H45*factors!AY$3</f>
        <v>0.4641386848772</v>
      </c>
      <c r="BF45" s="3">
        <f>$H45*factors!AZ$3</f>
        <v>0.4322375748808</v>
      </c>
      <c r="BG45" s="3">
        <f>$H45*factors!BA$3</f>
        <v>0.43852793459839995</v>
      </c>
      <c r="BH45" s="3">
        <f>$H45*factors!BB$3</f>
        <v>0.44436898290760002</v>
      </c>
      <c r="BI45" s="3">
        <f>$H45*factors!BC$3</f>
        <v>0.46054419360999993</v>
      </c>
      <c r="BJ45" s="3">
        <f>$H45*factors!BD$3</f>
        <v>0.43987586882359997</v>
      </c>
      <c r="BK45" s="3">
        <f>$H45*factors!BE$3</f>
        <v>0.44077449164039995</v>
      </c>
      <c r="BL45" s="3">
        <f>$H45*factors!BF$3</f>
        <v>0.43583206614799996</v>
      </c>
      <c r="BM45" s="3">
        <f>$H45*factors!BG$3</f>
        <v>0.46548661910240002</v>
      </c>
      <c r="BN45" s="3">
        <f>$H45*factors!BH$3</f>
        <v>0.45964557079319995</v>
      </c>
      <c r="BO45" s="3">
        <f>$H45*factors!BI$3</f>
        <v>0.4322375748808</v>
      </c>
      <c r="BP45" s="3">
        <f>$H45*factors!BJ$3</f>
        <v>0.43088964065559998</v>
      </c>
      <c r="BQ45" s="3">
        <f>$H45*factors!BK$3</f>
        <v>0.43807862318999996</v>
      </c>
      <c r="BR45" s="3">
        <f>$H45*factors!BL$3</f>
        <v>0.45380452248399999</v>
      </c>
      <c r="BS45" s="3">
        <f>$H45*factors!BM$3</f>
        <v>0.46099350501840003</v>
      </c>
      <c r="BT45" s="3">
        <f>$H45*factors!BN$3</f>
        <v>0.46234143924359999</v>
      </c>
      <c r="BU45" s="3">
        <f>$H45*factors!BO$3</f>
        <v>0.46997973318640002</v>
      </c>
      <c r="BV45" s="3">
        <f>$H45*factors!BP$3</f>
        <v>0.43718000037319998</v>
      </c>
      <c r="BW45" s="3">
        <f>$H45*factors!BQ$3</f>
        <v>0.447064851358</v>
      </c>
      <c r="BX45" s="3">
        <f>$H45*factors!BR$3</f>
        <v>0.43852793459839995</v>
      </c>
      <c r="BY45" s="3">
        <f>$H45*factors!BS$3</f>
        <v>0.45874694797639992</v>
      </c>
      <c r="BZ45" s="3">
        <f>$H45*factors!BT$3</f>
        <v>0.45021003121679998</v>
      </c>
      <c r="CA45" s="3">
        <f>$H45*factors!BU$3</f>
        <v>0.44436898290760002</v>
      </c>
      <c r="CB45" s="3">
        <f>$H45*factors!BV$3</f>
        <v>0.4299910178388</v>
      </c>
      <c r="CC45" s="3">
        <f>$H45*factors!BW$3</f>
        <v>0.44257173727400001</v>
      </c>
      <c r="CD45" s="3">
        <f>$H45*factors!BX$3</f>
        <v>0.44391967149920003</v>
      </c>
      <c r="CE45" s="3">
        <f>$H45*factors!BY$3</f>
        <v>0.45021003121679998</v>
      </c>
      <c r="CF45" s="3">
        <f>$H45*factors!BZ$3</f>
        <v>0.44347036009080004</v>
      </c>
      <c r="CG45" s="3">
        <f>$H45*factors!CA$3</f>
        <v>0.42864308361359998</v>
      </c>
      <c r="CH45" s="3">
        <f>$H45*factors!CB$3</f>
        <v>0.42909239502199992</v>
      </c>
      <c r="CI45" s="3">
        <f>$H45*factors!CC$3</f>
        <v>0.42684583798000003</v>
      </c>
      <c r="CJ45" s="3">
        <f>$H45*factors!CD$3</f>
        <v>0.44436898290760002</v>
      </c>
      <c r="CK45" s="3">
        <f>$H45*factors!CE$3</f>
        <v>0.4641386848772</v>
      </c>
      <c r="CL45" s="3">
        <f>$H45*factors!CF$3</f>
        <v>0.43493344333119999</v>
      </c>
      <c r="CM45" s="3">
        <f>$H45*factors!CG$3</f>
        <v>0.4452676057244</v>
      </c>
      <c r="CN45" s="3">
        <f>$H45*factors!CH$3</f>
        <v>0.43044032924719999</v>
      </c>
      <c r="CO45" s="3">
        <f>$H45*factors!CI$3</f>
        <v>0.43358550910599997</v>
      </c>
      <c r="CP45" s="3">
        <f>$H45*factors!CJ$3</f>
        <v>0.45425383389239993</v>
      </c>
      <c r="CQ45" s="3">
        <f>$H45*factors!CK$3</f>
        <v>0.44077449164039995</v>
      </c>
      <c r="CR45" s="3">
        <f>$H45*factors!CL$3</f>
        <v>0.45470314530079997</v>
      </c>
      <c r="CS45" s="3">
        <f>$H45*factors!CM$3</f>
        <v>0.46908111036959999</v>
      </c>
      <c r="CT45" s="3">
        <f>$H45*factors!CN$3</f>
        <v>0.46368937346880001</v>
      </c>
      <c r="CU45" s="3">
        <f>$H45*factors!CO$3</f>
        <v>0.45335521107559995</v>
      </c>
      <c r="CV45" s="3">
        <f>$H45*factors!CP$3</f>
        <v>0.47177697881999997</v>
      </c>
      <c r="CW45" s="3">
        <f>$H45*factors!CQ$3</f>
        <v>0.44616622854120003</v>
      </c>
      <c r="CX45" s="3">
        <f>$H45*factors!CR$3</f>
        <v>0.43942655741519998</v>
      </c>
      <c r="CY45" s="3">
        <f>$H45*factors!CS$3</f>
        <v>0.43538275473959998</v>
      </c>
      <c r="CZ45" s="3">
        <f>$H45*factors!CT$3</f>
        <v>0.42909239502199992</v>
      </c>
      <c r="DA45" s="3">
        <f>$H45*factors!CU$3</f>
        <v>0.44550368460000001</v>
      </c>
      <c r="DB45" s="3">
        <f>$H45*factors!CV$3</f>
        <v>0.47429007652800004</v>
      </c>
      <c r="DC45" s="3">
        <f>$H45*factors!CW$3</f>
        <v>0.454185294864</v>
      </c>
      <c r="DD45" s="3">
        <f>$H45*factors!CX$3</f>
        <v>0.45098680687199999</v>
      </c>
      <c r="DE45" s="3">
        <f>$H45*factors!CY$3</f>
        <v>0.46423768569600005</v>
      </c>
      <c r="DF45" s="3">
        <f>$H45*factors!CZ$3</f>
        <v>0.46332383198399996</v>
      </c>
      <c r="DG45" s="3">
        <f>$H45*factors!DA$3</f>
        <v>0.46149612456</v>
      </c>
      <c r="DH45" s="3">
        <f>$H45*factors!DB$3</f>
        <v>0.46149612456</v>
      </c>
      <c r="DI45" s="3">
        <f>$H45*factors!DC$3</f>
        <v>0.44413290403199995</v>
      </c>
      <c r="DJ45" s="3">
        <f>$H45*factors!DD$3</f>
        <v>0.47063466168000001</v>
      </c>
      <c r="DK45" s="3">
        <f>$H45*factors!DE$3</f>
        <v>0.47063466168000001</v>
      </c>
      <c r="DL45" s="3">
        <f>$H45*factors!DF$3</f>
        <v>0.46515153940800003</v>
      </c>
      <c r="DM45" s="3">
        <f>$H45*factors!DG$3</f>
        <v>0.43819285490399995</v>
      </c>
      <c r="DN45" s="3">
        <f>$H45*factors!DH$3</f>
        <v>0.45966841713600004</v>
      </c>
      <c r="DO45" s="3">
        <f>$H45*factors!DI$3</f>
        <v>0.474747003384</v>
      </c>
      <c r="DP45" s="3">
        <f>$H45*factors!DJ$3</f>
        <v>0.47063466168000001</v>
      </c>
      <c r="DQ45" s="3">
        <f>$H45*factors!DK$3</f>
        <v>0.44870217259199996</v>
      </c>
      <c r="DR45" s="3">
        <f>$H45*factors!DL$3</f>
        <v>0.44367597717600005</v>
      </c>
      <c r="DS45" s="3">
        <f>$H45*factors!DM$3</f>
        <v>0.47931627194400001</v>
      </c>
      <c r="DT45" s="3">
        <f>$H45*factors!DN$3</f>
        <v>0.45052988001600003</v>
      </c>
      <c r="DU45" s="3">
        <f>$H45*factors!DO$3</f>
        <v>0.47154851539199999</v>
      </c>
      <c r="DV45" s="3">
        <f>$H45*factors!DP$3</f>
        <v>0.46058227084800002</v>
      </c>
      <c r="DW45" s="3">
        <f>$H45*factors!DQ$3</f>
        <v>0.439563635472</v>
      </c>
      <c r="DX45" s="3">
        <f>$H45*factors!DR$3</f>
        <v>0.46560846626399999</v>
      </c>
      <c r="DY45" s="3">
        <f>$H45*factors!DS$3</f>
        <v>0.44184826975199998</v>
      </c>
      <c r="DZ45" s="3">
        <f>$H45*factors!DT$3</f>
        <v>0.47246236910399997</v>
      </c>
      <c r="EA45" s="3">
        <f>$H45*factors!DU$3</f>
        <v>0.44504675774399999</v>
      </c>
      <c r="EB45" s="3">
        <f>$H45*factors!DV$3</f>
        <v>0.43408051319999996</v>
      </c>
      <c r="EC45" s="3">
        <f>$H45*factors!DW$3</f>
        <v>0.46697924683199998</v>
      </c>
      <c r="ED45" s="3">
        <f>$H45*factors!DX$3</f>
        <v>0.43819285490399995</v>
      </c>
      <c r="EE45" s="3">
        <f>$H45*factors!DY$3</f>
        <v>0.44184826975199998</v>
      </c>
      <c r="EF45" s="3">
        <f>$H45*factors!DZ$3</f>
        <v>0.47931627194400001</v>
      </c>
      <c r="EG45" s="3">
        <f>$H45*factors!EA$3</f>
        <v>0.44778831887999998</v>
      </c>
      <c r="EH45" s="3">
        <f>$H45*factors!EB$3</f>
        <v>0.44915909944800003</v>
      </c>
      <c r="EI45" s="3">
        <f>$H45*factors!EC$3</f>
        <v>0.44824524573600005</v>
      </c>
      <c r="EJ45" s="3">
        <f>$H45*factors!ED$3</f>
        <v>0.43682207433600001</v>
      </c>
      <c r="EK45" s="3">
        <f>$H45*factors!EE$3</f>
        <v>0.46697924683199998</v>
      </c>
      <c r="EL45" s="3">
        <f>$H45*factors!EF$3</f>
        <v>0.44413290403199995</v>
      </c>
      <c r="EM45" s="3">
        <f>$H45*factors!EG$3</f>
        <v>0.46195305141599996</v>
      </c>
      <c r="EN45" s="3">
        <f>$H45*factors!EH$3</f>
        <v>0.43408051319999996</v>
      </c>
      <c r="EO45" s="3">
        <f>$H45*factors!EI$3</f>
        <v>0.44047748918399998</v>
      </c>
      <c r="EP45" s="3">
        <f>$H45*factors!EJ$3</f>
        <v>0.46469461255200001</v>
      </c>
      <c r="EQ45" s="3">
        <f>$H45*factors!EK$3</f>
        <v>0.45190066058399997</v>
      </c>
      <c r="ER45" s="3">
        <f>$H45*factors!EL$3</f>
        <v>0.47063466168000001</v>
      </c>
      <c r="ES45" s="3">
        <f>$H45*factors!EM$3</f>
        <v>0.46469461255200001</v>
      </c>
      <c r="ET45" s="3">
        <f>$H45*factors!EN$3</f>
        <v>0.47520393024000002</v>
      </c>
      <c r="EU45" s="3">
        <f>$H45*factors!EO$3</f>
        <v>0.47977319880000002</v>
      </c>
      <c r="EV45" s="3">
        <f>$H45*factors!EP$3</f>
        <v>0.44961602630399999</v>
      </c>
      <c r="EW45" s="3">
        <f>$H45*factors!EQ$3</f>
        <v>0.49452812852499994</v>
      </c>
      <c r="EX45" s="3">
        <f>$H45*factors!ER$3</f>
        <v>0.4892925083000001</v>
      </c>
      <c r="EY45" s="3">
        <f>$H45*factors!ES$3</f>
        <v>0.49928778327499995</v>
      </c>
      <c r="EZ45" s="3">
        <f>$H45*factors!ET$3</f>
        <v>0.49452812852499994</v>
      </c>
      <c r="FA45" s="3">
        <f>$H45*factors!EU$3</f>
        <v>0.45454702862499996</v>
      </c>
      <c r="FB45" s="3">
        <f>$H45*factors!EV$3</f>
        <v>0.47501354405000007</v>
      </c>
      <c r="FC45" s="3">
        <f>$H45*factors!EW$3</f>
        <v>0.48834057735000003</v>
      </c>
      <c r="FD45" s="3">
        <f>$H45*factors!EX$3</f>
        <v>0.47120582025000002</v>
      </c>
      <c r="FE45" s="3">
        <f>$H45*factors!EY$3</f>
        <v>0.49643199042500002</v>
      </c>
      <c r="FF45" s="3">
        <f>$H45*factors!EZ$3</f>
        <v>0.49690795590000009</v>
      </c>
      <c r="FG45" s="3">
        <f>$H45*factors!FA$3</f>
        <v>0.45454702862499996</v>
      </c>
      <c r="FH45" s="3">
        <f>$H45*factors!FB$3</f>
        <v>0.478345302375</v>
      </c>
      <c r="FI45" s="3">
        <f>$H45*factors!FC$3</f>
        <v>0.49833585232499999</v>
      </c>
      <c r="FJ45" s="3">
        <f>$H45*factors!FD$3</f>
        <v>0.478345302375</v>
      </c>
      <c r="FK45" s="3">
        <f>$H45*factors!FE$3</f>
        <v>0.48643671545000006</v>
      </c>
      <c r="FL45" s="3">
        <f>$H45*factors!FF$3</f>
        <v>0.48786461187500002</v>
      </c>
      <c r="FM45" s="3">
        <f>$H45*factors!FG$3</f>
        <v>0.49310023209999998</v>
      </c>
      <c r="FN45" s="3">
        <f>$H45*factors!FH$3</f>
        <v>0.46121054527499999</v>
      </c>
      <c r="FO45" s="3">
        <f>$H45*factors!FI$3</f>
        <v>0.48976847377499999</v>
      </c>
      <c r="FP45" s="3">
        <f>$H45*factors!FJ$3</f>
        <v>0.47596547500000003</v>
      </c>
      <c r="FQ45" s="3">
        <f>$H45*factors!FK$3</f>
        <v>0.47120582025000002</v>
      </c>
      <c r="FR45" s="3">
        <f>$H45*factors!FL$3</f>
        <v>0.48072512975000004</v>
      </c>
      <c r="FS45" s="3">
        <f>$H45*factors!FM$3</f>
        <v>0.4778693369</v>
      </c>
      <c r="FT45" s="3">
        <f>$H45*factors!FN$3</f>
        <v>0.48834057735000003</v>
      </c>
      <c r="FU45" s="3">
        <f>$H45*factors!FO$3</f>
        <v>0.46930195834999999</v>
      </c>
      <c r="FV45" s="3">
        <f>$H45*factors!FP$3</f>
        <v>0.46549423455</v>
      </c>
      <c r="FW45" s="3">
        <f>$H45*factors!FQ$3</f>
        <v>0.49833585232499999</v>
      </c>
      <c r="FX45" s="3">
        <f>$H45*factors!FR$3</f>
        <v>0.4892925083000001</v>
      </c>
      <c r="FY45" s="3">
        <f>$H45*factors!FS$3</f>
        <v>0.47929723332499996</v>
      </c>
      <c r="FZ45" s="3">
        <f>$H45*factors!FT$3</f>
        <v>0.45549895957500003</v>
      </c>
      <c r="GA45" s="3">
        <f>$H45*factors!FU$3</f>
        <v>0.47929723332499996</v>
      </c>
      <c r="GB45" s="3">
        <f>$H45*factors!FV$3</f>
        <v>0.49690795590000009</v>
      </c>
      <c r="GC45" s="3">
        <f>$H45*factors!FW$3</f>
        <v>0.46549423455</v>
      </c>
      <c r="GD45" s="3">
        <f>$H45*factors!FX$3</f>
        <v>0.47358564762499999</v>
      </c>
      <c r="GE45" s="3">
        <f>$H45*factors!FY$3</f>
        <v>0.47358564762499999</v>
      </c>
      <c r="GF45" s="3">
        <f>$H45*factors!FZ$3</f>
        <v>0.47215775120000003</v>
      </c>
      <c r="GG45" s="3">
        <f>$H45*factors!GA$3</f>
        <v>0.453595097675</v>
      </c>
      <c r="GH45" s="3">
        <f>$H45*factors!GB$3</f>
        <v>0.48262899165000006</v>
      </c>
      <c r="GI45" s="3">
        <f>$H45*factors!GC$3</f>
        <v>0.45264316672499999</v>
      </c>
      <c r="GJ45" s="3">
        <f>$H45*factors!GD$3</f>
        <v>0.453595097675</v>
      </c>
      <c r="GK45" s="3">
        <f>$H45*factors!GE$3</f>
        <v>0.46501826907499999</v>
      </c>
      <c r="GL45" s="3">
        <f>$H45*factors!GF$3</f>
        <v>0.49262426662500003</v>
      </c>
      <c r="GM45" s="3">
        <f>$H45*factors!GG$3</f>
        <v>0.46692213097500007</v>
      </c>
      <c r="GN45" s="3">
        <f>$H45*factors!GH$3</f>
        <v>0.48167706070000005</v>
      </c>
      <c r="GO45" s="3">
        <f>$H45*factors!GI$3</f>
        <v>0.45502299409999997</v>
      </c>
      <c r="GP45" s="3">
        <f>$H45*factors!GJ$3</f>
        <v>0.48786461187500002</v>
      </c>
      <c r="GQ45" s="3">
        <f>$H45*factors!GK$3</f>
        <v>0.49785988685000004</v>
      </c>
      <c r="GR45" s="3">
        <f>$H45*factors!GL$3</f>
        <v>0.48834057735000003</v>
      </c>
      <c r="GS45" s="3">
        <f>$H45*factors!GM$3</f>
        <v>0.46181978108300004</v>
      </c>
      <c r="GT45" s="3">
        <f>$H45*factors!GN$3</f>
        <v>0.47245856138020004</v>
      </c>
      <c r="GU45" s="3">
        <f>$H45*factors!GO$3</f>
        <v>0.48358092260000002</v>
      </c>
      <c r="GV45" s="3">
        <f>$H45*factors!GP$3</f>
        <v>0.46423768569600005</v>
      </c>
      <c r="GW45" s="3">
        <f>$H45*factors!GQ$3</f>
        <v>0.48067943706440003</v>
      </c>
      <c r="GX45" s="3">
        <f>$H45*factors!GR$3</f>
        <v>0.47294214230280002</v>
      </c>
      <c r="GY45" s="3">
        <f>$H45*factors!GS$3</f>
        <v>0.47052423768980006</v>
      </c>
      <c r="GZ45" s="3">
        <f>$H45*factors!GT$3</f>
        <v>0.48793315090339995</v>
      </c>
      <c r="HA45" s="3">
        <f>$H45*factors!GU$3</f>
        <v>0.4719749804576</v>
      </c>
      <c r="HB45" s="3">
        <f>$H45*factors!GV$3</f>
        <v>0.48793315090339995</v>
      </c>
      <c r="HC45" s="3">
        <f>$H45*factors!GW$3</f>
        <v>0.47584362783840001</v>
      </c>
      <c r="HD45" s="3">
        <f>$H45*factors!GX$3</f>
        <v>0.48986747459379998</v>
      </c>
      <c r="HE45" s="3">
        <f>$H45*factors!GY$3</f>
        <v>0.48358092260000002</v>
      </c>
      <c r="HF45" s="3">
        <f>$H45*factors!GZ$3</f>
        <v>0.4985719312006</v>
      </c>
      <c r="HG45" s="3">
        <f>$H45*factors!HA$3</f>
        <v>0.47922869429660003</v>
      </c>
      <c r="HH45" s="3">
        <f>$H45*factors!HB$3</f>
        <v>0.47294214230280002</v>
      </c>
      <c r="HI45" s="3">
        <f>$H45*factors!HC$3</f>
        <v>0.46713917123160004</v>
      </c>
      <c r="HJ45" s="3">
        <f>$H45*factors!HD$3</f>
        <v>0.46181978108300004</v>
      </c>
      <c r="HK45" s="3">
        <f>$H45*factors!HE$3</f>
        <v>0.48841673182599998</v>
      </c>
      <c r="HL45" s="3">
        <f>$H45*factors!HF$3</f>
        <v>0.46036903831519999</v>
      </c>
      <c r="HM45" s="3">
        <f>$H45*factors!HG$3</f>
        <v>0.46520484754120006</v>
      </c>
      <c r="HN45" s="3">
        <f>$H45*factors!HH$3</f>
        <v>0.49615402658760005</v>
      </c>
      <c r="HO45" s="3">
        <f>$H45*factors!HI$3</f>
        <v>0.47584362783840001</v>
      </c>
      <c r="HP45" s="3">
        <f>$H45*factors!HJ$3</f>
        <v>0.50775996873000007</v>
      </c>
      <c r="HQ45" s="3">
        <f>$H45*factors!HK$3</f>
        <v>0.46423768569600005</v>
      </c>
      <c r="HR45" s="3">
        <f>$H45*factors!HL$3</f>
        <v>0.4922853792068001</v>
      </c>
      <c r="HS45" s="3">
        <f>$H45*factors!HM$3</f>
        <v>0.50098983581360002</v>
      </c>
      <c r="HT45" s="3">
        <f>$H45*factors!HN$3</f>
        <v>0.46713917123160004</v>
      </c>
      <c r="HU45" s="3">
        <f>$H45*factors!HO$3</f>
        <v>0.4719749804576</v>
      </c>
      <c r="HV45" s="3">
        <f>$H45*factors!HP$3</f>
        <v>0.47777795152880004</v>
      </c>
      <c r="HW45" s="3">
        <f>$H45*factors!HQ$3</f>
        <v>0.48454808444520003</v>
      </c>
      <c r="HX45" s="3">
        <f>$H45*factors!HR$3</f>
        <v>0.50437490227179993</v>
      </c>
      <c r="HY45" s="3">
        <f>$H45*factors!HS$3</f>
        <v>0.47922869429660003</v>
      </c>
      <c r="HZ45" s="3">
        <f>$H45*factors!HT$3</f>
        <v>0.49760476935539999</v>
      </c>
      <c r="IA45" s="3">
        <f>$H45*factors!HU$3</f>
        <v>0.47342572322540005</v>
      </c>
      <c r="IB45" s="3">
        <f>$H45*factors!HV$3</f>
        <v>0.48986747459379998</v>
      </c>
      <c r="IC45" s="3">
        <f>$H45*factors!HW$3</f>
        <v>0.4947032838198</v>
      </c>
      <c r="ID45" s="3">
        <f>$H45*factors!HX$3</f>
        <v>0.45940187646999997</v>
      </c>
      <c r="IE45" s="3">
        <f>$H45*factors!HY$3</f>
        <v>0.48793315090339995</v>
      </c>
      <c r="IF45" s="3">
        <f>$H45*factors!HZ$3</f>
        <v>0.48503166536779996</v>
      </c>
      <c r="IG45" s="3">
        <f>$H45*factors!IA$3</f>
        <v>0.48067943706440003</v>
      </c>
      <c r="IH45" s="3">
        <f>$H45*factors!IB$3</f>
        <v>0.4985719312006</v>
      </c>
      <c r="II45" s="3">
        <f>$H45*factors!IC$3</f>
        <v>0.4772943706062</v>
      </c>
      <c r="IJ45" s="3">
        <f>$H45*factors!ID$3</f>
        <v>0.48164659890960004</v>
      </c>
      <c r="IK45" s="3">
        <f>$H45*factors!IE$3</f>
        <v>0.49905551212320004</v>
      </c>
      <c r="IL45" s="3">
        <f>$H45*factors!IF$3</f>
        <v>0.47777795152880004</v>
      </c>
      <c r="IM45" s="3">
        <f>$H45*factors!IG$3</f>
        <v>0.47342572322540005</v>
      </c>
      <c r="IN45" s="3">
        <f>$H45*factors!IH$3</f>
        <v>0.47632720876100004</v>
      </c>
      <c r="IO45" s="3">
        <f>$H45*factors!II$3</f>
        <v>0.48116301798700001</v>
      </c>
      <c r="IP45" s="3">
        <f>$H45*factors!IJ$3</f>
        <v>0.46520484754120006</v>
      </c>
      <c r="IQ45" s="3">
        <f>$H45*factors!IK$3</f>
        <v>0.46375410477340001</v>
      </c>
      <c r="IR45" s="3">
        <f>$H45*factors!IL$3</f>
        <v>0.4772943706062</v>
      </c>
      <c r="IS45" s="3">
        <f>$H45*factors!IM$3</f>
        <v>0.48116301798700001</v>
      </c>
      <c r="IT45" s="3">
        <f>$H45*factors!IN$3</f>
        <v>0.48454808444520003</v>
      </c>
      <c r="IU45" s="3">
        <f>$H45*factors!IO$3</f>
        <v>0.49518686474240003</v>
      </c>
      <c r="IV45" s="3">
        <f>$H45*factors!IP$3</f>
        <v>0.50147341673619994</v>
      </c>
      <c r="IW45" s="3">
        <f>$H45*factors!IQ$3</f>
        <v>0.47390930414799998</v>
      </c>
      <c r="IX45" s="3">
        <f>$H45*factors!IR$3</f>
        <v>0.49518686474240003</v>
      </c>
      <c r="IY45" s="3">
        <f>$H45*factors!IS$3</f>
        <v>0.48793315090339995</v>
      </c>
      <c r="IZ45" s="3">
        <f>$H45*factors!IT$3</f>
        <v>0.49615402658760005</v>
      </c>
      <c r="JA45" s="3">
        <f>$H45*factors!IU$3</f>
        <v>0.46858991399939998</v>
      </c>
      <c r="JB45" s="3">
        <f>$H45*factors!IV$3</f>
        <v>0.4772943706062</v>
      </c>
      <c r="JC45" s="3">
        <f>$H45*factors!IW$3</f>
        <v>0.46617200938640002</v>
      </c>
      <c r="JD45" s="3">
        <f>$H45*factors!IX$3</f>
        <v>0.50775996873000007</v>
      </c>
      <c r="JE45" s="3">
        <f>$H45*factors!IY$3</f>
        <v>0.46762275215420002</v>
      </c>
      <c r="JF45" s="3">
        <f>$H45*factors!IZ$3</f>
        <v>0.49083463643899994</v>
      </c>
      <c r="JG45" s="3">
        <f>$H45*factors!JA$3</f>
        <v>0.48213017983220002</v>
      </c>
      <c r="JH45" s="3">
        <f>$H45*factors!JB$3</f>
        <v>0.49131821736160008</v>
      </c>
      <c r="JI45" s="3">
        <f>$H45*factors!JC$3</f>
        <v>0.45988545739260001</v>
      </c>
      <c r="JJ45" s="3">
        <f>$H45*factors!JD$3</f>
        <v>0.49518686474240003</v>
      </c>
      <c r="JK45" s="3">
        <f>$H45*factors!JE$3</f>
        <v>0.47922869429660003</v>
      </c>
      <c r="JL45" s="3">
        <f>$H45*factors!JF$3</f>
        <v>0.4985719312006</v>
      </c>
      <c r="JM45" s="3">
        <f>$H45*factors!JG$3</f>
        <v>0.46520484754120006</v>
      </c>
      <c r="JN45" s="3">
        <f>$H45*factors!JH$3</f>
        <v>0.46520484754120006</v>
      </c>
      <c r="JO45" s="3">
        <f>$H45*factors!JI$3</f>
        <v>0.45940187646999997</v>
      </c>
      <c r="JP45" s="3">
        <f>$H45*factors!JJ$3</f>
        <v>0.49663760751020003</v>
      </c>
      <c r="JQ45" s="3">
        <f>$H45*factors!JK$3</f>
        <v>0.4840645035226</v>
      </c>
      <c r="JR45" s="3">
        <f>$H45*factors!JL$3</f>
        <v>0.50292415950400005</v>
      </c>
      <c r="JS45" s="3">
        <f>$H45*factors!JM$3</f>
        <v>0.45940187646999997</v>
      </c>
      <c r="JT45" s="3">
        <f>$H45*factors!JN$3</f>
        <v>0.48261376075480006</v>
      </c>
      <c r="JU45" s="3">
        <f>$H45*factors!JO$3</f>
        <v>0.466655590309</v>
      </c>
      <c r="JV45" s="3">
        <f>$H45*factors!JP$3</f>
        <v>0.47439288507060001</v>
      </c>
      <c r="JW45" s="3">
        <f>$H45*factors!JQ$3</f>
        <v>0.50679280688480011</v>
      </c>
      <c r="JX45" s="3">
        <f>$H45*factors!JR$3</f>
        <v>0.50195699765879997</v>
      </c>
      <c r="JY45" s="3">
        <f>$H45*factors!JS$3</f>
        <v>0.47245856138020004</v>
      </c>
      <c r="JZ45" s="3">
        <f>$H45*factors!JT$3</f>
        <v>0.47777795152880004</v>
      </c>
      <c r="KA45" s="3">
        <f>$H45*factors!JU$3</f>
        <v>0.47971227521920007</v>
      </c>
      <c r="KB45" s="3">
        <f>$H45*factors!JV$3</f>
        <v>0.46375410477340001</v>
      </c>
      <c r="KC45" s="3">
        <f>$H45*factors!JW$3</f>
        <v>0.46617200938640002</v>
      </c>
      <c r="KD45" s="3">
        <f>$H45*factors!JX$3</f>
        <v>0.466655590309</v>
      </c>
      <c r="KE45" s="3">
        <f>$H45*factors!JY$3</f>
        <v>0.49663760751020003</v>
      </c>
      <c r="KF45" s="3">
        <f>$H45*factors!JZ$3</f>
        <v>0.50244057858140001</v>
      </c>
      <c r="KG45" s="3">
        <f>$H45*factors!KA$3</f>
        <v>0.48454808444520003</v>
      </c>
      <c r="KH45" s="3">
        <f>$H45*factors!KB$3</f>
        <v>0.47390930414799998</v>
      </c>
      <c r="KI45" s="3">
        <f>$H45*factors!KC$3</f>
        <v>0.46955707584459999</v>
      </c>
    </row>
    <row r="46" spans="1:295" x14ac:dyDescent="0.55000000000000004">
      <c r="A46" t="s">
        <v>422</v>
      </c>
      <c r="B46">
        <v>45</v>
      </c>
      <c r="C46">
        <v>230</v>
      </c>
      <c r="D46" t="s">
        <v>377</v>
      </c>
      <c r="E46">
        <v>1.5035E-2</v>
      </c>
      <c r="F46">
        <v>45</v>
      </c>
      <c r="G46">
        <f>VLOOKUP(D46,demand_forecasted!$A$2:$G$11,2)</f>
        <v>11098</v>
      </c>
      <c r="H46" s="3">
        <f t="shared" si="1"/>
        <v>1.6685843</v>
      </c>
      <c r="I46" s="3">
        <f>$H46*factors!C$3</f>
        <v>1.8471228201000001</v>
      </c>
      <c r="J46" s="3">
        <f>$H46*factors!D$3</f>
        <v>1.780446191472</v>
      </c>
      <c r="K46" s="3">
        <f>$H46*factors!E$3</f>
        <v>1.7498109837240001</v>
      </c>
      <c r="L46" s="3">
        <f>$H46*factors!F$3</f>
        <v>1.7444047705920003</v>
      </c>
      <c r="M46" s="3">
        <f>$H46*factors!G$3</f>
        <v>1.742602699548</v>
      </c>
      <c r="N46" s="3">
        <f>$H46*factors!H$3</f>
        <v>1.79306068878</v>
      </c>
      <c r="O46" s="3">
        <f>$H46*factors!I$3</f>
        <v>1.8327062517479999</v>
      </c>
      <c r="P46" s="3">
        <f>$H46*factors!J$3</f>
        <v>1.8543311042760002</v>
      </c>
      <c r="Q46" s="3">
        <f>$H46*factors!K$3</f>
        <v>1.7408006285040001</v>
      </c>
      <c r="R46" s="3">
        <f>$H46*factors!L$3</f>
        <v>1.7119674918000001</v>
      </c>
      <c r="S46" s="3">
        <f>$H46*factors!M$3</f>
        <v>1.7822482625159999</v>
      </c>
      <c r="T46" s="3">
        <f>$H46*factors!N$3</f>
        <v>1.8435186780120001</v>
      </c>
      <c r="U46" s="3">
        <f>$H46*factors!O$3</f>
        <v>1.7462068416360002</v>
      </c>
      <c r="V46" s="3">
        <f>$H46*factors!P$3</f>
        <v>1.8164876123520002</v>
      </c>
      <c r="W46" s="3">
        <f>$H46*factors!Q$3</f>
        <v>1.8327062517479999</v>
      </c>
      <c r="X46" s="3">
        <f>$H46*factors!R$3</f>
        <v>1.7534151258120001</v>
      </c>
      <c r="Y46" s="3">
        <f>$H46*factors!S$3</f>
        <v>1.7371964864160001</v>
      </c>
      <c r="Z46" s="3">
        <f>$H46*factors!T$3</f>
        <v>1.8741538857600004</v>
      </c>
      <c r="AA46" s="3">
        <f>$H46*factors!U$3</f>
        <v>1.7696337652079999</v>
      </c>
      <c r="AB46" s="3">
        <f>$H46*factors!V$3</f>
        <v>1.7714358362520002</v>
      </c>
      <c r="AC46" s="3">
        <f>$H46*factors!W$3</f>
        <v>1.7732379072960003</v>
      </c>
      <c r="AD46" s="3">
        <f>$H46*factors!X$3</f>
        <v>1.7353944153720002</v>
      </c>
      <c r="AE46" s="3">
        <f>$H46*factors!Y$3</f>
        <v>1.7498109837240001</v>
      </c>
      <c r="AF46" s="3">
        <f>$H46*factors!Z$3</f>
        <v>1.7858524046040003</v>
      </c>
      <c r="AG46" s="3">
        <f>$H46*factors!AA$3</f>
        <v>1.7408006285040001</v>
      </c>
      <c r="AH46" s="3">
        <f>$H46*factors!AB$3</f>
        <v>1.7335923443280001</v>
      </c>
      <c r="AI46" s="3">
        <f>$H46*factors!AC$3</f>
        <v>1.789456546692</v>
      </c>
      <c r="AJ46" s="3">
        <f>$H46*factors!AD$3</f>
        <v>1.857935246364</v>
      </c>
      <c r="AK46" s="3">
        <f>$H46*factors!AE$3</f>
        <v>1.7876544756480002</v>
      </c>
      <c r="AL46" s="3">
        <f>$H46*factors!AF$3</f>
        <v>1.7173737049319999</v>
      </c>
      <c r="AM46" s="3">
        <f>$H46*factors!AG$3</f>
        <v>1.7660296231200001</v>
      </c>
      <c r="AN46" s="3">
        <f>$H46*factors!AH$3</f>
        <v>1.7371964864160001</v>
      </c>
      <c r="AO46" s="3">
        <f>$H46*factors!AI$3</f>
        <v>1.8200917544399999</v>
      </c>
      <c r="AP46" s="3">
        <f>$H46*factors!AJ$3</f>
        <v>1.7444047705920003</v>
      </c>
      <c r="AQ46" s="3">
        <f>$H46*factors!AK$3</f>
        <v>1.8002689729560002</v>
      </c>
      <c r="AR46" s="3">
        <f>$H46*factors!AL$3</f>
        <v>1.7606234099880003</v>
      </c>
      <c r="AS46" s="3">
        <f>$H46*factors!AM$3</f>
        <v>1.7173737049319999</v>
      </c>
      <c r="AT46" s="3">
        <f>$H46*factors!AN$3</f>
        <v>1.7714358362520002</v>
      </c>
      <c r="AU46" s="3">
        <f>$H46*factors!AO$3</f>
        <v>1.8759559568039998</v>
      </c>
      <c r="AV46" s="3">
        <f>$H46*factors!AP$3</f>
        <v>1.7732379072960003</v>
      </c>
      <c r="AW46" s="3">
        <f>$H46*factors!AQ$3</f>
        <v>1.755217196856</v>
      </c>
      <c r="AX46" s="3">
        <f>$H46*factors!AR$3</f>
        <v>1.8561331753200001</v>
      </c>
      <c r="AY46" s="3">
        <f>$H46*factors!AS$3</f>
        <v>1.7119674918000001</v>
      </c>
      <c r="AZ46" s="3">
        <f>$H46*factors!AT$3</f>
        <v>1.8345083227920003</v>
      </c>
      <c r="BA46" s="3">
        <f>$H46*factors!AU$3</f>
        <v>1.7948627598239999</v>
      </c>
      <c r="BB46" s="3">
        <f>$H46*factors!AV$3</f>
        <v>1.7714358362520002</v>
      </c>
      <c r="BC46" s="3">
        <f>$H46*factors!AW$3</f>
        <v>1.8741538857600004</v>
      </c>
      <c r="BD46" s="3">
        <f>$H46*factors!AX$3</f>
        <v>1.7299882022399999</v>
      </c>
      <c r="BE46" s="3">
        <f>$H46*factors!AY$3</f>
        <v>2.033904146642</v>
      </c>
      <c r="BF46" s="3">
        <f>$H46*factors!AZ$3</f>
        <v>1.8941101539879999</v>
      </c>
      <c r="BG46" s="3">
        <f>$H46*factors!BA$3</f>
        <v>1.9216751666239997</v>
      </c>
      <c r="BH46" s="3">
        <f>$H46*factors!BB$3</f>
        <v>1.9472712497859999</v>
      </c>
      <c r="BI46" s="3">
        <f>$H46*factors!BC$3</f>
        <v>2.0181527108499995</v>
      </c>
      <c r="BJ46" s="3">
        <f>$H46*factors!BD$3</f>
        <v>1.9275819550459998</v>
      </c>
      <c r="BK46" s="3">
        <f>$H46*factors!BE$3</f>
        <v>1.9315198139939997</v>
      </c>
      <c r="BL46" s="3">
        <f>$H46*factors!BF$3</f>
        <v>1.9098615897799998</v>
      </c>
      <c r="BM46" s="3">
        <f>$H46*factors!BG$3</f>
        <v>2.0398109350640001</v>
      </c>
      <c r="BN46" s="3">
        <f>$H46*factors!BH$3</f>
        <v>2.014214851902</v>
      </c>
      <c r="BO46" s="3">
        <f>$H46*factors!BI$3</f>
        <v>1.8941101539879999</v>
      </c>
      <c r="BP46" s="3">
        <f>$H46*factors!BJ$3</f>
        <v>1.8882033655659998</v>
      </c>
      <c r="BQ46" s="3">
        <f>$H46*factors!BK$3</f>
        <v>1.9197062371499998</v>
      </c>
      <c r="BR46" s="3">
        <f>$H46*factors!BL$3</f>
        <v>1.9886187687399999</v>
      </c>
      <c r="BS46" s="3">
        <f>$H46*factors!BM$3</f>
        <v>2.0201216403240001</v>
      </c>
      <c r="BT46" s="3">
        <f>$H46*factors!BN$3</f>
        <v>2.0260284287459998</v>
      </c>
      <c r="BU46" s="3">
        <f>$H46*factors!BO$3</f>
        <v>2.0595002298040002</v>
      </c>
      <c r="BV46" s="3">
        <f>$H46*factors!BP$3</f>
        <v>1.9157683782019999</v>
      </c>
      <c r="BW46" s="3">
        <f>$H46*factors!BQ$3</f>
        <v>1.9590848266299998</v>
      </c>
      <c r="BX46" s="3">
        <f>$H46*factors!BR$3</f>
        <v>1.9216751666239997</v>
      </c>
      <c r="BY46" s="3">
        <f>$H46*factors!BS$3</f>
        <v>2.0102769929539996</v>
      </c>
      <c r="BZ46" s="3">
        <f>$H46*factors!BT$3</f>
        <v>1.9728673329479998</v>
      </c>
      <c r="CA46" s="3">
        <f>$H46*factors!BU$3</f>
        <v>1.9472712497859999</v>
      </c>
      <c r="CB46" s="3">
        <f>$H46*factors!BV$3</f>
        <v>1.8842655066179999</v>
      </c>
      <c r="CC46" s="3">
        <f>$H46*factors!BW$3</f>
        <v>1.9393955318899998</v>
      </c>
      <c r="CD46" s="3">
        <f>$H46*factors!BX$3</f>
        <v>1.9453023203119999</v>
      </c>
      <c r="CE46" s="3">
        <f>$H46*factors!BY$3</f>
        <v>1.9728673329479998</v>
      </c>
      <c r="CF46" s="3">
        <f>$H46*factors!BZ$3</f>
        <v>1.9433333908380002</v>
      </c>
      <c r="CG46" s="3">
        <f>$H46*factors!CA$3</f>
        <v>1.8783587181959998</v>
      </c>
      <c r="CH46" s="3">
        <f>$H46*factors!CB$3</f>
        <v>1.8803276476699997</v>
      </c>
      <c r="CI46" s="3">
        <f>$H46*factors!CC$3</f>
        <v>1.8704830002999999</v>
      </c>
      <c r="CJ46" s="3">
        <f>$H46*factors!CD$3</f>
        <v>1.9472712497859999</v>
      </c>
      <c r="CK46" s="3">
        <f>$H46*factors!CE$3</f>
        <v>2.033904146642</v>
      </c>
      <c r="CL46" s="3">
        <f>$H46*factors!CF$3</f>
        <v>1.9059237308319998</v>
      </c>
      <c r="CM46" s="3">
        <f>$H46*factors!CG$3</f>
        <v>1.9512091087339998</v>
      </c>
      <c r="CN46" s="3">
        <f>$H46*factors!CH$3</f>
        <v>1.8862344360919998</v>
      </c>
      <c r="CO46" s="3">
        <f>$H46*factors!CI$3</f>
        <v>1.9000169424099997</v>
      </c>
      <c r="CP46" s="3">
        <f>$H46*factors!CJ$3</f>
        <v>1.9905876982139996</v>
      </c>
      <c r="CQ46" s="3">
        <f>$H46*factors!CK$3</f>
        <v>1.9315198139939997</v>
      </c>
      <c r="CR46" s="3">
        <f>$H46*factors!CL$3</f>
        <v>1.9925566276879998</v>
      </c>
      <c r="CS46" s="3">
        <f>$H46*factors!CM$3</f>
        <v>2.0555623708559998</v>
      </c>
      <c r="CT46" s="3">
        <f>$H46*factors!CN$3</f>
        <v>2.0319352171679999</v>
      </c>
      <c r="CU46" s="3">
        <f>$H46*factors!CO$3</f>
        <v>1.9866498392659997</v>
      </c>
      <c r="CV46" s="3">
        <f>$H46*factors!CP$3</f>
        <v>2.0673759477</v>
      </c>
      <c r="CW46" s="3">
        <f>$H46*factors!CQ$3</f>
        <v>1.9551469676820001</v>
      </c>
      <c r="CX46" s="3">
        <f>$H46*factors!CR$3</f>
        <v>1.9256130255719999</v>
      </c>
      <c r="CY46" s="3">
        <f>$H46*factors!CS$3</f>
        <v>1.9078926603059998</v>
      </c>
      <c r="CZ46" s="3">
        <f>$H46*factors!CT$3</f>
        <v>1.8803276476699997</v>
      </c>
      <c r="DA46" s="3">
        <f>$H46*factors!CU$3</f>
        <v>1.952243631</v>
      </c>
      <c r="DB46" s="3">
        <f>$H46*factors!CV$3</f>
        <v>2.0783886040800001</v>
      </c>
      <c r="DC46" s="3">
        <f>$H46*factors!CW$3</f>
        <v>1.9902873530399998</v>
      </c>
      <c r="DD46" s="3">
        <f>$H46*factors!CX$3</f>
        <v>1.9762712449199999</v>
      </c>
      <c r="DE46" s="3">
        <f>$H46*factors!CY$3</f>
        <v>2.03433797856</v>
      </c>
      <c r="DF46" s="3">
        <f>$H46*factors!CZ$3</f>
        <v>2.0303333762399998</v>
      </c>
      <c r="DG46" s="3">
        <f>$H46*factors!DA$3</f>
        <v>2.0223241715999998</v>
      </c>
      <c r="DH46" s="3">
        <f>$H46*factors!DB$3</f>
        <v>2.0223241715999998</v>
      </c>
      <c r="DI46" s="3">
        <f>$H46*factors!DC$3</f>
        <v>1.9462367275199999</v>
      </c>
      <c r="DJ46" s="3">
        <f>$H46*factors!DD$3</f>
        <v>2.0623701948000002</v>
      </c>
      <c r="DK46" s="3">
        <f>$H46*factors!DE$3</f>
        <v>2.0623701948000002</v>
      </c>
      <c r="DL46" s="3">
        <f>$H46*factors!DF$3</f>
        <v>2.0383425808800002</v>
      </c>
      <c r="DM46" s="3">
        <f>$H46*factors!DG$3</f>
        <v>1.9202068124399998</v>
      </c>
      <c r="DN46" s="3">
        <f>$H46*factors!DH$3</f>
        <v>2.0143149669600002</v>
      </c>
      <c r="DO46" s="3">
        <f>$H46*factors!DI$3</f>
        <v>2.0803909052399998</v>
      </c>
      <c r="DP46" s="3">
        <f>$H46*factors!DJ$3</f>
        <v>2.0623701948000002</v>
      </c>
      <c r="DQ46" s="3">
        <f>$H46*factors!DK$3</f>
        <v>1.9662597391199998</v>
      </c>
      <c r="DR46" s="3">
        <f>$H46*factors!DL$3</f>
        <v>1.94423442636</v>
      </c>
      <c r="DS46" s="3">
        <f>$H46*factors!DM$3</f>
        <v>2.10041391684</v>
      </c>
      <c r="DT46" s="3">
        <f>$H46*factors!DN$3</f>
        <v>1.9742689437600001</v>
      </c>
      <c r="DU46" s="3">
        <f>$H46*factors!DO$3</f>
        <v>2.0663747971199999</v>
      </c>
      <c r="DV46" s="3">
        <f>$H46*factors!DP$3</f>
        <v>2.01831956928</v>
      </c>
      <c r="DW46" s="3">
        <f>$H46*factors!DQ$3</f>
        <v>1.9262137159199999</v>
      </c>
      <c r="DX46" s="3">
        <f>$H46*factors!DR$3</f>
        <v>2.0403448820399999</v>
      </c>
      <c r="DY46" s="3">
        <f>$H46*factors!DS$3</f>
        <v>1.9362252217199998</v>
      </c>
      <c r="DZ46" s="3">
        <f>$H46*factors!DT$3</f>
        <v>2.0703793994399997</v>
      </c>
      <c r="EA46" s="3">
        <f>$H46*factors!DU$3</f>
        <v>1.9502413298399996</v>
      </c>
      <c r="EB46" s="3">
        <f>$H46*factors!DV$3</f>
        <v>1.9021861019999999</v>
      </c>
      <c r="EC46" s="3">
        <f>$H46*factors!DW$3</f>
        <v>2.0463517855199997</v>
      </c>
      <c r="ED46" s="3">
        <f>$H46*factors!DX$3</f>
        <v>1.9202068124399998</v>
      </c>
      <c r="EE46" s="3">
        <f>$H46*factors!DY$3</f>
        <v>1.9362252217199998</v>
      </c>
      <c r="EF46" s="3">
        <f>$H46*factors!DZ$3</f>
        <v>2.10041391684</v>
      </c>
      <c r="EG46" s="3">
        <f>$H46*factors!EA$3</f>
        <v>1.9622551367999999</v>
      </c>
      <c r="EH46" s="3">
        <f>$H46*factors!EB$3</f>
        <v>1.96826204028</v>
      </c>
      <c r="EI46" s="3">
        <f>$H46*factors!EC$3</f>
        <v>1.96425743796</v>
      </c>
      <c r="EJ46" s="3">
        <f>$H46*factors!ED$3</f>
        <v>1.9141999089599999</v>
      </c>
      <c r="EK46" s="3">
        <f>$H46*factors!EE$3</f>
        <v>2.0463517855199997</v>
      </c>
      <c r="EL46" s="3">
        <f>$H46*factors!EF$3</f>
        <v>1.9462367275199999</v>
      </c>
      <c r="EM46" s="3">
        <f>$H46*factors!EG$3</f>
        <v>2.0243264727599999</v>
      </c>
      <c r="EN46" s="3">
        <f>$H46*factors!EH$3</f>
        <v>1.9021861019999999</v>
      </c>
      <c r="EO46" s="3">
        <f>$H46*factors!EI$3</f>
        <v>1.9302183182399997</v>
      </c>
      <c r="EP46" s="3">
        <f>$H46*factors!EJ$3</f>
        <v>2.0363402797200001</v>
      </c>
      <c r="EQ46" s="3">
        <f>$H46*factors!EK$3</f>
        <v>1.9802758472399997</v>
      </c>
      <c r="ER46" s="3">
        <f>$H46*factors!EL$3</f>
        <v>2.0623701948000002</v>
      </c>
      <c r="ES46" s="3">
        <f>$H46*factors!EM$3</f>
        <v>2.0363402797200001</v>
      </c>
      <c r="ET46" s="3">
        <f>$H46*factors!EN$3</f>
        <v>2.0823932063999999</v>
      </c>
      <c r="EU46" s="3">
        <f>$H46*factors!EO$3</f>
        <v>2.1024162180000001</v>
      </c>
      <c r="EV46" s="3">
        <f>$H46*factors!EP$3</f>
        <v>1.9702643414399998</v>
      </c>
      <c r="EW46" s="3">
        <f>$H46*factors!EQ$3</f>
        <v>2.1670738596249999</v>
      </c>
      <c r="EX46" s="3">
        <f>$H46*factors!ER$3</f>
        <v>2.1441308255000004</v>
      </c>
      <c r="EY46" s="3">
        <f>$H46*factors!ES$3</f>
        <v>2.1879311633749996</v>
      </c>
      <c r="EZ46" s="3">
        <f>$H46*factors!ET$3</f>
        <v>2.1670738596249999</v>
      </c>
      <c r="FA46" s="3">
        <f>$H46*factors!EU$3</f>
        <v>1.9918725081249997</v>
      </c>
      <c r="FB46" s="3">
        <f>$H46*factors!EV$3</f>
        <v>2.0815589142499999</v>
      </c>
      <c r="FC46" s="3">
        <f>$H46*factors!EW$3</f>
        <v>2.1399593647500001</v>
      </c>
      <c r="FD46" s="3">
        <f>$H46*factors!EX$3</f>
        <v>2.0648730712500001</v>
      </c>
      <c r="FE46" s="3">
        <f>$H46*factors!EY$3</f>
        <v>2.175416781125</v>
      </c>
      <c r="FF46" s="3">
        <f>$H46*factors!EZ$3</f>
        <v>2.1775025115000002</v>
      </c>
      <c r="FG46" s="3">
        <f>$H46*factors!FA$3</f>
        <v>1.9918725081249997</v>
      </c>
      <c r="FH46" s="3">
        <f>$H46*factors!FB$3</f>
        <v>2.0961590268749997</v>
      </c>
      <c r="FI46" s="3">
        <f>$H46*factors!FC$3</f>
        <v>2.1837597026249997</v>
      </c>
      <c r="FJ46" s="3">
        <f>$H46*factors!FD$3</f>
        <v>2.0961590268749997</v>
      </c>
      <c r="FK46" s="3">
        <f>$H46*factors!FE$3</f>
        <v>2.13161644325</v>
      </c>
      <c r="FL46" s="3">
        <f>$H46*factors!FF$3</f>
        <v>2.137873634375</v>
      </c>
      <c r="FM46" s="3">
        <f>$H46*factors!FG$3</f>
        <v>2.1608166684999999</v>
      </c>
      <c r="FN46" s="3">
        <f>$H46*factors!FH$3</f>
        <v>2.021072733375</v>
      </c>
      <c r="FO46" s="3">
        <f>$H46*factors!FI$3</f>
        <v>2.1462165558749997</v>
      </c>
      <c r="FP46" s="3">
        <f>$H46*factors!FJ$3</f>
        <v>2.0857303749999998</v>
      </c>
      <c r="FQ46" s="3">
        <f>$H46*factors!FK$3</f>
        <v>2.0648730712500001</v>
      </c>
      <c r="FR46" s="3">
        <f>$H46*factors!FL$3</f>
        <v>2.10658767875</v>
      </c>
      <c r="FS46" s="3">
        <f>$H46*factors!FM$3</f>
        <v>2.0940732965</v>
      </c>
      <c r="FT46" s="3">
        <f>$H46*factors!FN$3</f>
        <v>2.1399593647500001</v>
      </c>
      <c r="FU46" s="3">
        <f>$H46*factors!FO$3</f>
        <v>2.0565301497499999</v>
      </c>
      <c r="FV46" s="3">
        <f>$H46*factors!FP$3</f>
        <v>2.0398443067500001</v>
      </c>
      <c r="FW46" s="3">
        <f>$H46*factors!FQ$3</f>
        <v>2.1837597026249997</v>
      </c>
      <c r="FX46" s="3">
        <f>$H46*factors!FR$3</f>
        <v>2.1441308255000004</v>
      </c>
      <c r="FY46" s="3">
        <f>$H46*factors!FS$3</f>
        <v>2.1003304876249995</v>
      </c>
      <c r="FZ46" s="3">
        <f>$H46*factors!FT$3</f>
        <v>1.996043968875</v>
      </c>
      <c r="GA46" s="3">
        <f>$H46*factors!FU$3</f>
        <v>2.1003304876249995</v>
      </c>
      <c r="GB46" s="3">
        <f>$H46*factors!FV$3</f>
        <v>2.1775025115000002</v>
      </c>
      <c r="GC46" s="3">
        <f>$H46*factors!FW$3</f>
        <v>2.0398443067500001</v>
      </c>
      <c r="GD46" s="3">
        <f>$H46*factors!FX$3</f>
        <v>2.0753017231249999</v>
      </c>
      <c r="GE46" s="3">
        <f>$H46*factors!FY$3</f>
        <v>2.0753017231249999</v>
      </c>
      <c r="GF46" s="3">
        <f>$H46*factors!FZ$3</f>
        <v>2.0690445319999999</v>
      </c>
      <c r="GG46" s="3">
        <f>$H46*factors!GA$3</f>
        <v>1.9877010473749999</v>
      </c>
      <c r="GH46" s="3">
        <f>$H46*factors!GB$3</f>
        <v>2.1149306002500001</v>
      </c>
      <c r="GI46" s="3">
        <f>$H46*factors!GC$3</f>
        <v>1.983529586625</v>
      </c>
      <c r="GJ46" s="3">
        <f>$H46*factors!GD$3</f>
        <v>1.9877010473749999</v>
      </c>
      <c r="GK46" s="3">
        <f>$H46*factors!GE$3</f>
        <v>2.0377585763749999</v>
      </c>
      <c r="GL46" s="3">
        <f>$H46*factors!GF$3</f>
        <v>2.1587309381250002</v>
      </c>
      <c r="GM46" s="3">
        <f>$H46*factors!GG$3</f>
        <v>2.0461014978750001</v>
      </c>
      <c r="GN46" s="3">
        <f>$H46*factors!GH$3</f>
        <v>2.1107591395000003</v>
      </c>
      <c r="GO46" s="3">
        <f>$H46*factors!GI$3</f>
        <v>1.9939582384999996</v>
      </c>
      <c r="GP46" s="3">
        <f>$H46*factors!GJ$3</f>
        <v>2.137873634375</v>
      </c>
      <c r="GQ46" s="3">
        <f>$H46*factors!GK$3</f>
        <v>2.18167397225</v>
      </c>
      <c r="GR46" s="3">
        <f>$H46*factors!GL$3</f>
        <v>2.1399593647500001</v>
      </c>
      <c r="GS46" s="3">
        <f>$H46*factors!GM$3</f>
        <v>2.023742468255</v>
      </c>
      <c r="GT46" s="3">
        <f>$H46*factors!GN$3</f>
        <v>2.070362713597</v>
      </c>
      <c r="GU46" s="3">
        <f>$H46*factors!GO$3</f>
        <v>2.119102061</v>
      </c>
      <c r="GV46" s="3">
        <f>$H46*factors!GP$3</f>
        <v>2.03433797856</v>
      </c>
      <c r="GW46" s="3">
        <f>$H46*factors!GQ$3</f>
        <v>2.106387448634</v>
      </c>
      <c r="GX46" s="3">
        <f>$H46*factors!GR$3</f>
        <v>2.072481815658</v>
      </c>
      <c r="GY46" s="3">
        <f>$H46*factors!GS$3</f>
        <v>2.0618863053530001</v>
      </c>
      <c r="GZ46" s="3">
        <f>$H46*factors!GT$3</f>
        <v>2.1381739795489998</v>
      </c>
      <c r="HA46" s="3">
        <f>$H46*factors!GU$3</f>
        <v>2.0682436115359999</v>
      </c>
      <c r="HB46" s="3">
        <f>$H46*factors!GV$3</f>
        <v>2.1381739795489998</v>
      </c>
      <c r="HC46" s="3">
        <f>$H46*factors!GW$3</f>
        <v>2.0851964280240001</v>
      </c>
      <c r="HD46" s="3">
        <f>$H46*factors!GX$3</f>
        <v>2.1466503877929997</v>
      </c>
      <c r="HE46" s="3">
        <f>$H46*factors!GY$3</f>
        <v>2.119102061</v>
      </c>
      <c r="HF46" s="3">
        <f>$H46*factors!GZ$3</f>
        <v>2.1847942248909997</v>
      </c>
      <c r="HG46" s="3">
        <f>$H46*factors!HA$3</f>
        <v>2.1000301424510002</v>
      </c>
      <c r="HH46" s="3">
        <f>$H46*factors!HB$3</f>
        <v>2.072481815658</v>
      </c>
      <c r="HI46" s="3">
        <f>$H46*factors!HC$3</f>
        <v>2.047052590926</v>
      </c>
      <c r="HJ46" s="3">
        <f>$H46*factors!HD$3</f>
        <v>2.023742468255</v>
      </c>
      <c r="HK46" s="3">
        <f>$H46*factors!HE$3</f>
        <v>2.1402930816099999</v>
      </c>
      <c r="HL46" s="3">
        <f>$H46*factors!HF$3</f>
        <v>2.0173851620719998</v>
      </c>
      <c r="HM46" s="3">
        <f>$H46*factors!HG$3</f>
        <v>2.0385761826820001</v>
      </c>
      <c r="HN46" s="3">
        <f>$H46*factors!HH$3</f>
        <v>2.1741987145860002</v>
      </c>
      <c r="HO46" s="3">
        <f>$H46*factors!HI$3</f>
        <v>2.0851964280240001</v>
      </c>
      <c r="HP46" s="3">
        <f>$H46*factors!HJ$3</f>
        <v>2.2250571640500003</v>
      </c>
      <c r="HQ46" s="3">
        <f>$H46*factors!HK$3</f>
        <v>2.03433797856</v>
      </c>
      <c r="HR46" s="3">
        <f>$H46*factors!HL$3</f>
        <v>2.157245898098</v>
      </c>
      <c r="HS46" s="3">
        <f>$H46*factors!HM$3</f>
        <v>2.1953897351960001</v>
      </c>
      <c r="HT46" s="3">
        <f>$H46*factors!HN$3</f>
        <v>2.047052590926</v>
      </c>
      <c r="HU46" s="3">
        <f>$H46*factors!HO$3</f>
        <v>2.0682436115359999</v>
      </c>
      <c r="HV46" s="3">
        <f>$H46*factors!HP$3</f>
        <v>2.0936728362680004</v>
      </c>
      <c r="HW46" s="3">
        <f>$H46*factors!HQ$3</f>
        <v>2.1233402651220001</v>
      </c>
      <c r="HX46" s="3">
        <f>$H46*factors!HR$3</f>
        <v>2.2102234496229998</v>
      </c>
      <c r="HY46" s="3">
        <f>$H46*factors!HS$3</f>
        <v>2.1000301424510002</v>
      </c>
      <c r="HZ46" s="3">
        <f>$H46*factors!HT$3</f>
        <v>2.180556020769</v>
      </c>
      <c r="IA46" s="3">
        <f>$H46*factors!HU$3</f>
        <v>2.0746009177190001</v>
      </c>
      <c r="IB46" s="3">
        <f>$H46*factors!HV$3</f>
        <v>2.1466503877929997</v>
      </c>
      <c r="IC46" s="3">
        <f>$H46*factors!HW$3</f>
        <v>2.167841408403</v>
      </c>
      <c r="ID46" s="3">
        <f>$H46*factors!HX$3</f>
        <v>2.0131469579499996</v>
      </c>
      <c r="IE46" s="3">
        <f>$H46*factors!HY$3</f>
        <v>2.1381739795489998</v>
      </c>
      <c r="IF46" s="3">
        <f>$H46*factors!HZ$3</f>
        <v>2.1254593671829998</v>
      </c>
      <c r="IG46" s="3">
        <f>$H46*factors!IA$3</f>
        <v>2.106387448634</v>
      </c>
      <c r="IH46" s="3">
        <f>$H46*factors!IB$3</f>
        <v>2.1847942248909997</v>
      </c>
      <c r="II46" s="3">
        <f>$H46*factors!IC$3</f>
        <v>2.0915537342069999</v>
      </c>
      <c r="IJ46" s="3">
        <f>$H46*factors!ID$3</f>
        <v>2.1106256527560001</v>
      </c>
      <c r="IK46" s="3">
        <f>$H46*factors!IE$3</f>
        <v>2.1869133269520002</v>
      </c>
      <c r="IL46" s="3">
        <f>$H46*factors!IF$3</f>
        <v>2.0936728362680004</v>
      </c>
      <c r="IM46" s="3">
        <f>$H46*factors!IG$3</f>
        <v>2.0746009177190001</v>
      </c>
      <c r="IN46" s="3">
        <f>$H46*factors!IH$3</f>
        <v>2.0873155300850001</v>
      </c>
      <c r="IO46" s="3">
        <f>$H46*factors!II$3</f>
        <v>2.108506550695</v>
      </c>
      <c r="IP46" s="3">
        <f>$H46*factors!IJ$3</f>
        <v>2.0385761826820001</v>
      </c>
      <c r="IQ46" s="3">
        <f>$H46*factors!IK$3</f>
        <v>2.0322188764989999</v>
      </c>
      <c r="IR46" s="3">
        <f>$H46*factors!IL$3</f>
        <v>2.0915537342069999</v>
      </c>
      <c r="IS46" s="3">
        <f>$H46*factors!IM$3</f>
        <v>2.108506550695</v>
      </c>
      <c r="IT46" s="3">
        <f>$H46*factors!IN$3</f>
        <v>2.1233402651220001</v>
      </c>
      <c r="IU46" s="3">
        <f>$H46*factors!IO$3</f>
        <v>2.1699605104640001</v>
      </c>
      <c r="IV46" s="3">
        <f>$H46*factors!IP$3</f>
        <v>2.1975088372569997</v>
      </c>
      <c r="IW46" s="3">
        <f>$H46*factors!IQ$3</f>
        <v>2.0767200197799998</v>
      </c>
      <c r="IX46" s="3">
        <f>$H46*factors!IR$3</f>
        <v>2.1699605104640001</v>
      </c>
      <c r="IY46" s="3">
        <f>$H46*factors!IS$3</f>
        <v>2.1381739795489998</v>
      </c>
      <c r="IZ46" s="3">
        <f>$H46*factors!IT$3</f>
        <v>2.1741987145860002</v>
      </c>
      <c r="JA46" s="3">
        <f>$H46*factors!IU$3</f>
        <v>2.0534098971089998</v>
      </c>
      <c r="JB46" s="3">
        <f>$H46*factors!IV$3</f>
        <v>2.0915537342069999</v>
      </c>
      <c r="JC46" s="3">
        <f>$H46*factors!IW$3</f>
        <v>2.0428143868040003</v>
      </c>
      <c r="JD46" s="3">
        <f>$H46*factors!IX$3</f>
        <v>2.2250571640500003</v>
      </c>
      <c r="JE46" s="3">
        <f>$H46*factors!IY$3</f>
        <v>2.0491716929870001</v>
      </c>
      <c r="JF46" s="3">
        <f>$H46*factors!IZ$3</f>
        <v>2.1508885919149998</v>
      </c>
      <c r="JG46" s="3">
        <f>$H46*factors!JA$3</f>
        <v>2.1127447548169997</v>
      </c>
      <c r="JH46" s="3">
        <f>$H46*factors!JB$3</f>
        <v>2.1530076939760003</v>
      </c>
      <c r="JI46" s="3">
        <f>$H46*factors!JC$3</f>
        <v>2.0152660600110002</v>
      </c>
      <c r="JJ46" s="3">
        <f>$H46*factors!JD$3</f>
        <v>2.1699605104640001</v>
      </c>
      <c r="JK46" s="3">
        <f>$H46*factors!JE$3</f>
        <v>2.1000301424510002</v>
      </c>
      <c r="JL46" s="3">
        <f>$H46*factors!JF$3</f>
        <v>2.1847942248909997</v>
      </c>
      <c r="JM46" s="3">
        <f>$H46*factors!JG$3</f>
        <v>2.0385761826820001</v>
      </c>
      <c r="JN46" s="3">
        <f>$H46*factors!JH$3</f>
        <v>2.0385761826820001</v>
      </c>
      <c r="JO46" s="3">
        <f>$H46*factors!JI$3</f>
        <v>2.0131469579499996</v>
      </c>
      <c r="JP46" s="3">
        <f>$H46*factors!JJ$3</f>
        <v>2.1763178166469999</v>
      </c>
      <c r="JQ46" s="3">
        <f>$H46*factors!JK$3</f>
        <v>2.1212211630610001</v>
      </c>
      <c r="JR46" s="3">
        <f>$H46*factors!JL$3</f>
        <v>2.20386614344</v>
      </c>
      <c r="JS46" s="3">
        <f>$H46*factors!JM$3</f>
        <v>2.0131469579499996</v>
      </c>
      <c r="JT46" s="3">
        <f>$H46*factors!JN$3</f>
        <v>2.1148638568780003</v>
      </c>
      <c r="JU46" s="3">
        <f>$H46*factors!JO$3</f>
        <v>2.0449334888649999</v>
      </c>
      <c r="JV46" s="3">
        <f>$H46*factors!JP$3</f>
        <v>2.0788391218410003</v>
      </c>
      <c r="JW46" s="3">
        <f>$H46*factors!JQ$3</f>
        <v>2.2208189599280002</v>
      </c>
      <c r="JX46" s="3">
        <f>$H46*factors!JR$3</f>
        <v>2.1996279393179998</v>
      </c>
      <c r="JY46" s="3">
        <f>$H46*factors!JS$3</f>
        <v>2.070362713597</v>
      </c>
      <c r="JZ46" s="3">
        <f>$H46*factors!JT$3</f>
        <v>2.0936728362680004</v>
      </c>
      <c r="KA46" s="3">
        <f>$H46*factors!JU$3</f>
        <v>2.1021492445120002</v>
      </c>
      <c r="KB46" s="3">
        <f>$H46*factors!JV$3</f>
        <v>2.0322188764989999</v>
      </c>
      <c r="KC46" s="3">
        <f>$H46*factors!JW$3</f>
        <v>2.0428143868040003</v>
      </c>
      <c r="KD46" s="3">
        <f>$H46*factors!JX$3</f>
        <v>2.0449334888649999</v>
      </c>
      <c r="KE46" s="3">
        <f>$H46*factors!JY$3</f>
        <v>2.1763178166469999</v>
      </c>
      <c r="KF46" s="3">
        <f>$H46*factors!JZ$3</f>
        <v>2.2017470413789999</v>
      </c>
      <c r="KG46" s="3">
        <f>$H46*factors!KA$3</f>
        <v>2.1233402651220001</v>
      </c>
      <c r="KH46" s="3">
        <f>$H46*factors!KB$3</f>
        <v>2.0767200197799998</v>
      </c>
      <c r="KI46" s="3">
        <f>$H46*factors!KC$3</f>
        <v>2.0576481012309999</v>
      </c>
    </row>
    <row r="47" spans="1:295" x14ac:dyDescent="0.55000000000000004">
      <c r="A47" t="s">
        <v>423</v>
      </c>
      <c r="B47">
        <v>46</v>
      </c>
      <c r="C47">
        <v>230</v>
      </c>
      <c r="D47" t="s">
        <v>377</v>
      </c>
      <c r="E47">
        <v>3.029E-3</v>
      </c>
      <c r="F47">
        <v>46</v>
      </c>
      <c r="G47">
        <f>VLOOKUP(D47,demand_forecasted!$A$2:$G$11,2)</f>
        <v>11098</v>
      </c>
      <c r="H47" s="3">
        <f t="shared" si="1"/>
        <v>0.33615842000000001</v>
      </c>
      <c r="I47" s="3">
        <f>$H47*factors!C$3</f>
        <v>0.37212737094000004</v>
      </c>
      <c r="J47" s="3">
        <f>$H47*factors!D$3</f>
        <v>0.35869448047680003</v>
      </c>
      <c r="K47" s="3">
        <f>$H47*factors!E$3</f>
        <v>0.35252261188560002</v>
      </c>
      <c r="L47" s="3">
        <f>$H47*factors!F$3</f>
        <v>0.35143345860480008</v>
      </c>
      <c r="M47" s="3">
        <f>$H47*factors!G$3</f>
        <v>0.3510704075112</v>
      </c>
      <c r="N47" s="3">
        <f>$H47*factors!H$3</f>
        <v>0.361235838132</v>
      </c>
      <c r="O47" s="3">
        <f>$H47*factors!I$3</f>
        <v>0.36922296219119999</v>
      </c>
      <c r="P47" s="3">
        <f>$H47*factors!J$3</f>
        <v>0.37357957531440006</v>
      </c>
      <c r="Q47" s="3">
        <f>$H47*factors!K$3</f>
        <v>0.35070735641760004</v>
      </c>
      <c r="R47" s="3">
        <f>$H47*factors!L$3</f>
        <v>0.34489853892</v>
      </c>
      <c r="S47" s="3">
        <f>$H47*factors!M$3</f>
        <v>0.35905753157039999</v>
      </c>
      <c r="T47" s="3">
        <f>$H47*factors!N$3</f>
        <v>0.37140126875280005</v>
      </c>
      <c r="U47" s="3">
        <f>$H47*factors!O$3</f>
        <v>0.35179650969840004</v>
      </c>
      <c r="V47" s="3">
        <f>$H47*factors!P$3</f>
        <v>0.36595550234880003</v>
      </c>
      <c r="W47" s="3">
        <f>$H47*factors!Q$3</f>
        <v>0.36922296219119999</v>
      </c>
      <c r="X47" s="3">
        <f>$H47*factors!R$3</f>
        <v>0.35324871407280001</v>
      </c>
      <c r="Y47" s="3">
        <f>$H47*factors!S$3</f>
        <v>0.34998125423040005</v>
      </c>
      <c r="Z47" s="3">
        <f>$H47*factors!T$3</f>
        <v>0.37757313734400011</v>
      </c>
      <c r="AA47" s="3">
        <f>$H47*factors!U$3</f>
        <v>0.35651617391520002</v>
      </c>
      <c r="AB47" s="3">
        <f>$H47*factors!V$3</f>
        <v>0.35687922500880004</v>
      </c>
      <c r="AC47" s="3">
        <f>$H47*factors!W$3</f>
        <v>0.35724227610240006</v>
      </c>
      <c r="AD47" s="3">
        <f>$H47*factors!X$3</f>
        <v>0.34961820313680003</v>
      </c>
      <c r="AE47" s="3">
        <f>$H47*factors!Y$3</f>
        <v>0.35252261188560002</v>
      </c>
      <c r="AF47" s="3">
        <f>$H47*factors!Z$3</f>
        <v>0.35978363375760003</v>
      </c>
      <c r="AG47" s="3">
        <f>$H47*factors!AA$3</f>
        <v>0.35070735641760004</v>
      </c>
      <c r="AH47" s="3">
        <f>$H47*factors!AB$3</f>
        <v>0.34925515204320007</v>
      </c>
      <c r="AI47" s="3">
        <f>$H47*factors!AC$3</f>
        <v>0.36050973594480001</v>
      </c>
      <c r="AJ47" s="3">
        <f>$H47*factors!AD$3</f>
        <v>0.37430567750160004</v>
      </c>
      <c r="AK47" s="3">
        <f>$H47*factors!AE$3</f>
        <v>0.36014668485120005</v>
      </c>
      <c r="AL47" s="3">
        <f>$H47*factors!AF$3</f>
        <v>0.3459876922008</v>
      </c>
      <c r="AM47" s="3">
        <f>$H47*factors!AG$3</f>
        <v>0.35579007172800003</v>
      </c>
      <c r="AN47" s="3">
        <f>$H47*factors!AH$3</f>
        <v>0.34998125423040005</v>
      </c>
      <c r="AO47" s="3">
        <f>$H47*factors!AI$3</f>
        <v>0.36668160453600002</v>
      </c>
      <c r="AP47" s="3">
        <f>$H47*factors!AJ$3</f>
        <v>0.35143345860480008</v>
      </c>
      <c r="AQ47" s="3">
        <f>$H47*factors!AK$3</f>
        <v>0.36268804250640002</v>
      </c>
      <c r="AR47" s="3">
        <f>$H47*factors!AL$3</f>
        <v>0.35470091844720003</v>
      </c>
      <c r="AS47" s="3">
        <f>$H47*factors!AM$3</f>
        <v>0.3459876922008</v>
      </c>
      <c r="AT47" s="3">
        <f>$H47*factors!AN$3</f>
        <v>0.35687922500880004</v>
      </c>
      <c r="AU47" s="3">
        <f>$H47*factors!AO$3</f>
        <v>0.37793618843760002</v>
      </c>
      <c r="AV47" s="3">
        <f>$H47*factors!AP$3</f>
        <v>0.35724227610240006</v>
      </c>
      <c r="AW47" s="3">
        <f>$H47*factors!AQ$3</f>
        <v>0.35361176516640003</v>
      </c>
      <c r="AX47" s="3">
        <f>$H47*factors!AR$3</f>
        <v>0.37394262640800002</v>
      </c>
      <c r="AY47" s="3">
        <f>$H47*factors!AS$3</f>
        <v>0.34489853892</v>
      </c>
      <c r="AZ47" s="3">
        <f>$H47*factors!AT$3</f>
        <v>0.36958601328480006</v>
      </c>
      <c r="BA47" s="3">
        <f>$H47*factors!AU$3</f>
        <v>0.36159888922560002</v>
      </c>
      <c r="BB47" s="3">
        <f>$H47*factors!AV$3</f>
        <v>0.35687922500880004</v>
      </c>
      <c r="BC47" s="3">
        <f>$H47*factors!AW$3</f>
        <v>0.37757313734400011</v>
      </c>
      <c r="BD47" s="3">
        <f>$H47*factors!AX$3</f>
        <v>0.34852904985599997</v>
      </c>
      <c r="BE47" s="3">
        <f>$H47*factors!AY$3</f>
        <v>0.40975694447479999</v>
      </c>
      <c r="BF47" s="3">
        <f>$H47*factors!AZ$3</f>
        <v>0.3815935920472</v>
      </c>
      <c r="BG47" s="3">
        <f>$H47*factors!BA$3</f>
        <v>0.38714692914559995</v>
      </c>
      <c r="BH47" s="3">
        <f>$H47*factors!BB$3</f>
        <v>0.39230359930839998</v>
      </c>
      <c r="BI47" s="3">
        <f>$H47*factors!BC$3</f>
        <v>0.40658360898999996</v>
      </c>
      <c r="BJ47" s="3">
        <f>$H47*factors!BD$3</f>
        <v>0.38833692995239999</v>
      </c>
      <c r="BK47" s="3">
        <f>$H47*factors!BE$3</f>
        <v>0.38913026382359994</v>
      </c>
      <c r="BL47" s="3">
        <f>$H47*factors!BF$3</f>
        <v>0.38476692753199998</v>
      </c>
      <c r="BM47" s="3">
        <f>$H47*factors!BG$3</f>
        <v>0.41094694528160003</v>
      </c>
      <c r="BN47" s="3">
        <f>$H47*factors!BH$3</f>
        <v>0.40579027511879995</v>
      </c>
      <c r="BO47" s="3">
        <f>$H47*factors!BI$3</f>
        <v>0.3815935920472</v>
      </c>
      <c r="BP47" s="3">
        <f>$H47*factors!BJ$3</f>
        <v>0.38040359124039996</v>
      </c>
      <c r="BQ47" s="3">
        <f>$H47*factors!BK$3</f>
        <v>0.38675026220999997</v>
      </c>
      <c r="BR47" s="3">
        <f>$H47*factors!BL$3</f>
        <v>0.40063360495600003</v>
      </c>
      <c r="BS47" s="3">
        <f>$H47*factors!BM$3</f>
        <v>0.40698027592559999</v>
      </c>
      <c r="BT47" s="3">
        <f>$H47*factors!BN$3</f>
        <v>0.40817027673239997</v>
      </c>
      <c r="BU47" s="3">
        <f>$H47*factors!BO$3</f>
        <v>0.41491361463760001</v>
      </c>
      <c r="BV47" s="3">
        <f>$H47*factors!BP$3</f>
        <v>0.38595692833880002</v>
      </c>
      <c r="BW47" s="3">
        <f>$H47*factors!BQ$3</f>
        <v>0.394683600922</v>
      </c>
      <c r="BX47" s="3">
        <f>$H47*factors!BR$3</f>
        <v>0.38714692914559995</v>
      </c>
      <c r="BY47" s="3">
        <f>$H47*factors!BS$3</f>
        <v>0.40499694124759994</v>
      </c>
      <c r="BZ47" s="3">
        <f>$H47*factors!BT$3</f>
        <v>0.39746026947119995</v>
      </c>
      <c r="CA47" s="3">
        <f>$H47*factors!BU$3</f>
        <v>0.39230359930839998</v>
      </c>
      <c r="CB47" s="3">
        <f>$H47*factors!BV$3</f>
        <v>0.37961025736920001</v>
      </c>
      <c r="CC47" s="3">
        <f>$H47*factors!BW$3</f>
        <v>0.39071693156599996</v>
      </c>
      <c r="CD47" s="3">
        <f>$H47*factors!BX$3</f>
        <v>0.3919069323728</v>
      </c>
      <c r="CE47" s="3">
        <f>$H47*factors!BY$3</f>
        <v>0.39746026947119995</v>
      </c>
      <c r="CF47" s="3">
        <f>$H47*factors!BZ$3</f>
        <v>0.39151026543720002</v>
      </c>
      <c r="CG47" s="3">
        <f>$H47*factors!CA$3</f>
        <v>0.37842025656239997</v>
      </c>
      <c r="CH47" s="3">
        <f>$H47*factors!CB$3</f>
        <v>0.37881692349799995</v>
      </c>
      <c r="CI47" s="3">
        <f>$H47*factors!CC$3</f>
        <v>0.37683358882000001</v>
      </c>
      <c r="CJ47" s="3">
        <f>$H47*factors!CD$3</f>
        <v>0.39230359930839998</v>
      </c>
      <c r="CK47" s="3">
        <f>$H47*factors!CE$3</f>
        <v>0.40975694447479999</v>
      </c>
      <c r="CL47" s="3">
        <f>$H47*factors!CF$3</f>
        <v>0.38397359366079997</v>
      </c>
      <c r="CM47" s="3">
        <f>$H47*factors!CG$3</f>
        <v>0.39309693317959998</v>
      </c>
      <c r="CN47" s="3">
        <f>$H47*factors!CH$3</f>
        <v>0.38000692430479999</v>
      </c>
      <c r="CO47" s="3">
        <f>$H47*factors!CI$3</f>
        <v>0.38278359285399993</v>
      </c>
      <c r="CP47" s="3">
        <f>$H47*factors!CJ$3</f>
        <v>0.4010302718915999</v>
      </c>
      <c r="CQ47" s="3">
        <f>$H47*factors!CK$3</f>
        <v>0.38913026382359994</v>
      </c>
      <c r="CR47" s="3">
        <f>$H47*factors!CL$3</f>
        <v>0.40142693882719999</v>
      </c>
      <c r="CS47" s="3">
        <f>$H47*factors!CM$3</f>
        <v>0.41412028076640001</v>
      </c>
      <c r="CT47" s="3">
        <f>$H47*factors!CN$3</f>
        <v>0.40936027753920001</v>
      </c>
      <c r="CU47" s="3">
        <f>$H47*factors!CO$3</f>
        <v>0.40023693802039995</v>
      </c>
      <c r="CV47" s="3">
        <f>$H47*factors!CP$3</f>
        <v>0.41650028237999998</v>
      </c>
      <c r="CW47" s="3">
        <f>$H47*factors!CQ$3</f>
        <v>0.39389026705079999</v>
      </c>
      <c r="CX47" s="3">
        <f>$H47*factors!CR$3</f>
        <v>0.38794026301680001</v>
      </c>
      <c r="CY47" s="3">
        <f>$H47*factors!CS$3</f>
        <v>0.38437026059639995</v>
      </c>
      <c r="CZ47" s="3">
        <f>$H47*factors!CT$3</f>
        <v>0.37881692349799995</v>
      </c>
      <c r="DA47" s="3">
        <f>$H47*factors!CU$3</f>
        <v>0.3933053514</v>
      </c>
      <c r="DB47" s="3">
        <f>$H47*factors!CV$3</f>
        <v>0.41871892795200005</v>
      </c>
      <c r="DC47" s="3">
        <f>$H47*factors!CW$3</f>
        <v>0.40096976337599999</v>
      </c>
      <c r="DD47" s="3">
        <f>$H47*factors!CX$3</f>
        <v>0.39814603264799997</v>
      </c>
      <c r="DE47" s="3">
        <f>$H47*factors!CY$3</f>
        <v>0.40984434566400002</v>
      </c>
      <c r="DF47" s="3">
        <f>$H47*factors!CZ$3</f>
        <v>0.40903756545599995</v>
      </c>
      <c r="DG47" s="3">
        <f>$H47*factors!DA$3</f>
        <v>0.40742400503999998</v>
      </c>
      <c r="DH47" s="3">
        <f>$H47*factors!DB$3</f>
        <v>0.40742400503999998</v>
      </c>
      <c r="DI47" s="3">
        <f>$H47*factors!DC$3</f>
        <v>0.39209518108799996</v>
      </c>
      <c r="DJ47" s="3">
        <f>$H47*factors!DD$3</f>
        <v>0.41549180712</v>
      </c>
      <c r="DK47" s="3">
        <f>$H47*factors!DE$3</f>
        <v>0.41549180712</v>
      </c>
      <c r="DL47" s="3">
        <f>$H47*factors!DF$3</f>
        <v>0.41065112587200003</v>
      </c>
      <c r="DM47" s="3">
        <f>$H47*factors!DG$3</f>
        <v>0.38685110973599995</v>
      </c>
      <c r="DN47" s="3">
        <f>$H47*factors!DH$3</f>
        <v>0.40581044462400001</v>
      </c>
      <c r="DO47" s="3">
        <f>$H47*factors!DI$3</f>
        <v>0.41912231805599998</v>
      </c>
      <c r="DP47" s="3">
        <f>$H47*factors!DJ$3</f>
        <v>0.41549180712</v>
      </c>
      <c r="DQ47" s="3">
        <f>$H47*factors!DK$3</f>
        <v>0.39612908212799997</v>
      </c>
      <c r="DR47" s="3">
        <f>$H47*factors!DL$3</f>
        <v>0.39169179098400003</v>
      </c>
      <c r="DS47" s="3">
        <f>$H47*factors!DM$3</f>
        <v>0.42315621909599999</v>
      </c>
      <c r="DT47" s="3">
        <f>$H47*factors!DN$3</f>
        <v>0.39774264254400005</v>
      </c>
      <c r="DU47" s="3">
        <f>$H47*factors!DO$3</f>
        <v>0.41629858732800001</v>
      </c>
      <c r="DV47" s="3">
        <f>$H47*factors!DP$3</f>
        <v>0.40661722483200002</v>
      </c>
      <c r="DW47" s="3">
        <f>$H47*factors!DQ$3</f>
        <v>0.38806128004799995</v>
      </c>
      <c r="DX47" s="3">
        <f>$H47*factors!DR$3</f>
        <v>0.41105451597599996</v>
      </c>
      <c r="DY47" s="3">
        <f>$H47*factors!DS$3</f>
        <v>0.39007823056799995</v>
      </c>
      <c r="DZ47" s="3">
        <f>$H47*factors!DT$3</f>
        <v>0.41710536753599997</v>
      </c>
      <c r="EA47" s="3">
        <f>$H47*factors!DU$3</f>
        <v>0.39290196129599997</v>
      </c>
      <c r="EB47" s="3">
        <f>$H47*factors!DV$3</f>
        <v>0.38322059879999998</v>
      </c>
      <c r="EC47" s="3">
        <f>$H47*factors!DW$3</f>
        <v>0.412264686288</v>
      </c>
      <c r="ED47" s="3">
        <f>$H47*factors!DX$3</f>
        <v>0.38685110973599995</v>
      </c>
      <c r="EE47" s="3">
        <f>$H47*factors!DY$3</f>
        <v>0.39007823056799995</v>
      </c>
      <c r="EF47" s="3">
        <f>$H47*factors!DZ$3</f>
        <v>0.42315621909599999</v>
      </c>
      <c r="EG47" s="3">
        <f>$H47*factors!EA$3</f>
        <v>0.39532230192000001</v>
      </c>
      <c r="EH47" s="3">
        <f>$H47*factors!EB$3</f>
        <v>0.396532472232</v>
      </c>
      <c r="EI47" s="3">
        <f>$H47*factors!EC$3</f>
        <v>0.39572569202400004</v>
      </c>
      <c r="EJ47" s="3">
        <f>$H47*factors!ED$3</f>
        <v>0.38564093942400002</v>
      </c>
      <c r="EK47" s="3">
        <f>$H47*factors!EE$3</f>
        <v>0.412264686288</v>
      </c>
      <c r="EL47" s="3">
        <f>$H47*factors!EF$3</f>
        <v>0.39209518108799996</v>
      </c>
      <c r="EM47" s="3">
        <f>$H47*factors!EG$3</f>
        <v>0.40782739514399996</v>
      </c>
      <c r="EN47" s="3">
        <f>$H47*factors!EH$3</f>
        <v>0.38322059879999998</v>
      </c>
      <c r="EO47" s="3">
        <f>$H47*factors!EI$3</f>
        <v>0.38886806025599996</v>
      </c>
      <c r="EP47" s="3">
        <f>$H47*factors!EJ$3</f>
        <v>0.410247735768</v>
      </c>
      <c r="EQ47" s="3">
        <f>$H47*factors!EK$3</f>
        <v>0.39895281285599998</v>
      </c>
      <c r="ER47" s="3">
        <f>$H47*factors!EL$3</f>
        <v>0.41549180712</v>
      </c>
      <c r="ES47" s="3">
        <f>$H47*factors!EM$3</f>
        <v>0.410247735768</v>
      </c>
      <c r="ET47" s="3">
        <f>$H47*factors!EN$3</f>
        <v>0.41952570816000001</v>
      </c>
      <c r="EU47" s="3">
        <f>$H47*factors!EO$3</f>
        <v>0.42355960920000002</v>
      </c>
      <c r="EV47" s="3">
        <f>$H47*factors!EP$3</f>
        <v>0.39693586233599998</v>
      </c>
      <c r="EW47" s="3">
        <f>$H47*factors!EQ$3</f>
        <v>0.43658574797499999</v>
      </c>
      <c r="EX47" s="3">
        <f>$H47*factors!ER$3</f>
        <v>0.43196356970000005</v>
      </c>
      <c r="EY47" s="3">
        <f>$H47*factors!ES$3</f>
        <v>0.44078772822499995</v>
      </c>
      <c r="EZ47" s="3">
        <f>$H47*factors!ET$3</f>
        <v>0.43658574797499999</v>
      </c>
      <c r="FA47" s="3">
        <f>$H47*factors!EU$3</f>
        <v>0.40128911387499999</v>
      </c>
      <c r="FB47" s="3">
        <f>$H47*factors!EV$3</f>
        <v>0.41935762895000006</v>
      </c>
      <c r="FC47" s="3">
        <f>$H47*factors!EW$3</f>
        <v>0.43112317365000002</v>
      </c>
      <c r="FD47" s="3">
        <f>$H47*factors!EX$3</f>
        <v>0.41599604475000002</v>
      </c>
      <c r="FE47" s="3">
        <f>$H47*factors!EY$3</f>
        <v>0.43826654007499999</v>
      </c>
      <c r="FF47" s="3">
        <f>$H47*factors!EZ$3</f>
        <v>0.43868673810000008</v>
      </c>
      <c r="FG47" s="3">
        <f>$H47*factors!FA$3</f>
        <v>0.40128911387499999</v>
      </c>
      <c r="FH47" s="3">
        <f>$H47*factors!FB$3</f>
        <v>0.42229901512499995</v>
      </c>
      <c r="FI47" s="3">
        <f>$H47*factors!FC$3</f>
        <v>0.43994733217499998</v>
      </c>
      <c r="FJ47" s="3">
        <f>$H47*factors!FD$3</f>
        <v>0.42229901512499995</v>
      </c>
      <c r="FK47" s="3">
        <f>$H47*factors!FE$3</f>
        <v>0.42944238155000003</v>
      </c>
      <c r="FL47" s="3">
        <f>$H47*factors!FF$3</f>
        <v>0.43070297562500004</v>
      </c>
      <c r="FM47" s="3">
        <f>$H47*factors!FG$3</f>
        <v>0.43532515389999998</v>
      </c>
      <c r="FN47" s="3">
        <f>$H47*factors!FH$3</f>
        <v>0.407171886225</v>
      </c>
      <c r="FO47" s="3">
        <f>$H47*factors!FI$3</f>
        <v>0.43238376772499998</v>
      </c>
      <c r="FP47" s="3">
        <f>$H47*factors!FJ$3</f>
        <v>0.42019802500000003</v>
      </c>
      <c r="FQ47" s="3">
        <f>$H47*factors!FK$3</f>
        <v>0.41599604475000002</v>
      </c>
      <c r="FR47" s="3">
        <f>$H47*factors!FL$3</f>
        <v>0.42440000524999999</v>
      </c>
      <c r="FS47" s="3">
        <f>$H47*factors!FM$3</f>
        <v>0.42187881709999997</v>
      </c>
      <c r="FT47" s="3">
        <f>$H47*factors!FN$3</f>
        <v>0.43112317365000002</v>
      </c>
      <c r="FU47" s="3">
        <f>$H47*factors!FO$3</f>
        <v>0.41431525264999997</v>
      </c>
      <c r="FV47" s="3">
        <f>$H47*factors!FP$3</f>
        <v>0.41095366844999998</v>
      </c>
      <c r="FW47" s="3">
        <f>$H47*factors!FQ$3</f>
        <v>0.43994733217499998</v>
      </c>
      <c r="FX47" s="3">
        <f>$H47*factors!FR$3</f>
        <v>0.43196356970000005</v>
      </c>
      <c r="FY47" s="3">
        <f>$H47*factors!FS$3</f>
        <v>0.42313941117499998</v>
      </c>
      <c r="FZ47" s="3">
        <f>$H47*factors!FT$3</f>
        <v>0.40212950992500002</v>
      </c>
      <c r="GA47" s="3">
        <f>$H47*factors!FU$3</f>
        <v>0.42313941117499998</v>
      </c>
      <c r="GB47" s="3">
        <f>$H47*factors!FV$3</f>
        <v>0.43868673810000008</v>
      </c>
      <c r="GC47" s="3">
        <f>$H47*factors!FW$3</f>
        <v>0.41095366844999998</v>
      </c>
      <c r="GD47" s="3">
        <f>$H47*factors!FX$3</f>
        <v>0.418097034875</v>
      </c>
      <c r="GE47" s="3">
        <f>$H47*factors!FY$3</f>
        <v>0.418097034875</v>
      </c>
      <c r="GF47" s="3">
        <f>$H47*factors!FZ$3</f>
        <v>0.41683644080000004</v>
      </c>
      <c r="GG47" s="3">
        <f>$H47*factors!GA$3</f>
        <v>0.40044871782499997</v>
      </c>
      <c r="GH47" s="3">
        <f>$H47*factors!GB$3</f>
        <v>0.42608079735000004</v>
      </c>
      <c r="GI47" s="3">
        <f>$H47*factors!GC$3</f>
        <v>0.399608321775</v>
      </c>
      <c r="GJ47" s="3">
        <f>$H47*factors!GD$3</f>
        <v>0.40044871782499997</v>
      </c>
      <c r="GK47" s="3">
        <f>$H47*factors!GE$3</f>
        <v>0.41053347042499999</v>
      </c>
      <c r="GL47" s="3">
        <f>$H47*factors!GF$3</f>
        <v>0.434904955875</v>
      </c>
      <c r="GM47" s="3">
        <f>$H47*factors!GG$3</f>
        <v>0.41221426252500004</v>
      </c>
      <c r="GN47" s="3">
        <f>$H47*factors!GH$3</f>
        <v>0.42524040130000007</v>
      </c>
      <c r="GO47" s="3">
        <f>$H47*factors!GI$3</f>
        <v>0.40170931189999998</v>
      </c>
      <c r="GP47" s="3">
        <f>$H47*factors!GJ$3</f>
        <v>0.43070297562500004</v>
      </c>
      <c r="GQ47" s="3">
        <f>$H47*factors!GK$3</f>
        <v>0.43952713415000005</v>
      </c>
      <c r="GR47" s="3">
        <f>$H47*factors!GL$3</f>
        <v>0.43112317365000002</v>
      </c>
      <c r="GS47" s="3">
        <f>$H47*factors!GM$3</f>
        <v>0.40770973969700003</v>
      </c>
      <c r="GT47" s="3">
        <f>$H47*factors!GN$3</f>
        <v>0.41710200595180003</v>
      </c>
      <c r="GU47" s="3">
        <f>$H47*factors!GO$3</f>
        <v>0.42692119340000001</v>
      </c>
      <c r="GV47" s="3">
        <f>$H47*factors!GP$3</f>
        <v>0.40984434566400002</v>
      </c>
      <c r="GW47" s="3">
        <f>$H47*factors!GQ$3</f>
        <v>0.42435966623960003</v>
      </c>
      <c r="GX47" s="3">
        <f>$H47*factors!GR$3</f>
        <v>0.41752892714520001</v>
      </c>
      <c r="GY47" s="3">
        <f>$H47*factors!GS$3</f>
        <v>0.41539432117820002</v>
      </c>
      <c r="GZ47" s="3">
        <f>$H47*factors!GT$3</f>
        <v>0.43076348414059995</v>
      </c>
      <c r="HA47" s="3">
        <f>$H47*factors!GU$3</f>
        <v>0.41667508475839998</v>
      </c>
      <c r="HB47" s="3">
        <f>$H47*factors!GV$3</f>
        <v>0.43076348414059995</v>
      </c>
      <c r="HC47" s="3">
        <f>$H47*factors!GW$3</f>
        <v>0.42009045430559999</v>
      </c>
      <c r="HD47" s="3">
        <f>$H47*factors!GX$3</f>
        <v>0.43247116891419995</v>
      </c>
      <c r="HE47" s="3">
        <f>$H47*factors!GY$3</f>
        <v>0.42692119340000001</v>
      </c>
      <c r="HF47" s="3">
        <f>$H47*factors!GZ$3</f>
        <v>0.4401557503954</v>
      </c>
      <c r="HG47" s="3">
        <f>$H47*factors!HA$3</f>
        <v>0.42307890265940001</v>
      </c>
      <c r="HH47" s="3">
        <f>$H47*factors!HB$3</f>
        <v>0.41752892714520001</v>
      </c>
      <c r="HI47" s="3">
        <f>$H47*factors!HC$3</f>
        <v>0.4124058728244</v>
      </c>
      <c r="HJ47" s="3">
        <f>$H47*factors!HD$3</f>
        <v>0.40770973969700003</v>
      </c>
      <c r="HK47" s="3">
        <f>$H47*factors!HE$3</f>
        <v>0.43119040533399999</v>
      </c>
      <c r="HL47" s="3">
        <f>$H47*factors!HF$3</f>
        <v>0.40642897611679996</v>
      </c>
      <c r="HM47" s="3">
        <f>$H47*factors!HG$3</f>
        <v>0.41069818805080005</v>
      </c>
      <c r="HN47" s="3">
        <f>$H47*factors!HH$3</f>
        <v>0.43802114442840007</v>
      </c>
      <c r="HO47" s="3">
        <f>$H47*factors!HI$3</f>
        <v>0.42009045430559999</v>
      </c>
      <c r="HP47" s="3">
        <f>$H47*factors!HJ$3</f>
        <v>0.44826725307000004</v>
      </c>
      <c r="HQ47" s="3">
        <f>$H47*factors!HK$3</f>
        <v>0.40984434566400002</v>
      </c>
      <c r="HR47" s="3">
        <f>$H47*factors!HL$3</f>
        <v>0.43460577488120006</v>
      </c>
      <c r="HS47" s="3">
        <f>$H47*factors!HM$3</f>
        <v>0.44229035636239999</v>
      </c>
      <c r="HT47" s="3">
        <f>$H47*factors!HN$3</f>
        <v>0.4124058728244</v>
      </c>
      <c r="HU47" s="3">
        <f>$H47*factors!HO$3</f>
        <v>0.41667508475839998</v>
      </c>
      <c r="HV47" s="3">
        <f>$H47*factors!HP$3</f>
        <v>0.42179813907920005</v>
      </c>
      <c r="HW47" s="3">
        <f>$H47*factors!HQ$3</f>
        <v>0.42777503578680004</v>
      </c>
      <c r="HX47" s="3">
        <f>$H47*factors!HR$3</f>
        <v>0.44527880471619996</v>
      </c>
      <c r="HY47" s="3">
        <f>$H47*factors!HS$3</f>
        <v>0.42307890265940001</v>
      </c>
      <c r="HZ47" s="3">
        <f>$H47*factors!HT$3</f>
        <v>0.43930190800859997</v>
      </c>
      <c r="IA47" s="3">
        <f>$H47*factors!HU$3</f>
        <v>0.41795584833860006</v>
      </c>
      <c r="IB47" s="3">
        <f>$H47*factors!HV$3</f>
        <v>0.43247116891419995</v>
      </c>
      <c r="IC47" s="3">
        <f>$H47*factors!HW$3</f>
        <v>0.43674038084819999</v>
      </c>
      <c r="ID47" s="3">
        <f>$H47*factors!HX$3</f>
        <v>0.40557513372999998</v>
      </c>
      <c r="IE47" s="3">
        <f>$H47*factors!HY$3</f>
        <v>0.43076348414059995</v>
      </c>
      <c r="IF47" s="3">
        <f>$H47*factors!HZ$3</f>
        <v>0.42820195698019997</v>
      </c>
      <c r="IG47" s="3">
        <f>$H47*factors!IA$3</f>
        <v>0.42435966623960003</v>
      </c>
      <c r="IH47" s="3">
        <f>$H47*factors!IB$3</f>
        <v>0.4401557503954</v>
      </c>
      <c r="II47" s="3">
        <f>$H47*factors!IC$3</f>
        <v>0.42137121788580001</v>
      </c>
      <c r="IJ47" s="3">
        <f>$H47*factors!ID$3</f>
        <v>0.42521350862640001</v>
      </c>
      <c r="IK47" s="3">
        <f>$H47*factors!IE$3</f>
        <v>0.44058267158880005</v>
      </c>
      <c r="IL47" s="3">
        <f>$H47*factors!IF$3</f>
        <v>0.42179813907920005</v>
      </c>
      <c r="IM47" s="3">
        <f>$H47*factors!IG$3</f>
        <v>0.41795584833860006</v>
      </c>
      <c r="IN47" s="3">
        <f>$H47*factors!IH$3</f>
        <v>0.42051737549900003</v>
      </c>
      <c r="IO47" s="3">
        <f>$H47*factors!II$3</f>
        <v>0.42478658743300002</v>
      </c>
      <c r="IP47" s="3">
        <f>$H47*factors!IJ$3</f>
        <v>0.41069818805080005</v>
      </c>
      <c r="IQ47" s="3">
        <f>$H47*factors!IK$3</f>
        <v>0.40941742447059998</v>
      </c>
      <c r="IR47" s="3">
        <f>$H47*factors!IL$3</f>
        <v>0.42137121788580001</v>
      </c>
      <c r="IS47" s="3">
        <f>$H47*factors!IM$3</f>
        <v>0.42478658743300002</v>
      </c>
      <c r="IT47" s="3">
        <f>$H47*factors!IN$3</f>
        <v>0.42777503578680004</v>
      </c>
      <c r="IU47" s="3">
        <f>$H47*factors!IO$3</f>
        <v>0.43716730204160004</v>
      </c>
      <c r="IV47" s="3">
        <f>$H47*factors!IP$3</f>
        <v>0.44271727755579998</v>
      </c>
      <c r="IW47" s="3">
        <f>$H47*factors!IQ$3</f>
        <v>0.41838276953199999</v>
      </c>
      <c r="IX47" s="3">
        <f>$H47*factors!IR$3</f>
        <v>0.43716730204160004</v>
      </c>
      <c r="IY47" s="3">
        <f>$H47*factors!IS$3</f>
        <v>0.43076348414059995</v>
      </c>
      <c r="IZ47" s="3">
        <f>$H47*factors!IT$3</f>
        <v>0.43802114442840007</v>
      </c>
      <c r="JA47" s="3">
        <f>$H47*factors!IU$3</f>
        <v>0.41368663640459996</v>
      </c>
      <c r="JB47" s="3">
        <f>$H47*factors!IV$3</f>
        <v>0.42137121788580001</v>
      </c>
      <c r="JC47" s="3">
        <f>$H47*factors!IW$3</f>
        <v>0.41155203043760002</v>
      </c>
      <c r="JD47" s="3">
        <f>$H47*factors!IX$3</f>
        <v>0.44826725307000004</v>
      </c>
      <c r="JE47" s="3">
        <f>$H47*factors!IY$3</f>
        <v>0.41283279401779999</v>
      </c>
      <c r="JF47" s="3">
        <f>$H47*factors!IZ$3</f>
        <v>0.43332501130099993</v>
      </c>
      <c r="JG47" s="3">
        <f>$H47*factors!JA$3</f>
        <v>0.42564042981979999</v>
      </c>
      <c r="JH47" s="3">
        <f>$H47*factors!JB$3</f>
        <v>0.43375193249440008</v>
      </c>
      <c r="JI47" s="3">
        <f>$H47*factors!JC$3</f>
        <v>0.40600205492340002</v>
      </c>
      <c r="JJ47" s="3">
        <f>$H47*factors!JD$3</f>
        <v>0.43716730204160004</v>
      </c>
      <c r="JK47" s="3">
        <f>$H47*factors!JE$3</f>
        <v>0.42307890265940001</v>
      </c>
      <c r="JL47" s="3">
        <f>$H47*factors!JF$3</f>
        <v>0.4401557503954</v>
      </c>
      <c r="JM47" s="3">
        <f>$H47*factors!JG$3</f>
        <v>0.41069818805080005</v>
      </c>
      <c r="JN47" s="3">
        <f>$H47*factors!JH$3</f>
        <v>0.41069818805080005</v>
      </c>
      <c r="JO47" s="3">
        <f>$H47*factors!JI$3</f>
        <v>0.40557513372999998</v>
      </c>
      <c r="JP47" s="3">
        <f>$H47*factors!JJ$3</f>
        <v>0.4384480656218</v>
      </c>
      <c r="JQ47" s="3">
        <f>$H47*factors!JK$3</f>
        <v>0.4273481145934</v>
      </c>
      <c r="JR47" s="3">
        <f>$H47*factors!JL$3</f>
        <v>0.443998041136</v>
      </c>
      <c r="JS47" s="3">
        <f>$H47*factors!JM$3</f>
        <v>0.40557513372999998</v>
      </c>
      <c r="JT47" s="3">
        <f>$H47*factors!JN$3</f>
        <v>0.42606735101320004</v>
      </c>
      <c r="JU47" s="3">
        <f>$H47*factors!JO$3</f>
        <v>0.41197895163100001</v>
      </c>
      <c r="JV47" s="3">
        <f>$H47*factors!JP$3</f>
        <v>0.41880969072540003</v>
      </c>
      <c r="JW47" s="3">
        <f>$H47*factors!JQ$3</f>
        <v>0.44741341068320006</v>
      </c>
      <c r="JX47" s="3">
        <f>$H47*factors!JR$3</f>
        <v>0.44314419874920002</v>
      </c>
      <c r="JY47" s="3">
        <f>$H47*factors!JS$3</f>
        <v>0.41710200595180003</v>
      </c>
      <c r="JZ47" s="3">
        <f>$H47*factors!JT$3</f>
        <v>0.42179813907920005</v>
      </c>
      <c r="KA47" s="3">
        <f>$H47*factors!JU$3</f>
        <v>0.42350582385280006</v>
      </c>
      <c r="KB47" s="3">
        <f>$H47*factors!JV$3</f>
        <v>0.40941742447059998</v>
      </c>
      <c r="KC47" s="3">
        <f>$H47*factors!JW$3</f>
        <v>0.41155203043760002</v>
      </c>
      <c r="KD47" s="3">
        <f>$H47*factors!JX$3</f>
        <v>0.41197895163100001</v>
      </c>
      <c r="KE47" s="3">
        <f>$H47*factors!JY$3</f>
        <v>0.4384480656218</v>
      </c>
      <c r="KF47" s="3">
        <f>$H47*factors!JZ$3</f>
        <v>0.44357111994259996</v>
      </c>
      <c r="KG47" s="3">
        <f>$H47*factors!KA$3</f>
        <v>0.42777503578680004</v>
      </c>
      <c r="KH47" s="3">
        <f>$H47*factors!KB$3</f>
        <v>0.41838276953199999</v>
      </c>
      <c r="KI47" s="3">
        <f>$H47*factors!KC$3</f>
        <v>0.41454047879139999</v>
      </c>
    </row>
    <row r="48" spans="1:295" x14ac:dyDescent="0.55000000000000004">
      <c r="A48" t="s">
        <v>424</v>
      </c>
      <c r="B48">
        <v>47</v>
      </c>
      <c r="C48">
        <v>230</v>
      </c>
      <c r="D48" t="s">
        <v>377</v>
      </c>
      <c r="E48">
        <v>2.748E-3</v>
      </c>
      <c r="F48">
        <v>47</v>
      </c>
      <c r="G48">
        <f>VLOOKUP(D48,demand_forecasted!$A$2:$G$11,2)</f>
        <v>11098</v>
      </c>
      <c r="H48" s="3">
        <f t="shared" si="1"/>
        <v>0.30497303999999997</v>
      </c>
      <c r="I48" s="3">
        <f>$H48*factors!C$3</f>
        <v>0.33760515527999996</v>
      </c>
      <c r="J48" s="3">
        <f>$H48*factors!D$3</f>
        <v>0.32541843260159997</v>
      </c>
      <c r="K48" s="3">
        <f>$H48*factors!E$3</f>
        <v>0.31981912758719999</v>
      </c>
      <c r="L48" s="3">
        <f>$H48*factors!F$3</f>
        <v>0.31883101493760002</v>
      </c>
      <c r="M48" s="3">
        <f>$H48*factors!G$3</f>
        <v>0.31850164405439996</v>
      </c>
      <c r="N48" s="3">
        <f>$H48*factors!H$3</f>
        <v>0.32772402878399998</v>
      </c>
      <c r="O48" s="3">
        <f>$H48*factors!I$3</f>
        <v>0.33497018821439994</v>
      </c>
      <c r="P48" s="3">
        <f>$H48*factors!J$3</f>
        <v>0.33892263881279999</v>
      </c>
      <c r="Q48" s="3">
        <f>$H48*factors!K$3</f>
        <v>0.31817227317119995</v>
      </c>
      <c r="R48" s="3">
        <f>$H48*factors!L$3</f>
        <v>0.31290233903999998</v>
      </c>
      <c r="S48" s="3">
        <f>$H48*factors!M$3</f>
        <v>0.32574780348479998</v>
      </c>
      <c r="T48" s="3">
        <f>$H48*factors!N$3</f>
        <v>0.3369464135136</v>
      </c>
      <c r="U48" s="3">
        <f>$H48*factors!O$3</f>
        <v>0.31916038582080003</v>
      </c>
      <c r="V48" s="3">
        <f>$H48*factors!P$3</f>
        <v>0.33200585026559998</v>
      </c>
      <c r="W48" s="3">
        <f>$H48*factors!Q$3</f>
        <v>0.33497018821439994</v>
      </c>
      <c r="X48" s="3">
        <f>$H48*factors!R$3</f>
        <v>0.32047786935359995</v>
      </c>
      <c r="Y48" s="3">
        <f>$H48*factors!S$3</f>
        <v>0.31751353140479999</v>
      </c>
      <c r="Z48" s="3">
        <f>$H48*factors!T$3</f>
        <v>0.34254571852800003</v>
      </c>
      <c r="AA48" s="3">
        <f>$H48*factors!U$3</f>
        <v>0.32344220730239998</v>
      </c>
      <c r="AB48" s="3">
        <f>$H48*factors!V$3</f>
        <v>0.32377157818560004</v>
      </c>
      <c r="AC48" s="3">
        <f>$H48*factors!W$3</f>
        <v>0.32410094906879999</v>
      </c>
      <c r="AD48" s="3">
        <f>$H48*factors!X$3</f>
        <v>0.31718416052159998</v>
      </c>
      <c r="AE48" s="3">
        <f>$H48*factors!Y$3</f>
        <v>0.31981912758719999</v>
      </c>
      <c r="AF48" s="3">
        <f>$H48*factors!Z$3</f>
        <v>0.3264065452512</v>
      </c>
      <c r="AG48" s="3">
        <f>$H48*factors!AA$3</f>
        <v>0.31817227317119995</v>
      </c>
      <c r="AH48" s="3">
        <f>$H48*factors!AB$3</f>
        <v>0.31685478963840003</v>
      </c>
      <c r="AI48" s="3">
        <f>$H48*factors!AC$3</f>
        <v>0.32706528701760001</v>
      </c>
      <c r="AJ48" s="3">
        <f>$H48*factors!AD$3</f>
        <v>0.33958138057919995</v>
      </c>
      <c r="AK48" s="3">
        <f>$H48*factors!AE$3</f>
        <v>0.32673591613440001</v>
      </c>
      <c r="AL48" s="3">
        <f>$H48*factors!AF$3</f>
        <v>0.31389045168959995</v>
      </c>
      <c r="AM48" s="3">
        <f>$H48*factors!AG$3</f>
        <v>0.32278346553599996</v>
      </c>
      <c r="AN48" s="3">
        <f>$H48*factors!AH$3</f>
        <v>0.31751353140479999</v>
      </c>
      <c r="AO48" s="3">
        <f>$H48*factors!AI$3</f>
        <v>0.33266459203199999</v>
      </c>
      <c r="AP48" s="3">
        <f>$H48*factors!AJ$3</f>
        <v>0.31883101493760002</v>
      </c>
      <c r="AQ48" s="3">
        <f>$H48*factors!AK$3</f>
        <v>0.32904151231680001</v>
      </c>
      <c r="AR48" s="3">
        <f>$H48*factors!AL$3</f>
        <v>0.32179535288639999</v>
      </c>
      <c r="AS48" s="3">
        <f>$H48*factors!AM$3</f>
        <v>0.31389045168959995</v>
      </c>
      <c r="AT48" s="3">
        <f>$H48*factors!AN$3</f>
        <v>0.32377157818560004</v>
      </c>
      <c r="AU48" s="3">
        <f>$H48*factors!AO$3</f>
        <v>0.34287508941119993</v>
      </c>
      <c r="AV48" s="3">
        <f>$H48*factors!AP$3</f>
        <v>0.32410094906879999</v>
      </c>
      <c r="AW48" s="3">
        <f>$H48*factors!AQ$3</f>
        <v>0.32080724023679996</v>
      </c>
      <c r="AX48" s="3">
        <f>$H48*factors!AR$3</f>
        <v>0.339252009696</v>
      </c>
      <c r="AY48" s="3">
        <f>$H48*factors!AS$3</f>
        <v>0.31290233903999998</v>
      </c>
      <c r="AZ48" s="3">
        <f>$H48*factors!AT$3</f>
        <v>0.33529955909760001</v>
      </c>
      <c r="BA48" s="3">
        <f>$H48*factors!AU$3</f>
        <v>0.32805339966719999</v>
      </c>
      <c r="BB48" s="3">
        <f>$H48*factors!AV$3</f>
        <v>0.32377157818560004</v>
      </c>
      <c r="BC48" s="3">
        <f>$H48*factors!AW$3</f>
        <v>0.34254571852800003</v>
      </c>
      <c r="BD48" s="3">
        <f>$H48*factors!AX$3</f>
        <v>0.31619604787199995</v>
      </c>
      <c r="BE48" s="3">
        <f>$H48*factors!AY$3</f>
        <v>0.37174383737759992</v>
      </c>
      <c r="BF48" s="3">
        <f>$H48*factors!AZ$3</f>
        <v>0.34619319608639998</v>
      </c>
      <c r="BG48" s="3">
        <f>$H48*factors!BA$3</f>
        <v>0.35123135070719991</v>
      </c>
      <c r="BH48" s="3">
        <f>$H48*factors!BB$3</f>
        <v>0.35590963714079993</v>
      </c>
      <c r="BI48" s="3">
        <f>$H48*factors!BC$3</f>
        <v>0.36886489187999988</v>
      </c>
      <c r="BJ48" s="3">
        <f>$H48*factors!BD$3</f>
        <v>0.35231095526879996</v>
      </c>
      <c r="BK48" s="3">
        <f>$H48*factors!BE$3</f>
        <v>0.35303069164319989</v>
      </c>
      <c r="BL48" s="3">
        <f>$H48*factors!BF$3</f>
        <v>0.34907214158399991</v>
      </c>
      <c r="BM48" s="3">
        <f>$H48*factors!BG$3</f>
        <v>0.37282344193919997</v>
      </c>
      <c r="BN48" s="3">
        <f>$H48*factors!BH$3</f>
        <v>0.36814515550559995</v>
      </c>
      <c r="BO48" s="3">
        <f>$H48*factors!BI$3</f>
        <v>0.34619319608639998</v>
      </c>
      <c r="BP48" s="3">
        <f>$H48*factors!BJ$3</f>
        <v>0.34511359152479992</v>
      </c>
      <c r="BQ48" s="3">
        <f>$H48*factors!BK$3</f>
        <v>0.35087148251999994</v>
      </c>
      <c r="BR48" s="3">
        <f>$H48*factors!BL$3</f>
        <v>0.36346686907199993</v>
      </c>
      <c r="BS48" s="3">
        <f>$H48*factors!BM$3</f>
        <v>0.36922476006719995</v>
      </c>
      <c r="BT48" s="3">
        <f>$H48*factors!BN$3</f>
        <v>0.3703043646287999</v>
      </c>
      <c r="BU48" s="3">
        <f>$H48*factors!BO$3</f>
        <v>0.37642212381119999</v>
      </c>
      <c r="BV48" s="3">
        <f>$H48*factors!BP$3</f>
        <v>0.35015174614559996</v>
      </c>
      <c r="BW48" s="3">
        <f>$H48*factors!BQ$3</f>
        <v>0.35806884626399993</v>
      </c>
      <c r="BX48" s="3">
        <f>$H48*factors!BR$3</f>
        <v>0.35123135070719991</v>
      </c>
      <c r="BY48" s="3">
        <f>$H48*factors!BS$3</f>
        <v>0.36742541913119992</v>
      </c>
      <c r="BZ48" s="3">
        <f>$H48*factors!BT$3</f>
        <v>0.36058792357439995</v>
      </c>
      <c r="CA48" s="3">
        <f>$H48*factors!BU$3</f>
        <v>0.35590963714079993</v>
      </c>
      <c r="CB48" s="3">
        <f>$H48*factors!BV$3</f>
        <v>0.34439385515039994</v>
      </c>
      <c r="CC48" s="3">
        <f>$H48*factors!BW$3</f>
        <v>0.35447016439199991</v>
      </c>
      <c r="CD48" s="3">
        <f>$H48*factors!BX$3</f>
        <v>0.35554976895359997</v>
      </c>
      <c r="CE48" s="3">
        <f>$H48*factors!BY$3</f>
        <v>0.36058792357439995</v>
      </c>
      <c r="CF48" s="3">
        <f>$H48*factors!BZ$3</f>
        <v>0.3551899007664</v>
      </c>
      <c r="CG48" s="3">
        <f>$H48*factors!CA$3</f>
        <v>0.34331425058879994</v>
      </c>
      <c r="CH48" s="3">
        <f>$H48*factors!CB$3</f>
        <v>0.3436741187759999</v>
      </c>
      <c r="CI48" s="3">
        <f>$H48*factors!CC$3</f>
        <v>0.34187477783999998</v>
      </c>
      <c r="CJ48" s="3">
        <f>$H48*factors!CD$3</f>
        <v>0.35590963714079993</v>
      </c>
      <c r="CK48" s="3">
        <f>$H48*factors!CE$3</f>
        <v>0.37174383737759992</v>
      </c>
      <c r="CL48" s="3">
        <f>$H48*factors!CF$3</f>
        <v>0.34835240520959992</v>
      </c>
      <c r="CM48" s="3">
        <f>$H48*factors!CG$3</f>
        <v>0.35662937351519991</v>
      </c>
      <c r="CN48" s="3">
        <f>$H48*factors!CH$3</f>
        <v>0.34475372333759996</v>
      </c>
      <c r="CO48" s="3">
        <f>$H48*factors!CI$3</f>
        <v>0.34727280064799992</v>
      </c>
      <c r="CP48" s="3">
        <f>$H48*factors!CJ$3</f>
        <v>0.36382673725919989</v>
      </c>
      <c r="CQ48" s="3">
        <f>$H48*factors!CK$3</f>
        <v>0.35303069164319989</v>
      </c>
      <c r="CR48" s="3">
        <f>$H48*factors!CL$3</f>
        <v>0.36418660544639991</v>
      </c>
      <c r="CS48" s="3">
        <f>$H48*factors!CM$3</f>
        <v>0.37570238743679996</v>
      </c>
      <c r="CT48" s="3">
        <f>$H48*factors!CN$3</f>
        <v>0.37138396919039995</v>
      </c>
      <c r="CU48" s="3">
        <f>$H48*factors!CO$3</f>
        <v>0.36310700088479991</v>
      </c>
      <c r="CV48" s="3">
        <f>$H48*factors!CP$3</f>
        <v>0.37786159655999996</v>
      </c>
      <c r="CW48" s="3">
        <f>$H48*factors!CQ$3</f>
        <v>0.35734910988959995</v>
      </c>
      <c r="CX48" s="3">
        <f>$H48*factors!CR$3</f>
        <v>0.35195108708159994</v>
      </c>
      <c r="CY48" s="3">
        <f>$H48*factors!CS$3</f>
        <v>0.34871227339679994</v>
      </c>
      <c r="CZ48" s="3">
        <f>$H48*factors!CT$3</f>
        <v>0.3436741187759999</v>
      </c>
      <c r="DA48" s="3">
        <f>$H48*factors!CU$3</f>
        <v>0.35681845679999996</v>
      </c>
      <c r="DB48" s="3">
        <f>$H48*factors!CV$3</f>
        <v>0.37987441862399995</v>
      </c>
      <c r="DC48" s="3">
        <f>$H48*factors!CW$3</f>
        <v>0.36377184211199992</v>
      </c>
      <c r="DD48" s="3">
        <f>$H48*factors!CX$3</f>
        <v>0.36121006857599991</v>
      </c>
      <c r="DE48" s="3">
        <f>$H48*factors!CY$3</f>
        <v>0.37182313036799997</v>
      </c>
      <c r="DF48" s="3">
        <f>$H48*factors!CZ$3</f>
        <v>0.37109119507199995</v>
      </c>
      <c r="DG48" s="3">
        <f>$H48*factors!DA$3</f>
        <v>0.36962732447999996</v>
      </c>
      <c r="DH48" s="3">
        <f>$H48*factors!DB$3</f>
        <v>0.36962732447999996</v>
      </c>
      <c r="DI48" s="3">
        <f>$H48*factors!DC$3</f>
        <v>0.35572055385599993</v>
      </c>
      <c r="DJ48" s="3">
        <f>$H48*factors!DD$3</f>
        <v>0.37694667743999999</v>
      </c>
      <c r="DK48" s="3">
        <f>$H48*factors!DE$3</f>
        <v>0.37694667743999999</v>
      </c>
      <c r="DL48" s="3">
        <f>$H48*factors!DF$3</f>
        <v>0.37255506566399998</v>
      </c>
      <c r="DM48" s="3">
        <f>$H48*factors!DG$3</f>
        <v>0.35096297443199992</v>
      </c>
      <c r="DN48" s="3">
        <f>$H48*factors!DH$3</f>
        <v>0.36816345388799998</v>
      </c>
      <c r="DO48" s="3">
        <f>$H48*factors!DI$3</f>
        <v>0.38024038627199996</v>
      </c>
      <c r="DP48" s="3">
        <f>$H48*factors!DJ$3</f>
        <v>0.37694667743999999</v>
      </c>
      <c r="DQ48" s="3">
        <f>$H48*factors!DK$3</f>
        <v>0.35938023033599992</v>
      </c>
      <c r="DR48" s="3">
        <f>$H48*factors!DL$3</f>
        <v>0.35535458620799998</v>
      </c>
      <c r="DS48" s="3">
        <f>$H48*factors!DM$3</f>
        <v>0.38390006275199995</v>
      </c>
      <c r="DT48" s="3">
        <f>$H48*factors!DN$3</f>
        <v>0.36084410092799996</v>
      </c>
      <c r="DU48" s="3">
        <f>$H48*factors!DO$3</f>
        <v>0.37767861273599995</v>
      </c>
      <c r="DV48" s="3">
        <f>$H48*factors!DP$3</f>
        <v>0.36889538918399994</v>
      </c>
      <c r="DW48" s="3">
        <f>$H48*factors!DQ$3</f>
        <v>0.35206087737599995</v>
      </c>
      <c r="DX48" s="3">
        <f>$H48*factors!DR$3</f>
        <v>0.37292103331199994</v>
      </c>
      <c r="DY48" s="3">
        <f>$H48*factors!DS$3</f>
        <v>0.35389071561599994</v>
      </c>
      <c r="DZ48" s="3">
        <f>$H48*factors!DT$3</f>
        <v>0.37841054803199992</v>
      </c>
      <c r="EA48" s="3">
        <f>$H48*factors!DU$3</f>
        <v>0.3564524891519999</v>
      </c>
      <c r="EB48" s="3">
        <f>$H48*factors!DV$3</f>
        <v>0.34766926559999994</v>
      </c>
      <c r="EC48" s="3">
        <f>$H48*factors!DW$3</f>
        <v>0.37401893625599997</v>
      </c>
      <c r="ED48" s="3">
        <f>$H48*factors!DX$3</f>
        <v>0.35096297443199992</v>
      </c>
      <c r="EE48" s="3">
        <f>$H48*factors!DY$3</f>
        <v>0.35389071561599994</v>
      </c>
      <c r="EF48" s="3">
        <f>$H48*factors!DZ$3</f>
        <v>0.38390006275199995</v>
      </c>
      <c r="EG48" s="3">
        <f>$H48*factors!EA$3</f>
        <v>0.35864829503999995</v>
      </c>
      <c r="EH48" s="3">
        <f>$H48*factors!EB$3</f>
        <v>0.35974619798399998</v>
      </c>
      <c r="EI48" s="3">
        <f>$H48*factors!EC$3</f>
        <v>0.35901426268799996</v>
      </c>
      <c r="EJ48" s="3">
        <f>$H48*factors!ED$3</f>
        <v>0.34986507148799995</v>
      </c>
      <c r="EK48" s="3">
        <f>$H48*factors!EE$3</f>
        <v>0.37401893625599997</v>
      </c>
      <c r="EL48" s="3">
        <f>$H48*factors!EF$3</f>
        <v>0.35572055385599993</v>
      </c>
      <c r="EM48" s="3">
        <f>$H48*factors!EG$3</f>
        <v>0.36999329212799992</v>
      </c>
      <c r="EN48" s="3">
        <f>$H48*factors!EH$3</f>
        <v>0.34766926559999994</v>
      </c>
      <c r="EO48" s="3">
        <f>$H48*factors!EI$3</f>
        <v>0.35279281267199991</v>
      </c>
      <c r="EP48" s="3">
        <f>$H48*factors!EJ$3</f>
        <v>0.37218909801599992</v>
      </c>
      <c r="EQ48" s="3">
        <f>$H48*factors!EK$3</f>
        <v>0.36194200387199993</v>
      </c>
      <c r="ER48" s="3">
        <f>$H48*factors!EL$3</f>
        <v>0.37694667743999999</v>
      </c>
      <c r="ES48" s="3">
        <f>$H48*factors!EM$3</f>
        <v>0.37218909801599992</v>
      </c>
      <c r="ET48" s="3">
        <f>$H48*factors!EN$3</f>
        <v>0.38060635391999997</v>
      </c>
      <c r="EU48" s="3">
        <f>$H48*factors!EO$3</f>
        <v>0.38426603039999996</v>
      </c>
      <c r="EV48" s="3">
        <f>$H48*factors!EP$3</f>
        <v>0.36011216563199994</v>
      </c>
      <c r="EW48" s="3">
        <f>$H48*factors!EQ$3</f>
        <v>0.39608373569999994</v>
      </c>
      <c r="EX48" s="3">
        <f>$H48*factors!ER$3</f>
        <v>0.39189035640000003</v>
      </c>
      <c r="EY48" s="3">
        <f>$H48*factors!ES$3</f>
        <v>0.39989589869999992</v>
      </c>
      <c r="EZ48" s="3">
        <f>$H48*factors!ET$3</f>
        <v>0.39608373569999994</v>
      </c>
      <c r="FA48" s="3">
        <f>$H48*factors!EU$3</f>
        <v>0.36406156649999993</v>
      </c>
      <c r="FB48" s="3">
        <f>$H48*factors!EV$3</f>
        <v>0.38045386739999998</v>
      </c>
      <c r="FC48" s="3">
        <f>$H48*factors!EW$3</f>
        <v>0.39112792379999994</v>
      </c>
      <c r="FD48" s="3">
        <f>$H48*factors!EX$3</f>
        <v>0.37740413699999997</v>
      </c>
      <c r="FE48" s="3">
        <f>$H48*factors!EY$3</f>
        <v>0.39760860089999994</v>
      </c>
      <c r="FF48" s="3">
        <f>$H48*factors!EZ$3</f>
        <v>0.39798981720000004</v>
      </c>
      <c r="FG48" s="3">
        <f>$H48*factors!FA$3</f>
        <v>0.36406156649999993</v>
      </c>
      <c r="FH48" s="3">
        <f>$H48*factors!FB$3</f>
        <v>0.38312238149999994</v>
      </c>
      <c r="FI48" s="3">
        <f>$H48*factors!FC$3</f>
        <v>0.39913346609999995</v>
      </c>
      <c r="FJ48" s="3">
        <f>$H48*factors!FD$3</f>
        <v>0.38312238149999994</v>
      </c>
      <c r="FK48" s="3">
        <f>$H48*factors!FE$3</f>
        <v>0.3896030586</v>
      </c>
      <c r="FL48" s="3">
        <f>$H48*factors!FF$3</f>
        <v>0.39074670749999996</v>
      </c>
      <c r="FM48" s="3">
        <f>$H48*factors!FG$3</f>
        <v>0.39494008679999992</v>
      </c>
      <c r="FN48" s="3">
        <f>$H48*factors!FH$3</f>
        <v>0.36939859469999997</v>
      </c>
      <c r="FO48" s="3">
        <f>$H48*factors!FI$3</f>
        <v>0.39227157269999996</v>
      </c>
      <c r="FP48" s="3">
        <f>$H48*factors!FJ$3</f>
        <v>0.38121629999999995</v>
      </c>
      <c r="FQ48" s="3">
        <f>$H48*factors!FK$3</f>
        <v>0.37740413699999997</v>
      </c>
      <c r="FR48" s="3">
        <f>$H48*factors!FL$3</f>
        <v>0.38502846299999993</v>
      </c>
      <c r="FS48" s="3">
        <f>$H48*factors!FM$3</f>
        <v>0.38274116519999996</v>
      </c>
      <c r="FT48" s="3">
        <f>$H48*factors!FN$3</f>
        <v>0.39112792379999994</v>
      </c>
      <c r="FU48" s="3">
        <f>$H48*factors!FO$3</f>
        <v>0.37587927179999997</v>
      </c>
      <c r="FV48" s="3">
        <f>$H48*factors!FP$3</f>
        <v>0.37282954139999996</v>
      </c>
      <c r="FW48" s="3">
        <f>$H48*factors!FQ$3</f>
        <v>0.39913346609999995</v>
      </c>
      <c r="FX48" s="3">
        <f>$H48*factors!FR$3</f>
        <v>0.39189035640000003</v>
      </c>
      <c r="FY48" s="3">
        <f>$H48*factors!FS$3</f>
        <v>0.38388481409999992</v>
      </c>
      <c r="FZ48" s="3">
        <f>$H48*factors!FT$3</f>
        <v>0.36482399909999996</v>
      </c>
      <c r="GA48" s="3">
        <f>$H48*factors!FU$3</f>
        <v>0.38388481409999992</v>
      </c>
      <c r="GB48" s="3">
        <f>$H48*factors!FV$3</f>
        <v>0.39798981720000004</v>
      </c>
      <c r="GC48" s="3">
        <f>$H48*factors!FW$3</f>
        <v>0.37282954139999996</v>
      </c>
      <c r="GD48" s="3">
        <f>$H48*factors!FX$3</f>
        <v>0.37931021849999996</v>
      </c>
      <c r="GE48" s="3">
        <f>$H48*factors!FY$3</f>
        <v>0.37931021849999996</v>
      </c>
      <c r="GF48" s="3">
        <f>$H48*factors!FZ$3</f>
        <v>0.37816656959999995</v>
      </c>
      <c r="GG48" s="3">
        <f>$H48*factors!GA$3</f>
        <v>0.36329913389999996</v>
      </c>
      <c r="GH48" s="3">
        <f>$H48*factors!GB$3</f>
        <v>0.38655332819999999</v>
      </c>
      <c r="GI48" s="3">
        <f>$H48*factors!GC$3</f>
        <v>0.36253670129999999</v>
      </c>
      <c r="GJ48" s="3">
        <f>$H48*factors!GD$3</f>
        <v>0.36329913389999996</v>
      </c>
      <c r="GK48" s="3">
        <f>$H48*factors!GE$3</f>
        <v>0.37244832509999998</v>
      </c>
      <c r="GL48" s="3">
        <f>$H48*factors!GF$3</f>
        <v>0.39455887049999994</v>
      </c>
      <c r="GM48" s="3">
        <f>$H48*factors!GG$3</f>
        <v>0.37397319029999998</v>
      </c>
      <c r="GN48" s="3">
        <f>$H48*factors!GH$3</f>
        <v>0.38579089560000002</v>
      </c>
      <c r="GO48" s="3">
        <f>$H48*factors!GI$3</f>
        <v>0.36444278279999992</v>
      </c>
      <c r="GP48" s="3">
        <f>$H48*factors!GJ$3</f>
        <v>0.39074670749999996</v>
      </c>
      <c r="GQ48" s="3">
        <f>$H48*factors!GK$3</f>
        <v>0.39875224980000001</v>
      </c>
      <c r="GR48" s="3">
        <f>$H48*factors!GL$3</f>
        <v>0.39112792379999994</v>
      </c>
      <c r="GS48" s="3">
        <f>$H48*factors!GM$3</f>
        <v>0.36988655156399997</v>
      </c>
      <c r="GT48" s="3">
        <f>$H48*factors!GN$3</f>
        <v>0.37840749830159998</v>
      </c>
      <c r="GU48" s="3">
        <f>$H48*factors!GO$3</f>
        <v>0.38731576079999996</v>
      </c>
      <c r="GV48" s="3">
        <f>$H48*factors!GP$3</f>
        <v>0.37182313036799997</v>
      </c>
      <c r="GW48" s="3">
        <f>$H48*factors!GQ$3</f>
        <v>0.38499186623519999</v>
      </c>
      <c r="GX48" s="3">
        <f>$H48*factors!GR$3</f>
        <v>0.37879481406239995</v>
      </c>
      <c r="GY48" s="3">
        <f>$H48*factors!GS$3</f>
        <v>0.37685823525840001</v>
      </c>
      <c r="GZ48" s="3">
        <f>$H48*factors!GT$3</f>
        <v>0.39080160264719993</v>
      </c>
      <c r="HA48" s="3">
        <f>$H48*factors!GU$3</f>
        <v>0.37802018254079994</v>
      </c>
      <c r="HB48" s="3">
        <f>$H48*factors!GV$3</f>
        <v>0.39080160264719993</v>
      </c>
      <c r="HC48" s="3">
        <f>$H48*factors!GW$3</f>
        <v>0.38111870862719993</v>
      </c>
      <c r="HD48" s="3">
        <f>$H48*factors!GX$3</f>
        <v>0.3923508656903999</v>
      </c>
      <c r="HE48" s="3">
        <f>$H48*factors!GY$3</f>
        <v>0.38731576079999996</v>
      </c>
      <c r="HF48" s="3">
        <f>$H48*factors!GZ$3</f>
        <v>0.39932254938479994</v>
      </c>
      <c r="HG48" s="3">
        <f>$H48*factors!HA$3</f>
        <v>0.38382991895279994</v>
      </c>
      <c r="HH48" s="3">
        <f>$H48*factors!HB$3</f>
        <v>0.37879481406239995</v>
      </c>
      <c r="HI48" s="3">
        <f>$H48*factors!HC$3</f>
        <v>0.3741470249328</v>
      </c>
      <c r="HJ48" s="3">
        <f>$H48*factors!HD$3</f>
        <v>0.36988655156399997</v>
      </c>
      <c r="HK48" s="3">
        <f>$H48*factors!HE$3</f>
        <v>0.39118891840799996</v>
      </c>
      <c r="HL48" s="3">
        <f>$H48*factors!HF$3</f>
        <v>0.36872460428159992</v>
      </c>
      <c r="HM48" s="3">
        <f>$H48*factors!HG$3</f>
        <v>0.37259776188959998</v>
      </c>
      <c r="HN48" s="3">
        <f>$H48*factors!HH$3</f>
        <v>0.3973859705808</v>
      </c>
      <c r="HO48" s="3">
        <f>$H48*factors!HI$3</f>
        <v>0.38111870862719993</v>
      </c>
      <c r="HP48" s="3">
        <f>$H48*factors!HJ$3</f>
        <v>0.40668154884000002</v>
      </c>
      <c r="HQ48" s="3">
        <f>$H48*factors!HK$3</f>
        <v>0.37182313036799997</v>
      </c>
      <c r="HR48" s="3">
        <f>$H48*factors!HL$3</f>
        <v>0.39428744449440001</v>
      </c>
      <c r="HS48" s="3">
        <f>$H48*factors!HM$3</f>
        <v>0.40125912818879994</v>
      </c>
      <c r="HT48" s="3">
        <f>$H48*factors!HN$3</f>
        <v>0.3741470249328</v>
      </c>
      <c r="HU48" s="3">
        <f>$H48*factors!HO$3</f>
        <v>0.37802018254079994</v>
      </c>
      <c r="HV48" s="3">
        <f>$H48*factors!HP$3</f>
        <v>0.38266797167040001</v>
      </c>
      <c r="HW48" s="3">
        <f>$H48*factors!HQ$3</f>
        <v>0.38809039232159998</v>
      </c>
      <c r="HX48" s="3">
        <f>$H48*factors!HR$3</f>
        <v>0.4039703385143999</v>
      </c>
      <c r="HY48" s="3">
        <f>$H48*factors!HS$3</f>
        <v>0.38382991895279994</v>
      </c>
      <c r="HZ48" s="3">
        <f>$H48*factors!HT$3</f>
        <v>0.39854791786319993</v>
      </c>
      <c r="IA48" s="3">
        <f>$H48*factors!HU$3</f>
        <v>0.37918212982319999</v>
      </c>
      <c r="IB48" s="3">
        <f>$H48*factors!HV$3</f>
        <v>0.3923508656903999</v>
      </c>
      <c r="IC48" s="3">
        <f>$H48*factors!HW$3</f>
        <v>0.39622402329839995</v>
      </c>
      <c r="ID48" s="3">
        <f>$H48*factors!HX$3</f>
        <v>0.36794997275999997</v>
      </c>
      <c r="IE48" s="3">
        <f>$H48*factors!HY$3</f>
        <v>0.39080160264719993</v>
      </c>
      <c r="IF48" s="3">
        <f>$H48*factors!HZ$3</f>
        <v>0.38847770808239995</v>
      </c>
      <c r="IG48" s="3">
        <f>$H48*factors!IA$3</f>
        <v>0.38499186623519999</v>
      </c>
      <c r="IH48" s="3">
        <f>$H48*factors!IB$3</f>
        <v>0.39932254938479994</v>
      </c>
      <c r="II48" s="3">
        <f>$H48*factors!IC$3</f>
        <v>0.38228065590959998</v>
      </c>
      <c r="IJ48" s="3">
        <f>$H48*factors!ID$3</f>
        <v>0.3857664977568</v>
      </c>
      <c r="IK48" s="3">
        <f>$H48*factors!IE$3</f>
        <v>0.39970986514559997</v>
      </c>
      <c r="IL48" s="3">
        <f>$H48*factors!IF$3</f>
        <v>0.38266797167040001</v>
      </c>
      <c r="IM48" s="3">
        <f>$H48*factors!IG$3</f>
        <v>0.37918212982319999</v>
      </c>
      <c r="IN48" s="3">
        <f>$H48*factors!IH$3</f>
        <v>0.38150602438799996</v>
      </c>
      <c r="IO48" s="3">
        <f>$H48*factors!II$3</f>
        <v>0.38537918199599996</v>
      </c>
      <c r="IP48" s="3">
        <f>$H48*factors!IJ$3</f>
        <v>0.37259776188959998</v>
      </c>
      <c r="IQ48" s="3">
        <f>$H48*factors!IK$3</f>
        <v>0.37143581460719993</v>
      </c>
      <c r="IR48" s="3">
        <f>$H48*factors!IL$3</f>
        <v>0.38228065590959998</v>
      </c>
      <c r="IS48" s="3">
        <f>$H48*factors!IM$3</f>
        <v>0.38537918199599996</v>
      </c>
      <c r="IT48" s="3">
        <f>$H48*factors!IN$3</f>
        <v>0.38809039232159998</v>
      </c>
      <c r="IU48" s="3">
        <f>$H48*factors!IO$3</f>
        <v>0.39661133905919999</v>
      </c>
      <c r="IV48" s="3">
        <f>$H48*factors!IP$3</f>
        <v>0.40164644394959992</v>
      </c>
      <c r="IW48" s="3">
        <f>$H48*factors!IQ$3</f>
        <v>0.37956944558399996</v>
      </c>
      <c r="IX48" s="3">
        <f>$H48*factors!IR$3</f>
        <v>0.39661133905919999</v>
      </c>
      <c r="IY48" s="3">
        <f>$H48*factors!IS$3</f>
        <v>0.39080160264719993</v>
      </c>
      <c r="IZ48" s="3">
        <f>$H48*factors!IT$3</f>
        <v>0.3973859705808</v>
      </c>
      <c r="JA48" s="3">
        <f>$H48*factors!IU$3</f>
        <v>0.37530897221519993</v>
      </c>
      <c r="JB48" s="3">
        <f>$H48*factors!IV$3</f>
        <v>0.38228065590959998</v>
      </c>
      <c r="JC48" s="3">
        <f>$H48*factors!IW$3</f>
        <v>0.37337239341119999</v>
      </c>
      <c r="JD48" s="3">
        <f>$H48*factors!IX$3</f>
        <v>0.40668154884000002</v>
      </c>
      <c r="JE48" s="3">
        <f>$H48*factors!IY$3</f>
        <v>0.37453434069359992</v>
      </c>
      <c r="JF48" s="3">
        <f>$H48*factors!IZ$3</f>
        <v>0.39312549721199991</v>
      </c>
      <c r="JG48" s="3">
        <f>$H48*factors!JA$3</f>
        <v>0.38615381351759992</v>
      </c>
      <c r="JH48" s="3">
        <f>$H48*factors!JB$3</f>
        <v>0.3935128129728</v>
      </c>
      <c r="JI48" s="3">
        <f>$H48*factors!JC$3</f>
        <v>0.36833728852079994</v>
      </c>
      <c r="JJ48" s="3">
        <f>$H48*factors!JD$3</f>
        <v>0.39661133905919999</v>
      </c>
      <c r="JK48" s="3">
        <f>$H48*factors!JE$3</f>
        <v>0.38382991895279994</v>
      </c>
      <c r="JL48" s="3">
        <f>$H48*factors!JF$3</f>
        <v>0.39932254938479994</v>
      </c>
      <c r="JM48" s="3">
        <f>$H48*factors!JG$3</f>
        <v>0.37259776188959998</v>
      </c>
      <c r="JN48" s="3">
        <f>$H48*factors!JH$3</f>
        <v>0.37259776188959998</v>
      </c>
      <c r="JO48" s="3">
        <f>$H48*factors!JI$3</f>
        <v>0.36794997275999997</v>
      </c>
      <c r="JP48" s="3">
        <f>$H48*factors!JJ$3</f>
        <v>0.39777328634159997</v>
      </c>
      <c r="JQ48" s="3">
        <f>$H48*factors!JK$3</f>
        <v>0.38770307656079994</v>
      </c>
      <c r="JR48" s="3">
        <f>$H48*factors!JL$3</f>
        <v>0.40280839123199996</v>
      </c>
      <c r="JS48" s="3">
        <f>$H48*factors!JM$3</f>
        <v>0.36794997275999997</v>
      </c>
      <c r="JT48" s="3">
        <f>$H48*factors!JN$3</f>
        <v>0.38654112927839995</v>
      </c>
      <c r="JU48" s="3">
        <f>$H48*factors!JO$3</f>
        <v>0.37375970917199997</v>
      </c>
      <c r="JV48" s="3">
        <f>$H48*factors!JP$3</f>
        <v>0.3799567613448</v>
      </c>
      <c r="JW48" s="3">
        <f>$H48*factors!JQ$3</f>
        <v>0.40590691731840001</v>
      </c>
      <c r="JX48" s="3">
        <f>$H48*factors!JR$3</f>
        <v>0.40203375971039995</v>
      </c>
      <c r="JY48" s="3">
        <f>$H48*factors!JS$3</f>
        <v>0.37840749830159998</v>
      </c>
      <c r="JZ48" s="3">
        <f>$H48*factors!JT$3</f>
        <v>0.38266797167040001</v>
      </c>
      <c r="KA48" s="3">
        <f>$H48*factors!JU$3</f>
        <v>0.38421723471359998</v>
      </c>
      <c r="KB48" s="3">
        <f>$H48*factors!JV$3</f>
        <v>0.37143581460719993</v>
      </c>
      <c r="KC48" s="3">
        <f>$H48*factors!JW$3</f>
        <v>0.37337239341119999</v>
      </c>
      <c r="KD48" s="3">
        <f>$H48*factors!JX$3</f>
        <v>0.37375970917199997</v>
      </c>
      <c r="KE48" s="3">
        <f>$H48*factors!JY$3</f>
        <v>0.39777328634159997</v>
      </c>
      <c r="KF48" s="3">
        <f>$H48*factors!JZ$3</f>
        <v>0.40242107547119993</v>
      </c>
      <c r="KG48" s="3">
        <f>$H48*factors!KA$3</f>
        <v>0.38809039232159998</v>
      </c>
      <c r="KH48" s="3">
        <f>$H48*factors!KB$3</f>
        <v>0.37956944558399996</v>
      </c>
      <c r="KI48" s="3">
        <f>$H48*factors!KC$3</f>
        <v>0.37608360373679994</v>
      </c>
    </row>
    <row r="49" spans="1:295" x14ac:dyDescent="0.55000000000000004">
      <c r="A49" t="s">
        <v>425</v>
      </c>
      <c r="B49">
        <v>48</v>
      </c>
      <c r="C49">
        <v>230</v>
      </c>
      <c r="D49" t="s">
        <v>377</v>
      </c>
      <c r="E49">
        <v>3.3409999999999998E-3</v>
      </c>
      <c r="F49">
        <v>48</v>
      </c>
      <c r="G49">
        <f>VLOOKUP(D49,demand_forecasted!$A$2:$G$11,2)</f>
        <v>11098</v>
      </c>
      <c r="H49" s="3">
        <f t="shared" si="1"/>
        <v>0.37078418000000002</v>
      </c>
      <c r="I49" s="3">
        <f>$H49*factors!C$3</f>
        <v>0.41045808725999999</v>
      </c>
      <c r="J49" s="3">
        <f>$H49*factors!D$3</f>
        <v>0.39564155142720003</v>
      </c>
      <c r="K49" s="3">
        <f>$H49*factors!E$3</f>
        <v>0.38883395388240005</v>
      </c>
      <c r="L49" s="3">
        <f>$H49*factors!F$3</f>
        <v>0.38763261313920006</v>
      </c>
      <c r="M49" s="3">
        <f>$H49*factors!G$3</f>
        <v>0.3872321662248</v>
      </c>
      <c r="N49" s="3">
        <f>$H49*factors!H$3</f>
        <v>0.39844467982800003</v>
      </c>
      <c r="O49" s="3">
        <f>$H49*factors!I$3</f>
        <v>0.4072545119448</v>
      </c>
      <c r="P49" s="3">
        <f>$H49*factors!J$3</f>
        <v>0.41205987491760004</v>
      </c>
      <c r="Q49" s="3">
        <f>$H49*factors!K$3</f>
        <v>0.3868317193104</v>
      </c>
      <c r="R49" s="3">
        <f>$H49*factors!L$3</f>
        <v>0.38042456868000002</v>
      </c>
      <c r="S49" s="3">
        <f>$H49*factors!M$3</f>
        <v>0.39604199834160003</v>
      </c>
      <c r="T49" s="3">
        <f>$H49*factors!N$3</f>
        <v>0.40965719343120005</v>
      </c>
      <c r="U49" s="3">
        <f>$H49*factors!O$3</f>
        <v>0.38803306005360005</v>
      </c>
      <c r="V49" s="3">
        <f>$H49*factors!P$3</f>
        <v>0.40365048971520007</v>
      </c>
      <c r="W49" s="3">
        <f>$H49*factors!Q$3</f>
        <v>0.4072545119448</v>
      </c>
      <c r="X49" s="3">
        <f>$H49*factors!R$3</f>
        <v>0.38963484771119999</v>
      </c>
      <c r="Y49" s="3">
        <f>$H49*factors!S$3</f>
        <v>0.38603082548160006</v>
      </c>
      <c r="Z49" s="3">
        <f>$H49*factors!T$3</f>
        <v>0.41646479097600009</v>
      </c>
      <c r="AA49" s="3">
        <f>$H49*factors!U$3</f>
        <v>0.39323886994079998</v>
      </c>
      <c r="AB49" s="3">
        <f>$H49*factors!V$3</f>
        <v>0.39363931685520009</v>
      </c>
      <c r="AC49" s="3">
        <f>$H49*factors!W$3</f>
        <v>0.39403976376960004</v>
      </c>
      <c r="AD49" s="3">
        <f>$H49*factors!X$3</f>
        <v>0.38563037856720006</v>
      </c>
      <c r="AE49" s="3">
        <f>$H49*factors!Y$3</f>
        <v>0.38883395388240005</v>
      </c>
      <c r="AF49" s="3">
        <f>$H49*factors!Z$3</f>
        <v>0.39684289217040009</v>
      </c>
      <c r="AG49" s="3">
        <f>$H49*factors!AA$3</f>
        <v>0.3868317193104</v>
      </c>
      <c r="AH49" s="3">
        <f>$H49*factors!AB$3</f>
        <v>0.38522993165280006</v>
      </c>
      <c r="AI49" s="3">
        <f>$H49*factors!AC$3</f>
        <v>0.39764378599920003</v>
      </c>
      <c r="AJ49" s="3">
        <f>$H49*factors!AD$3</f>
        <v>0.41286076874640004</v>
      </c>
      <c r="AK49" s="3">
        <f>$H49*factors!AE$3</f>
        <v>0.39724333908480003</v>
      </c>
      <c r="AL49" s="3">
        <f>$H49*factors!AF$3</f>
        <v>0.38162590942320002</v>
      </c>
      <c r="AM49" s="3">
        <f>$H49*factors!AG$3</f>
        <v>0.39243797611200004</v>
      </c>
      <c r="AN49" s="3">
        <f>$H49*factors!AH$3</f>
        <v>0.38603082548160006</v>
      </c>
      <c r="AO49" s="3">
        <f>$H49*factors!AI$3</f>
        <v>0.40445138354400001</v>
      </c>
      <c r="AP49" s="3">
        <f>$H49*factors!AJ$3</f>
        <v>0.38763261313920006</v>
      </c>
      <c r="AQ49" s="3">
        <f>$H49*factors!AK$3</f>
        <v>0.40004646748560008</v>
      </c>
      <c r="AR49" s="3">
        <f>$H49*factors!AL$3</f>
        <v>0.39123663536880005</v>
      </c>
      <c r="AS49" s="3">
        <f>$H49*factors!AM$3</f>
        <v>0.38162590942320002</v>
      </c>
      <c r="AT49" s="3">
        <f>$H49*factors!AN$3</f>
        <v>0.39363931685520009</v>
      </c>
      <c r="AU49" s="3">
        <f>$H49*factors!AO$3</f>
        <v>0.41686523789039998</v>
      </c>
      <c r="AV49" s="3">
        <f>$H49*factors!AP$3</f>
        <v>0.39403976376960004</v>
      </c>
      <c r="AW49" s="3">
        <f>$H49*factors!AQ$3</f>
        <v>0.39003529462559999</v>
      </c>
      <c r="AX49" s="3">
        <f>$H49*factors!AR$3</f>
        <v>0.41246032183200004</v>
      </c>
      <c r="AY49" s="3">
        <f>$H49*factors!AS$3</f>
        <v>0.38042456868000002</v>
      </c>
      <c r="AZ49" s="3">
        <f>$H49*factors!AT$3</f>
        <v>0.40765495885920011</v>
      </c>
      <c r="BA49" s="3">
        <f>$H49*factors!AU$3</f>
        <v>0.39884512674240002</v>
      </c>
      <c r="BB49" s="3">
        <f>$H49*factors!AV$3</f>
        <v>0.39363931685520009</v>
      </c>
      <c r="BC49" s="3">
        <f>$H49*factors!AW$3</f>
        <v>0.41646479097600009</v>
      </c>
      <c r="BD49" s="3">
        <f>$H49*factors!AX$3</f>
        <v>0.38442903782400001</v>
      </c>
      <c r="BE49" s="3">
        <f>$H49*factors!AY$3</f>
        <v>0.45196366836919999</v>
      </c>
      <c r="BF49" s="3">
        <f>$H49*factors!AZ$3</f>
        <v>0.42089936976879999</v>
      </c>
      <c r="BG49" s="3">
        <f>$H49*factors!BA$3</f>
        <v>0.42702472442239997</v>
      </c>
      <c r="BH49" s="3">
        <f>$H49*factors!BB$3</f>
        <v>0.43271255374360001</v>
      </c>
      <c r="BI49" s="3">
        <f>$H49*factors!BC$3</f>
        <v>0.44846346570999995</v>
      </c>
      <c r="BJ49" s="3">
        <f>$H49*factors!BD$3</f>
        <v>0.4283373004196</v>
      </c>
      <c r="BK49" s="3">
        <f>$H49*factors!BE$3</f>
        <v>0.42921235108439998</v>
      </c>
      <c r="BL49" s="3">
        <f>$H49*factors!BF$3</f>
        <v>0.42439957242799997</v>
      </c>
      <c r="BM49" s="3">
        <f>$H49*factors!BG$3</f>
        <v>0.45327624436640002</v>
      </c>
      <c r="BN49" s="3">
        <f>$H49*factors!BH$3</f>
        <v>0.44758841504519997</v>
      </c>
      <c r="BO49" s="3">
        <f>$H49*factors!BI$3</f>
        <v>0.42089936976879999</v>
      </c>
      <c r="BP49" s="3">
        <f>$H49*factors!BJ$3</f>
        <v>0.41958679377159996</v>
      </c>
      <c r="BQ49" s="3">
        <f>$H49*factors!BK$3</f>
        <v>0.42658719908999998</v>
      </c>
      <c r="BR49" s="3">
        <f>$H49*factors!BL$3</f>
        <v>0.44190058572400004</v>
      </c>
      <c r="BS49" s="3">
        <f>$H49*factors!BM$3</f>
        <v>0.4489009910424</v>
      </c>
      <c r="BT49" s="3">
        <f>$H49*factors!BN$3</f>
        <v>0.45021356703959997</v>
      </c>
      <c r="BU49" s="3">
        <f>$H49*factors!BO$3</f>
        <v>0.45765149769040003</v>
      </c>
      <c r="BV49" s="3">
        <f>$H49*factors!BP$3</f>
        <v>0.4257121484252</v>
      </c>
      <c r="BW49" s="3">
        <f>$H49*factors!BQ$3</f>
        <v>0.43533770573800001</v>
      </c>
      <c r="BX49" s="3">
        <f>$H49*factors!BR$3</f>
        <v>0.42702472442239997</v>
      </c>
      <c r="BY49" s="3">
        <f>$H49*factors!BS$3</f>
        <v>0.44671336438039994</v>
      </c>
      <c r="BZ49" s="3">
        <f>$H49*factors!BT$3</f>
        <v>0.43840038306479995</v>
      </c>
      <c r="CA49" s="3">
        <f>$H49*factors!BU$3</f>
        <v>0.43271255374360001</v>
      </c>
      <c r="CB49" s="3">
        <f>$H49*factors!BV$3</f>
        <v>0.41871174310679998</v>
      </c>
      <c r="CC49" s="3">
        <f>$H49*factors!BW$3</f>
        <v>0.430962452414</v>
      </c>
      <c r="CD49" s="3">
        <f>$H49*factors!BX$3</f>
        <v>0.43227502841120002</v>
      </c>
      <c r="CE49" s="3">
        <f>$H49*factors!BY$3</f>
        <v>0.43840038306479995</v>
      </c>
      <c r="CF49" s="3">
        <f>$H49*factors!BZ$3</f>
        <v>0.43183750307880003</v>
      </c>
      <c r="CG49" s="3">
        <f>$H49*factors!CA$3</f>
        <v>0.41739916710959996</v>
      </c>
      <c r="CH49" s="3">
        <f>$H49*factors!CB$3</f>
        <v>0.41783669244199995</v>
      </c>
      <c r="CI49" s="3">
        <f>$H49*factors!CC$3</f>
        <v>0.41564906577999999</v>
      </c>
      <c r="CJ49" s="3">
        <f>$H49*factors!CD$3</f>
        <v>0.43271255374360001</v>
      </c>
      <c r="CK49" s="3">
        <f>$H49*factors!CE$3</f>
        <v>0.45196366836919999</v>
      </c>
      <c r="CL49" s="3">
        <f>$H49*factors!CF$3</f>
        <v>0.42352452176319999</v>
      </c>
      <c r="CM49" s="3">
        <f>$H49*factors!CG$3</f>
        <v>0.4335876044084</v>
      </c>
      <c r="CN49" s="3">
        <f>$H49*factors!CH$3</f>
        <v>0.41914926843919997</v>
      </c>
      <c r="CO49" s="3">
        <f>$H49*factors!CI$3</f>
        <v>0.42221194576599996</v>
      </c>
      <c r="CP49" s="3">
        <f>$H49*factors!CJ$3</f>
        <v>0.44233811105639992</v>
      </c>
      <c r="CQ49" s="3">
        <f>$H49*factors!CK$3</f>
        <v>0.42921235108439998</v>
      </c>
      <c r="CR49" s="3">
        <f>$H49*factors!CL$3</f>
        <v>0.44277563638879996</v>
      </c>
      <c r="CS49" s="3">
        <f>$H49*factors!CM$3</f>
        <v>0.4567764470256</v>
      </c>
      <c r="CT49" s="3">
        <f>$H49*factors!CN$3</f>
        <v>0.4515261430368</v>
      </c>
      <c r="CU49" s="3">
        <f>$H49*factors!CO$3</f>
        <v>0.44146306039159994</v>
      </c>
      <c r="CV49" s="3">
        <f>$H49*factors!CP$3</f>
        <v>0.45940159902</v>
      </c>
      <c r="CW49" s="3">
        <f>$H49*factors!CQ$3</f>
        <v>0.43446265507320003</v>
      </c>
      <c r="CX49" s="3">
        <f>$H49*factors!CR$3</f>
        <v>0.42789977508720001</v>
      </c>
      <c r="CY49" s="3">
        <f>$H49*factors!CS$3</f>
        <v>0.42396204709559998</v>
      </c>
      <c r="CZ49" s="3">
        <f>$H49*factors!CT$3</f>
        <v>0.41783669244199995</v>
      </c>
      <c r="DA49" s="3">
        <f>$H49*factors!CU$3</f>
        <v>0.43381749060000002</v>
      </c>
      <c r="DB49" s="3">
        <f>$H49*factors!CV$3</f>
        <v>0.46184877460800006</v>
      </c>
      <c r="DC49" s="3">
        <f>$H49*factors!CW$3</f>
        <v>0.44227136990399996</v>
      </c>
      <c r="DD49" s="3">
        <f>$H49*factors!CX$3</f>
        <v>0.43915678279199999</v>
      </c>
      <c r="DE49" s="3">
        <f>$H49*factors!CY$3</f>
        <v>0.45206007225600003</v>
      </c>
      <c r="DF49" s="3">
        <f>$H49*factors!CZ$3</f>
        <v>0.45117019022399996</v>
      </c>
      <c r="DG49" s="3">
        <f>$H49*factors!DA$3</f>
        <v>0.44939042616000002</v>
      </c>
      <c r="DH49" s="3">
        <f>$H49*factors!DB$3</f>
        <v>0.44939042616000002</v>
      </c>
      <c r="DI49" s="3">
        <f>$H49*factors!DC$3</f>
        <v>0.43248266755199999</v>
      </c>
      <c r="DJ49" s="3">
        <f>$H49*factors!DD$3</f>
        <v>0.45828924648000002</v>
      </c>
      <c r="DK49" s="3">
        <f>$H49*factors!DE$3</f>
        <v>0.45828924648000002</v>
      </c>
      <c r="DL49" s="3">
        <f>$H49*factors!DF$3</f>
        <v>0.45294995428800006</v>
      </c>
      <c r="DM49" s="3">
        <f>$H49*factors!DG$3</f>
        <v>0.42669843434399995</v>
      </c>
      <c r="DN49" s="3">
        <f>$H49*factors!DH$3</f>
        <v>0.44761066209600003</v>
      </c>
      <c r="DO49" s="3">
        <f>$H49*factors!DI$3</f>
        <v>0.46229371562400001</v>
      </c>
      <c r="DP49" s="3">
        <f>$H49*factors!DJ$3</f>
        <v>0.45828924648000002</v>
      </c>
      <c r="DQ49" s="3">
        <f>$H49*factors!DK$3</f>
        <v>0.43693207771199999</v>
      </c>
      <c r="DR49" s="3">
        <f>$H49*factors!DL$3</f>
        <v>0.43203772653600003</v>
      </c>
      <c r="DS49" s="3">
        <f>$H49*factors!DM$3</f>
        <v>0.46674312578400001</v>
      </c>
      <c r="DT49" s="3">
        <f>$H49*factors!DN$3</f>
        <v>0.43871184177600003</v>
      </c>
      <c r="DU49" s="3">
        <f>$H49*factors!DO$3</f>
        <v>0.45917912851199999</v>
      </c>
      <c r="DV49" s="3">
        <f>$H49*factors!DP$3</f>
        <v>0.448500544128</v>
      </c>
      <c r="DW49" s="3">
        <f>$H49*factors!DQ$3</f>
        <v>0.42803325739199999</v>
      </c>
      <c r="DX49" s="3">
        <f>$H49*factors!DR$3</f>
        <v>0.45339489530399996</v>
      </c>
      <c r="DY49" s="3">
        <f>$H49*factors!DS$3</f>
        <v>0.43025796247199999</v>
      </c>
      <c r="DZ49" s="3">
        <f>$H49*factors!DT$3</f>
        <v>0.46006901054400001</v>
      </c>
      <c r="EA49" s="3">
        <f>$H49*factors!DU$3</f>
        <v>0.43337254958399996</v>
      </c>
      <c r="EB49" s="3">
        <f>$H49*factors!DV$3</f>
        <v>0.42269396519999997</v>
      </c>
      <c r="EC49" s="3">
        <f>$H49*factors!DW$3</f>
        <v>0.45472971835199999</v>
      </c>
      <c r="ED49" s="3">
        <f>$H49*factors!DX$3</f>
        <v>0.42669843434399995</v>
      </c>
      <c r="EE49" s="3">
        <f>$H49*factors!DY$3</f>
        <v>0.43025796247199999</v>
      </c>
      <c r="EF49" s="3">
        <f>$H49*factors!DZ$3</f>
        <v>0.46674312578400001</v>
      </c>
      <c r="EG49" s="3">
        <f>$H49*factors!EA$3</f>
        <v>0.43604219568000002</v>
      </c>
      <c r="EH49" s="3">
        <f>$H49*factors!EB$3</f>
        <v>0.437377018728</v>
      </c>
      <c r="EI49" s="3">
        <f>$H49*factors!EC$3</f>
        <v>0.43648713669600003</v>
      </c>
      <c r="EJ49" s="3">
        <f>$H49*factors!ED$3</f>
        <v>0.42536361129600003</v>
      </c>
      <c r="EK49" s="3">
        <f>$H49*factors!EE$3</f>
        <v>0.45472971835199999</v>
      </c>
      <c r="EL49" s="3">
        <f>$H49*factors!EF$3</f>
        <v>0.43248266755199999</v>
      </c>
      <c r="EM49" s="3">
        <f>$H49*factors!EG$3</f>
        <v>0.44983536717599998</v>
      </c>
      <c r="EN49" s="3">
        <f>$H49*factors!EH$3</f>
        <v>0.42269396519999997</v>
      </c>
      <c r="EO49" s="3">
        <f>$H49*factors!EI$3</f>
        <v>0.42892313942399996</v>
      </c>
      <c r="EP49" s="3">
        <f>$H49*factors!EJ$3</f>
        <v>0.45250501327199999</v>
      </c>
      <c r="EQ49" s="3">
        <f>$H49*factors!EK$3</f>
        <v>0.44004666482399996</v>
      </c>
      <c r="ER49" s="3">
        <f>$H49*factors!EL$3</f>
        <v>0.45828924648000002</v>
      </c>
      <c r="ES49" s="3">
        <f>$H49*factors!EM$3</f>
        <v>0.45250501327199999</v>
      </c>
      <c r="ET49" s="3">
        <f>$H49*factors!EN$3</f>
        <v>0.46273865664000002</v>
      </c>
      <c r="EU49" s="3">
        <f>$H49*factors!EO$3</f>
        <v>0.46718806680000002</v>
      </c>
      <c r="EV49" s="3">
        <f>$H49*factors!EP$3</f>
        <v>0.43782195974399996</v>
      </c>
      <c r="EW49" s="3">
        <f>$H49*factors!EQ$3</f>
        <v>0.48155595377499999</v>
      </c>
      <c r="EX49" s="3">
        <f>$H49*factors!ER$3</f>
        <v>0.47645767130000005</v>
      </c>
      <c r="EY49" s="3">
        <f>$H49*factors!ES$3</f>
        <v>0.48619075602499995</v>
      </c>
      <c r="EZ49" s="3">
        <f>$H49*factors!ET$3</f>
        <v>0.48155595377499999</v>
      </c>
      <c r="FA49" s="3">
        <f>$H49*factors!EU$3</f>
        <v>0.44262361487499996</v>
      </c>
      <c r="FB49" s="3">
        <f>$H49*factors!EV$3</f>
        <v>0.46255326455000007</v>
      </c>
      <c r="FC49" s="3">
        <f>$H49*factors!EW$3</f>
        <v>0.47553071085000004</v>
      </c>
      <c r="FD49" s="3">
        <f>$H49*factors!EX$3</f>
        <v>0.45884542275000006</v>
      </c>
      <c r="FE49" s="3">
        <f>$H49*factors!EY$3</f>
        <v>0.48340987467500002</v>
      </c>
      <c r="FF49" s="3">
        <f>$H49*factors!EZ$3</f>
        <v>0.48387335490000011</v>
      </c>
      <c r="FG49" s="3">
        <f>$H49*factors!FA$3</f>
        <v>0.44262361487499996</v>
      </c>
      <c r="FH49" s="3">
        <f>$H49*factors!FB$3</f>
        <v>0.46579762612499997</v>
      </c>
      <c r="FI49" s="3">
        <f>$H49*factors!FC$3</f>
        <v>0.48526379557499999</v>
      </c>
      <c r="FJ49" s="3">
        <f>$H49*factors!FD$3</f>
        <v>0.46579762612499997</v>
      </c>
      <c r="FK49" s="3">
        <f>$H49*factors!FE$3</f>
        <v>0.47367678995000007</v>
      </c>
      <c r="FL49" s="3">
        <f>$H49*factors!FF$3</f>
        <v>0.475067230625</v>
      </c>
      <c r="FM49" s="3">
        <f>$H49*factors!FG$3</f>
        <v>0.4801655131</v>
      </c>
      <c r="FN49" s="3">
        <f>$H49*factors!FH$3</f>
        <v>0.449112338025</v>
      </c>
      <c r="FO49" s="3">
        <f>$H49*factors!FI$3</f>
        <v>0.47692115152499998</v>
      </c>
      <c r="FP49" s="3">
        <f>$H49*factors!FJ$3</f>
        <v>0.46348022500000002</v>
      </c>
      <c r="FQ49" s="3">
        <f>$H49*factors!FK$3</f>
        <v>0.45884542275000006</v>
      </c>
      <c r="FR49" s="3">
        <f>$H49*factors!FL$3</f>
        <v>0.46811502724999998</v>
      </c>
      <c r="FS49" s="3">
        <f>$H49*factors!FM$3</f>
        <v>0.4653341459</v>
      </c>
      <c r="FT49" s="3">
        <f>$H49*factors!FN$3</f>
        <v>0.47553071085000004</v>
      </c>
      <c r="FU49" s="3">
        <f>$H49*factors!FO$3</f>
        <v>0.45699150184999998</v>
      </c>
      <c r="FV49" s="3">
        <f>$H49*factors!FP$3</f>
        <v>0.45328366004999998</v>
      </c>
      <c r="FW49" s="3">
        <f>$H49*factors!FQ$3</f>
        <v>0.48526379557499999</v>
      </c>
      <c r="FX49" s="3">
        <f>$H49*factors!FR$3</f>
        <v>0.47645767130000005</v>
      </c>
      <c r="FY49" s="3">
        <f>$H49*factors!FS$3</f>
        <v>0.46672458657499993</v>
      </c>
      <c r="FZ49" s="3">
        <f>$H49*factors!FT$3</f>
        <v>0.44355057532500003</v>
      </c>
      <c r="GA49" s="3">
        <f>$H49*factors!FU$3</f>
        <v>0.46672458657499993</v>
      </c>
      <c r="GB49" s="3">
        <f>$H49*factors!FV$3</f>
        <v>0.48387335490000011</v>
      </c>
      <c r="GC49" s="3">
        <f>$H49*factors!FW$3</f>
        <v>0.45328366004999998</v>
      </c>
      <c r="GD49" s="3">
        <f>$H49*factors!FX$3</f>
        <v>0.46116282387500002</v>
      </c>
      <c r="GE49" s="3">
        <f>$H49*factors!FY$3</f>
        <v>0.46116282387500002</v>
      </c>
      <c r="GF49" s="3">
        <f>$H49*factors!FZ$3</f>
        <v>0.45977238320000002</v>
      </c>
      <c r="GG49" s="3">
        <f>$H49*factors!GA$3</f>
        <v>0.441696654425</v>
      </c>
      <c r="GH49" s="3">
        <f>$H49*factors!GB$3</f>
        <v>0.46996894815000007</v>
      </c>
      <c r="GI49" s="3">
        <f>$H49*factors!GC$3</f>
        <v>0.44076969397499999</v>
      </c>
      <c r="GJ49" s="3">
        <f>$H49*factors!GD$3</f>
        <v>0.441696654425</v>
      </c>
      <c r="GK49" s="3">
        <f>$H49*factors!GE$3</f>
        <v>0.452820179825</v>
      </c>
      <c r="GL49" s="3">
        <f>$H49*factors!GF$3</f>
        <v>0.47970203287500002</v>
      </c>
      <c r="GM49" s="3">
        <f>$H49*factors!GG$3</f>
        <v>0.45467410072500003</v>
      </c>
      <c r="GN49" s="3">
        <f>$H49*factors!GH$3</f>
        <v>0.46904198770000005</v>
      </c>
      <c r="GO49" s="3">
        <f>$H49*factors!GI$3</f>
        <v>0.44308709509999994</v>
      </c>
      <c r="GP49" s="3">
        <f>$H49*factors!GJ$3</f>
        <v>0.475067230625</v>
      </c>
      <c r="GQ49" s="3">
        <f>$H49*factors!GK$3</f>
        <v>0.48480031535000007</v>
      </c>
      <c r="GR49" s="3">
        <f>$H49*factors!GL$3</f>
        <v>0.47553071085000004</v>
      </c>
      <c r="GS49" s="3">
        <f>$H49*factors!GM$3</f>
        <v>0.44970559271300004</v>
      </c>
      <c r="GT49" s="3">
        <f>$H49*factors!GN$3</f>
        <v>0.46006530270220003</v>
      </c>
      <c r="GU49" s="3">
        <f>$H49*factors!GO$3</f>
        <v>0.47089590860000002</v>
      </c>
      <c r="GV49" s="3">
        <f>$H49*factors!GP$3</f>
        <v>0.45206007225600003</v>
      </c>
      <c r="GW49" s="3">
        <f>$H49*factors!GQ$3</f>
        <v>0.46807053314840003</v>
      </c>
      <c r="GX49" s="3">
        <f>$H49*factors!GR$3</f>
        <v>0.46053619861080003</v>
      </c>
      <c r="GY49" s="3">
        <f>$H49*factors!GS$3</f>
        <v>0.45818171906780003</v>
      </c>
      <c r="GZ49" s="3">
        <f>$H49*factors!GT$3</f>
        <v>0.47513397177739997</v>
      </c>
      <c r="HA49" s="3">
        <f>$H49*factors!GU$3</f>
        <v>0.45959440679360003</v>
      </c>
      <c r="HB49" s="3">
        <f>$H49*factors!GV$3</f>
        <v>0.47513397177739997</v>
      </c>
      <c r="HC49" s="3">
        <f>$H49*factors!GW$3</f>
        <v>0.46336157406239997</v>
      </c>
      <c r="HD49" s="3">
        <f>$H49*factors!GX$3</f>
        <v>0.47701755541179997</v>
      </c>
      <c r="HE49" s="3">
        <f>$H49*factors!GY$3</f>
        <v>0.47089590860000002</v>
      </c>
      <c r="HF49" s="3">
        <f>$H49*factors!GZ$3</f>
        <v>0.48549368176660002</v>
      </c>
      <c r="HG49" s="3">
        <f>$H49*factors!HA$3</f>
        <v>0.46665784542260003</v>
      </c>
      <c r="HH49" s="3">
        <f>$H49*factors!HB$3</f>
        <v>0.46053619861080003</v>
      </c>
      <c r="HI49" s="3">
        <f>$H49*factors!HC$3</f>
        <v>0.45488544770760003</v>
      </c>
      <c r="HJ49" s="3">
        <f>$H49*factors!HD$3</f>
        <v>0.44970559271300004</v>
      </c>
      <c r="HK49" s="3">
        <f>$H49*factors!HE$3</f>
        <v>0.47560486768600002</v>
      </c>
      <c r="HL49" s="3">
        <f>$H49*factors!HF$3</f>
        <v>0.44829290498719998</v>
      </c>
      <c r="HM49" s="3">
        <f>$H49*factors!HG$3</f>
        <v>0.45300186407320003</v>
      </c>
      <c r="HN49" s="3">
        <f>$H49*factors!HH$3</f>
        <v>0.48313920222360007</v>
      </c>
      <c r="HO49" s="3">
        <f>$H49*factors!HI$3</f>
        <v>0.46336157406239997</v>
      </c>
      <c r="HP49" s="3">
        <f>$H49*factors!HJ$3</f>
        <v>0.49444070403000007</v>
      </c>
      <c r="HQ49" s="3">
        <f>$H49*factors!HK$3</f>
        <v>0.45206007225600003</v>
      </c>
      <c r="HR49" s="3">
        <f>$H49*factors!HL$3</f>
        <v>0.47937203495480007</v>
      </c>
      <c r="HS49" s="3">
        <f>$H49*factors!HM$3</f>
        <v>0.48784816130960001</v>
      </c>
      <c r="HT49" s="3">
        <f>$H49*factors!HN$3</f>
        <v>0.45488544770760003</v>
      </c>
      <c r="HU49" s="3">
        <f>$H49*factors!HO$3</f>
        <v>0.45959440679360003</v>
      </c>
      <c r="HV49" s="3">
        <f>$H49*factors!HP$3</f>
        <v>0.46524515769680008</v>
      </c>
      <c r="HW49" s="3">
        <f>$H49*factors!HQ$3</f>
        <v>0.47183770041720002</v>
      </c>
      <c r="HX49" s="3">
        <f>$H49*factors!HR$3</f>
        <v>0.49114443266979996</v>
      </c>
      <c r="HY49" s="3">
        <f>$H49*factors!HS$3</f>
        <v>0.46665784542260003</v>
      </c>
      <c r="HZ49" s="3">
        <f>$H49*factors!HT$3</f>
        <v>0.48455188994940002</v>
      </c>
      <c r="IA49" s="3">
        <f>$H49*factors!HU$3</f>
        <v>0.46100709451940003</v>
      </c>
      <c r="IB49" s="3">
        <f>$H49*factors!HV$3</f>
        <v>0.47701755541179997</v>
      </c>
      <c r="IC49" s="3">
        <f>$H49*factors!HW$3</f>
        <v>0.48172651449780002</v>
      </c>
      <c r="ID49" s="3">
        <f>$H49*factors!HX$3</f>
        <v>0.44735111316999998</v>
      </c>
      <c r="IE49" s="3">
        <f>$H49*factors!HY$3</f>
        <v>0.47513397177739997</v>
      </c>
      <c r="IF49" s="3">
        <f>$H49*factors!HZ$3</f>
        <v>0.47230859632579997</v>
      </c>
      <c r="IG49" s="3">
        <f>$H49*factors!IA$3</f>
        <v>0.46807053314840003</v>
      </c>
      <c r="IH49" s="3">
        <f>$H49*factors!IB$3</f>
        <v>0.48549368176660002</v>
      </c>
      <c r="II49" s="3">
        <f>$H49*factors!IC$3</f>
        <v>0.46477426178820003</v>
      </c>
      <c r="IJ49" s="3">
        <f>$H49*factors!ID$3</f>
        <v>0.46901232496560002</v>
      </c>
      <c r="IK49" s="3">
        <f>$H49*factors!IE$3</f>
        <v>0.48596457767520002</v>
      </c>
      <c r="IL49" s="3">
        <f>$H49*factors!IF$3</f>
        <v>0.46524515769680008</v>
      </c>
      <c r="IM49" s="3">
        <f>$H49*factors!IG$3</f>
        <v>0.46100709451940003</v>
      </c>
      <c r="IN49" s="3">
        <f>$H49*factors!IH$3</f>
        <v>0.46383246997100003</v>
      </c>
      <c r="IO49" s="3">
        <f>$H49*factors!II$3</f>
        <v>0.46854142905700003</v>
      </c>
      <c r="IP49" s="3">
        <f>$H49*factors!IJ$3</f>
        <v>0.45300186407320003</v>
      </c>
      <c r="IQ49" s="3">
        <f>$H49*factors!IK$3</f>
        <v>0.45158917634740003</v>
      </c>
      <c r="IR49" s="3">
        <f>$H49*factors!IL$3</f>
        <v>0.46477426178820003</v>
      </c>
      <c r="IS49" s="3">
        <f>$H49*factors!IM$3</f>
        <v>0.46854142905700003</v>
      </c>
      <c r="IT49" s="3">
        <f>$H49*factors!IN$3</f>
        <v>0.47183770041720002</v>
      </c>
      <c r="IU49" s="3">
        <f>$H49*factors!IO$3</f>
        <v>0.48219741040640007</v>
      </c>
      <c r="IV49" s="3">
        <f>$H49*factors!IP$3</f>
        <v>0.48831905721819996</v>
      </c>
      <c r="IW49" s="3">
        <f>$H49*factors!IQ$3</f>
        <v>0.46147799042799997</v>
      </c>
      <c r="IX49" s="3">
        <f>$H49*factors!IR$3</f>
        <v>0.48219741040640007</v>
      </c>
      <c r="IY49" s="3">
        <f>$H49*factors!IS$3</f>
        <v>0.47513397177739997</v>
      </c>
      <c r="IZ49" s="3">
        <f>$H49*factors!IT$3</f>
        <v>0.48313920222360007</v>
      </c>
      <c r="JA49" s="3">
        <f>$H49*factors!IU$3</f>
        <v>0.45629813543339998</v>
      </c>
      <c r="JB49" s="3">
        <f>$H49*factors!IV$3</f>
        <v>0.46477426178820003</v>
      </c>
      <c r="JC49" s="3">
        <f>$H49*factors!IW$3</f>
        <v>0.45394365589040003</v>
      </c>
      <c r="JD49" s="3">
        <f>$H49*factors!IX$3</f>
        <v>0.49444070403000007</v>
      </c>
      <c r="JE49" s="3">
        <f>$H49*factors!IY$3</f>
        <v>0.45535634361619998</v>
      </c>
      <c r="JF49" s="3">
        <f>$H49*factors!IZ$3</f>
        <v>0.47795934722899996</v>
      </c>
      <c r="JG49" s="3">
        <f>$H49*factors!JA$3</f>
        <v>0.46948322087419997</v>
      </c>
      <c r="JH49" s="3">
        <f>$H49*factors!JB$3</f>
        <v>0.47843024313760008</v>
      </c>
      <c r="JI49" s="3">
        <f>$H49*factors!JC$3</f>
        <v>0.44782200907860004</v>
      </c>
      <c r="JJ49" s="3">
        <f>$H49*factors!JD$3</f>
        <v>0.48219741040640007</v>
      </c>
      <c r="JK49" s="3">
        <f>$H49*factors!JE$3</f>
        <v>0.46665784542260003</v>
      </c>
      <c r="JL49" s="3">
        <f>$H49*factors!JF$3</f>
        <v>0.48549368176660002</v>
      </c>
      <c r="JM49" s="3">
        <f>$H49*factors!JG$3</f>
        <v>0.45300186407320003</v>
      </c>
      <c r="JN49" s="3">
        <f>$H49*factors!JH$3</f>
        <v>0.45300186407320003</v>
      </c>
      <c r="JO49" s="3">
        <f>$H49*factors!JI$3</f>
        <v>0.44735111316999998</v>
      </c>
      <c r="JP49" s="3">
        <f>$H49*factors!JJ$3</f>
        <v>0.48361009813220002</v>
      </c>
      <c r="JQ49" s="3">
        <f>$H49*factors!JK$3</f>
        <v>0.47136680450859997</v>
      </c>
      <c r="JR49" s="3">
        <f>$H49*factors!JL$3</f>
        <v>0.48973174494400001</v>
      </c>
      <c r="JS49" s="3">
        <f>$H49*factors!JM$3</f>
        <v>0.44735111316999998</v>
      </c>
      <c r="JT49" s="3">
        <f>$H49*factors!JN$3</f>
        <v>0.46995411678280002</v>
      </c>
      <c r="JU49" s="3">
        <f>$H49*factors!JO$3</f>
        <v>0.45441455179899998</v>
      </c>
      <c r="JV49" s="3">
        <f>$H49*factors!JP$3</f>
        <v>0.46194888633660003</v>
      </c>
      <c r="JW49" s="3">
        <f>$H49*factors!JQ$3</f>
        <v>0.49349891221280007</v>
      </c>
      <c r="JX49" s="3">
        <f>$H49*factors!JR$3</f>
        <v>0.48878995312680001</v>
      </c>
      <c r="JY49" s="3">
        <f>$H49*factors!JS$3</f>
        <v>0.46006530270220003</v>
      </c>
      <c r="JZ49" s="3">
        <f>$H49*factors!JT$3</f>
        <v>0.46524515769680008</v>
      </c>
      <c r="KA49" s="3">
        <f>$H49*factors!JU$3</f>
        <v>0.46712874133120003</v>
      </c>
      <c r="KB49" s="3">
        <f>$H49*factors!JV$3</f>
        <v>0.45158917634740003</v>
      </c>
      <c r="KC49" s="3">
        <f>$H49*factors!JW$3</f>
        <v>0.45394365589040003</v>
      </c>
      <c r="KD49" s="3">
        <f>$H49*factors!JX$3</f>
        <v>0.45441455179899998</v>
      </c>
      <c r="KE49" s="3">
        <f>$H49*factors!JY$3</f>
        <v>0.48361009813220002</v>
      </c>
      <c r="KF49" s="3">
        <f>$H49*factors!JZ$3</f>
        <v>0.48926084903539996</v>
      </c>
      <c r="KG49" s="3">
        <f>$H49*factors!KA$3</f>
        <v>0.47183770041720002</v>
      </c>
      <c r="KH49" s="3">
        <f>$H49*factors!KB$3</f>
        <v>0.46147799042799997</v>
      </c>
      <c r="KI49" s="3">
        <f>$H49*factors!KC$3</f>
        <v>0.45723992725059998</v>
      </c>
    </row>
    <row r="50" spans="1:295" x14ac:dyDescent="0.55000000000000004">
      <c r="A50" t="s">
        <v>426</v>
      </c>
      <c r="B50">
        <v>49</v>
      </c>
      <c r="C50">
        <v>230</v>
      </c>
      <c r="D50" t="s">
        <v>377</v>
      </c>
      <c r="E50">
        <v>7.1729999999999997E-3</v>
      </c>
      <c r="F50">
        <v>49</v>
      </c>
      <c r="G50">
        <f>VLOOKUP(D50,demand_forecasted!$A$2:$G$11,2)</f>
        <v>11098</v>
      </c>
      <c r="H50" s="3">
        <f t="shared" si="1"/>
        <v>0.79605954000000001</v>
      </c>
      <c r="I50" s="3">
        <f>$H50*factors!C$3</f>
        <v>0.88123791078000002</v>
      </c>
      <c r="J50" s="3">
        <f>$H50*factors!D$3</f>
        <v>0.84942737156159998</v>
      </c>
      <c r="K50" s="3">
        <f>$H50*factors!E$3</f>
        <v>0.83481171840720003</v>
      </c>
      <c r="L50" s="3">
        <f>$H50*factors!F$3</f>
        <v>0.83223248549760009</v>
      </c>
      <c r="M50" s="3">
        <f>$H50*factors!G$3</f>
        <v>0.83137274119439997</v>
      </c>
      <c r="N50" s="3">
        <f>$H50*factors!H$3</f>
        <v>0.85544558168399998</v>
      </c>
      <c r="O50" s="3">
        <f>$H50*factors!I$3</f>
        <v>0.8743599563544</v>
      </c>
      <c r="P50" s="3">
        <f>$H50*factors!J$3</f>
        <v>0.88467688799280009</v>
      </c>
      <c r="Q50" s="3">
        <f>$H50*factors!K$3</f>
        <v>0.83051299689119995</v>
      </c>
      <c r="R50" s="3">
        <f>$H50*factors!L$3</f>
        <v>0.81675708804000002</v>
      </c>
      <c r="S50" s="3">
        <f>$H50*factors!M$3</f>
        <v>0.85028711586479999</v>
      </c>
      <c r="T50" s="3">
        <f>$H50*factors!N$3</f>
        <v>0.8795184221736001</v>
      </c>
      <c r="U50" s="3">
        <f>$H50*factors!O$3</f>
        <v>0.83309222980080011</v>
      </c>
      <c r="V50" s="3">
        <f>$H50*factors!P$3</f>
        <v>0.86662225762560008</v>
      </c>
      <c r="W50" s="3">
        <f>$H50*factors!Q$3</f>
        <v>0.8743599563544</v>
      </c>
      <c r="X50" s="3">
        <f>$H50*factors!R$3</f>
        <v>0.83653120701359995</v>
      </c>
      <c r="Y50" s="3">
        <f>$H50*factors!S$3</f>
        <v>0.82879350828480003</v>
      </c>
      <c r="Z50" s="3">
        <f>$H50*factors!T$3</f>
        <v>0.89413407532800016</v>
      </c>
      <c r="AA50" s="3">
        <f>$H50*factors!U$3</f>
        <v>0.84426890574239999</v>
      </c>
      <c r="AB50" s="3">
        <f>$H50*factors!V$3</f>
        <v>0.84512865004560012</v>
      </c>
      <c r="AC50" s="3">
        <f>$H50*factors!W$3</f>
        <v>0.84598839434880013</v>
      </c>
      <c r="AD50" s="3">
        <f>$H50*factors!X$3</f>
        <v>0.82793376398160012</v>
      </c>
      <c r="AE50" s="3">
        <f>$H50*factors!Y$3</f>
        <v>0.83481171840720003</v>
      </c>
      <c r="AF50" s="3">
        <f>$H50*factors!Z$3</f>
        <v>0.85200660447120014</v>
      </c>
      <c r="AG50" s="3">
        <f>$H50*factors!AA$3</f>
        <v>0.83051299689119995</v>
      </c>
      <c r="AH50" s="3">
        <f>$H50*factors!AB$3</f>
        <v>0.82707401967840011</v>
      </c>
      <c r="AI50" s="3">
        <f>$H50*factors!AC$3</f>
        <v>0.85372609307760006</v>
      </c>
      <c r="AJ50" s="3">
        <f>$H50*factors!AD$3</f>
        <v>0.88639637659920001</v>
      </c>
      <c r="AK50" s="3">
        <f>$H50*factors!AE$3</f>
        <v>0.85286634877440004</v>
      </c>
      <c r="AL50" s="3">
        <f>$H50*factors!AF$3</f>
        <v>0.81933632094959996</v>
      </c>
      <c r="AM50" s="3">
        <f>$H50*factors!AG$3</f>
        <v>0.84254941713600007</v>
      </c>
      <c r="AN50" s="3">
        <f>$H50*factors!AH$3</f>
        <v>0.82879350828480003</v>
      </c>
      <c r="AO50" s="3">
        <f>$H50*factors!AI$3</f>
        <v>0.868341746232</v>
      </c>
      <c r="AP50" s="3">
        <f>$H50*factors!AJ$3</f>
        <v>0.83223248549760009</v>
      </c>
      <c r="AQ50" s="3">
        <f>$H50*factors!AK$3</f>
        <v>0.85888455889680004</v>
      </c>
      <c r="AR50" s="3">
        <f>$H50*factors!AL$3</f>
        <v>0.83997018422640013</v>
      </c>
      <c r="AS50" s="3">
        <f>$H50*factors!AM$3</f>
        <v>0.81933632094959996</v>
      </c>
      <c r="AT50" s="3">
        <f>$H50*factors!AN$3</f>
        <v>0.84512865004560012</v>
      </c>
      <c r="AU50" s="3">
        <f>$H50*factors!AO$3</f>
        <v>0.89499381963119995</v>
      </c>
      <c r="AV50" s="3">
        <f>$H50*factors!AP$3</f>
        <v>0.84598839434880013</v>
      </c>
      <c r="AW50" s="3">
        <f>$H50*factors!AQ$3</f>
        <v>0.83739095131679997</v>
      </c>
      <c r="AX50" s="3">
        <f>$H50*factors!AR$3</f>
        <v>0.8855366322960001</v>
      </c>
      <c r="AY50" s="3">
        <f>$H50*factors!AS$3</f>
        <v>0.81675708804000002</v>
      </c>
      <c r="AZ50" s="3">
        <f>$H50*factors!AT$3</f>
        <v>0.87521970065760013</v>
      </c>
      <c r="BA50" s="3">
        <f>$H50*factors!AU$3</f>
        <v>0.85630532598719999</v>
      </c>
      <c r="BB50" s="3">
        <f>$H50*factors!AV$3</f>
        <v>0.84512865004560012</v>
      </c>
      <c r="BC50" s="3">
        <f>$H50*factors!AW$3</f>
        <v>0.89413407532800016</v>
      </c>
      <c r="BD50" s="3">
        <f>$H50*factors!AX$3</f>
        <v>0.82535453107199996</v>
      </c>
      <c r="BE50" s="3">
        <f>$H50*factors!AY$3</f>
        <v>0.9703488156875999</v>
      </c>
      <c r="BF50" s="3">
        <f>$H50*factors!AZ$3</f>
        <v>0.90365494742639996</v>
      </c>
      <c r="BG50" s="3">
        <f>$H50*factors!BA$3</f>
        <v>0.91680585102719991</v>
      </c>
      <c r="BH50" s="3">
        <f>$H50*factors!BB$3</f>
        <v>0.92901740437079994</v>
      </c>
      <c r="BI50" s="3">
        <f>$H50*factors!BC$3</f>
        <v>0.96283401362999987</v>
      </c>
      <c r="BJ50" s="3">
        <f>$H50*factors!BD$3</f>
        <v>0.91962390179879994</v>
      </c>
      <c r="BK50" s="3">
        <f>$H50*factors!BE$3</f>
        <v>0.92150260231319991</v>
      </c>
      <c r="BL50" s="3">
        <f>$H50*factors!BF$3</f>
        <v>0.91116974948399987</v>
      </c>
      <c r="BM50" s="3">
        <f>$H50*factors!BG$3</f>
        <v>0.97316686645920003</v>
      </c>
      <c r="BN50" s="3">
        <f>$H50*factors!BH$3</f>
        <v>0.9609553131155999</v>
      </c>
      <c r="BO50" s="3">
        <f>$H50*factors!BI$3</f>
        <v>0.90365494742639996</v>
      </c>
      <c r="BP50" s="3">
        <f>$H50*factors!BJ$3</f>
        <v>0.90083689665479993</v>
      </c>
      <c r="BQ50" s="3">
        <f>$H50*factors!BK$3</f>
        <v>0.91586650076999987</v>
      </c>
      <c r="BR50" s="3">
        <f>$H50*factors!BL$3</f>
        <v>0.94874375977199998</v>
      </c>
      <c r="BS50" s="3">
        <f>$H50*factors!BM$3</f>
        <v>0.96377336388720003</v>
      </c>
      <c r="BT50" s="3">
        <f>$H50*factors!BN$3</f>
        <v>0.96659141465879994</v>
      </c>
      <c r="BU50" s="3">
        <f>$H50*factors!BO$3</f>
        <v>0.98256036903120003</v>
      </c>
      <c r="BV50" s="3">
        <f>$H50*factors!BP$3</f>
        <v>0.9139878002556</v>
      </c>
      <c r="BW50" s="3">
        <f>$H50*factors!BQ$3</f>
        <v>0.93465350591399998</v>
      </c>
      <c r="BX50" s="3">
        <f>$H50*factors!BR$3</f>
        <v>0.91680585102719991</v>
      </c>
      <c r="BY50" s="3">
        <f>$H50*factors!BS$3</f>
        <v>0.95907661260119981</v>
      </c>
      <c r="BZ50" s="3">
        <f>$H50*factors!BT$3</f>
        <v>0.94122895771439985</v>
      </c>
      <c r="CA50" s="3">
        <f>$H50*factors!BU$3</f>
        <v>0.92901740437079994</v>
      </c>
      <c r="CB50" s="3">
        <f>$H50*factors!BV$3</f>
        <v>0.89895819614039996</v>
      </c>
      <c r="CC50" s="3">
        <f>$H50*factors!BW$3</f>
        <v>0.92526000334199987</v>
      </c>
      <c r="CD50" s="3">
        <f>$H50*factors!BX$3</f>
        <v>0.9280780541136</v>
      </c>
      <c r="CE50" s="3">
        <f>$H50*factors!BY$3</f>
        <v>0.94122895771439985</v>
      </c>
      <c r="CF50" s="3">
        <f>$H50*factors!BZ$3</f>
        <v>0.92713870385640007</v>
      </c>
      <c r="CG50" s="3">
        <f>$H50*factors!CA$3</f>
        <v>0.89614014536879982</v>
      </c>
      <c r="CH50" s="3">
        <f>$H50*factors!CB$3</f>
        <v>0.89707949562599987</v>
      </c>
      <c r="CI50" s="3">
        <f>$H50*factors!CC$3</f>
        <v>0.89238274433999998</v>
      </c>
      <c r="CJ50" s="3">
        <f>$H50*factors!CD$3</f>
        <v>0.92901740437079994</v>
      </c>
      <c r="CK50" s="3">
        <f>$H50*factors!CE$3</f>
        <v>0.9703488156875999</v>
      </c>
      <c r="CL50" s="3">
        <f>$H50*factors!CF$3</f>
        <v>0.9092910489696</v>
      </c>
      <c r="CM50" s="3">
        <f>$H50*factors!CG$3</f>
        <v>0.93089610488519992</v>
      </c>
      <c r="CN50" s="3">
        <f>$H50*factors!CH$3</f>
        <v>0.89989754639759989</v>
      </c>
      <c r="CO50" s="3">
        <f>$H50*factors!CI$3</f>
        <v>0.90647299819799987</v>
      </c>
      <c r="CP50" s="3">
        <f>$H50*factors!CJ$3</f>
        <v>0.94968311002919981</v>
      </c>
      <c r="CQ50" s="3">
        <f>$H50*factors!CK$3</f>
        <v>0.92150260231319991</v>
      </c>
      <c r="CR50" s="3">
        <f>$H50*factors!CL$3</f>
        <v>0.95062246028639996</v>
      </c>
      <c r="CS50" s="3">
        <f>$H50*factors!CM$3</f>
        <v>0.98068166851679994</v>
      </c>
      <c r="CT50" s="3">
        <f>$H50*factors!CN$3</f>
        <v>0.96940946543039996</v>
      </c>
      <c r="CU50" s="3">
        <f>$H50*factors!CO$3</f>
        <v>0.94780440951479983</v>
      </c>
      <c r="CV50" s="3">
        <f>$H50*factors!CP$3</f>
        <v>0.98631777005999988</v>
      </c>
      <c r="CW50" s="3">
        <f>$H50*factors!CQ$3</f>
        <v>0.9327748053996</v>
      </c>
      <c r="CX50" s="3">
        <f>$H50*factors!CR$3</f>
        <v>0.9186845515416</v>
      </c>
      <c r="CY50" s="3">
        <f>$H50*factors!CS$3</f>
        <v>0.91023039922679994</v>
      </c>
      <c r="CZ50" s="3">
        <f>$H50*factors!CT$3</f>
        <v>0.89707949562599987</v>
      </c>
      <c r="DA50" s="3">
        <f>$H50*factors!CU$3</f>
        <v>0.93138966179999993</v>
      </c>
      <c r="DB50" s="3">
        <f>$H50*factors!CV$3</f>
        <v>0.99157176302400007</v>
      </c>
      <c r="DC50" s="3">
        <f>$H50*factors!CW$3</f>
        <v>0.94953981931199993</v>
      </c>
      <c r="DD50" s="3">
        <f>$H50*factors!CX$3</f>
        <v>0.94285291917599989</v>
      </c>
      <c r="DE50" s="3">
        <f>$H50*factors!CY$3</f>
        <v>0.97055579116800006</v>
      </c>
      <c r="DF50" s="3">
        <f>$H50*factors!CZ$3</f>
        <v>0.96864524827199994</v>
      </c>
      <c r="DG50" s="3">
        <f>$H50*factors!DA$3</f>
        <v>0.96482416248000002</v>
      </c>
      <c r="DH50" s="3">
        <f>$H50*factors!DB$3</f>
        <v>0.96482416248000002</v>
      </c>
      <c r="DI50" s="3">
        <f>$H50*factors!DC$3</f>
        <v>0.92852384745599992</v>
      </c>
      <c r="DJ50" s="3">
        <f>$H50*factors!DD$3</f>
        <v>0.98392959144000003</v>
      </c>
      <c r="DK50" s="3">
        <f>$H50*factors!DE$3</f>
        <v>0.98392959144000003</v>
      </c>
      <c r="DL50" s="3">
        <f>$H50*factors!DF$3</f>
        <v>0.97246633406400007</v>
      </c>
      <c r="DM50" s="3">
        <f>$H50*factors!DG$3</f>
        <v>0.91610531863199984</v>
      </c>
      <c r="DN50" s="3">
        <f>$H50*factors!DH$3</f>
        <v>0.961003076688</v>
      </c>
      <c r="DO50" s="3">
        <f>$H50*factors!DI$3</f>
        <v>0.99252703447199997</v>
      </c>
      <c r="DP50" s="3">
        <f>$H50*factors!DJ$3</f>
        <v>0.98392959144000003</v>
      </c>
      <c r="DQ50" s="3">
        <f>$H50*factors!DK$3</f>
        <v>0.93807656193599998</v>
      </c>
      <c r="DR50" s="3">
        <f>$H50*factors!DL$3</f>
        <v>0.92756857600800002</v>
      </c>
      <c r="DS50" s="3">
        <f>$H50*factors!DM$3</f>
        <v>1.0020797489519999</v>
      </c>
      <c r="DT50" s="3">
        <f>$H50*factors!DN$3</f>
        <v>0.941897647728</v>
      </c>
      <c r="DU50" s="3">
        <f>$H50*factors!DO$3</f>
        <v>0.98584013433599993</v>
      </c>
      <c r="DV50" s="3">
        <f>$H50*factors!DP$3</f>
        <v>0.96291361958400001</v>
      </c>
      <c r="DW50" s="3">
        <f>$H50*factors!DQ$3</f>
        <v>0.91897113297599986</v>
      </c>
      <c r="DX50" s="3">
        <f>$H50*factors!DR$3</f>
        <v>0.97342160551199997</v>
      </c>
      <c r="DY50" s="3">
        <f>$H50*factors!DS$3</f>
        <v>0.92374749021599989</v>
      </c>
      <c r="DZ50" s="3">
        <f>$H50*factors!DT$3</f>
        <v>0.98775067723199994</v>
      </c>
      <c r="EA50" s="3">
        <f>$H50*factors!DU$3</f>
        <v>0.93043439035199993</v>
      </c>
      <c r="EB50" s="3">
        <f>$H50*factors!DV$3</f>
        <v>0.9075078755999999</v>
      </c>
      <c r="EC50" s="3">
        <f>$H50*factors!DW$3</f>
        <v>0.97628741985599998</v>
      </c>
      <c r="ED50" s="3">
        <f>$H50*factors!DX$3</f>
        <v>0.91610531863199984</v>
      </c>
      <c r="EE50" s="3">
        <f>$H50*factors!DY$3</f>
        <v>0.92374749021599989</v>
      </c>
      <c r="EF50" s="3">
        <f>$H50*factors!DZ$3</f>
        <v>1.0020797489519999</v>
      </c>
      <c r="EG50" s="3">
        <f>$H50*factors!EA$3</f>
        <v>0.93616601903999996</v>
      </c>
      <c r="EH50" s="3">
        <f>$H50*factors!EB$3</f>
        <v>0.93903183338399998</v>
      </c>
      <c r="EI50" s="3">
        <f>$H50*factors!EC$3</f>
        <v>0.93712129048800008</v>
      </c>
      <c r="EJ50" s="3">
        <f>$H50*factors!ED$3</f>
        <v>0.91323950428800005</v>
      </c>
      <c r="EK50" s="3">
        <f>$H50*factors!EE$3</f>
        <v>0.97628741985599998</v>
      </c>
      <c r="EL50" s="3">
        <f>$H50*factors!EF$3</f>
        <v>0.92852384745599992</v>
      </c>
      <c r="EM50" s="3">
        <f>$H50*factors!EG$3</f>
        <v>0.96577943392799992</v>
      </c>
      <c r="EN50" s="3">
        <f>$H50*factors!EH$3</f>
        <v>0.9075078755999999</v>
      </c>
      <c r="EO50" s="3">
        <f>$H50*factors!EI$3</f>
        <v>0.92088167587199987</v>
      </c>
      <c r="EP50" s="3">
        <f>$H50*factors!EJ$3</f>
        <v>0.97151106261599995</v>
      </c>
      <c r="EQ50" s="3">
        <f>$H50*factors!EK$3</f>
        <v>0.9447634620719999</v>
      </c>
      <c r="ER50" s="3">
        <f>$H50*factors!EL$3</f>
        <v>0.98392959144000003</v>
      </c>
      <c r="ES50" s="3">
        <f>$H50*factors!EM$3</f>
        <v>0.97151106261599995</v>
      </c>
      <c r="ET50" s="3">
        <f>$H50*factors!EN$3</f>
        <v>0.99348230591999998</v>
      </c>
      <c r="EU50" s="3">
        <f>$H50*factors!EO$3</f>
        <v>1.0030350204</v>
      </c>
      <c r="EV50" s="3">
        <f>$H50*factors!EP$3</f>
        <v>0.93998710483199988</v>
      </c>
      <c r="EW50" s="3">
        <f>$H50*factors!EQ$3</f>
        <v>1.033882327575</v>
      </c>
      <c r="EX50" s="3">
        <f>$H50*factors!ER$3</f>
        <v>1.0229365089000002</v>
      </c>
      <c r="EY50" s="3">
        <f>$H50*factors!ES$3</f>
        <v>1.043833071825</v>
      </c>
      <c r="EZ50" s="3">
        <f>$H50*factors!ET$3</f>
        <v>1.033882327575</v>
      </c>
      <c r="FA50" s="3">
        <f>$H50*factors!EU$3</f>
        <v>0.95029607587499987</v>
      </c>
      <c r="FB50" s="3">
        <f>$H50*factors!EV$3</f>
        <v>0.99308427615000006</v>
      </c>
      <c r="FC50" s="3">
        <f>$H50*factors!EW$3</f>
        <v>1.0209463600499999</v>
      </c>
      <c r="FD50" s="3">
        <f>$H50*factors!EX$3</f>
        <v>0.98512368075000001</v>
      </c>
      <c r="FE50" s="3">
        <f>$H50*factors!EY$3</f>
        <v>1.0378626252750001</v>
      </c>
      <c r="FF50" s="3">
        <f>$H50*factors!EZ$3</f>
        <v>1.0388576997000001</v>
      </c>
      <c r="FG50" s="3">
        <f>$H50*factors!FA$3</f>
        <v>0.95029607587499987</v>
      </c>
      <c r="FH50" s="3">
        <f>$H50*factors!FB$3</f>
        <v>1.000049797125</v>
      </c>
      <c r="FI50" s="3">
        <f>$H50*factors!FC$3</f>
        <v>1.0418429229749999</v>
      </c>
      <c r="FJ50" s="3">
        <f>$H50*factors!FD$3</f>
        <v>1.000049797125</v>
      </c>
      <c r="FK50" s="3">
        <f>$H50*factors!FE$3</f>
        <v>1.0169660623500001</v>
      </c>
      <c r="FL50" s="3">
        <f>$H50*factors!FF$3</f>
        <v>1.0199512856249999</v>
      </c>
      <c r="FM50" s="3">
        <f>$H50*factors!FG$3</f>
        <v>1.0308971042999999</v>
      </c>
      <c r="FN50" s="3">
        <f>$H50*factors!FH$3</f>
        <v>0.96422711782499992</v>
      </c>
      <c r="FO50" s="3">
        <f>$H50*factors!FI$3</f>
        <v>1.023931583325</v>
      </c>
      <c r="FP50" s="3">
        <f>$H50*factors!FJ$3</f>
        <v>0.99507442499999998</v>
      </c>
      <c r="FQ50" s="3">
        <f>$H50*factors!FK$3</f>
        <v>0.98512368075000001</v>
      </c>
      <c r="FR50" s="3">
        <f>$H50*factors!FL$3</f>
        <v>1.0050251692500001</v>
      </c>
      <c r="FS50" s="3">
        <f>$H50*factors!FM$3</f>
        <v>0.99905472269999995</v>
      </c>
      <c r="FT50" s="3">
        <f>$H50*factors!FN$3</f>
        <v>1.0209463600499999</v>
      </c>
      <c r="FU50" s="3">
        <f>$H50*factors!FO$3</f>
        <v>0.98114338304999993</v>
      </c>
      <c r="FV50" s="3">
        <f>$H50*factors!FP$3</f>
        <v>0.97318278764999999</v>
      </c>
      <c r="FW50" s="3">
        <f>$H50*factors!FQ$3</f>
        <v>1.0418429229749999</v>
      </c>
      <c r="FX50" s="3">
        <f>$H50*factors!FR$3</f>
        <v>1.0229365089000002</v>
      </c>
      <c r="FY50" s="3">
        <f>$H50*factors!FS$3</f>
        <v>1.0020399459749998</v>
      </c>
      <c r="FZ50" s="3">
        <f>$H50*factors!FT$3</f>
        <v>0.95228622472500002</v>
      </c>
      <c r="GA50" s="3">
        <f>$H50*factors!FU$3</f>
        <v>1.0020399459749998</v>
      </c>
      <c r="GB50" s="3">
        <f>$H50*factors!FV$3</f>
        <v>1.0388576997000001</v>
      </c>
      <c r="GC50" s="3">
        <f>$H50*factors!FW$3</f>
        <v>0.97318278764999999</v>
      </c>
      <c r="GD50" s="3">
        <f>$H50*factors!FX$3</f>
        <v>0.990099052875</v>
      </c>
      <c r="GE50" s="3">
        <f>$H50*factors!FY$3</f>
        <v>0.990099052875</v>
      </c>
      <c r="GF50" s="3">
        <f>$H50*factors!FZ$3</f>
        <v>0.98711382960000005</v>
      </c>
      <c r="GG50" s="3">
        <f>$H50*factors!GA$3</f>
        <v>0.94830592702499994</v>
      </c>
      <c r="GH50" s="3">
        <f>$H50*factors!GB$3</f>
        <v>1.0090054669500002</v>
      </c>
      <c r="GI50" s="3">
        <f>$H50*factors!GC$3</f>
        <v>0.94631577817500001</v>
      </c>
      <c r="GJ50" s="3">
        <f>$H50*factors!GD$3</f>
        <v>0.94830592702499994</v>
      </c>
      <c r="GK50" s="3">
        <f>$H50*factors!GE$3</f>
        <v>0.97218771322499997</v>
      </c>
      <c r="GL50" s="3">
        <f>$H50*factors!GF$3</f>
        <v>1.0299020298749999</v>
      </c>
      <c r="GM50" s="3">
        <f>$H50*factors!GG$3</f>
        <v>0.97616801092500005</v>
      </c>
      <c r="GN50" s="3">
        <f>$H50*factors!GH$3</f>
        <v>1.0070153181000001</v>
      </c>
      <c r="GO50" s="3">
        <f>$H50*factors!GI$3</f>
        <v>0.95129115029999989</v>
      </c>
      <c r="GP50" s="3">
        <f>$H50*factors!GJ$3</f>
        <v>1.0199512856249999</v>
      </c>
      <c r="GQ50" s="3">
        <f>$H50*factors!GK$3</f>
        <v>1.0408478485500001</v>
      </c>
      <c r="GR50" s="3">
        <f>$H50*factors!GL$3</f>
        <v>1.0209463600499999</v>
      </c>
      <c r="GS50" s="3">
        <f>$H50*factors!GM$3</f>
        <v>0.96550081308900004</v>
      </c>
      <c r="GT50" s="3">
        <f>$H50*factors!GN$3</f>
        <v>0.98774271663660007</v>
      </c>
      <c r="GU50" s="3">
        <f>$H50*factors!GO$3</f>
        <v>1.0109956158</v>
      </c>
      <c r="GV50" s="3">
        <f>$H50*factors!GP$3</f>
        <v>0.97055579116800006</v>
      </c>
      <c r="GW50" s="3">
        <f>$H50*factors!GQ$3</f>
        <v>1.0049296421052001</v>
      </c>
      <c r="GX50" s="3">
        <f>$H50*factors!GR$3</f>
        <v>0.98875371225239994</v>
      </c>
      <c r="GY50" s="3">
        <f>$H50*factors!GS$3</f>
        <v>0.98369873417340004</v>
      </c>
      <c r="GZ50" s="3">
        <f>$H50*factors!GT$3</f>
        <v>1.0200945763421998</v>
      </c>
      <c r="HA50" s="3">
        <f>$H50*factors!GU$3</f>
        <v>0.98673172102079998</v>
      </c>
      <c r="HB50" s="3">
        <f>$H50*factors!GV$3</f>
        <v>1.0200945763421998</v>
      </c>
      <c r="HC50" s="3">
        <f>$H50*factors!GW$3</f>
        <v>0.99481968594719994</v>
      </c>
      <c r="HD50" s="3">
        <f>$H50*factors!GX$3</f>
        <v>1.0241385588053999</v>
      </c>
      <c r="HE50" s="3">
        <f>$H50*factors!GY$3</f>
        <v>1.0109956158</v>
      </c>
      <c r="HF50" s="3">
        <f>$H50*factors!GZ$3</f>
        <v>1.0423364798898</v>
      </c>
      <c r="HG50" s="3">
        <f>$H50*factors!HA$3</f>
        <v>1.0018966552577999</v>
      </c>
      <c r="HH50" s="3">
        <f>$H50*factors!HB$3</f>
        <v>0.98875371225239994</v>
      </c>
      <c r="HI50" s="3">
        <f>$H50*factors!HC$3</f>
        <v>0.97662176486280006</v>
      </c>
      <c r="HJ50" s="3">
        <f>$H50*factors!HD$3</f>
        <v>0.96550081308900004</v>
      </c>
      <c r="HK50" s="3">
        <f>$H50*factors!HE$3</f>
        <v>1.021105571958</v>
      </c>
      <c r="HL50" s="3">
        <f>$H50*factors!HF$3</f>
        <v>0.96246782624159988</v>
      </c>
      <c r="HM50" s="3">
        <f>$H50*factors!HG$3</f>
        <v>0.97257778239960002</v>
      </c>
      <c r="HN50" s="3">
        <f>$H50*factors!HH$3</f>
        <v>1.0372815018108001</v>
      </c>
      <c r="HO50" s="3">
        <f>$H50*factors!HI$3</f>
        <v>0.99481968594719994</v>
      </c>
      <c r="HP50" s="3">
        <f>$H50*factors!HJ$3</f>
        <v>1.0615453965900001</v>
      </c>
      <c r="HQ50" s="3">
        <f>$H50*factors!HK$3</f>
        <v>0.97055579116800006</v>
      </c>
      <c r="HR50" s="3">
        <f>$H50*factors!HL$3</f>
        <v>1.0291935368844001</v>
      </c>
      <c r="HS50" s="3">
        <f>$H50*factors!HM$3</f>
        <v>1.0473914579688</v>
      </c>
      <c r="HT50" s="3">
        <f>$H50*factors!HN$3</f>
        <v>0.97662176486280006</v>
      </c>
      <c r="HU50" s="3">
        <f>$H50*factors!HO$3</f>
        <v>0.98673172102079998</v>
      </c>
      <c r="HV50" s="3">
        <f>$H50*factors!HP$3</f>
        <v>0.99886366841040009</v>
      </c>
      <c r="HW50" s="3">
        <f>$H50*factors!HQ$3</f>
        <v>1.0130176070315999</v>
      </c>
      <c r="HX50" s="3">
        <f>$H50*factors!HR$3</f>
        <v>1.0544684272793998</v>
      </c>
      <c r="HY50" s="3">
        <f>$H50*factors!HS$3</f>
        <v>1.0018966552577999</v>
      </c>
      <c r="HZ50" s="3">
        <f>$H50*factors!HT$3</f>
        <v>1.0403144886581999</v>
      </c>
      <c r="IA50" s="3">
        <f>$H50*factors!HU$3</f>
        <v>0.98976470786820003</v>
      </c>
      <c r="IB50" s="3">
        <f>$H50*factors!HV$3</f>
        <v>1.0241385588053999</v>
      </c>
      <c r="IC50" s="3">
        <f>$H50*factors!HW$3</f>
        <v>1.0342485149634</v>
      </c>
      <c r="ID50" s="3">
        <f>$H50*factors!HX$3</f>
        <v>0.96044583500999992</v>
      </c>
      <c r="IE50" s="3">
        <f>$H50*factors!HY$3</f>
        <v>1.0200945763421998</v>
      </c>
      <c r="IF50" s="3">
        <f>$H50*factors!HZ$3</f>
        <v>1.0140286026473999</v>
      </c>
      <c r="IG50" s="3">
        <f>$H50*factors!IA$3</f>
        <v>1.0049296421052001</v>
      </c>
      <c r="IH50" s="3">
        <f>$H50*factors!IB$3</f>
        <v>1.0423364798898</v>
      </c>
      <c r="II50" s="3">
        <f>$H50*factors!IC$3</f>
        <v>0.99785267279459999</v>
      </c>
      <c r="IJ50" s="3">
        <f>$H50*factors!ID$3</f>
        <v>1.0069516333368</v>
      </c>
      <c r="IK50" s="3">
        <f>$H50*factors!IE$3</f>
        <v>1.0433474755056</v>
      </c>
      <c r="IL50" s="3">
        <f>$H50*factors!IF$3</f>
        <v>0.99886366841040009</v>
      </c>
      <c r="IM50" s="3">
        <f>$H50*factors!IG$3</f>
        <v>0.98976470786820003</v>
      </c>
      <c r="IN50" s="3">
        <f>$H50*factors!IH$3</f>
        <v>0.99583068156300003</v>
      </c>
      <c r="IO50" s="3">
        <f>$H50*factors!II$3</f>
        <v>1.0059406377210001</v>
      </c>
      <c r="IP50" s="3">
        <f>$H50*factors!IJ$3</f>
        <v>0.97257778239960002</v>
      </c>
      <c r="IQ50" s="3">
        <f>$H50*factors!IK$3</f>
        <v>0.96954479555219997</v>
      </c>
      <c r="IR50" s="3">
        <f>$H50*factors!IL$3</f>
        <v>0.99785267279459999</v>
      </c>
      <c r="IS50" s="3">
        <f>$H50*factors!IM$3</f>
        <v>1.0059406377210001</v>
      </c>
      <c r="IT50" s="3">
        <f>$H50*factors!IN$3</f>
        <v>1.0130176070315999</v>
      </c>
      <c r="IU50" s="3">
        <f>$H50*factors!IO$3</f>
        <v>1.0352595105792002</v>
      </c>
      <c r="IV50" s="3">
        <f>$H50*factors!IP$3</f>
        <v>1.0484024535845999</v>
      </c>
      <c r="IW50" s="3">
        <f>$H50*factors!IQ$3</f>
        <v>0.9907757034839999</v>
      </c>
      <c r="IX50" s="3">
        <f>$H50*factors!IR$3</f>
        <v>1.0352595105792002</v>
      </c>
      <c r="IY50" s="3">
        <f>$H50*factors!IS$3</f>
        <v>1.0200945763421998</v>
      </c>
      <c r="IZ50" s="3">
        <f>$H50*factors!IT$3</f>
        <v>1.0372815018108001</v>
      </c>
      <c r="JA50" s="3">
        <f>$H50*factors!IU$3</f>
        <v>0.97965475171019989</v>
      </c>
      <c r="JB50" s="3">
        <f>$H50*factors!IV$3</f>
        <v>0.99785267279459999</v>
      </c>
      <c r="JC50" s="3">
        <f>$H50*factors!IW$3</f>
        <v>0.97459977363120009</v>
      </c>
      <c r="JD50" s="3">
        <f>$H50*factors!IX$3</f>
        <v>1.0615453965900001</v>
      </c>
      <c r="JE50" s="3">
        <f>$H50*factors!IY$3</f>
        <v>0.97763276047859993</v>
      </c>
      <c r="JF50" s="3">
        <f>$H50*factors!IZ$3</f>
        <v>1.0261605500369999</v>
      </c>
      <c r="JG50" s="3">
        <f>$H50*factors!JA$3</f>
        <v>1.0079626289526</v>
      </c>
      <c r="JH50" s="3">
        <f>$H50*factors!JB$3</f>
        <v>1.0271715456528001</v>
      </c>
      <c r="JI50" s="3">
        <f>$H50*factors!JC$3</f>
        <v>0.96145683062580001</v>
      </c>
      <c r="JJ50" s="3">
        <f>$H50*factors!JD$3</f>
        <v>1.0352595105792002</v>
      </c>
      <c r="JK50" s="3">
        <f>$H50*factors!JE$3</f>
        <v>1.0018966552577999</v>
      </c>
      <c r="JL50" s="3">
        <f>$H50*factors!JF$3</f>
        <v>1.0423364798898</v>
      </c>
      <c r="JM50" s="3">
        <f>$H50*factors!JG$3</f>
        <v>0.97257778239960002</v>
      </c>
      <c r="JN50" s="3">
        <f>$H50*factors!JH$3</f>
        <v>0.97257778239960002</v>
      </c>
      <c r="JO50" s="3">
        <f>$H50*factors!JI$3</f>
        <v>0.96044583500999992</v>
      </c>
      <c r="JP50" s="3">
        <f>$H50*factors!JJ$3</f>
        <v>1.0382924974265999</v>
      </c>
      <c r="JQ50" s="3">
        <f>$H50*factors!JK$3</f>
        <v>1.0120066114158</v>
      </c>
      <c r="JR50" s="3">
        <f>$H50*factors!JL$3</f>
        <v>1.0514354404320001</v>
      </c>
      <c r="JS50" s="3">
        <f>$H50*factors!JM$3</f>
        <v>0.96044583500999992</v>
      </c>
      <c r="JT50" s="3">
        <f>$H50*factors!JN$3</f>
        <v>1.0089736245684</v>
      </c>
      <c r="JU50" s="3">
        <f>$H50*factors!JO$3</f>
        <v>0.97561076924699996</v>
      </c>
      <c r="JV50" s="3">
        <f>$H50*factors!JP$3</f>
        <v>0.9917866990998</v>
      </c>
      <c r="JW50" s="3">
        <f>$H50*factors!JQ$3</f>
        <v>1.0595234053584002</v>
      </c>
      <c r="JX50" s="3">
        <f>$H50*factors!JR$3</f>
        <v>1.0494134492003999</v>
      </c>
      <c r="JY50" s="3">
        <f>$H50*factors!JS$3</f>
        <v>0.98774271663660007</v>
      </c>
      <c r="JZ50" s="3">
        <f>$H50*factors!JT$3</f>
        <v>0.99886366841040009</v>
      </c>
      <c r="KA50" s="3">
        <f>$H50*factors!JU$3</f>
        <v>1.0029076508736001</v>
      </c>
      <c r="KB50" s="3">
        <f>$H50*factors!JV$3</f>
        <v>0.96954479555219997</v>
      </c>
      <c r="KC50" s="3">
        <f>$H50*factors!JW$3</f>
        <v>0.97459977363120009</v>
      </c>
      <c r="KD50" s="3">
        <f>$H50*factors!JX$3</f>
        <v>0.97561076924699996</v>
      </c>
      <c r="KE50" s="3">
        <f>$H50*factors!JY$3</f>
        <v>1.0382924974265999</v>
      </c>
      <c r="KF50" s="3">
        <f>$H50*factors!JZ$3</f>
        <v>1.0504244448161999</v>
      </c>
      <c r="KG50" s="3">
        <f>$H50*factors!KA$3</f>
        <v>1.0130176070315999</v>
      </c>
      <c r="KH50" s="3">
        <f>$H50*factors!KB$3</f>
        <v>0.9907757034839999</v>
      </c>
      <c r="KI50" s="3">
        <f>$H50*factors!KC$3</f>
        <v>0.98167674294179996</v>
      </c>
    </row>
    <row r="51" spans="1:295" x14ac:dyDescent="0.55000000000000004">
      <c r="A51" t="s">
        <v>427</v>
      </c>
      <c r="B51">
        <v>50</v>
      </c>
      <c r="C51">
        <v>230</v>
      </c>
      <c r="D51" t="s">
        <v>377</v>
      </c>
      <c r="E51">
        <v>7.1729999999999997E-3</v>
      </c>
      <c r="F51">
        <v>50</v>
      </c>
      <c r="G51">
        <f>VLOOKUP(D51,demand_forecasted!$A$2:$G$11,2)</f>
        <v>11098</v>
      </c>
      <c r="H51" s="3">
        <f t="shared" si="1"/>
        <v>0.79605954000000001</v>
      </c>
      <c r="I51" s="3">
        <f>$H51*factors!C$3</f>
        <v>0.88123791078000002</v>
      </c>
      <c r="J51" s="3">
        <f>$H51*factors!D$3</f>
        <v>0.84942737156159998</v>
      </c>
      <c r="K51" s="3">
        <f>$H51*factors!E$3</f>
        <v>0.83481171840720003</v>
      </c>
      <c r="L51" s="3">
        <f>$H51*factors!F$3</f>
        <v>0.83223248549760009</v>
      </c>
      <c r="M51" s="3">
        <f>$H51*factors!G$3</f>
        <v>0.83137274119439997</v>
      </c>
      <c r="N51" s="3">
        <f>$H51*factors!H$3</f>
        <v>0.85544558168399998</v>
      </c>
      <c r="O51" s="3">
        <f>$H51*factors!I$3</f>
        <v>0.8743599563544</v>
      </c>
      <c r="P51" s="3">
        <f>$H51*factors!J$3</f>
        <v>0.88467688799280009</v>
      </c>
      <c r="Q51" s="3">
        <f>$H51*factors!K$3</f>
        <v>0.83051299689119995</v>
      </c>
      <c r="R51" s="3">
        <f>$H51*factors!L$3</f>
        <v>0.81675708804000002</v>
      </c>
      <c r="S51" s="3">
        <f>$H51*factors!M$3</f>
        <v>0.85028711586479999</v>
      </c>
      <c r="T51" s="3">
        <f>$H51*factors!N$3</f>
        <v>0.8795184221736001</v>
      </c>
      <c r="U51" s="3">
        <f>$H51*factors!O$3</f>
        <v>0.83309222980080011</v>
      </c>
      <c r="V51" s="3">
        <f>$H51*factors!P$3</f>
        <v>0.86662225762560008</v>
      </c>
      <c r="W51" s="3">
        <f>$H51*factors!Q$3</f>
        <v>0.8743599563544</v>
      </c>
      <c r="X51" s="3">
        <f>$H51*factors!R$3</f>
        <v>0.83653120701359995</v>
      </c>
      <c r="Y51" s="3">
        <f>$H51*factors!S$3</f>
        <v>0.82879350828480003</v>
      </c>
      <c r="Z51" s="3">
        <f>$H51*factors!T$3</f>
        <v>0.89413407532800016</v>
      </c>
      <c r="AA51" s="3">
        <f>$H51*factors!U$3</f>
        <v>0.84426890574239999</v>
      </c>
      <c r="AB51" s="3">
        <f>$H51*factors!V$3</f>
        <v>0.84512865004560012</v>
      </c>
      <c r="AC51" s="3">
        <f>$H51*factors!W$3</f>
        <v>0.84598839434880013</v>
      </c>
      <c r="AD51" s="3">
        <f>$H51*factors!X$3</f>
        <v>0.82793376398160012</v>
      </c>
      <c r="AE51" s="3">
        <f>$H51*factors!Y$3</f>
        <v>0.83481171840720003</v>
      </c>
      <c r="AF51" s="3">
        <f>$H51*factors!Z$3</f>
        <v>0.85200660447120014</v>
      </c>
      <c r="AG51" s="3">
        <f>$H51*factors!AA$3</f>
        <v>0.83051299689119995</v>
      </c>
      <c r="AH51" s="3">
        <f>$H51*factors!AB$3</f>
        <v>0.82707401967840011</v>
      </c>
      <c r="AI51" s="3">
        <f>$H51*factors!AC$3</f>
        <v>0.85372609307760006</v>
      </c>
      <c r="AJ51" s="3">
        <f>$H51*factors!AD$3</f>
        <v>0.88639637659920001</v>
      </c>
      <c r="AK51" s="3">
        <f>$H51*factors!AE$3</f>
        <v>0.85286634877440004</v>
      </c>
      <c r="AL51" s="3">
        <f>$H51*factors!AF$3</f>
        <v>0.81933632094959996</v>
      </c>
      <c r="AM51" s="3">
        <f>$H51*factors!AG$3</f>
        <v>0.84254941713600007</v>
      </c>
      <c r="AN51" s="3">
        <f>$H51*factors!AH$3</f>
        <v>0.82879350828480003</v>
      </c>
      <c r="AO51" s="3">
        <f>$H51*factors!AI$3</f>
        <v>0.868341746232</v>
      </c>
      <c r="AP51" s="3">
        <f>$H51*factors!AJ$3</f>
        <v>0.83223248549760009</v>
      </c>
      <c r="AQ51" s="3">
        <f>$H51*factors!AK$3</f>
        <v>0.85888455889680004</v>
      </c>
      <c r="AR51" s="3">
        <f>$H51*factors!AL$3</f>
        <v>0.83997018422640013</v>
      </c>
      <c r="AS51" s="3">
        <f>$H51*factors!AM$3</f>
        <v>0.81933632094959996</v>
      </c>
      <c r="AT51" s="3">
        <f>$H51*factors!AN$3</f>
        <v>0.84512865004560012</v>
      </c>
      <c r="AU51" s="3">
        <f>$H51*factors!AO$3</f>
        <v>0.89499381963119995</v>
      </c>
      <c r="AV51" s="3">
        <f>$H51*factors!AP$3</f>
        <v>0.84598839434880013</v>
      </c>
      <c r="AW51" s="3">
        <f>$H51*factors!AQ$3</f>
        <v>0.83739095131679997</v>
      </c>
      <c r="AX51" s="3">
        <f>$H51*factors!AR$3</f>
        <v>0.8855366322960001</v>
      </c>
      <c r="AY51" s="3">
        <f>$H51*factors!AS$3</f>
        <v>0.81675708804000002</v>
      </c>
      <c r="AZ51" s="3">
        <f>$H51*factors!AT$3</f>
        <v>0.87521970065760013</v>
      </c>
      <c r="BA51" s="3">
        <f>$H51*factors!AU$3</f>
        <v>0.85630532598719999</v>
      </c>
      <c r="BB51" s="3">
        <f>$H51*factors!AV$3</f>
        <v>0.84512865004560012</v>
      </c>
      <c r="BC51" s="3">
        <f>$H51*factors!AW$3</f>
        <v>0.89413407532800016</v>
      </c>
      <c r="BD51" s="3">
        <f>$H51*factors!AX$3</f>
        <v>0.82535453107199996</v>
      </c>
      <c r="BE51" s="3">
        <f>$H51*factors!AY$3</f>
        <v>0.9703488156875999</v>
      </c>
      <c r="BF51" s="3">
        <f>$H51*factors!AZ$3</f>
        <v>0.90365494742639996</v>
      </c>
      <c r="BG51" s="3">
        <f>$H51*factors!BA$3</f>
        <v>0.91680585102719991</v>
      </c>
      <c r="BH51" s="3">
        <f>$H51*factors!BB$3</f>
        <v>0.92901740437079994</v>
      </c>
      <c r="BI51" s="3">
        <f>$H51*factors!BC$3</f>
        <v>0.96283401362999987</v>
      </c>
      <c r="BJ51" s="3">
        <f>$H51*factors!BD$3</f>
        <v>0.91962390179879994</v>
      </c>
      <c r="BK51" s="3">
        <f>$H51*factors!BE$3</f>
        <v>0.92150260231319991</v>
      </c>
      <c r="BL51" s="3">
        <f>$H51*factors!BF$3</f>
        <v>0.91116974948399987</v>
      </c>
      <c r="BM51" s="3">
        <f>$H51*factors!BG$3</f>
        <v>0.97316686645920003</v>
      </c>
      <c r="BN51" s="3">
        <f>$H51*factors!BH$3</f>
        <v>0.9609553131155999</v>
      </c>
      <c r="BO51" s="3">
        <f>$H51*factors!BI$3</f>
        <v>0.90365494742639996</v>
      </c>
      <c r="BP51" s="3">
        <f>$H51*factors!BJ$3</f>
        <v>0.90083689665479993</v>
      </c>
      <c r="BQ51" s="3">
        <f>$H51*factors!BK$3</f>
        <v>0.91586650076999987</v>
      </c>
      <c r="BR51" s="3">
        <f>$H51*factors!BL$3</f>
        <v>0.94874375977199998</v>
      </c>
      <c r="BS51" s="3">
        <f>$H51*factors!BM$3</f>
        <v>0.96377336388720003</v>
      </c>
      <c r="BT51" s="3">
        <f>$H51*factors!BN$3</f>
        <v>0.96659141465879994</v>
      </c>
      <c r="BU51" s="3">
        <f>$H51*factors!BO$3</f>
        <v>0.98256036903120003</v>
      </c>
      <c r="BV51" s="3">
        <f>$H51*factors!BP$3</f>
        <v>0.9139878002556</v>
      </c>
      <c r="BW51" s="3">
        <f>$H51*factors!BQ$3</f>
        <v>0.93465350591399998</v>
      </c>
      <c r="BX51" s="3">
        <f>$H51*factors!BR$3</f>
        <v>0.91680585102719991</v>
      </c>
      <c r="BY51" s="3">
        <f>$H51*factors!BS$3</f>
        <v>0.95907661260119981</v>
      </c>
      <c r="BZ51" s="3">
        <f>$H51*factors!BT$3</f>
        <v>0.94122895771439985</v>
      </c>
      <c r="CA51" s="3">
        <f>$H51*factors!BU$3</f>
        <v>0.92901740437079994</v>
      </c>
      <c r="CB51" s="3">
        <f>$H51*factors!BV$3</f>
        <v>0.89895819614039996</v>
      </c>
      <c r="CC51" s="3">
        <f>$H51*factors!BW$3</f>
        <v>0.92526000334199987</v>
      </c>
      <c r="CD51" s="3">
        <f>$H51*factors!BX$3</f>
        <v>0.9280780541136</v>
      </c>
      <c r="CE51" s="3">
        <f>$H51*factors!BY$3</f>
        <v>0.94122895771439985</v>
      </c>
      <c r="CF51" s="3">
        <f>$H51*factors!BZ$3</f>
        <v>0.92713870385640007</v>
      </c>
      <c r="CG51" s="3">
        <f>$H51*factors!CA$3</f>
        <v>0.89614014536879982</v>
      </c>
      <c r="CH51" s="3">
        <f>$H51*factors!CB$3</f>
        <v>0.89707949562599987</v>
      </c>
      <c r="CI51" s="3">
        <f>$H51*factors!CC$3</f>
        <v>0.89238274433999998</v>
      </c>
      <c r="CJ51" s="3">
        <f>$H51*factors!CD$3</f>
        <v>0.92901740437079994</v>
      </c>
      <c r="CK51" s="3">
        <f>$H51*factors!CE$3</f>
        <v>0.9703488156875999</v>
      </c>
      <c r="CL51" s="3">
        <f>$H51*factors!CF$3</f>
        <v>0.9092910489696</v>
      </c>
      <c r="CM51" s="3">
        <f>$H51*factors!CG$3</f>
        <v>0.93089610488519992</v>
      </c>
      <c r="CN51" s="3">
        <f>$H51*factors!CH$3</f>
        <v>0.89989754639759989</v>
      </c>
      <c r="CO51" s="3">
        <f>$H51*factors!CI$3</f>
        <v>0.90647299819799987</v>
      </c>
      <c r="CP51" s="3">
        <f>$H51*factors!CJ$3</f>
        <v>0.94968311002919981</v>
      </c>
      <c r="CQ51" s="3">
        <f>$H51*factors!CK$3</f>
        <v>0.92150260231319991</v>
      </c>
      <c r="CR51" s="3">
        <f>$H51*factors!CL$3</f>
        <v>0.95062246028639996</v>
      </c>
      <c r="CS51" s="3">
        <f>$H51*factors!CM$3</f>
        <v>0.98068166851679994</v>
      </c>
      <c r="CT51" s="3">
        <f>$H51*factors!CN$3</f>
        <v>0.96940946543039996</v>
      </c>
      <c r="CU51" s="3">
        <f>$H51*factors!CO$3</f>
        <v>0.94780440951479983</v>
      </c>
      <c r="CV51" s="3">
        <f>$H51*factors!CP$3</f>
        <v>0.98631777005999988</v>
      </c>
      <c r="CW51" s="3">
        <f>$H51*factors!CQ$3</f>
        <v>0.9327748053996</v>
      </c>
      <c r="CX51" s="3">
        <f>$H51*factors!CR$3</f>
        <v>0.9186845515416</v>
      </c>
      <c r="CY51" s="3">
        <f>$H51*factors!CS$3</f>
        <v>0.91023039922679994</v>
      </c>
      <c r="CZ51" s="3">
        <f>$H51*factors!CT$3</f>
        <v>0.89707949562599987</v>
      </c>
      <c r="DA51" s="3">
        <f>$H51*factors!CU$3</f>
        <v>0.93138966179999993</v>
      </c>
      <c r="DB51" s="3">
        <f>$H51*factors!CV$3</f>
        <v>0.99157176302400007</v>
      </c>
      <c r="DC51" s="3">
        <f>$H51*factors!CW$3</f>
        <v>0.94953981931199993</v>
      </c>
      <c r="DD51" s="3">
        <f>$H51*factors!CX$3</f>
        <v>0.94285291917599989</v>
      </c>
      <c r="DE51" s="3">
        <f>$H51*factors!CY$3</f>
        <v>0.97055579116800006</v>
      </c>
      <c r="DF51" s="3">
        <f>$H51*factors!CZ$3</f>
        <v>0.96864524827199994</v>
      </c>
      <c r="DG51" s="3">
        <f>$H51*factors!DA$3</f>
        <v>0.96482416248000002</v>
      </c>
      <c r="DH51" s="3">
        <f>$H51*factors!DB$3</f>
        <v>0.96482416248000002</v>
      </c>
      <c r="DI51" s="3">
        <f>$H51*factors!DC$3</f>
        <v>0.92852384745599992</v>
      </c>
      <c r="DJ51" s="3">
        <f>$H51*factors!DD$3</f>
        <v>0.98392959144000003</v>
      </c>
      <c r="DK51" s="3">
        <f>$H51*factors!DE$3</f>
        <v>0.98392959144000003</v>
      </c>
      <c r="DL51" s="3">
        <f>$H51*factors!DF$3</f>
        <v>0.97246633406400007</v>
      </c>
      <c r="DM51" s="3">
        <f>$H51*factors!DG$3</f>
        <v>0.91610531863199984</v>
      </c>
      <c r="DN51" s="3">
        <f>$H51*factors!DH$3</f>
        <v>0.961003076688</v>
      </c>
      <c r="DO51" s="3">
        <f>$H51*factors!DI$3</f>
        <v>0.99252703447199997</v>
      </c>
      <c r="DP51" s="3">
        <f>$H51*factors!DJ$3</f>
        <v>0.98392959144000003</v>
      </c>
      <c r="DQ51" s="3">
        <f>$H51*factors!DK$3</f>
        <v>0.93807656193599998</v>
      </c>
      <c r="DR51" s="3">
        <f>$H51*factors!DL$3</f>
        <v>0.92756857600800002</v>
      </c>
      <c r="DS51" s="3">
        <f>$H51*factors!DM$3</f>
        <v>1.0020797489519999</v>
      </c>
      <c r="DT51" s="3">
        <f>$H51*factors!DN$3</f>
        <v>0.941897647728</v>
      </c>
      <c r="DU51" s="3">
        <f>$H51*factors!DO$3</f>
        <v>0.98584013433599993</v>
      </c>
      <c r="DV51" s="3">
        <f>$H51*factors!DP$3</f>
        <v>0.96291361958400001</v>
      </c>
      <c r="DW51" s="3">
        <f>$H51*factors!DQ$3</f>
        <v>0.91897113297599986</v>
      </c>
      <c r="DX51" s="3">
        <f>$H51*factors!DR$3</f>
        <v>0.97342160551199997</v>
      </c>
      <c r="DY51" s="3">
        <f>$H51*factors!DS$3</f>
        <v>0.92374749021599989</v>
      </c>
      <c r="DZ51" s="3">
        <f>$H51*factors!DT$3</f>
        <v>0.98775067723199994</v>
      </c>
      <c r="EA51" s="3">
        <f>$H51*factors!DU$3</f>
        <v>0.93043439035199993</v>
      </c>
      <c r="EB51" s="3">
        <f>$H51*factors!DV$3</f>
        <v>0.9075078755999999</v>
      </c>
      <c r="EC51" s="3">
        <f>$H51*factors!DW$3</f>
        <v>0.97628741985599998</v>
      </c>
      <c r="ED51" s="3">
        <f>$H51*factors!DX$3</f>
        <v>0.91610531863199984</v>
      </c>
      <c r="EE51" s="3">
        <f>$H51*factors!DY$3</f>
        <v>0.92374749021599989</v>
      </c>
      <c r="EF51" s="3">
        <f>$H51*factors!DZ$3</f>
        <v>1.0020797489519999</v>
      </c>
      <c r="EG51" s="3">
        <f>$H51*factors!EA$3</f>
        <v>0.93616601903999996</v>
      </c>
      <c r="EH51" s="3">
        <f>$H51*factors!EB$3</f>
        <v>0.93903183338399998</v>
      </c>
      <c r="EI51" s="3">
        <f>$H51*factors!EC$3</f>
        <v>0.93712129048800008</v>
      </c>
      <c r="EJ51" s="3">
        <f>$H51*factors!ED$3</f>
        <v>0.91323950428800005</v>
      </c>
      <c r="EK51" s="3">
        <f>$H51*factors!EE$3</f>
        <v>0.97628741985599998</v>
      </c>
      <c r="EL51" s="3">
        <f>$H51*factors!EF$3</f>
        <v>0.92852384745599992</v>
      </c>
      <c r="EM51" s="3">
        <f>$H51*factors!EG$3</f>
        <v>0.96577943392799992</v>
      </c>
      <c r="EN51" s="3">
        <f>$H51*factors!EH$3</f>
        <v>0.9075078755999999</v>
      </c>
      <c r="EO51" s="3">
        <f>$H51*factors!EI$3</f>
        <v>0.92088167587199987</v>
      </c>
      <c r="EP51" s="3">
        <f>$H51*factors!EJ$3</f>
        <v>0.97151106261599995</v>
      </c>
      <c r="EQ51" s="3">
        <f>$H51*factors!EK$3</f>
        <v>0.9447634620719999</v>
      </c>
      <c r="ER51" s="3">
        <f>$H51*factors!EL$3</f>
        <v>0.98392959144000003</v>
      </c>
      <c r="ES51" s="3">
        <f>$H51*factors!EM$3</f>
        <v>0.97151106261599995</v>
      </c>
      <c r="ET51" s="3">
        <f>$H51*factors!EN$3</f>
        <v>0.99348230591999998</v>
      </c>
      <c r="EU51" s="3">
        <f>$H51*factors!EO$3</f>
        <v>1.0030350204</v>
      </c>
      <c r="EV51" s="3">
        <f>$H51*factors!EP$3</f>
        <v>0.93998710483199988</v>
      </c>
      <c r="EW51" s="3">
        <f>$H51*factors!EQ$3</f>
        <v>1.033882327575</v>
      </c>
      <c r="EX51" s="3">
        <f>$H51*factors!ER$3</f>
        <v>1.0229365089000002</v>
      </c>
      <c r="EY51" s="3">
        <f>$H51*factors!ES$3</f>
        <v>1.043833071825</v>
      </c>
      <c r="EZ51" s="3">
        <f>$H51*factors!ET$3</f>
        <v>1.033882327575</v>
      </c>
      <c r="FA51" s="3">
        <f>$H51*factors!EU$3</f>
        <v>0.95029607587499987</v>
      </c>
      <c r="FB51" s="3">
        <f>$H51*factors!EV$3</f>
        <v>0.99308427615000006</v>
      </c>
      <c r="FC51" s="3">
        <f>$H51*factors!EW$3</f>
        <v>1.0209463600499999</v>
      </c>
      <c r="FD51" s="3">
        <f>$H51*factors!EX$3</f>
        <v>0.98512368075000001</v>
      </c>
      <c r="FE51" s="3">
        <f>$H51*factors!EY$3</f>
        <v>1.0378626252750001</v>
      </c>
      <c r="FF51" s="3">
        <f>$H51*factors!EZ$3</f>
        <v>1.0388576997000001</v>
      </c>
      <c r="FG51" s="3">
        <f>$H51*factors!FA$3</f>
        <v>0.95029607587499987</v>
      </c>
      <c r="FH51" s="3">
        <f>$H51*factors!FB$3</f>
        <v>1.000049797125</v>
      </c>
      <c r="FI51" s="3">
        <f>$H51*factors!FC$3</f>
        <v>1.0418429229749999</v>
      </c>
      <c r="FJ51" s="3">
        <f>$H51*factors!FD$3</f>
        <v>1.000049797125</v>
      </c>
      <c r="FK51" s="3">
        <f>$H51*factors!FE$3</f>
        <v>1.0169660623500001</v>
      </c>
      <c r="FL51" s="3">
        <f>$H51*factors!FF$3</f>
        <v>1.0199512856249999</v>
      </c>
      <c r="FM51" s="3">
        <f>$H51*factors!FG$3</f>
        <v>1.0308971042999999</v>
      </c>
      <c r="FN51" s="3">
        <f>$H51*factors!FH$3</f>
        <v>0.96422711782499992</v>
      </c>
      <c r="FO51" s="3">
        <f>$H51*factors!FI$3</f>
        <v>1.023931583325</v>
      </c>
      <c r="FP51" s="3">
        <f>$H51*factors!FJ$3</f>
        <v>0.99507442499999998</v>
      </c>
      <c r="FQ51" s="3">
        <f>$H51*factors!FK$3</f>
        <v>0.98512368075000001</v>
      </c>
      <c r="FR51" s="3">
        <f>$H51*factors!FL$3</f>
        <v>1.0050251692500001</v>
      </c>
      <c r="FS51" s="3">
        <f>$H51*factors!FM$3</f>
        <v>0.99905472269999995</v>
      </c>
      <c r="FT51" s="3">
        <f>$H51*factors!FN$3</f>
        <v>1.0209463600499999</v>
      </c>
      <c r="FU51" s="3">
        <f>$H51*factors!FO$3</f>
        <v>0.98114338304999993</v>
      </c>
      <c r="FV51" s="3">
        <f>$H51*factors!FP$3</f>
        <v>0.97318278764999999</v>
      </c>
      <c r="FW51" s="3">
        <f>$H51*factors!FQ$3</f>
        <v>1.0418429229749999</v>
      </c>
      <c r="FX51" s="3">
        <f>$H51*factors!FR$3</f>
        <v>1.0229365089000002</v>
      </c>
      <c r="FY51" s="3">
        <f>$H51*factors!FS$3</f>
        <v>1.0020399459749998</v>
      </c>
      <c r="FZ51" s="3">
        <f>$H51*factors!FT$3</f>
        <v>0.95228622472500002</v>
      </c>
      <c r="GA51" s="3">
        <f>$H51*factors!FU$3</f>
        <v>1.0020399459749998</v>
      </c>
      <c r="GB51" s="3">
        <f>$H51*factors!FV$3</f>
        <v>1.0388576997000001</v>
      </c>
      <c r="GC51" s="3">
        <f>$H51*factors!FW$3</f>
        <v>0.97318278764999999</v>
      </c>
      <c r="GD51" s="3">
        <f>$H51*factors!FX$3</f>
        <v>0.990099052875</v>
      </c>
      <c r="GE51" s="3">
        <f>$H51*factors!FY$3</f>
        <v>0.990099052875</v>
      </c>
      <c r="GF51" s="3">
        <f>$H51*factors!FZ$3</f>
        <v>0.98711382960000005</v>
      </c>
      <c r="GG51" s="3">
        <f>$H51*factors!GA$3</f>
        <v>0.94830592702499994</v>
      </c>
      <c r="GH51" s="3">
        <f>$H51*factors!GB$3</f>
        <v>1.0090054669500002</v>
      </c>
      <c r="GI51" s="3">
        <f>$H51*factors!GC$3</f>
        <v>0.94631577817500001</v>
      </c>
      <c r="GJ51" s="3">
        <f>$H51*factors!GD$3</f>
        <v>0.94830592702499994</v>
      </c>
      <c r="GK51" s="3">
        <f>$H51*factors!GE$3</f>
        <v>0.97218771322499997</v>
      </c>
      <c r="GL51" s="3">
        <f>$H51*factors!GF$3</f>
        <v>1.0299020298749999</v>
      </c>
      <c r="GM51" s="3">
        <f>$H51*factors!GG$3</f>
        <v>0.97616801092500005</v>
      </c>
      <c r="GN51" s="3">
        <f>$H51*factors!GH$3</f>
        <v>1.0070153181000001</v>
      </c>
      <c r="GO51" s="3">
        <f>$H51*factors!GI$3</f>
        <v>0.95129115029999989</v>
      </c>
      <c r="GP51" s="3">
        <f>$H51*factors!GJ$3</f>
        <v>1.0199512856249999</v>
      </c>
      <c r="GQ51" s="3">
        <f>$H51*factors!GK$3</f>
        <v>1.0408478485500001</v>
      </c>
      <c r="GR51" s="3">
        <f>$H51*factors!GL$3</f>
        <v>1.0209463600499999</v>
      </c>
      <c r="GS51" s="3">
        <f>$H51*factors!GM$3</f>
        <v>0.96550081308900004</v>
      </c>
      <c r="GT51" s="3">
        <f>$H51*factors!GN$3</f>
        <v>0.98774271663660007</v>
      </c>
      <c r="GU51" s="3">
        <f>$H51*factors!GO$3</f>
        <v>1.0109956158</v>
      </c>
      <c r="GV51" s="3">
        <f>$H51*factors!GP$3</f>
        <v>0.97055579116800006</v>
      </c>
      <c r="GW51" s="3">
        <f>$H51*factors!GQ$3</f>
        <v>1.0049296421052001</v>
      </c>
      <c r="GX51" s="3">
        <f>$H51*factors!GR$3</f>
        <v>0.98875371225239994</v>
      </c>
      <c r="GY51" s="3">
        <f>$H51*factors!GS$3</f>
        <v>0.98369873417340004</v>
      </c>
      <c r="GZ51" s="3">
        <f>$H51*factors!GT$3</f>
        <v>1.0200945763421998</v>
      </c>
      <c r="HA51" s="3">
        <f>$H51*factors!GU$3</f>
        <v>0.98673172102079998</v>
      </c>
      <c r="HB51" s="3">
        <f>$H51*factors!GV$3</f>
        <v>1.0200945763421998</v>
      </c>
      <c r="HC51" s="3">
        <f>$H51*factors!GW$3</f>
        <v>0.99481968594719994</v>
      </c>
      <c r="HD51" s="3">
        <f>$H51*factors!GX$3</f>
        <v>1.0241385588053999</v>
      </c>
      <c r="HE51" s="3">
        <f>$H51*factors!GY$3</f>
        <v>1.0109956158</v>
      </c>
      <c r="HF51" s="3">
        <f>$H51*factors!GZ$3</f>
        <v>1.0423364798898</v>
      </c>
      <c r="HG51" s="3">
        <f>$H51*factors!HA$3</f>
        <v>1.0018966552577999</v>
      </c>
      <c r="HH51" s="3">
        <f>$H51*factors!HB$3</f>
        <v>0.98875371225239994</v>
      </c>
      <c r="HI51" s="3">
        <f>$H51*factors!HC$3</f>
        <v>0.97662176486280006</v>
      </c>
      <c r="HJ51" s="3">
        <f>$H51*factors!HD$3</f>
        <v>0.96550081308900004</v>
      </c>
      <c r="HK51" s="3">
        <f>$H51*factors!HE$3</f>
        <v>1.021105571958</v>
      </c>
      <c r="HL51" s="3">
        <f>$H51*factors!HF$3</f>
        <v>0.96246782624159988</v>
      </c>
      <c r="HM51" s="3">
        <f>$H51*factors!HG$3</f>
        <v>0.97257778239960002</v>
      </c>
      <c r="HN51" s="3">
        <f>$H51*factors!HH$3</f>
        <v>1.0372815018108001</v>
      </c>
      <c r="HO51" s="3">
        <f>$H51*factors!HI$3</f>
        <v>0.99481968594719994</v>
      </c>
      <c r="HP51" s="3">
        <f>$H51*factors!HJ$3</f>
        <v>1.0615453965900001</v>
      </c>
      <c r="HQ51" s="3">
        <f>$H51*factors!HK$3</f>
        <v>0.97055579116800006</v>
      </c>
      <c r="HR51" s="3">
        <f>$H51*factors!HL$3</f>
        <v>1.0291935368844001</v>
      </c>
      <c r="HS51" s="3">
        <f>$H51*factors!HM$3</f>
        <v>1.0473914579688</v>
      </c>
      <c r="HT51" s="3">
        <f>$H51*factors!HN$3</f>
        <v>0.97662176486280006</v>
      </c>
      <c r="HU51" s="3">
        <f>$H51*factors!HO$3</f>
        <v>0.98673172102079998</v>
      </c>
      <c r="HV51" s="3">
        <f>$H51*factors!HP$3</f>
        <v>0.99886366841040009</v>
      </c>
      <c r="HW51" s="3">
        <f>$H51*factors!HQ$3</f>
        <v>1.0130176070315999</v>
      </c>
      <c r="HX51" s="3">
        <f>$H51*factors!HR$3</f>
        <v>1.0544684272793998</v>
      </c>
      <c r="HY51" s="3">
        <f>$H51*factors!HS$3</f>
        <v>1.0018966552577999</v>
      </c>
      <c r="HZ51" s="3">
        <f>$H51*factors!HT$3</f>
        <v>1.0403144886581999</v>
      </c>
      <c r="IA51" s="3">
        <f>$H51*factors!HU$3</f>
        <v>0.98976470786820003</v>
      </c>
      <c r="IB51" s="3">
        <f>$H51*factors!HV$3</f>
        <v>1.0241385588053999</v>
      </c>
      <c r="IC51" s="3">
        <f>$H51*factors!HW$3</f>
        <v>1.0342485149634</v>
      </c>
      <c r="ID51" s="3">
        <f>$H51*factors!HX$3</f>
        <v>0.96044583500999992</v>
      </c>
      <c r="IE51" s="3">
        <f>$H51*factors!HY$3</f>
        <v>1.0200945763421998</v>
      </c>
      <c r="IF51" s="3">
        <f>$H51*factors!HZ$3</f>
        <v>1.0140286026473999</v>
      </c>
      <c r="IG51" s="3">
        <f>$H51*factors!IA$3</f>
        <v>1.0049296421052001</v>
      </c>
      <c r="IH51" s="3">
        <f>$H51*factors!IB$3</f>
        <v>1.0423364798898</v>
      </c>
      <c r="II51" s="3">
        <f>$H51*factors!IC$3</f>
        <v>0.99785267279459999</v>
      </c>
      <c r="IJ51" s="3">
        <f>$H51*factors!ID$3</f>
        <v>1.0069516333368</v>
      </c>
      <c r="IK51" s="3">
        <f>$H51*factors!IE$3</f>
        <v>1.0433474755056</v>
      </c>
      <c r="IL51" s="3">
        <f>$H51*factors!IF$3</f>
        <v>0.99886366841040009</v>
      </c>
      <c r="IM51" s="3">
        <f>$H51*factors!IG$3</f>
        <v>0.98976470786820003</v>
      </c>
      <c r="IN51" s="3">
        <f>$H51*factors!IH$3</f>
        <v>0.99583068156300003</v>
      </c>
      <c r="IO51" s="3">
        <f>$H51*factors!II$3</f>
        <v>1.0059406377210001</v>
      </c>
      <c r="IP51" s="3">
        <f>$H51*factors!IJ$3</f>
        <v>0.97257778239960002</v>
      </c>
      <c r="IQ51" s="3">
        <f>$H51*factors!IK$3</f>
        <v>0.96954479555219997</v>
      </c>
      <c r="IR51" s="3">
        <f>$H51*factors!IL$3</f>
        <v>0.99785267279459999</v>
      </c>
      <c r="IS51" s="3">
        <f>$H51*factors!IM$3</f>
        <v>1.0059406377210001</v>
      </c>
      <c r="IT51" s="3">
        <f>$H51*factors!IN$3</f>
        <v>1.0130176070315999</v>
      </c>
      <c r="IU51" s="3">
        <f>$H51*factors!IO$3</f>
        <v>1.0352595105792002</v>
      </c>
      <c r="IV51" s="3">
        <f>$H51*factors!IP$3</f>
        <v>1.0484024535845999</v>
      </c>
      <c r="IW51" s="3">
        <f>$H51*factors!IQ$3</f>
        <v>0.9907757034839999</v>
      </c>
      <c r="IX51" s="3">
        <f>$H51*factors!IR$3</f>
        <v>1.0352595105792002</v>
      </c>
      <c r="IY51" s="3">
        <f>$H51*factors!IS$3</f>
        <v>1.0200945763421998</v>
      </c>
      <c r="IZ51" s="3">
        <f>$H51*factors!IT$3</f>
        <v>1.0372815018108001</v>
      </c>
      <c r="JA51" s="3">
        <f>$H51*factors!IU$3</f>
        <v>0.97965475171019989</v>
      </c>
      <c r="JB51" s="3">
        <f>$H51*factors!IV$3</f>
        <v>0.99785267279459999</v>
      </c>
      <c r="JC51" s="3">
        <f>$H51*factors!IW$3</f>
        <v>0.97459977363120009</v>
      </c>
      <c r="JD51" s="3">
        <f>$H51*factors!IX$3</f>
        <v>1.0615453965900001</v>
      </c>
      <c r="JE51" s="3">
        <f>$H51*factors!IY$3</f>
        <v>0.97763276047859993</v>
      </c>
      <c r="JF51" s="3">
        <f>$H51*factors!IZ$3</f>
        <v>1.0261605500369999</v>
      </c>
      <c r="JG51" s="3">
        <f>$H51*factors!JA$3</f>
        <v>1.0079626289526</v>
      </c>
      <c r="JH51" s="3">
        <f>$H51*factors!JB$3</f>
        <v>1.0271715456528001</v>
      </c>
      <c r="JI51" s="3">
        <f>$H51*factors!JC$3</f>
        <v>0.96145683062580001</v>
      </c>
      <c r="JJ51" s="3">
        <f>$H51*factors!JD$3</f>
        <v>1.0352595105792002</v>
      </c>
      <c r="JK51" s="3">
        <f>$H51*factors!JE$3</f>
        <v>1.0018966552577999</v>
      </c>
      <c r="JL51" s="3">
        <f>$H51*factors!JF$3</f>
        <v>1.0423364798898</v>
      </c>
      <c r="JM51" s="3">
        <f>$H51*factors!JG$3</f>
        <v>0.97257778239960002</v>
      </c>
      <c r="JN51" s="3">
        <f>$H51*factors!JH$3</f>
        <v>0.97257778239960002</v>
      </c>
      <c r="JO51" s="3">
        <f>$H51*factors!JI$3</f>
        <v>0.96044583500999992</v>
      </c>
      <c r="JP51" s="3">
        <f>$H51*factors!JJ$3</f>
        <v>1.0382924974265999</v>
      </c>
      <c r="JQ51" s="3">
        <f>$H51*factors!JK$3</f>
        <v>1.0120066114158</v>
      </c>
      <c r="JR51" s="3">
        <f>$H51*factors!JL$3</f>
        <v>1.0514354404320001</v>
      </c>
      <c r="JS51" s="3">
        <f>$H51*factors!JM$3</f>
        <v>0.96044583500999992</v>
      </c>
      <c r="JT51" s="3">
        <f>$H51*factors!JN$3</f>
        <v>1.0089736245684</v>
      </c>
      <c r="JU51" s="3">
        <f>$H51*factors!JO$3</f>
        <v>0.97561076924699996</v>
      </c>
      <c r="JV51" s="3">
        <f>$H51*factors!JP$3</f>
        <v>0.9917866990998</v>
      </c>
      <c r="JW51" s="3">
        <f>$H51*factors!JQ$3</f>
        <v>1.0595234053584002</v>
      </c>
      <c r="JX51" s="3">
        <f>$H51*factors!JR$3</f>
        <v>1.0494134492003999</v>
      </c>
      <c r="JY51" s="3">
        <f>$H51*factors!JS$3</f>
        <v>0.98774271663660007</v>
      </c>
      <c r="JZ51" s="3">
        <f>$H51*factors!JT$3</f>
        <v>0.99886366841040009</v>
      </c>
      <c r="KA51" s="3">
        <f>$H51*factors!JU$3</f>
        <v>1.0029076508736001</v>
      </c>
      <c r="KB51" s="3">
        <f>$H51*factors!JV$3</f>
        <v>0.96954479555219997</v>
      </c>
      <c r="KC51" s="3">
        <f>$H51*factors!JW$3</f>
        <v>0.97459977363120009</v>
      </c>
      <c r="KD51" s="3">
        <f>$H51*factors!JX$3</f>
        <v>0.97561076924699996</v>
      </c>
      <c r="KE51" s="3">
        <f>$H51*factors!JY$3</f>
        <v>1.0382924974265999</v>
      </c>
      <c r="KF51" s="3">
        <f>$H51*factors!JZ$3</f>
        <v>1.0504244448161999</v>
      </c>
      <c r="KG51" s="3">
        <f>$H51*factors!KA$3</f>
        <v>1.0130176070315999</v>
      </c>
      <c r="KH51" s="3">
        <f>$H51*factors!KB$3</f>
        <v>0.9907757034839999</v>
      </c>
      <c r="KI51" s="3">
        <f>$H51*factors!KC$3</f>
        <v>0.98167674294179996</v>
      </c>
    </row>
    <row r="52" spans="1:295" x14ac:dyDescent="0.55000000000000004">
      <c r="A52" t="s">
        <v>428</v>
      </c>
      <c r="B52">
        <v>51</v>
      </c>
      <c r="C52">
        <v>230</v>
      </c>
      <c r="D52" t="s">
        <v>377</v>
      </c>
      <c r="E52">
        <v>1.5035E-2</v>
      </c>
      <c r="F52">
        <v>51</v>
      </c>
      <c r="G52">
        <f>VLOOKUP(D52,demand_forecasted!$A$2:$G$11,2)</f>
        <v>11098</v>
      </c>
      <c r="H52" s="3">
        <f t="shared" si="1"/>
        <v>1.6685843</v>
      </c>
      <c r="I52" s="3">
        <f>$H52*factors!C$3</f>
        <v>1.8471228201000001</v>
      </c>
      <c r="J52" s="3">
        <f>$H52*factors!D$3</f>
        <v>1.780446191472</v>
      </c>
      <c r="K52" s="3">
        <f>$H52*factors!E$3</f>
        <v>1.7498109837240001</v>
      </c>
      <c r="L52" s="3">
        <f>$H52*factors!F$3</f>
        <v>1.7444047705920003</v>
      </c>
      <c r="M52" s="3">
        <f>$H52*factors!G$3</f>
        <v>1.742602699548</v>
      </c>
      <c r="N52" s="3">
        <f>$H52*factors!H$3</f>
        <v>1.79306068878</v>
      </c>
      <c r="O52" s="3">
        <f>$H52*factors!I$3</f>
        <v>1.8327062517479999</v>
      </c>
      <c r="P52" s="3">
        <f>$H52*factors!J$3</f>
        <v>1.8543311042760002</v>
      </c>
      <c r="Q52" s="3">
        <f>$H52*factors!K$3</f>
        <v>1.7408006285040001</v>
      </c>
      <c r="R52" s="3">
        <f>$H52*factors!L$3</f>
        <v>1.7119674918000001</v>
      </c>
      <c r="S52" s="3">
        <f>$H52*factors!M$3</f>
        <v>1.7822482625159999</v>
      </c>
      <c r="T52" s="3">
        <f>$H52*factors!N$3</f>
        <v>1.8435186780120001</v>
      </c>
      <c r="U52" s="3">
        <f>$H52*factors!O$3</f>
        <v>1.7462068416360002</v>
      </c>
      <c r="V52" s="3">
        <f>$H52*factors!P$3</f>
        <v>1.8164876123520002</v>
      </c>
      <c r="W52" s="3">
        <f>$H52*factors!Q$3</f>
        <v>1.8327062517479999</v>
      </c>
      <c r="X52" s="3">
        <f>$H52*factors!R$3</f>
        <v>1.7534151258120001</v>
      </c>
      <c r="Y52" s="3">
        <f>$H52*factors!S$3</f>
        <v>1.7371964864160001</v>
      </c>
      <c r="Z52" s="3">
        <f>$H52*factors!T$3</f>
        <v>1.8741538857600004</v>
      </c>
      <c r="AA52" s="3">
        <f>$H52*factors!U$3</f>
        <v>1.7696337652079999</v>
      </c>
      <c r="AB52" s="3">
        <f>$H52*factors!V$3</f>
        <v>1.7714358362520002</v>
      </c>
      <c r="AC52" s="3">
        <f>$H52*factors!W$3</f>
        <v>1.7732379072960003</v>
      </c>
      <c r="AD52" s="3">
        <f>$H52*factors!X$3</f>
        <v>1.7353944153720002</v>
      </c>
      <c r="AE52" s="3">
        <f>$H52*factors!Y$3</f>
        <v>1.7498109837240001</v>
      </c>
      <c r="AF52" s="3">
        <f>$H52*factors!Z$3</f>
        <v>1.7858524046040003</v>
      </c>
      <c r="AG52" s="3">
        <f>$H52*factors!AA$3</f>
        <v>1.7408006285040001</v>
      </c>
      <c r="AH52" s="3">
        <f>$H52*factors!AB$3</f>
        <v>1.7335923443280001</v>
      </c>
      <c r="AI52" s="3">
        <f>$H52*factors!AC$3</f>
        <v>1.789456546692</v>
      </c>
      <c r="AJ52" s="3">
        <f>$H52*factors!AD$3</f>
        <v>1.857935246364</v>
      </c>
      <c r="AK52" s="3">
        <f>$H52*factors!AE$3</f>
        <v>1.7876544756480002</v>
      </c>
      <c r="AL52" s="3">
        <f>$H52*factors!AF$3</f>
        <v>1.7173737049319999</v>
      </c>
      <c r="AM52" s="3">
        <f>$H52*factors!AG$3</f>
        <v>1.7660296231200001</v>
      </c>
      <c r="AN52" s="3">
        <f>$H52*factors!AH$3</f>
        <v>1.7371964864160001</v>
      </c>
      <c r="AO52" s="3">
        <f>$H52*factors!AI$3</f>
        <v>1.8200917544399999</v>
      </c>
      <c r="AP52" s="3">
        <f>$H52*factors!AJ$3</f>
        <v>1.7444047705920003</v>
      </c>
      <c r="AQ52" s="3">
        <f>$H52*factors!AK$3</f>
        <v>1.8002689729560002</v>
      </c>
      <c r="AR52" s="3">
        <f>$H52*factors!AL$3</f>
        <v>1.7606234099880003</v>
      </c>
      <c r="AS52" s="3">
        <f>$H52*factors!AM$3</f>
        <v>1.7173737049319999</v>
      </c>
      <c r="AT52" s="3">
        <f>$H52*factors!AN$3</f>
        <v>1.7714358362520002</v>
      </c>
      <c r="AU52" s="3">
        <f>$H52*factors!AO$3</f>
        <v>1.8759559568039998</v>
      </c>
      <c r="AV52" s="3">
        <f>$H52*factors!AP$3</f>
        <v>1.7732379072960003</v>
      </c>
      <c r="AW52" s="3">
        <f>$H52*factors!AQ$3</f>
        <v>1.755217196856</v>
      </c>
      <c r="AX52" s="3">
        <f>$H52*factors!AR$3</f>
        <v>1.8561331753200001</v>
      </c>
      <c r="AY52" s="3">
        <f>$H52*factors!AS$3</f>
        <v>1.7119674918000001</v>
      </c>
      <c r="AZ52" s="3">
        <f>$H52*factors!AT$3</f>
        <v>1.8345083227920003</v>
      </c>
      <c r="BA52" s="3">
        <f>$H52*factors!AU$3</f>
        <v>1.7948627598239999</v>
      </c>
      <c r="BB52" s="3">
        <f>$H52*factors!AV$3</f>
        <v>1.7714358362520002</v>
      </c>
      <c r="BC52" s="3">
        <f>$H52*factors!AW$3</f>
        <v>1.8741538857600004</v>
      </c>
      <c r="BD52" s="3">
        <f>$H52*factors!AX$3</f>
        <v>1.7299882022399999</v>
      </c>
      <c r="BE52" s="3">
        <f>$H52*factors!AY$3</f>
        <v>2.033904146642</v>
      </c>
      <c r="BF52" s="3">
        <f>$H52*factors!AZ$3</f>
        <v>1.8941101539879999</v>
      </c>
      <c r="BG52" s="3">
        <f>$H52*factors!BA$3</f>
        <v>1.9216751666239997</v>
      </c>
      <c r="BH52" s="3">
        <f>$H52*factors!BB$3</f>
        <v>1.9472712497859999</v>
      </c>
      <c r="BI52" s="3">
        <f>$H52*factors!BC$3</f>
        <v>2.0181527108499995</v>
      </c>
      <c r="BJ52" s="3">
        <f>$H52*factors!BD$3</f>
        <v>1.9275819550459998</v>
      </c>
      <c r="BK52" s="3">
        <f>$H52*factors!BE$3</f>
        <v>1.9315198139939997</v>
      </c>
      <c r="BL52" s="3">
        <f>$H52*factors!BF$3</f>
        <v>1.9098615897799998</v>
      </c>
      <c r="BM52" s="3">
        <f>$H52*factors!BG$3</f>
        <v>2.0398109350640001</v>
      </c>
      <c r="BN52" s="3">
        <f>$H52*factors!BH$3</f>
        <v>2.014214851902</v>
      </c>
      <c r="BO52" s="3">
        <f>$H52*factors!BI$3</f>
        <v>1.8941101539879999</v>
      </c>
      <c r="BP52" s="3">
        <f>$H52*factors!BJ$3</f>
        <v>1.8882033655659998</v>
      </c>
      <c r="BQ52" s="3">
        <f>$H52*factors!BK$3</f>
        <v>1.9197062371499998</v>
      </c>
      <c r="BR52" s="3">
        <f>$H52*factors!BL$3</f>
        <v>1.9886187687399999</v>
      </c>
      <c r="BS52" s="3">
        <f>$H52*factors!BM$3</f>
        <v>2.0201216403240001</v>
      </c>
      <c r="BT52" s="3">
        <f>$H52*factors!BN$3</f>
        <v>2.0260284287459998</v>
      </c>
      <c r="BU52" s="3">
        <f>$H52*factors!BO$3</f>
        <v>2.0595002298040002</v>
      </c>
      <c r="BV52" s="3">
        <f>$H52*factors!BP$3</f>
        <v>1.9157683782019999</v>
      </c>
      <c r="BW52" s="3">
        <f>$H52*factors!BQ$3</f>
        <v>1.9590848266299998</v>
      </c>
      <c r="BX52" s="3">
        <f>$H52*factors!BR$3</f>
        <v>1.9216751666239997</v>
      </c>
      <c r="BY52" s="3">
        <f>$H52*factors!BS$3</f>
        <v>2.0102769929539996</v>
      </c>
      <c r="BZ52" s="3">
        <f>$H52*factors!BT$3</f>
        <v>1.9728673329479998</v>
      </c>
      <c r="CA52" s="3">
        <f>$H52*factors!BU$3</f>
        <v>1.9472712497859999</v>
      </c>
      <c r="CB52" s="3">
        <f>$H52*factors!BV$3</f>
        <v>1.8842655066179999</v>
      </c>
      <c r="CC52" s="3">
        <f>$H52*factors!BW$3</f>
        <v>1.9393955318899998</v>
      </c>
      <c r="CD52" s="3">
        <f>$H52*factors!BX$3</f>
        <v>1.9453023203119999</v>
      </c>
      <c r="CE52" s="3">
        <f>$H52*factors!BY$3</f>
        <v>1.9728673329479998</v>
      </c>
      <c r="CF52" s="3">
        <f>$H52*factors!BZ$3</f>
        <v>1.9433333908380002</v>
      </c>
      <c r="CG52" s="3">
        <f>$H52*factors!CA$3</f>
        <v>1.8783587181959998</v>
      </c>
      <c r="CH52" s="3">
        <f>$H52*factors!CB$3</f>
        <v>1.8803276476699997</v>
      </c>
      <c r="CI52" s="3">
        <f>$H52*factors!CC$3</f>
        <v>1.8704830002999999</v>
      </c>
      <c r="CJ52" s="3">
        <f>$H52*factors!CD$3</f>
        <v>1.9472712497859999</v>
      </c>
      <c r="CK52" s="3">
        <f>$H52*factors!CE$3</f>
        <v>2.033904146642</v>
      </c>
      <c r="CL52" s="3">
        <f>$H52*factors!CF$3</f>
        <v>1.9059237308319998</v>
      </c>
      <c r="CM52" s="3">
        <f>$H52*factors!CG$3</f>
        <v>1.9512091087339998</v>
      </c>
      <c r="CN52" s="3">
        <f>$H52*factors!CH$3</f>
        <v>1.8862344360919998</v>
      </c>
      <c r="CO52" s="3">
        <f>$H52*factors!CI$3</f>
        <v>1.9000169424099997</v>
      </c>
      <c r="CP52" s="3">
        <f>$H52*factors!CJ$3</f>
        <v>1.9905876982139996</v>
      </c>
      <c r="CQ52" s="3">
        <f>$H52*factors!CK$3</f>
        <v>1.9315198139939997</v>
      </c>
      <c r="CR52" s="3">
        <f>$H52*factors!CL$3</f>
        <v>1.9925566276879998</v>
      </c>
      <c r="CS52" s="3">
        <f>$H52*factors!CM$3</f>
        <v>2.0555623708559998</v>
      </c>
      <c r="CT52" s="3">
        <f>$H52*factors!CN$3</f>
        <v>2.0319352171679999</v>
      </c>
      <c r="CU52" s="3">
        <f>$H52*factors!CO$3</f>
        <v>1.9866498392659997</v>
      </c>
      <c r="CV52" s="3">
        <f>$H52*factors!CP$3</f>
        <v>2.0673759477</v>
      </c>
      <c r="CW52" s="3">
        <f>$H52*factors!CQ$3</f>
        <v>1.9551469676820001</v>
      </c>
      <c r="CX52" s="3">
        <f>$H52*factors!CR$3</f>
        <v>1.9256130255719999</v>
      </c>
      <c r="CY52" s="3">
        <f>$H52*factors!CS$3</f>
        <v>1.9078926603059998</v>
      </c>
      <c r="CZ52" s="3">
        <f>$H52*factors!CT$3</f>
        <v>1.8803276476699997</v>
      </c>
      <c r="DA52" s="3">
        <f>$H52*factors!CU$3</f>
        <v>1.952243631</v>
      </c>
      <c r="DB52" s="3">
        <f>$H52*factors!CV$3</f>
        <v>2.0783886040800001</v>
      </c>
      <c r="DC52" s="3">
        <f>$H52*factors!CW$3</f>
        <v>1.9902873530399998</v>
      </c>
      <c r="DD52" s="3">
        <f>$H52*factors!CX$3</f>
        <v>1.9762712449199999</v>
      </c>
      <c r="DE52" s="3">
        <f>$H52*factors!CY$3</f>
        <v>2.03433797856</v>
      </c>
      <c r="DF52" s="3">
        <f>$H52*factors!CZ$3</f>
        <v>2.0303333762399998</v>
      </c>
      <c r="DG52" s="3">
        <f>$H52*factors!DA$3</f>
        <v>2.0223241715999998</v>
      </c>
      <c r="DH52" s="3">
        <f>$H52*factors!DB$3</f>
        <v>2.0223241715999998</v>
      </c>
      <c r="DI52" s="3">
        <f>$H52*factors!DC$3</f>
        <v>1.9462367275199999</v>
      </c>
      <c r="DJ52" s="3">
        <f>$H52*factors!DD$3</f>
        <v>2.0623701948000002</v>
      </c>
      <c r="DK52" s="3">
        <f>$H52*factors!DE$3</f>
        <v>2.0623701948000002</v>
      </c>
      <c r="DL52" s="3">
        <f>$H52*factors!DF$3</f>
        <v>2.0383425808800002</v>
      </c>
      <c r="DM52" s="3">
        <f>$H52*factors!DG$3</f>
        <v>1.9202068124399998</v>
      </c>
      <c r="DN52" s="3">
        <f>$H52*factors!DH$3</f>
        <v>2.0143149669600002</v>
      </c>
      <c r="DO52" s="3">
        <f>$H52*factors!DI$3</f>
        <v>2.0803909052399998</v>
      </c>
      <c r="DP52" s="3">
        <f>$H52*factors!DJ$3</f>
        <v>2.0623701948000002</v>
      </c>
      <c r="DQ52" s="3">
        <f>$H52*factors!DK$3</f>
        <v>1.9662597391199998</v>
      </c>
      <c r="DR52" s="3">
        <f>$H52*factors!DL$3</f>
        <v>1.94423442636</v>
      </c>
      <c r="DS52" s="3">
        <f>$H52*factors!DM$3</f>
        <v>2.10041391684</v>
      </c>
      <c r="DT52" s="3">
        <f>$H52*factors!DN$3</f>
        <v>1.9742689437600001</v>
      </c>
      <c r="DU52" s="3">
        <f>$H52*factors!DO$3</f>
        <v>2.0663747971199999</v>
      </c>
      <c r="DV52" s="3">
        <f>$H52*factors!DP$3</f>
        <v>2.01831956928</v>
      </c>
      <c r="DW52" s="3">
        <f>$H52*factors!DQ$3</f>
        <v>1.9262137159199999</v>
      </c>
      <c r="DX52" s="3">
        <f>$H52*factors!DR$3</f>
        <v>2.0403448820399999</v>
      </c>
      <c r="DY52" s="3">
        <f>$H52*factors!DS$3</f>
        <v>1.9362252217199998</v>
      </c>
      <c r="DZ52" s="3">
        <f>$H52*factors!DT$3</f>
        <v>2.0703793994399997</v>
      </c>
      <c r="EA52" s="3">
        <f>$H52*factors!DU$3</f>
        <v>1.9502413298399996</v>
      </c>
      <c r="EB52" s="3">
        <f>$H52*factors!DV$3</f>
        <v>1.9021861019999999</v>
      </c>
      <c r="EC52" s="3">
        <f>$H52*factors!DW$3</f>
        <v>2.0463517855199997</v>
      </c>
      <c r="ED52" s="3">
        <f>$H52*factors!DX$3</f>
        <v>1.9202068124399998</v>
      </c>
      <c r="EE52" s="3">
        <f>$H52*factors!DY$3</f>
        <v>1.9362252217199998</v>
      </c>
      <c r="EF52" s="3">
        <f>$H52*factors!DZ$3</f>
        <v>2.10041391684</v>
      </c>
      <c r="EG52" s="3">
        <f>$H52*factors!EA$3</f>
        <v>1.9622551367999999</v>
      </c>
      <c r="EH52" s="3">
        <f>$H52*factors!EB$3</f>
        <v>1.96826204028</v>
      </c>
      <c r="EI52" s="3">
        <f>$H52*factors!EC$3</f>
        <v>1.96425743796</v>
      </c>
      <c r="EJ52" s="3">
        <f>$H52*factors!ED$3</f>
        <v>1.9141999089599999</v>
      </c>
      <c r="EK52" s="3">
        <f>$H52*factors!EE$3</f>
        <v>2.0463517855199997</v>
      </c>
      <c r="EL52" s="3">
        <f>$H52*factors!EF$3</f>
        <v>1.9462367275199999</v>
      </c>
      <c r="EM52" s="3">
        <f>$H52*factors!EG$3</f>
        <v>2.0243264727599999</v>
      </c>
      <c r="EN52" s="3">
        <f>$H52*factors!EH$3</f>
        <v>1.9021861019999999</v>
      </c>
      <c r="EO52" s="3">
        <f>$H52*factors!EI$3</f>
        <v>1.9302183182399997</v>
      </c>
      <c r="EP52" s="3">
        <f>$H52*factors!EJ$3</f>
        <v>2.0363402797200001</v>
      </c>
      <c r="EQ52" s="3">
        <f>$H52*factors!EK$3</f>
        <v>1.9802758472399997</v>
      </c>
      <c r="ER52" s="3">
        <f>$H52*factors!EL$3</f>
        <v>2.0623701948000002</v>
      </c>
      <c r="ES52" s="3">
        <f>$H52*factors!EM$3</f>
        <v>2.0363402797200001</v>
      </c>
      <c r="ET52" s="3">
        <f>$H52*factors!EN$3</f>
        <v>2.0823932063999999</v>
      </c>
      <c r="EU52" s="3">
        <f>$H52*factors!EO$3</f>
        <v>2.1024162180000001</v>
      </c>
      <c r="EV52" s="3">
        <f>$H52*factors!EP$3</f>
        <v>1.9702643414399998</v>
      </c>
      <c r="EW52" s="3">
        <f>$H52*factors!EQ$3</f>
        <v>2.1670738596249999</v>
      </c>
      <c r="EX52" s="3">
        <f>$H52*factors!ER$3</f>
        <v>2.1441308255000004</v>
      </c>
      <c r="EY52" s="3">
        <f>$H52*factors!ES$3</f>
        <v>2.1879311633749996</v>
      </c>
      <c r="EZ52" s="3">
        <f>$H52*factors!ET$3</f>
        <v>2.1670738596249999</v>
      </c>
      <c r="FA52" s="3">
        <f>$H52*factors!EU$3</f>
        <v>1.9918725081249997</v>
      </c>
      <c r="FB52" s="3">
        <f>$H52*factors!EV$3</f>
        <v>2.0815589142499999</v>
      </c>
      <c r="FC52" s="3">
        <f>$H52*factors!EW$3</f>
        <v>2.1399593647500001</v>
      </c>
      <c r="FD52" s="3">
        <f>$H52*factors!EX$3</f>
        <v>2.0648730712500001</v>
      </c>
      <c r="FE52" s="3">
        <f>$H52*factors!EY$3</f>
        <v>2.175416781125</v>
      </c>
      <c r="FF52" s="3">
        <f>$H52*factors!EZ$3</f>
        <v>2.1775025115000002</v>
      </c>
      <c r="FG52" s="3">
        <f>$H52*factors!FA$3</f>
        <v>1.9918725081249997</v>
      </c>
      <c r="FH52" s="3">
        <f>$H52*factors!FB$3</f>
        <v>2.0961590268749997</v>
      </c>
      <c r="FI52" s="3">
        <f>$H52*factors!FC$3</f>
        <v>2.1837597026249997</v>
      </c>
      <c r="FJ52" s="3">
        <f>$H52*factors!FD$3</f>
        <v>2.0961590268749997</v>
      </c>
      <c r="FK52" s="3">
        <f>$H52*factors!FE$3</f>
        <v>2.13161644325</v>
      </c>
      <c r="FL52" s="3">
        <f>$H52*factors!FF$3</f>
        <v>2.137873634375</v>
      </c>
      <c r="FM52" s="3">
        <f>$H52*factors!FG$3</f>
        <v>2.1608166684999999</v>
      </c>
      <c r="FN52" s="3">
        <f>$H52*factors!FH$3</f>
        <v>2.021072733375</v>
      </c>
      <c r="FO52" s="3">
        <f>$H52*factors!FI$3</f>
        <v>2.1462165558749997</v>
      </c>
      <c r="FP52" s="3">
        <f>$H52*factors!FJ$3</f>
        <v>2.0857303749999998</v>
      </c>
      <c r="FQ52" s="3">
        <f>$H52*factors!FK$3</f>
        <v>2.0648730712500001</v>
      </c>
      <c r="FR52" s="3">
        <f>$H52*factors!FL$3</f>
        <v>2.10658767875</v>
      </c>
      <c r="FS52" s="3">
        <f>$H52*factors!FM$3</f>
        <v>2.0940732965</v>
      </c>
      <c r="FT52" s="3">
        <f>$H52*factors!FN$3</f>
        <v>2.1399593647500001</v>
      </c>
      <c r="FU52" s="3">
        <f>$H52*factors!FO$3</f>
        <v>2.0565301497499999</v>
      </c>
      <c r="FV52" s="3">
        <f>$H52*factors!FP$3</f>
        <v>2.0398443067500001</v>
      </c>
      <c r="FW52" s="3">
        <f>$H52*factors!FQ$3</f>
        <v>2.1837597026249997</v>
      </c>
      <c r="FX52" s="3">
        <f>$H52*factors!FR$3</f>
        <v>2.1441308255000004</v>
      </c>
      <c r="FY52" s="3">
        <f>$H52*factors!FS$3</f>
        <v>2.1003304876249995</v>
      </c>
      <c r="FZ52" s="3">
        <f>$H52*factors!FT$3</f>
        <v>1.996043968875</v>
      </c>
      <c r="GA52" s="3">
        <f>$H52*factors!FU$3</f>
        <v>2.1003304876249995</v>
      </c>
      <c r="GB52" s="3">
        <f>$H52*factors!FV$3</f>
        <v>2.1775025115000002</v>
      </c>
      <c r="GC52" s="3">
        <f>$H52*factors!FW$3</f>
        <v>2.0398443067500001</v>
      </c>
      <c r="GD52" s="3">
        <f>$H52*factors!FX$3</f>
        <v>2.0753017231249999</v>
      </c>
      <c r="GE52" s="3">
        <f>$H52*factors!FY$3</f>
        <v>2.0753017231249999</v>
      </c>
      <c r="GF52" s="3">
        <f>$H52*factors!FZ$3</f>
        <v>2.0690445319999999</v>
      </c>
      <c r="GG52" s="3">
        <f>$H52*factors!GA$3</f>
        <v>1.9877010473749999</v>
      </c>
      <c r="GH52" s="3">
        <f>$H52*factors!GB$3</f>
        <v>2.1149306002500001</v>
      </c>
      <c r="GI52" s="3">
        <f>$H52*factors!GC$3</f>
        <v>1.983529586625</v>
      </c>
      <c r="GJ52" s="3">
        <f>$H52*factors!GD$3</f>
        <v>1.9877010473749999</v>
      </c>
      <c r="GK52" s="3">
        <f>$H52*factors!GE$3</f>
        <v>2.0377585763749999</v>
      </c>
      <c r="GL52" s="3">
        <f>$H52*factors!GF$3</f>
        <v>2.1587309381250002</v>
      </c>
      <c r="GM52" s="3">
        <f>$H52*factors!GG$3</f>
        <v>2.0461014978750001</v>
      </c>
      <c r="GN52" s="3">
        <f>$H52*factors!GH$3</f>
        <v>2.1107591395000003</v>
      </c>
      <c r="GO52" s="3">
        <f>$H52*factors!GI$3</f>
        <v>1.9939582384999996</v>
      </c>
      <c r="GP52" s="3">
        <f>$H52*factors!GJ$3</f>
        <v>2.137873634375</v>
      </c>
      <c r="GQ52" s="3">
        <f>$H52*factors!GK$3</f>
        <v>2.18167397225</v>
      </c>
      <c r="GR52" s="3">
        <f>$H52*factors!GL$3</f>
        <v>2.1399593647500001</v>
      </c>
      <c r="GS52" s="3">
        <f>$H52*factors!GM$3</f>
        <v>2.023742468255</v>
      </c>
      <c r="GT52" s="3">
        <f>$H52*factors!GN$3</f>
        <v>2.070362713597</v>
      </c>
      <c r="GU52" s="3">
        <f>$H52*factors!GO$3</f>
        <v>2.119102061</v>
      </c>
      <c r="GV52" s="3">
        <f>$H52*factors!GP$3</f>
        <v>2.03433797856</v>
      </c>
      <c r="GW52" s="3">
        <f>$H52*factors!GQ$3</f>
        <v>2.106387448634</v>
      </c>
      <c r="GX52" s="3">
        <f>$H52*factors!GR$3</f>
        <v>2.072481815658</v>
      </c>
      <c r="GY52" s="3">
        <f>$H52*factors!GS$3</f>
        <v>2.0618863053530001</v>
      </c>
      <c r="GZ52" s="3">
        <f>$H52*factors!GT$3</f>
        <v>2.1381739795489998</v>
      </c>
      <c r="HA52" s="3">
        <f>$H52*factors!GU$3</f>
        <v>2.0682436115359999</v>
      </c>
      <c r="HB52" s="3">
        <f>$H52*factors!GV$3</f>
        <v>2.1381739795489998</v>
      </c>
      <c r="HC52" s="3">
        <f>$H52*factors!GW$3</f>
        <v>2.0851964280240001</v>
      </c>
      <c r="HD52" s="3">
        <f>$H52*factors!GX$3</f>
        <v>2.1466503877929997</v>
      </c>
      <c r="HE52" s="3">
        <f>$H52*factors!GY$3</f>
        <v>2.119102061</v>
      </c>
      <c r="HF52" s="3">
        <f>$H52*factors!GZ$3</f>
        <v>2.1847942248909997</v>
      </c>
      <c r="HG52" s="3">
        <f>$H52*factors!HA$3</f>
        <v>2.1000301424510002</v>
      </c>
      <c r="HH52" s="3">
        <f>$H52*factors!HB$3</f>
        <v>2.072481815658</v>
      </c>
      <c r="HI52" s="3">
        <f>$H52*factors!HC$3</f>
        <v>2.047052590926</v>
      </c>
      <c r="HJ52" s="3">
        <f>$H52*factors!HD$3</f>
        <v>2.023742468255</v>
      </c>
      <c r="HK52" s="3">
        <f>$H52*factors!HE$3</f>
        <v>2.1402930816099999</v>
      </c>
      <c r="HL52" s="3">
        <f>$H52*factors!HF$3</f>
        <v>2.0173851620719998</v>
      </c>
      <c r="HM52" s="3">
        <f>$H52*factors!HG$3</f>
        <v>2.0385761826820001</v>
      </c>
      <c r="HN52" s="3">
        <f>$H52*factors!HH$3</f>
        <v>2.1741987145860002</v>
      </c>
      <c r="HO52" s="3">
        <f>$H52*factors!HI$3</f>
        <v>2.0851964280240001</v>
      </c>
      <c r="HP52" s="3">
        <f>$H52*factors!HJ$3</f>
        <v>2.2250571640500003</v>
      </c>
      <c r="HQ52" s="3">
        <f>$H52*factors!HK$3</f>
        <v>2.03433797856</v>
      </c>
      <c r="HR52" s="3">
        <f>$H52*factors!HL$3</f>
        <v>2.157245898098</v>
      </c>
      <c r="HS52" s="3">
        <f>$H52*factors!HM$3</f>
        <v>2.1953897351960001</v>
      </c>
      <c r="HT52" s="3">
        <f>$H52*factors!HN$3</f>
        <v>2.047052590926</v>
      </c>
      <c r="HU52" s="3">
        <f>$H52*factors!HO$3</f>
        <v>2.0682436115359999</v>
      </c>
      <c r="HV52" s="3">
        <f>$H52*factors!HP$3</f>
        <v>2.0936728362680004</v>
      </c>
      <c r="HW52" s="3">
        <f>$H52*factors!HQ$3</f>
        <v>2.1233402651220001</v>
      </c>
      <c r="HX52" s="3">
        <f>$H52*factors!HR$3</f>
        <v>2.2102234496229998</v>
      </c>
      <c r="HY52" s="3">
        <f>$H52*factors!HS$3</f>
        <v>2.1000301424510002</v>
      </c>
      <c r="HZ52" s="3">
        <f>$H52*factors!HT$3</f>
        <v>2.180556020769</v>
      </c>
      <c r="IA52" s="3">
        <f>$H52*factors!HU$3</f>
        <v>2.0746009177190001</v>
      </c>
      <c r="IB52" s="3">
        <f>$H52*factors!HV$3</f>
        <v>2.1466503877929997</v>
      </c>
      <c r="IC52" s="3">
        <f>$H52*factors!HW$3</f>
        <v>2.167841408403</v>
      </c>
      <c r="ID52" s="3">
        <f>$H52*factors!HX$3</f>
        <v>2.0131469579499996</v>
      </c>
      <c r="IE52" s="3">
        <f>$H52*factors!HY$3</f>
        <v>2.1381739795489998</v>
      </c>
      <c r="IF52" s="3">
        <f>$H52*factors!HZ$3</f>
        <v>2.1254593671829998</v>
      </c>
      <c r="IG52" s="3">
        <f>$H52*factors!IA$3</f>
        <v>2.106387448634</v>
      </c>
      <c r="IH52" s="3">
        <f>$H52*factors!IB$3</f>
        <v>2.1847942248909997</v>
      </c>
      <c r="II52" s="3">
        <f>$H52*factors!IC$3</f>
        <v>2.0915537342069999</v>
      </c>
      <c r="IJ52" s="3">
        <f>$H52*factors!ID$3</f>
        <v>2.1106256527560001</v>
      </c>
      <c r="IK52" s="3">
        <f>$H52*factors!IE$3</f>
        <v>2.1869133269520002</v>
      </c>
      <c r="IL52" s="3">
        <f>$H52*factors!IF$3</f>
        <v>2.0936728362680004</v>
      </c>
      <c r="IM52" s="3">
        <f>$H52*factors!IG$3</f>
        <v>2.0746009177190001</v>
      </c>
      <c r="IN52" s="3">
        <f>$H52*factors!IH$3</f>
        <v>2.0873155300850001</v>
      </c>
      <c r="IO52" s="3">
        <f>$H52*factors!II$3</f>
        <v>2.108506550695</v>
      </c>
      <c r="IP52" s="3">
        <f>$H52*factors!IJ$3</f>
        <v>2.0385761826820001</v>
      </c>
      <c r="IQ52" s="3">
        <f>$H52*factors!IK$3</f>
        <v>2.0322188764989999</v>
      </c>
      <c r="IR52" s="3">
        <f>$H52*factors!IL$3</f>
        <v>2.0915537342069999</v>
      </c>
      <c r="IS52" s="3">
        <f>$H52*factors!IM$3</f>
        <v>2.108506550695</v>
      </c>
      <c r="IT52" s="3">
        <f>$H52*factors!IN$3</f>
        <v>2.1233402651220001</v>
      </c>
      <c r="IU52" s="3">
        <f>$H52*factors!IO$3</f>
        <v>2.1699605104640001</v>
      </c>
      <c r="IV52" s="3">
        <f>$H52*factors!IP$3</f>
        <v>2.1975088372569997</v>
      </c>
      <c r="IW52" s="3">
        <f>$H52*factors!IQ$3</f>
        <v>2.0767200197799998</v>
      </c>
      <c r="IX52" s="3">
        <f>$H52*factors!IR$3</f>
        <v>2.1699605104640001</v>
      </c>
      <c r="IY52" s="3">
        <f>$H52*factors!IS$3</f>
        <v>2.1381739795489998</v>
      </c>
      <c r="IZ52" s="3">
        <f>$H52*factors!IT$3</f>
        <v>2.1741987145860002</v>
      </c>
      <c r="JA52" s="3">
        <f>$H52*factors!IU$3</f>
        <v>2.0534098971089998</v>
      </c>
      <c r="JB52" s="3">
        <f>$H52*factors!IV$3</f>
        <v>2.0915537342069999</v>
      </c>
      <c r="JC52" s="3">
        <f>$H52*factors!IW$3</f>
        <v>2.0428143868040003</v>
      </c>
      <c r="JD52" s="3">
        <f>$H52*factors!IX$3</f>
        <v>2.2250571640500003</v>
      </c>
      <c r="JE52" s="3">
        <f>$H52*factors!IY$3</f>
        <v>2.0491716929870001</v>
      </c>
      <c r="JF52" s="3">
        <f>$H52*factors!IZ$3</f>
        <v>2.1508885919149998</v>
      </c>
      <c r="JG52" s="3">
        <f>$H52*factors!JA$3</f>
        <v>2.1127447548169997</v>
      </c>
      <c r="JH52" s="3">
        <f>$H52*factors!JB$3</f>
        <v>2.1530076939760003</v>
      </c>
      <c r="JI52" s="3">
        <f>$H52*factors!JC$3</f>
        <v>2.0152660600110002</v>
      </c>
      <c r="JJ52" s="3">
        <f>$H52*factors!JD$3</f>
        <v>2.1699605104640001</v>
      </c>
      <c r="JK52" s="3">
        <f>$H52*factors!JE$3</f>
        <v>2.1000301424510002</v>
      </c>
      <c r="JL52" s="3">
        <f>$H52*factors!JF$3</f>
        <v>2.1847942248909997</v>
      </c>
      <c r="JM52" s="3">
        <f>$H52*factors!JG$3</f>
        <v>2.0385761826820001</v>
      </c>
      <c r="JN52" s="3">
        <f>$H52*factors!JH$3</f>
        <v>2.0385761826820001</v>
      </c>
      <c r="JO52" s="3">
        <f>$H52*factors!JI$3</f>
        <v>2.0131469579499996</v>
      </c>
      <c r="JP52" s="3">
        <f>$H52*factors!JJ$3</f>
        <v>2.1763178166469999</v>
      </c>
      <c r="JQ52" s="3">
        <f>$H52*factors!JK$3</f>
        <v>2.1212211630610001</v>
      </c>
      <c r="JR52" s="3">
        <f>$H52*factors!JL$3</f>
        <v>2.20386614344</v>
      </c>
      <c r="JS52" s="3">
        <f>$H52*factors!JM$3</f>
        <v>2.0131469579499996</v>
      </c>
      <c r="JT52" s="3">
        <f>$H52*factors!JN$3</f>
        <v>2.1148638568780003</v>
      </c>
      <c r="JU52" s="3">
        <f>$H52*factors!JO$3</f>
        <v>2.0449334888649999</v>
      </c>
      <c r="JV52" s="3">
        <f>$H52*factors!JP$3</f>
        <v>2.0788391218410003</v>
      </c>
      <c r="JW52" s="3">
        <f>$H52*factors!JQ$3</f>
        <v>2.2208189599280002</v>
      </c>
      <c r="JX52" s="3">
        <f>$H52*factors!JR$3</f>
        <v>2.1996279393179998</v>
      </c>
      <c r="JY52" s="3">
        <f>$H52*factors!JS$3</f>
        <v>2.070362713597</v>
      </c>
      <c r="JZ52" s="3">
        <f>$H52*factors!JT$3</f>
        <v>2.0936728362680004</v>
      </c>
      <c r="KA52" s="3">
        <f>$H52*factors!JU$3</f>
        <v>2.1021492445120002</v>
      </c>
      <c r="KB52" s="3">
        <f>$H52*factors!JV$3</f>
        <v>2.0322188764989999</v>
      </c>
      <c r="KC52" s="3">
        <f>$H52*factors!JW$3</f>
        <v>2.0428143868040003</v>
      </c>
      <c r="KD52" s="3">
        <f>$H52*factors!JX$3</f>
        <v>2.0449334888649999</v>
      </c>
      <c r="KE52" s="3">
        <f>$H52*factors!JY$3</f>
        <v>2.1763178166469999</v>
      </c>
      <c r="KF52" s="3">
        <f>$H52*factors!JZ$3</f>
        <v>2.2017470413789999</v>
      </c>
      <c r="KG52" s="3">
        <f>$H52*factors!KA$3</f>
        <v>2.1233402651220001</v>
      </c>
      <c r="KH52" s="3">
        <f>$H52*factors!KB$3</f>
        <v>2.0767200197799998</v>
      </c>
      <c r="KI52" s="3">
        <f>$H52*factors!KC$3</f>
        <v>2.0576481012309999</v>
      </c>
    </row>
    <row r="53" spans="1:295" x14ac:dyDescent="0.55000000000000004">
      <c r="A53" t="s">
        <v>429</v>
      </c>
      <c r="B53">
        <v>52</v>
      </c>
      <c r="C53">
        <v>230</v>
      </c>
      <c r="D53" t="s">
        <v>377</v>
      </c>
      <c r="E53">
        <v>3.372E-3</v>
      </c>
      <c r="F53">
        <v>52</v>
      </c>
      <c r="G53">
        <f>VLOOKUP(D53,demand_forecasted!$A$2:$G$11,2)</f>
        <v>11098</v>
      </c>
      <c r="H53" s="3">
        <f t="shared" si="1"/>
        <v>0.37422455999999998</v>
      </c>
      <c r="I53" s="3">
        <f>$H53*factors!C$3</f>
        <v>0.41426658791999998</v>
      </c>
      <c r="J53" s="3">
        <f>$H53*factors!D$3</f>
        <v>0.39931257450239999</v>
      </c>
      <c r="K53" s="3">
        <f>$H53*factors!E$3</f>
        <v>0.39244181158079999</v>
      </c>
      <c r="L53" s="3">
        <f>$H53*factors!F$3</f>
        <v>0.39122932400640004</v>
      </c>
      <c r="M53" s="3">
        <f>$H53*factors!G$3</f>
        <v>0.39082516148159996</v>
      </c>
      <c r="N53" s="3">
        <f>$H53*factors!H$3</f>
        <v>0.40214171217599998</v>
      </c>
      <c r="O53" s="3">
        <f>$H53*factors!I$3</f>
        <v>0.41103328772159997</v>
      </c>
      <c r="P53" s="3">
        <f>$H53*factors!J$3</f>
        <v>0.41588323801920002</v>
      </c>
      <c r="Q53" s="3">
        <f>$H53*factors!K$3</f>
        <v>0.39042099895679999</v>
      </c>
      <c r="R53" s="3">
        <f>$H53*factors!L$3</f>
        <v>0.38395439855999997</v>
      </c>
      <c r="S53" s="3">
        <f>$H53*factors!M$3</f>
        <v>0.39971673702719995</v>
      </c>
      <c r="T53" s="3">
        <f>$H53*factors!N$3</f>
        <v>0.4134582628704</v>
      </c>
      <c r="U53" s="3">
        <f>$H53*factors!O$3</f>
        <v>0.3916334865312</v>
      </c>
      <c r="V53" s="3">
        <f>$H53*factors!P$3</f>
        <v>0.40739582499839999</v>
      </c>
      <c r="W53" s="3">
        <f>$H53*factors!Q$3</f>
        <v>0.41103328772159997</v>
      </c>
      <c r="X53" s="3">
        <f>$H53*factors!R$3</f>
        <v>0.39325013663039998</v>
      </c>
      <c r="Y53" s="3">
        <f>$H53*factors!S$3</f>
        <v>0.3896126739072</v>
      </c>
      <c r="Z53" s="3">
        <f>$H53*factors!T$3</f>
        <v>0.42032902579200004</v>
      </c>
      <c r="AA53" s="3">
        <f>$H53*factors!U$3</f>
        <v>0.39688759935359996</v>
      </c>
      <c r="AB53" s="3">
        <f>$H53*factors!V$3</f>
        <v>0.39729176187840004</v>
      </c>
      <c r="AC53" s="3">
        <f>$H53*factors!W$3</f>
        <v>0.39769592440320001</v>
      </c>
      <c r="AD53" s="3">
        <f>$H53*factors!X$3</f>
        <v>0.38920851138240004</v>
      </c>
      <c r="AE53" s="3">
        <f>$H53*factors!Y$3</f>
        <v>0.39244181158079999</v>
      </c>
      <c r="AF53" s="3">
        <f>$H53*factors!Z$3</f>
        <v>0.40052506207680005</v>
      </c>
      <c r="AG53" s="3">
        <f>$H53*factors!AA$3</f>
        <v>0.39042099895679999</v>
      </c>
      <c r="AH53" s="3">
        <f>$H53*factors!AB$3</f>
        <v>0.38880434885760001</v>
      </c>
      <c r="AI53" s="3">
        <f>$H53*factors!AC$3</f>
        <v>0.40133338712639999</v>
      </c>
      <c r="AJ53" s="3">
        <f>$H53*factors!AD$3</f>
        <v>0.41669156306880001</v>
      </c>
      <c r="AK53" s="3">
        <f>$H53*factors!AE$3</f>
        <v>0.40092922460160002</v>
      </c>
      <c r="AL53" s="3">
        <f>$H53*factors!AF$3</f>
        <v>0.38516688613439998</v>
      </c>
      <c r="AM53" s="3">
        <f>$H53*factors!AG$3</f>
        <v>0.39607927430399997</v>
      </c>
      <c r="AN53" s="3">
        <f>$H53*factors!AH$3</f>
        <v>0.3896126739072</v>
      </c>
      <c r="AO53" s="3">
        <f>$H53*factors!AI$3</f>
        <v>0.40820415004799998</v>
      </c>
      <c r="AP53" s="3">
        <f>$H53*factors!AJ$3</f>
        <v>0.39122932400640004</v>
      </c>
      <c r="AQ53" s="3">
        <f>$H53*factors!AK$3</f>
        <v>0.40375836227520001</v>
      </c>
      <c r="AR53" s="3">
        <f>$H53*factors!AL$3</f>
        <v>0.39486678672960002</v>
      </c>
      <c r="AS53" s="3">
        <f>$H53*factors!AM$3</f>
        <v>0.38516688613439998</v>
      </c>
      <c r="AT53" s="3">
        <f>$H53*factors!AN$3</f>
        <v>0.39729176187840004</v>
      </c>
      <c r="AU53" s="3">
        <f>$H53*factors!AO$3</f>
        <v>0.42073318831679996</v>
      </c>
      <c r="AV53" s="3">
        <f>$H53*factors!AP$3</f>
        <v>0.39769592440320001</v>
      </c>
      <c r="AW53" s="3">
        <f>$H53*factors!AQ$3</f>
        <v>0.39365429915519995</v>
      </c>
      <c r="AX53" s="3">
        <f>$H53*factors!AR$3</f>
        <v>0.41628740054399999</v>
      </c>
      <c r="AY53" s="3">
        <f>$H53*factors!AS$3</f>
        <v>0.38395439855999997</v>
      </c>
      <c r="AZ53" s="3">
        <f>$H53*factors!AT$3</f>
        <v>0.41143745024640005</v>
      </c>
      <c r="BA53" s="3">
        <f>$H53*factors!AU$3</f>
        <v>0.40254587470079994</v>
      </c>
      <c r="BB53" s="3">
        <f>$H53*factors!AV$3</f>
        <v>0.39729176187840004</v>
      </c>
      <c r="BC53" s="3">
        <f>$H53*factors!AW$3</f>
        <v>0.42032902579200004</v>
      </c>
      <c r="BD53" s="3">
        <f>$H53*factors!AX$3</f>
        <v>0.38799602380799997</v>
      </c>
      <c r="BE53" s="3">
        <f>$H53*factors!AY$3</f>
        <v>0.45615728516639997</v>
      </c>
      <c r="BF53" s="3">
        <f>$H53*factors!AZ$3</f>
        <v>0.42480475152959996</v>
      </c>
      <c r="BG53" s="3">
        <f>$H53*factors!BA$3</f>
        <v>0.43098694126079989</v>
      </c>
      <c r="BH53" s="3">
        <f>$H53*factors!BB$3</f>
        <v>0.43672754601119995</v>
      </c>
      <c r="BI53" s="3">
        <f>$H53*factors!BC$3</f>
        <v>0.45262460531999993</v>
      </c>
      <c r="BJ53" s="3">
        <f>$H53*factors!BD$3</f>
        <v>0.43231169620319992</v>
      </c>
      <c r="BK53" s="3">
        <f>$H53*factors!BE$3</f>
        <v>0.43319486616479991</v>
      </c>
      <c r="BL53" s="3">
        <f>$H53*factors!BF$3</f>
        <v>0.42833743137599994</v>
      </c>
      <c r="BM53" s="3">
        <f>$H53*factors!BG$3</f>
        <v>0.4574820401088</v>
      </c>
      <c r="BN53" s="3">
        <f>$H53*factors!BH$3</f>
        <v>0.45174143535839995</v>
      </c>
      <c r="BO53" s="3">
        <f>$H53*factors!BI$3</f>
        <v>0.42480475152959996</v>
      </c>
      <c r="BP53" s="3">
        <f>$H53*factors!BJ$3</f>
        <v>0.42347999658719992</v>
      </c>
      <c r="BQ53" s="3">
        <f>$H53*factors!BK$3</f>
        <v>0.4305453562799999</v>
      </c>
      <c r="BR53" s="3">
        <f>$H53*factors!BL$3</f>
        <v>0.44600083060799994</v>
      </c>
      <c r="BS53" s="3">
        <f>$H53*factors!BM$3</f>
        <v>0.45306619030079998</v>
      </c>
      <c r="BT53" s="3">
        <f>$H53*factors!BN$3</f>
        <v>0.45439094524319995</v>
      </c>
      <c r="BU53" s="3">
        <f>$H53*factors!BO$3</f>
        <v>0.46189788991679998</v>
      </c>
      <c r="BV53" s="3">
        <f>$H53*factors!BP$3</f>
        <v>0.42966218631839997</v>
      </c>
      <c r="BW53" s="3">
        <f>$H53*factors!BQ$3</f>
        <v>0.43937705589599996</v>
      </c>
      <c r="BX53" s="3">
        <f>$H53*factors!BR$3</f>
        <v>0.43098694126079989</v>
      </c>
      <c r="BY53" s="3">
        <f>$H53*factors!BS$3</f>
        <v>0.45085826539679991</v>
      </c>
      <c r="BZ53" s="3">
        <f>$H53*factors!BT$3</f>
        <v>0.44246815076159995</v>
      </c>
      <c r="CA53" s="3">
        <f>$H53*factors!BU$3</f>
        <v>0.43672754601119995</v>
      </c>
      <c r="CB53" s="3">
        <f>$H53*factors!BV$3</f>
        <v>0.42259682662559994</v>
      </c>
      <c r="CC53" s="3">
        <f>$H53*factors!BW$3</f>
        <v>0.43496120608799993</v>
      </c>
      <c r="CD53" s="3">
        <f>$H53*factors!BX$3</f>
        <v>0.43628596103039996</v>
      </c>
      <c r="CE53" s="3">
        <f>$H53*factors!BY$3</f>
        <v>0.44246815076159995</v>
      </c>
      <c r="CF53" s="3">
        <f>$H53*factors!BZ$3</f>
        <v>0.43584437604959997</v>
      </c>
      <c r="CG53" s="3">
        <f>$H53*factors!CA$3</f>
        <v>0.42127207168319991</v>
      </c>
      <c r="CH53" s="3">
        <f>$H53*factors!CB$3</f>
        <v>0.4217136566639999</v>
      </c>
      <c r="CI53" s="3">
        <f>$H53*factors!CC$3</f>
        <v>0.41950573176</v>
      </c>
      <c r="CJ53" s="3">
        <f>$H53*factors!CD$3</f>
        <v>0.43672754601119995</v>
      </c>
      <c r="CK53" s="3">
        <f>$H53*factors!CE$3</f>
        <v>0.45615728516639997</v>
      </c>
      <c r="CL53" s="3">
        <f>$H53*factors!CF$3</f>
        <v>0.42745426141439996</v>
      </c>
      <c r="CM53" s="3">
        <f>$H53*factors!CG$3</f>
        <v>0.43761071597279994</v>
      </c>
      <c r="CN53" s="3">
        <f>$H53*factors!CH$3</f>
        <v>0.42303841160639993</v>
      </c>
      <c r="CO53" s="3">
        <f>$H53*factors!CI$3</f>
        <v>0.42612950647199993</v>
      </c>
      <c r="CP53" s="3">
        <f>$H53*factors!CJ$3</f>
        <v>0.44644241558879988</v>
      </c>
      <c r="CQ53" s="3">
        <f>$H53*factors!CK$3</f>
        <v>0.43319486616479991</v>
      </c>
      <c r="CR53" s="3">
        <f>$H53*factors!CL$3</f>
        <v>0.44688400056959993</v>
      </c>
      <c r="CS53" s="3">
        <f>$H53*factors!CM$3</f>
        <v>0.46101471995519994</v>
      </c>
      <c r="CT53" s="3">
        <f>$H53*factors!CN$3</f>
        <v>0.45571570018559998</v>
      </c>
      <c r="CU53" s="3">
        <f>$H53*factors!CO$3</f>
        <v>0.4455592456271999</v>
      </c>
      <c r="CV53" s="3">
        <f>$H53*factors!CP$3</f>
        <v>0.46366422983999994</v>
      </c>
      <c r="CW53" s="3">
        <f>$H53*factors!CQ$3</f>
        <v>0.43849388593439997</v>
      </c>
      <c r="CX53" s="3">
        <f>$H53*factors!CR$3</f>
        <v>0.43187011122239999</v>
      </c>
      <c r="CY53" s="3">
        <f>$H53*factors!CS$3</f>
        <v>0.42789584639519995</v>
      </c>
      <c r="CZ53" s="3">
        <f>$H53*factors!CT$3</f>
        <v>0.4217136566639999</v>
      </c>
      <c r="DA53" s="3">
        <f>$H53*factors!CU$3</f>
        <v>0.43784273519999994</v>
      </c>
      <c r="DB53" s="3">
        <f>$H53*factors!CV$3</f>
        <v>0.46613411193600002</v>
      </c>
      <c r="DC53" s="3">
        <f>$H53*factors!CW$3</f>
        <v>0.44637505516799991</v>
      </c>
      <c r="DD53" s="3">
        <f>$H53*factors!CX$3</f>
        <v>0.44323156886399995</v>
      </c>
      <c r="DE53" s="3">
        <f>$H53*factors!CY$3</f>
        <v>0.45625458355199999</v>
      </c>
      <c r="DF53" s="3">
        <f>$H53*factors!CZ$3</f>
        <v>0.45535644460799996</v>
      </c>
      <c r="DG53" s="3">
        <f>$H53*factors!DA$3</f>
        <v>0.45356016671999999</v>
      </c>
      <c r="DH53" s="3">
        <f>$H53*factors!DB$3</f>
        <v>0.45356016671999999</v>
      </c>
      <c r="DI53" s="3">
        <f>$H53*factors!DC$3</f>
        <v>0.43649552678399994</v>
      </c>
      <c r="DJ53" s="3">
        <f>$H53*factors!DD$3</f>
        <v>0.46254155615999998</v>
      </c>
      <c r="DK53" s="3">
        <f>$H53*factors!DE$3</f>
        <v>0.46254155615999998</v>
      </c>
      <c r="DL53" s="3">
        <f>$H53*factors!DF$3</f>
        <v>0.45715272249599997</v>
      </c>
      <c r="DM53" s="3">
        <f>$H53*factors!DG$3</f>
        <v>0.43065762364799992</v>
      </c>
      <c r="DN53" s="3">
        <f>$H53*factors!DH$3</f>
        <v>0.45176388883200003</v>
      </c>
      <c r="DO53" s="3">
        <f>$H53*factors!DI$3</f>
        <v>0.46658318140799993</v>
      </c>
      <c r="DP53" s="3">
        <f>$H53*factors!DJ$3</f>
        <v>0.46254155615999998</v>
      </c>
      <c r="DQ53" s="3">
        <f>$H53*factors!DK$3</f>
        <v>0.44098622150399996</v>
      </c>
      <c r="DR53" s="3">
        <f>$H53*factors!DL$3</f>
        <v>0.43604645731199998</v>
      </c>
      <c r="DS53" s="3">
        <f>$H53*factors!DM$3</f>
        <v>0.47107387612799995</v>
      </c>
      <c r="DT53" s="3">
        <f>$H53*factors!DN$3</f>
        <v>0.44278249939199998</v>
      </c>
      <c r="DU53" s="3">
        <f>$H53*factors!DO$3</f>
        <v>0.46343969510399996</v>
      </c>
      <c r="DV53" s="3">
        <f>$H53*factors!DP$3</f>
        <v>0.45266202777600001</v>
      </c>
      <c r="DW53" s="3">
        <f>$H53*factors!DQ$3</f>
        <v>0.43200483206399992</v>
      </c>
      <c r="DX53" s="3">
        <f>$H53*factors!DR$3</f>
        <v>0.45760179196799994</v>
      </c>
      <c r="DY53" s="3">
        <f>$H53*factors!DS$3</f>
        <v>0.43425017942399996</v>
      </c>
      <c r="DZ53" s="3">
        <f>$H53*factors!DT$3</f>
        <v>0.46433783404799994</v>
      </c>
      <c r="EA53" s="3">
        <f>$H53*factors!DU$3</f>
        <v>0.43739366572799993</v>
      </c>
      <c r="EB53" s="3">
        <f>$H53*factors!DV$3</f>
        <v>0.42661599839999992</v>
      </c>
      <c r="EC53" s="3">
        <f>$H53*factors!DW$3</f>
        <v>0.45894900038399994</v>
      </c>
      <c r="ED53" s="3">
        <f>$H53*factors!DX$3</f>
        <v>0.43065762364799992</v>
      </c>
      <c r="EE53" s="3">
        <f>$H53*factors!DY$3</f>
        <v>0.43425017942399996</v>
      </c>
      <c r="EF53" s="3">
        <f>$H53*factors!DZ$3</f>
        <v>0.47107387612799995</v>
      </c>
      <c r="EG53" s="3">
        <f>$H53*factors!EA$3</f>
        <v>0.44008808255999998</v>
      </c>
      <c r="EH53" s="3">
        <f>$H53*factors!EB$3</f>
        <v>0.44143529097599998</v>
      </c>
      <c r="EI53" s="3">
        <f>$H53*factors!EC$3</f>
        <v>0.440537152032</v>
      </c>
      <c r="EJ53" s="3">
        <f>$H53*factors!ED$3</f>
        <v>0.42931041523199998</v>
      </c>
      <c r="EK53" s="3">
        <f>$H53*factors!EE$3</f>
        <v>0.45894900038399994</v>
      </c>
      <c r="EL53" s="3">
        <f>$H53*factors!EF$3</f>
        <v>0.43649552678399994</v>
      </c>
      <c r="EM53" s="3">
        <f>$H53*factors!EG$3</f>
        <v>0.4540092361919999</v>
      </c>
      <c r="EN53" s="3">
        <f>$H53*factors!EH$3</f>
        <v>0.42661599839999992</v>
      </c>
      <c r="EO53" s="3">
        <f>$H53*factors!EI$3</f>
        <v>0.4329029710079999</v>
      </c>
      <c r="EP53" s="3">
        <f>$H53*factors!EJ$3</f>
        <v>0.45670365302399996</v>
      </c>
      <c r="EQ53" s="3">
        <f>$H53*factors!EK$3</f>
        <v>0.44412970780799993</v>
      </c>
      <c r="ER53" s="3">
        <f>$H53*factors!EL$3</f>
        <v>0.46254155615999998</v>
      </c>
      <c r="ES53" s="3">
        <f>$H53*factors!EM$3</f>
        <v>0.45670365302399996</v>
      </c>
      <c r="ET53" s="3">
        <f>$H53*factors!EN$3</f>
        <v>0.46703225088</v>
      </c>
      <c r="EU53" s="3">
        <f>$H53*factors!EO$3</f>
        <v>0.47152294559999997</v>
      </c>
      <c r="EV53" s="3">
        <f>$H53*factors!EP$3</f>
        <v>0.44188436044799995</v>
      </c>
      <c r="EW53" s="3">
        <f>$H53*factors!EQ$3</f>
        <v>0.48602414729999993</v>
      </c>
      <c r="EX53" s="3">
        <f>$H53*factors!ER$3</f>
        <v>0.48087855960000003</v>
      </c>
      <c r="EY53" s="3">
        <f>$H53*factors!ES$3</f>
        <v>0.49070195429999991</v>
      </c>
      <c r="EZ53" s="3">
        <f>$H53*factors!ET$3</f>
        <v>0.48602414729999993</v>
      </c>
      <c r="FA53" s="3">
        <f>$H53*factors!EU$3</f>
        <v>0.44673056849999992</v>
      </c>
      <c r="FB53" s="3">
        <f>$H53*factors!EV$3</f>
        <v>0.46684513859999999</v>
      </c>
      <c r="FC53" s="3">
        <f>$H53*factors!EW$3</f>
        <v>0.47994299819999997</v>
      </c>
      <c r="FD53" s="3">
        <f>$H53*factors!EX$3</f>
        <v>0.46310289300000002</v>
      </c>
      <c r="FE53" s="3">
        <f>$H53*factors!EY$3</f>
        <v>0.48789527009999994</v>
      </c>
      <c r="FF53" s="3">
        <f>$H53*factors!EZ$3</f>
        <v>0.48836305080000003</v>
      </c>
      <c r="FG53" s="3">
        <f>$H53*factors!FA$3</f>
        <v>0.44673056849999992</v>
      </c>
      <c r="FH53" s="3">
        <f>$H53*factors!FB$3</f>
        <v>0.47011960349999993</v>
      </c>
      <c r="FI53" s="3">
        <f>$H53*factors!FC$3</f>
        <v>0.4897663928999999</v>
      </c>
      <c r="FJ53" s="3">
        <f>$H53*factors!FD$3</f>
        <v>0.47011960349999993</v>
      </c>
      <c r="FK53" s="3">
        <f>$H53*factors!FE$3</f>
        <v>0.47807187540000001</v>
      </c>
      <c r="FL53" s="3">
        <f>$H53*factors!FF$3</f>
        <v>0.47947521749999999</v>
      </c>
      <c r="FM53" s="3">
        <f>$H53*factors!FG$3</f>
        <v>0.48462080519999995</v>
      </c>
      <c r="FN53" s="3">
        <f>$H53*factors!FH$3</f>
        <v>0.45327949829999997</v>
      </c>
      <c r="FO53" s="3">
        <f>$H53*factors!FI$3</f>
        <v>0.48134634029999995</v>
      </c>
      <c r="FP53" s="3">
        <f>$H53*factors!FJ$3</f>
        <v>0.46778069999999999</v>
      </c>
      <c r="FQ53" s="3">
        <f>$H53*factors!FK$3</f>
        <v>0.46310289300000002</v>
      </c>
      <c r="FR53" s="3">
        <f>$H53*factors!FL$3</f>
        <v>0.47245850699999997</v>
      </c>
      <c r="FS53" s="3">
        <f>$H53*factors!FM$3</f>
        <v>0.46965182279999995</v>
      </c>
      <c r="FT53" s="3">
        <f>$H53*factors!FN$3</f>
        <v>0.47994299819999997</v>
      </c>
      <c r="FU53" s="3">
        <f>$H53*factors!FO$3</f>
        <v>0.46123177019999995</v>
      </c>
      <c r="FV53" s="3">
        <f>$H53*factors!FP$3</f>
        <v>0.45748952459999997</v>
      </c>
      <c r="FW53" s="3">
        <f>$H53*factors!FQ$3</f>
        <v>0.4897663928999999</v>
      </c>
      <c r="FX53" s="3">
        <f>$H53*factors!FR$3</f>
        <v>0.48087855960000003</v>
      </c>
      <c r="FY53" s="3">
        <f>$H53*factors!FS$3</f>
        <v>0.47105516489999993</v>
      </c>
      <c r="FZ53" s="3">
        <f>$H53*factors!FT$3</f>
        <v>0.44766612989999999</v>
      </c>
      <c r="GA53" s="3">
        <f>$H53*factors!FU$3</f>
        <v>0.47105516489999993</v>
      </c>
      <c r="GB53" s="3">
        <f>$H53*factors!FV$3</f>
        <v>0.48836305080000003</v>
      </c>
      <c r="GC53" s="3">
        <f>$H53*factors!FW$3</f>
        <v>0.45748952459999997</v>
      </c>
      <c r="GD53" s="3">
        <f>$H53*factors!FX$3</f>
        <v>0.46544179649999995</v>
      </c>
      <c r="GE53" s="3">
        <f>$H53*factors!FY$3</f>
        <v>0.46544179649999995</v>
      </c>
      <c r="GF53" s="3">
        <f>$H53*factors!FZ$3</f>
        <v>0.46403845439999997</v>
      </c>
      <c r="GG53" s="3">
        <f>$H53*factors!GA$3</f>
        <v>0.44579500709999997</v>
      </c>
      <c r="GH53" s="3">
        <f>$H53*factors!GB$3</f>
        <v>0.47432962979999999</v>
      </c>
      <c r="GI53" s="3">
        <f>$H53*factors!GC$3</f>
        <v>0.44485944569999997</v>
      </c>
      <c r="GJ53" s="3">
        <f>$H53*factors!GD$3</f>
        <v>0.44579500709999997</v>
      </c>
      <c r="GK53" s="3">
        <f>$H53*factors!GE$3</f>
        <v>0.45702174389999994</v>
      </c>
      <c r="GL53" s="3">
        <f>$H53*factors!GF$3</f>
        <v>0.48415302449999997</v>
      </c>
      <c r="GM53" s="3">
        <f>$H53*factors!GG$3</f>
        <v>0.45889286670000001</v>
      </c>
      <c r="GN53" s="3">
        <f>$H53*factors!GH$3</f>
        <v>0.47339406840000003</v>
      </c>
      <c r="GO53" s="3">
        <f>$H53*factors!GI$3</f>
        <v>0.4471983491999999</v>
      </c>
      <c r="GP53" s="3">
        <f>$H53*factors!GJ$3</f>
        <v>0.47947521749999999</v>
      </c>
      <c r="GQ53" s="3">
        <f>$H53*factors!GK$3</f>
        <v>0.48929861220000004</v>
      </c>
      <c r="GR53" s="3">
        <f>$H53*factors!GL$3</f>
        <v>0.47994299819999997</v>
      </c>
      <c r="GS53" s="3">
        <f>$H53*factors!GM$3</f>
        <v>0.45387825759599998</v>
      </c>
      <c r="GT53" s="3">
        <f>$H53*factors!GN$3</f>
        <v>0.46433409180239998</v>
      </c>
      <c r="GU53" s="3">
        <f>$H53*factors!GO$3</f>
        <v>0.47526519119999999</v>
      </c>
      <c r="GV53" s="3">
        <f>$H53*factors!GP$3</f>
        <v>0.45625458355199999</v>
      </c>
      <c r="GW53" s="3">
        <f>$H53*factors!GQ$3</f>
        <v>0.47241360005279998</v>
      </c>
      <c r="GX53" s="3">
        <f>$H53*factors!GR$3</f>
        <v>0.46480935699359993</v>
      </c>
      <c r="GY53" s="3">
        <f>$H53*factors!GS$3</f>
        <v>0.46243303103760003</v>
      </c>
      <c r="GZ53" s="3">
        <f>$H53*factors!GT$3</f>
        <v>0.47954257792079991</v>
      </c>
      <c r="HA53" s="3">
        <f>$H53*factors!GU$3</f>
        <v>0.46385882661119998</v>
      </c>
      <c r="HB53" s="3">
        <f>$H53*factors!GV$3</f>
        <v>0.47954257792079991</v>
      </c>
      <c r="HC53" s="3">
        <f>$H53*factors!GW$3</f>
        <v>0.46766094814079995</v>
      </c>
      <c r="HD53" s="3">
        <f>$H53*factors!GX$3</f>
        <v>0.48144363868559992</v>
      </c>
      <c r="HE53" s="3">
        <f>$H53*factors!GY$3</f>
        <v>0.47526519119999999</v>
      </c>
      <c r="HF53" s="3">
        <f>$H53*factors!GZ$3</f>
        <v>0.48999841212719997</v>
      </c>
      <c r="HG53" s="3">
        <f>$H53*factors!HA$3</f>
        <v>0.47098780447919997</v>
      </c>
      <c r="HH53" s="3">
        <f>$H53*factors!HB$3</f>
        <v>0.46480935699359993</v>
      </c>
      <c r="HI53" s="3">
        <f>$H53*factors!HC$3</f>
        <v>0.45910617469920001</v>
      </c>
      <c r="HJ53" s="3">
        <f>$H53*factors!HD$3</f>
        <v>0.45387825759599998</v>
      </c>
      <c r="HK53" s="3">
        <f>$H53*factors!HE$3</f>
        <v>0.48001784311199996</v>
      </c>
      <c r="HL53" s="3">
        <f>$H53*factors!HF$3</f>
        <v>0.45245246202239991</v>
      </c>
      <c r="HM53" s="3">
        <f>$H53*factors!HG$3</f>
        <v>0.4572051139344</v>
      </c>
      <c r="HN53" s="3">
        <f>$H53*factors!HH$3</f>
        <v>0.48762208617120001</v>
      </c>
      <c r="HO53" s="3">
        <f>$H53*factors!HI$3</f>
        <v>0.46766094814079995</v>
      </c>
      <c r="HP53" s="3">
        <f>$H53*factors!HJ$3</f>
        <v>0.49902845076000002</v>
      </c>
      <c r="HQ53" s="3">
        <f>$H53*factors!HK$3</f>
        <v>0.45625458355199999</v>
      </c>
      <c r="HR53" s="3">
        <f>$H53*factors!HL$3</f>
        <v>0.48381996464160004</v>
      </c>
      <c r="HS53" s="3">
        <f>$H53*factors!HM$3</f>
        <v>0.49237473808319998</v>
      </c>
      <c r="HT53" s="3">
        <f>$H53*factors!HN$3</f>
        <v>0.45910617469920001</v>
      </c>
      <c r="HU53" s="3">
        <f>$H53*factors!HO$3</f>
        <v>0.46385882661119998</v>
      </c>
      <c r="HV53" s="3">
        <f>$H53*factors!HP$3</f>
        <v>0.46956200890560001</v>
      </c>
      <c r="HW53" s="3">
        <f>$H53*factors!HQ$3</f>
        <v>0.4762157215824</v>
      </c>
      <c r="HX53" s="3">
        <f>$H53*factors!HR$3</f>
        <v>0.49570159442159994</v>
      </c>
      <c r="HY53" s="3">
        <f>$H53*factors!HS$3</f>
        <v>0.47098780447919997</v>
      </c>
      <c r="HZ53" s="3">
        <f>$H53*factors!HT$3</f>
        <v>0.48904788174479996</v>
      </c>
      <c r="IA53" s="3">
        <f>$H53*factors!HU$3</f>
        <v>0.46528462218479999</v>
      </c>
      <c r="IB53" s="3">
        <f>$H53*factors!HV$3</f>
        <v>0.48144363868559992</v>
      </c>
      <c r="IC53" s="3">
        <f>$H53*factors!HW$3</f>
        <v>0.48619629059759994</v>
      </c>
      <c r="ID53" s="3">
        <f>$H53*factors!HX$3</f>
        <v>0.45150193163999996</v>
      </c>
      <c r="IE53" s="3">
        <f>$H53*factors!HY$3</f>
        <v>0.47954257792079991</v>
      </c>
      <c r="IF53" s="3">
        <f>$H53*factors!HZ$3</f>
        <v>0.47669098677359995</v>
      </c>
      <c r="IG53" s="3">
        <f>$H53*factors!IA$3</f>
        <v>0.47241360005279998</v>
      </c>
      <c r="IH53" s="3">
        <f>$H53*factors!IB$3</f>
        <v>0.48999841212719997</v>
      </c>
      <c r="II53" s="3">
        <f>$H53*factors!IC$3</f>
        <v>0.46908674371439996</v>
      </c>
      <c r="IJ53" s="3">
        <f>$H53*factors!ID$3</f>
        <v>0.47336413043519998</v>
      </c>
      <c r="IK53" s="3">
        <f>$H53*factors!IE$3</f>
        <v>0.49047367731839997</v>
      </c>
      <c r="IL53" s="3">
        <f>$H53*factors!IF$3</f>
        <v>0.46956200890560001</v>
      </c>
      <c r="IM53" s="3">
        <f>$H53*factors!IG$3</f>
        <v>0.46528462218479999</v>
      </c>
      <c r="IN53" s="3">
        <f>$H53*factors!IH$3</f>
        <v>0.46813621333200001</v>
      </c>
      <c r="IO53" s="3">
        <f>$H53*factors!II$3</f>
        <v>0.47288886524399998</v>
      </c>
      <c r="IP53" s="3">
        <f>$H53*factors!IJ$3</f>
        <v>0.4572051139344</v>
      </c>
      <c r="IQ53" s="3">
        <f>$H53*factors!IK$3</f>
        <v>0.45577931836079999</v>
      </c>
      <c r="IR53" s="3">
        <f>$H53*factors!IL$3</f>
        <v>0.46908674371439996</v>
      </c>
      <c r="IS53" s="3">
        <f>$H53*factors!IM$3</f>
        <v>0.47288886524399998</v>
      </c>
      <c r="IT53" s="3">
        <f>$H53*factors!IN$3</f>
        <v>0.4762157215824</v>
      </c>
      <c r="IU53" s="3">
        <f>$H53*factors!IO$3</f>
        <v>0.4866715557888</v>
      </c>
      <c r="IV53" s="3">
        <f>$H53*factors!IP$3</f>
        <v>0.49285000327439993</v>
      </c>
      <c r="IW53" s="3">
        <f>$H53*factors!IQ$3</f>
        <v>0.46575988737599994</v>
      </c>
      <c r="IX53" s="3">
        <f>$H53*factors!IR$3</f>
        <v>0.4866715557888</v>
      </c>
      <c r="IY53" s="3">
        <f>$H53*factors!IS$3</f>
        <v>0.47954257792079991</v>
      </c>
      <c r="IZ53" s="3">
        <f>$H53*factors!IT$3</f>
        <v>0.48762208617120001</v>
      </c>
      <c r="JA53" s="3">
        <f>$H53*factors!IU$3</f>
        <v>0.46053197027279996</v>
      </c>
      <c r="JB53" s="3">
        <f>$H53*factors!IV$3</f>
        <v>0.46908674371439996</v>
      </c>
      <c r="JC53" s="3">
        <f>$H53*factors!IW$3</f>
        <v>0.4581556443168</v>
      </c>
      <c r="JD53" s="3">
        <f>$H53*factors!IX$3</f>
        <v>0.49902845076000002</v>
      </c>
      <c r="JE53" s="3">
        <f>$H53*factors!IY$3</f>
        <v>0.45958143989039996</v>
      </c>
      <c r="JF53" s="3">
        <f>$H53*factors!IZ$3</f>
        <v>0.48239416906799992</v>
      </c>
      <c r="JG53" s="3">
        <f>$H53*factors!JA$3</f>
        <v>0.47383939562639993</v>
      </c>
      <c r="JH53" s="3">
        <f>$H53*factors!JB$3</f>
        <v>0.48286943425920004</v>
      </c>
      <c r="JI53" s="3">
        <f>$H53*factors!JC$3</f>
        <v>0.45197719683119997</v>
      </c>
      <c r="JJ53" s="3">
        <f>$H53*factors!JD$3</f>
        <v>0.4866715557888</v>
      </c>
      <c r="JK53" s="3">
        <f>$H53*factors!JE$3</f>
        <v>0.47098780447919997</v>
      </c>
      <c r="JL53" s="3">
        <f>$H53*factors!JF$3</f>
        <v>0.48999841212719997</v>
      </c>
      <c r="JM53" s="3">
        <f>$H53*factors!JG$3</f>
        <v>0.4572051139344</v>
      </c>
      <c r="JN53" s="3">
        <f>$H53*factors!JH$3</f>
        <v>0.4572051139344</v>
      </c>
      <c r="JO53" s="3">
        <f>$H53*factors!JI$3</f>
        <v>0.45150193163999996</v>
      </c>
      <c r="JP53" s="3">
        <f>$H53*factors!JJ$3</f>
        <v>0.48809735136239996</v>
      </c>
      <c r="JQ53" s="3">
        <f>$H53*factors!JK$3</f>
        <v>0.47574045639119994</v>
      </c>
      <c r="JR53" s="3">
        <f>$H53*factors!JL$3</f>
        <v>0.49427579884799999</v>
      </c>
      <c r="JS53" s="3">
        <f>$H53*factors!JM$3</f>
        <v>0.45150193163999996</v>
      </c>
      <c r="JT53" s="3">
        <f>$H53*factors!JN$3</f>
        <v>0.47431466081759999</v>
      </c>
      <c r="JU53" s="3">
        <f>$H53*factors!JO$3</f>
        <v>0.45863090950799995</v>
      </c>
      <c r="JV53" s="3">
        <f>$H53*factors!JP$3</f>
        <v>0.4662351525672</v>
      </c>
      <c r="JW53" s="3">
        <f>$H53*factors!JQ$3</f>
        <v>0.49807792037760001</v>
      </c>
      <c r="JX53" s="3">
        <f>$H53*factors!JR$3</f>
        <v>0.49332526846559999</v>
      </c>
      <c r="JY53" s="3">
        <f>$H53*factors!JS$3</f>
        <v>0.46433409180239998</v>
      </c>
      <c r="JZ53" s="3">
        <f>$H53*factors!JT$3</f>
        <v>0.46956200890560001</v>
      </c>
      <c r="KA53" s="3">
        <f>$H53*factors!JU$3</f>
        <v>0.47146306967040003</v>
      </c>
      <c r="KB53" s="3">
        <f>$H53*factors!JV$3</f>
        <v>0.45577931836079999</v>
      </c>
      <c r="KC53" s="3">
        <f>$H53*factors!JW$3</f>
        <v>0.4581556443168</v>
      </c>
      <c r="KD53" s="3">
        <f>$H53*factors!JX$3</f>
        <v>0.45863090950799995</v>
      </c>
      <c r="KE53" s="3">
        <f>$H53*factors!JY$3</f>
        <v>0.48809735136239996</v>
      </c>
      <c r="KF53" s="3">
        <f>$H53*factors!JZ$3</f>
        <v>0.49380053365679993</v>
      </c>
      <c r="KG53" s="3">
        <f>$H53*factors!KA$3</f>
        <v>0.4762157215824</v>
      </c>
      <c r="KH53" s="3">
        <f>$H53*factors!KB$3</f>
        <v>0.46575988737599994</v>
      </c>
      <c r="KI53" s="3">
        <f>$H53*factors!KC$3</f>
        <v>0.46148250065519991</v>
      </c>
    </row>
    <row r="54" spans="1:295" x14ac:dyDescent="0.55000000000000004">
      <c r="A54" t="s">
        <v>430</v>
      </c>
      <c r="B54">
        <v>53</v>
      </c>
      <c r="C54">
        <v>230</v>
      </c>
      <c r="D54" t="s">
        <v>377</v>
      </c>
      <c r="E54">
        <v>1.5035E-2</v>
      </c>
      <c r="F54">
        <v>53</v>
      </c>
      <c r="G54">
        <f>VLOOKUP(D54,demand_forecasted!$A$2:$G$11,2)</f>
        <v>11098</v>
      </c>
      <c r="H54" s="3">
        <f t="shared" si="1"/>
        <v>1.6685843</v>
      </c>
      <c r="I54" s="3">
        <f>$H54*factors!C$3</f>
        <v>1.8471228201000001</v>
      </c>
      <c r="J54" s="3">
        <f>$H54*factors!D$3</f>
        <v>1.780446191472</v>
      </c>
      <c r="K54" s="3">
        <f>$H54*factors!E$3</f>
        <v>1.7498109837240001</v>
      </c>
      <c r="L54" s="3">
        <f>$H54*factors!F$3</f>
        <v>1.7444047705920003</v>
      </c>
      <c r="M54" s="3">
        <f>$H54*factors!G$3</f>
        <v>1.742602699548</v>
      </c>
      <c r="N54" s="3">
        <f>$H54*factors!H$3</f>
        <v>1.79306068878</v>
      </c>
      <c r="O54" s="3">
        <f>$H54*factors!I$3</f>
        <v>1.8327062517479999</v>
      </c>
      <c r="P54" s="3">
        <f>$H54*factors!J$3</f>
        <v>1.8543311042760002</v>
      </c>
      <c r="Q54" s="3">
        <f>$H54*factors!K$3</f>
        <v>1.7408006285040001</v>
      </c>
      <c r="R54" s="3">
        <f>$H54*factors!L$3</f>
        <v>1.7119674918000001</v>
      </c>
      <c r="S54" s="3">
        <f>$H54*factors!M$3</f>
        <v>1.7822482625159999</v>
      </c>
      <c r="T54" s="3">
        <f>$H54*factors!N$3</f>
        <v>1.8435186780120001</v>
      </c>
      <c r="U54" s="3">
        <f>$H54*factors!O$3</f>
        <v>1.7462068416360002</v>
      </c>
      <c r="V54" s="3">
        <f>$H54*factors!P$3</f>
        <v>1.8164876123520002</v>
      </c>
      <c r="W54" s="3">
        <f>$H54*factors!Q$3</f>
        <v>1.8327062517479999</v>
      </c>
      <c r="X54" s="3">
        <f>$H54*factors!R$3</f>
        <v>1.7534151258120001</v>
      </c>
      <c r="Y54" s="3">
        <f>$H54*factors!S$3</f>
        <v>1.7371964864160001</v>
      </c>
      <c r="Z54" s="3">
        <f>$H54*factors!T$3</f>
        <v>1.8741538857600004</v>
      </c>
      <c r="AA54" s="3">
        <f>$H54*factors!U$3</f>
        <v>1.7696337652079999</v>
      </c>
      <c r="AB54" s="3">
        <f>$H54*factors!V$3</f>
        <v>1.7714358362520002</v>
      </c>
      <c r="AC54" s="3">
        <f>$H54*factors!W$3</f>
        <v>1.7732379072960003</v>
      </c>
      <c r="AD54" s="3">
        <f>$H54*factors!X$3</f>
        <v>1.7353944153720002</v>
      </c>
      <c r="AE54" s="3">
        <f>$H54*factors!Y$3</f>
        <v>1.7498109837240001</v>
      </c>
      <c r="AF54" s="3">
        <f>$H54*factors!Z$3</f>
        <v>1.7858524046040003</v>
      </c>
      <c r="AG54" s="3">
        <f>$H54*factors!AA$3</f>
        <v>1.7408006285040001</v>
      </c>
      <c r="AH54" s="3">
        <f>$H54*factors!AB$3</f>
        <v>1.7335923443280001</v>
      </c>
      <c r="AI54" s="3">
        <f>$H54*factors!AC$3</f>
        <v>1.789456546692</v>
      </c>
      <c r="AJ54" s="3">
        <f>$H54*factors!AD$3</f>
        <v>1.857935246364</v>
      </c>
      <c r="AK54" s="3">
        <f>$H54*factors!AE$3</f>
        <v>1.7876544756480002</v>
      </c>
      <c r="AL54" s="3">
        <f>$H54*factors!AF$3</f>
        <v>1.7173737049319999</v>
      </c>
      <c r="AM54" s="3">
        <f>$H54*factors!AG$3</f>
        <v>1.7660296231200001</v>
      </c>
      <c r="AN54" s="3">
        <f>$H54*factors!AH$3</f>
        <v>1.7371964864160001</v>
      </c>
      <c r="AO54" s="3">
        <f>$H54*factors!AI$3</f>
        <v>1.8200917544399999</v>
      </c>
      <c r="AP54" s="3">
        <f>$H54*factors!AJ$3</f>
        <v>1.7444047705920003</v>
      </c>
      <c r="AQ54" s="3">
        <f>$H54*factors!AK$3</f>
        <v>1.8002689729560002</v>
      </c>
      <c r="AR54" s="3">
        <f>$H54*factors!AL$3</f>
        <v>1.7606234099880003</v>
      </c>
      <c r="AS54" s="3">
        <f>$H54*factors!AM$3</f>
        <v>1.7173737049319999</v>
      </c>
      <c r="AT54" s="3">
        <f>$H54*factors!AN$3</f>
        <v>1.7714358362520002</v>
      </c>
      <c r="AU54" s="3">
        <f>$H54*factors!AO$3</f>
        <v>1.8759559568039998</v>
      </c>
      <c r="AV54" s="3">
        <f>$H54*factors!AP$3</f>
        <v>1.7732379072960003</v>
      </c>
      <c r="AW54" s="3">
        <f>$H54*factors!AQ$3</f>
        <v>1.755217196856</v>
      </c>
      <c r="AX54" s="3">
        <f>$H54*factors!AR$3</f>
        <v>1.8561331753200001</v>
      </c>
      <c r="AY54" s="3">
        <f>$H54*factors!AS$3</f>
        <v>1.7119674918000001</v>
      </c>
      <c r="AZ54" s="3">
        <f>$H54*factors!AT$3</f>
        <v>1.8345083227920003</v>
      </c>
      <c r="BA54" s="3">
        <f>$H54*factors!AU$3</f>
        <v>1.7948627598239999</v>
      </c>
      <c r="BB54" s="3">
        <f>$H54*factors!AV$3</f>
        <v>1.7714358362520002</v>
      </c>
      <c r="BC54" s="3">
        <f>$H54*factors!AW$3</f>
        <v>1.8741538857600004</v>
      </c>
      <c r="BD54" s="3">
        <f>$H54*factors!AX$3</f>
        <v>1.7299882022399999</v>
      </c>
      <c r="BE54" s="3">
        <f>$H54*factors!AY$3</f>
        <v>2.033904146642</v>
      </c>
      <c r="BF54" s="3">
        <f>$H54*factors!AZ$3</f>
        <v>1.8941101539879999</v>
      </c>
      <c r="BG54" s="3">
        <f>$H54*factors!BA$3</f>
        <v>1.9216751666239997</v>
      </c>
      <c r="BH54" s="3">
        <f>$H54*factors!BB$3</f>
        <v>1.9472712497859999</v>
      </c>
      <c r="BI54" s="3">
        <f>$H54*factors!BC$3</f>
        <v>2.0181527108499995</v>
      </c>
      <c r="BJ54" s="3">
        <f>$H54*factors!BD$3</f>
        <v>1.9275819550459998</v>
      </c>
      <c r="BK54" s="3">
        <f>$H54*factors!BE$3</f>
        <v>1.9315198139939997</v>
      </c>
      <c r="BL54" s="3">
        <f>$H54*factors!BF$3</f>
        <v>1.9098615897799998</v>
      </c>
      <c r="BM54" s="3">
        <f>$H54*factors!BG$3</f>
        <v>2.0398109350640001</v>
      </c>
      <c r="BN54" s="3">
        <f>$H54*factors!BH$3</f>
        <v>2.014214851902</v>
      </c>
      <c r="BO54" s="3">
        <f>$H54*factors!BI$3</f>
        <v>1.8941101539879999</v>
      </c>
      <c r="BP54" s="3">
        <f>$H54*factors!BJ$3</f>
        <v>1.8882033655659998</v>
      </c>
      <c r="BQ54" s="3">
        <f>$H54*factors!BK$3</f>
        <v>1.9197062371499998</v>
      </c>
      <c r="BR54" s="3">
        <f>$H54*factors!BL$3</f>
        <v>1.9886187687399999</v>
      </c>
      <c r="BS54" s="3">
        <f>$H54*factors!BM$3</f>
        <v>2.0201216403240001</v>
      </c>
      <c r="BT54" s="3">
        <f>$H54*factors!BN$3</f>
        <v>2.0260284287459998</v>
      </c>
      <c r="BU54" s="3">
        <f>$H54*factors!BO$3</f>
        <v>2.0595002298040002</v>
      </c>
      <c r="BV54" s="3">
        <f>$H54*factors!BP$3</f>
        <v>1.9157683782019999</v>
      </c>
      <c r="BW54" s="3">
        <f>$H54*factors!BQ$3</f>
        <v>1.9590848266299998</v>
      </c>
      <c r="BX54" s="3">
        <f>$H54*factors!BR$3</f>
        <v>1.9216751666239997</v>
      </c>
      <c r="BY54" s="3">
        <f>$H54*factors!BS$3</f>
        <v>2.0102769929539996</v>
      </c>
      <c r="BZ54" s="3">
        <f>$H54*factors!BT$3</f>
        <v>1.9728673329479998</v>
      </c>
      <c r="CA54" s="3">
        <f>$H54*factors!BU$3</f>
        <v>1.9472712497859999</v>
      </c>
      <c r="CB54" s="3">
        <f>$H54*factors!BV$3</f>
        <v>1.8842655066179999</v>
      </c>
      <c r="CC54" s="3">
        <f>$H54*factors!BW$3</f>
        <v>1.9393955318899998</v>
      </c>
      <c r="CD54" s="3">
        <f>$H54*factors!BX$3</f>
        <v>1.9453023203119999</v>
      </c>
      <c r="CE54" s="3">
        <f>$H54*factors!BY$3</f>
        <v>1.9728673329479998</v>
      </c>
      <c r="CF54" s="3">
        <f>$H54*factors!BZ$3</f>
        <v>1.9433333908380002</v>
      </c>
      <c r="CG54" s="3">
        <f>$H54*factors!CA$3</f>
        <v>1.8783587181959998</v>
      </c>
      <c r="CH54" s="3">
        <f>$H54*factors!CB$3</f>
        <v>1.8803276476699997</v>
      </c>
      <c r="CI54" s="3">
        <f>$H54*factors!CC$3</f>
        <v>1.8704830002999999</v>
      </c>
      <c r="CJ54" s="3">
        <f>$H54*factors!CD$3</f>
        <v>1.9472712497859999</v>
      </c>
      <c r="CK54" s="3">
        <f>$H54*factors!CE$3</f>
        <v>2.033904146642</v>
      </c>
      <c r="CL54" s="3">
        <f>$H54*factors!CF$3</f>
        <v>1.9059237308319998</v>
      </c>
      <c r="CM54" s="3">
        <f>$H54*factors!CG$3</f>
        <v>1.9512091087339998</v>
      </c>
      <c r="CN54" s="3">
        <f>$H54*factors!CH$3</f>
        <v>1.8862344360919998</v>
      </c>
      <c r="CO54" s="3">
        <f>$H54*factors!CI$3</f>
        <v>1.9000169424099997</v>
      </c>
      <c r="CP54" s="3">
        <f>$H54*factors!CJ$3</f>
        <v>1.9905876982139996</v>
      </c>
      <c r="CQ54" s="3">
        <f>$H54*factors!CK$3</f>
        <v>1.9315198139939997</v>
      </c>
      <c r="CR54" s="3">
        <f>$H54*factors!CL$3</f>
        <v>1.9925566276879998</v>
      </c>
      <c r="CS54" s="3">
        <f>$H54*factors!CM$3</f>
        <v>2.0555623708559998</v>
      </c>
      <c r="CT54" s="3">
        <f>$H54*factors!CN$3</f>
        <v>2.0319352171679999</v>
      </c>
      <c r="CU54" s="3">
        <f>$H54*factors!CO$3</f>
        <v>1.9866498392659997</v>
      </c>
      <c r="CV54" s="3">
        <f>$H54*factors!CP$3</f>
        <v>2.0673759477</v>
      </c>
      <c r="CW54" s="3">
        <f>$H54*factors!CQ$3</f>
        <v>1.9551469676820001</v>
      </c>
      <c r="CX54" s="3">
        <f>$H54*factors!CR$3</f>
        <v>1.9256130255719999</v>
      </c>
      <c r="CY54" s="3">
        <f>$H54*factors!CS$3</f>
        <v>1.9078926603059998</v>
      </c>
      <c r="CZ54" s="3">
        <f>$H54*factors!CT$3</f>
        <v>1.8803276476699997</v>
      </c>
      <c r="DA54" s="3">
        <f>$H54*factors!CU$3</f>
        <v>1.952243631</v>
      </c>
      <c r="DB54" s="3">
        <f>$H54*factors!CV$3</f>
        <v>2.0783886040800001</v>
      </c>
      <c r="DC54" s="3">
        <f>$H54*factors!CW$3</f>
        <v>1.9902873530399998</v>
      </c>
      <c r="DD54" s="3">
        <f>$H54*factors!CX$3</f>
        <v>1.9762712449199999</v>
      </c>
      <c r="DE54" s="3">
        <f>$H54*factors!CY$3</f>
        <v>2.03433797856</v>
      </c>
      <c r="DF54" s="3">
        <f>$H54*factors!CZ$3</f>
        <v>2.0303333762399998</v>
      </c>
      <c r="DG54" s="3">
        <f>$H54*factors!DA$3</f>
        <v>2.0223241715999998</v>
      </c>
      <c r="DH54" s="3">
        <f>$H54*factors!DB$3</f>
        <v>2.0223241715999998</v>
      </c>
      <c r="DI54" s="3">
        <f>$H54*factors!DC$3</f>
        <v>1.9462367275199999</v>
      </c>
      <c r="DJ54" s="3">
        <f>$H54*factors!DD$3</f>
        <v>2.0623701948000002</v>
      </c>
      <c r="DK54" s="3">
        <f>$H54*factors!DE$3</f>
        <v>2.0623701948000002</v>
      </c>
      <c r="DL54" s="3">
        <f>$H54*factors!DF$3</f>
        <v>2.0383425808800002</v>
      </c>
      <c r="DM54" s="3">
        <f>$H54*factors!DG$3</f>
        <v>1.9202068124399998</v>
      </c>
      <c r="DN54" s="3">
        <f>$H54*factors!DH$3</f>
        <v>2.0143149669600002</v>
      </c>
      <c r="DO54" s="3">
        <f>$H54*factors!DI$3</f>
        <v>2.0803909052399998</v>
      </c>
      <c r="DP54" s="3">
        <f>$H54*factors!DJ$3</f>
        <v>2.0623701948000002</v>
      </c>
      <c r="DQ54" s="3">
        <f>$H54*factors!DK$3</f>
        <v>1.9662597391199998</v>
      </c>
      <c r="DR54" s="3">
        <f>$H54*factors!DL$3</f>
        <v>1.94423442636</v>
      </c>
      <c r="DS54" s="3">
        <f>$H54*factors!DM$3</f>
        <v>2.10041391684</v>
      </c>
      <c r="DT54" s="3">
        <f>$H54*factors!DN$3</f>
        <v>1.9742689437600001</v>
      </c>
      <c r="DU54" s="3">
        <f>$H54*factors!DO$3</f>
        <v>2.0663747971199999</v>
      </c>
      <c r="DV54" s="3">
        <f>$H54*factors!DP$3</f>
        <v>2.01831956928</v>
      </c>
      <c r="DW54" s="3">
        <f>$H54*factors!DQ$3</f>
        <v>1.9262137159199999</v>
      </c>
      <c r="DX54" s="3">
        <f>$H54*factors!DR$3</f>
        <v>2.0403448820399999</v>
      </c>
      <c r="DY54" s="3">
        <f>$H54*factors!DS$3</f>
        <v>1.9362252217199998</v>
      </c>
      <c r="DZ54" s="3">
        <f>$H54*factors!DT$3</f>
        <v>2.0703793994399997</v>
      </c>
      <c r="EA54" s="3">
        <f>$H54*factors!DU$3</f>
        <v>1.9502413298399996</v>
      </c>
      <c r="EB54" s="3">
        <f>$H54*factors!DV$3</f>
        <v>1.9021861019999999</v>
      </c>
      <c r="EC54" s="3">
        <f>$H54*factors!DW$3</f>
        <v>2.0463517855199997</v>
      </c>
      <c r="ED54" s="3">
        <f>$H54*factors!DX$3</f>
        <v>1.9202068124399998</v>
      </c>
      <c r="EE54" s="3">
        <f>$H54*factors!DY$3</f>
        <v>1.9362252217199998</v>
      </c>
      <c r="EF54" s="3">
        <f>$H54*factors!DZ$3</f>
        <v>2.10041391684</v>
      </c>
      <c r="EG54" s="3">
        <f>$H54*factors!EA$3</f>
        <v>1.9622551367999999</v>
      </c>
      <c r="EH54" s="3">
        <f>$H54*factors!EB$3</f>
        <v>1.96826204028</v>
      </c>
      <c r="EI54" s="3">
        <f>$H54*factors!EC$3</f>
        <v>1.96425743796</v>
      </c>
      <c r="EJ54" s="3">
        <f>$H54*factors!ED$3</f>
        <v>1.9141999089599999</v>
      </c>
      <c r="EK54" s="3">
        <f>$H54*factors!EE$3</f>
        <v>2.0463517855199997</v>
      </c>
      <c r="EL54" s="3">
        <f>$H54*factors!EF$3</f>
        <v>1.9462367275199999</v>
      </c>
      <c r="EM54" s="3">
        <f>$H54*factors!EG$3</f>
        <v>2.0243264727599999</v>
      </c>
      <c r="EN54" s="3">
        <f>$H54*factors!EH$3</f>
        <v>1.9021861019999999</v>
      </c>
      <c r="EO54" s="3">
        <f>$H54*factors!EI$3</f>
        <v>1.9302183182399997</v>
      </c>
      <c r="EP54" s="3">
        <f>$H54*factors!EJ$3</f>
        <v>2.0363402797200001</v>
      </c>
      <c r="EQ54" s="3">
        <f>$H54*factors!EK$3</f>
        <v>1.9802758472399997</v>
      </c>
      <c r="ER54" s="3">
        <f>$H54*factors!EL$3</f>
        <v>2.0623701948000002</v>
      </c>
      <c r="ES54" s="3">
        <f>$H54*factors!EM$3</f>
        <v>2.0363402797200001</v>
      </c>
      <c r="ET54" s="3">
        <f>$H54*factors!EN$3</f>
        <v>2.0823932063999999</v>
      </c>
      <c r="EU54" s="3">
        <f>$H54*factors!EO$3</f>
        <v>2.1024162180000001</v>
      </c>
      <c r="EV54" s="3">
        <f>$H54*factors!EP$3</f>
        <v>1.9702643414399998</v>
      </c>
      <c r="EW54" s="3">
        <f>$H54*factors!EQ$3</f>
        <v>2.1670738596249999</v>
      </c>
      <c r="EX54" s="3">
        <f>$H54*factors!ER$3</f>
        <v>2.1441308255000004</v>
      </c>
      <c r="EY54" s="3">
        <f>$H54*factors!ES$3</f>
        <v>2.1879311633749996</v>
      </c>
      <c r="EZ54" s="3">
        <f>$H54*factors!ET$3</f>
        <v>2.1670738596249999</v>
      </c>
      <c r="FA54" s="3">
        <f>$H54*factors!EU$3</f>
        <v>1.9918725081249997</v>
      </c>
      <c r="FB54" s="3">
        <f>$H54*factors!EV$3</f>
        <v>2.0815589142499999</v>
      </c>
      <c r="FC54" s="3">
        <f>$H54*factors!EW$3</f>
        <v>2.1399593647500001</v>
      </c>
      <c r="FD54" s="3">
        <f>$H54*factors!EX$3</f>
        <v>2.0648730712500001</v>
      </c>
      <c r="FE54" s="3">
        <f>$H54*factors!EY$3</f>
        <v>2.175416781125</v>
      </c>
      <c r="FF54" s="3">
        <f>$H54*factors!EZ$3</f>
        <v>2.1775025115000002</v>
      </c>
      <c r="FG54" s="3">
        <f>$H54*factors!FA$3</f>
        <v>1.9918725081249997</v>
      </c>
      <c r="FH54" s="3">
        <f>$H54*factors!FB$3</f>
        <v>2.0961590268749997</v>
      </c>
      <c r="FI54" s="3">
        <f>$H54*factors!FC$3</f>
        <v>2.1837597026249997</v>
      </c>
      <c r="FJ54" s="3">
        <f>$H54*factors!FD$3</f>
        <v>2.0961590268749997</v>
      </c>
      <c r="FK54" s="3">
        <f>$H54*factors!FE$3</f>
        <v>2.13161644325</v>
      </c>
      <c r="FL54" s="3">
        <f>$H54*factors!FF$3</f>
        <v>2.137873634375</v>
      </c>
      <c r="FM54" s="3">
        <f>$H54*factors!FG$3</f>
        <v>2.1608166684999999</v>
      </c>
      <c r="FN54" s="3">
        <f>$H54*factors!FH$3</f>
        <v>2.021072733375</v>
      </c>
      <c r="FO54" s="3">
        <f>$H54*factors!FI$3</f>
        <v>2.1462165558749997</v>
      </c>
      <c r="FP54" s="3">
        <f>$H54*factors!FJ$3</f>
        <v>2.0857303749999998</v>
      </c>
      <c r="FQ54" s="3">
        <f>$H54*factors!FK$3</f>
        <v>2.0648730712500001</v>
      </c>
      <c r="FR54" s="3">
        <f>$H54*factors!FL$3</f>
        <v>2.10658767875</v>
      </c>
      <c r="FS54" s="3">
        <f>$H54*factors!FM$3</f>
        <v>2.0940732965</v>
      </c>
      <c r="FT54" s="3">
        <f>$H54*factors!FN$3</f>
        <v>2.1399593647500001</v>
      </c>
      <c r="FU54" s="3">
        <f>$H54*factors!FO$3</f>
        <v>2.0565301497499999</v>
      </c>
      <c r="FV54" s="3">
        <f>$H54*factors!FP$3</f>
        <v>2.0398443067500001</v>
      </c>
      <c r="FW54" s="3">
        <f>$H54*factors!FQ$3</f>
        <v>2.1837597026249997</v>
      </c>
      <c r="FX54" s="3">
        <f>$H54*factors!FR$3</f>
        <v>2.1441308255000004</v>
      </c>
      <c r="FY54" s="3">
        <f>$H54*factors!FS$3</f>
        <v>2.1003304876249995</v>
      </c>
      <c r="FZ54" s="3">
        <f>$H54*factors!FT$3</f>
        <v>1.996043968875</v>
      </c>
      <c r="GA54" s="3">
        <f>$H54*factors!FU$3</f>
        <v>2.1003304876249995</v>
      </c>
      <c r="GB54" s="3">
        <f>$H54*factors!FV$3</f>
        <v>2.1775025115000002</v>
      </c>
      <c r="GC54" s="3">
        <f>$H54*factors!FW$3</f>
        <v>2.0398443067500001</v>
      </c>
      <c r="GD54" s="3">
        <f>$H54*factors!FX$3</f>
        <v>2.0753017231249999</v>
      </c>
      <c r="GE54" s="3">
        <f>$H54*factors!FY$3</f>
        <v>2.0753017231249999</v>
      </c>
      <c r="GF54" s="3">
        <f>$H54*factors!FZ$3</f>
        <v>2.0690445319999999</v>
      </c>
      <c r="GG54" s="3">
        <f>$H54*factors!GA$3</f>
        <v>1.9877010473749999</v>
      </c>
      <c r="GH54" s="3">
        <f>$H54*factors!GB$3</f>
        <v>2.1149306002500001</v>
      </c>
      <c r="GI54" s="3">
        <f>$H54*factors!GC$3</f>
        <v>1.983529586625</v>
      </c>
      <c r="GJ54" s="3">
        <f>$H54*factors!GD$3</f>
        <v>1.9877010473749999</v>
      </c>
      <c r="GK54" s="3">
        <f>$H54*factors!GE$3</f>
        <v>2.0377585763749999</v>
      </c>
      <c r="GL54" s="3">
        <f>$H54*factors!GF$3</f>
        <v>2.1587309381250002</v>
      </c>
      <c r="GM54" s="3">
        <f>$H54*factors!GG$3</f>
        <v>2.0461014978750001</v>
      </c>
      <c r="GN54" s="3">
        <f>$H54*factors!GH$3</f>
        <v>2.1107591395000003</v>
      </c>
      <c r="GO54" s="3">
        <f>$H54*factors!GI$3</f>
        <v>1.9939582384999996</v>
      </c>
      <c r="GP54" s="3">
        <f>$H54*factors!GJ$3</f>
        <v>2.137873634375</v>
      </c>
      <c r="GQ54" s="3">
        <f>$H54*factors!GK$3</f>
        <v>2.18167397225</v>
      </c>
      <c r="GR54" s="3">
        <f>$H54*factors!GL$3</f>
        <v>2.1399593647500001</v>
      </c>
      <c r="GS54" s="3">
        <f>$H54*factors!GM$3</f>
        <v>2.023742468255</v>
      </c>
      <c r="GT54" s="3">
        <f>$H54*factors!GN$3</f>
        <v>2.070362713597</v>
      </c>
      <c r="GU54" s="3">
        <f>$H54*factors!GO$3</f>
        <v>2.119102061</v>
      </c>
      <c r="GV54" s="3">
        <f>$H54*factors!GP$3</f>
        <v>2.03433797856</v>
      </c>
      <c r="GW54" s="3">
        <f>$H54*factors!GQ$3</f>
        <v>2.106387448634</v>
      </c>
      <c r="GX54" s="3">
        <f>$H54*factors!GR$3</f>
        <v>2.072481815658</v>
      </c>
      <c r="GY54" s="3">
        <f>$H54*factors!GS$3</f>
        <v>2.0618863053530001</v>
      </c>
      <c r="GZ54" s="3">
        <f>$H54*factors!GT$3</f>
        <v>2.1381739795489998</v>
      </c>
      <c r="HA54" s="3">
        <f>$H54*factors!GU$3</f>
        <v>2.0682436115359999</v>
      </c>
      <c r="HB54" s="3">
        <f>$H54*factors!GV$3</f>
        <v>2.1381739795489998</v>
      </c>
      <c r="HC54" s="3">
        <f>$H54*factors!GW$3</f>
        <v>2.0851964280240001</v>
      </c>
      <c r="HD54" s="3">
        <f>$H54*factors!GX$3</f>
        <v>2.1466503877929997</v>
      </c>
      <c r="HE54" s="3">
        <f>$H54*factors!GY$3</f>
        <v>2.119102061</v>
      </c>
      <c r="HF54" s="3">
        <f>$H54*factors!GZ$3</f>
        <v>2.1847942248909997</v>
      </c>
      <c r="HG54" s="3">
        <f>$H54*factors!HA$3</f>
        <v>2.1000301424510002</v>
      </c>
      <c r="HH54" s="3">
        <f>$H54*factors!HB$3</f>
        <v>2.072481815658</v>
      </c>
      <c r="HI54" s="3">
        <f>$H54*factors!HC$3</f>
        <v>2.047052590926</v>
      </c>
      <c r="HJ54" s="3">
        <f>$H54*factors!HD$3</f>
        <v>2.023742468255</v>
      </c>
      <c r="HK54" s="3">
        <f>$H54*factors!HE$3</f>
        <v>2.1402930816099999</v>
      </c>
      <c r="HL54" s="3">
        <f>$H54*factors!HF$3</f>
        <v>2.0173851620719998</v>
      </c>
      <c r="HM54" s="3">
        <f>$H54*factors!HG$3</f>
        <v>2.0385761826820001</v>
      </c>
      <c r="HN54" s="3">
        <f>$H54*factors!HH$3</f>
        <v>2.1741987145860002</v>
      </c>
      <c r="HO54" s="3">
        <f>$H54*factors!HI$3</f>
        <v>2.0851964280240001</v>
      </c>
      <c r="HP54" s="3">
        <f>$H54*factors!HJ$3</f>
        <v>2.2250571640500003</v>
      </c>
      <c r="HQ54" s="3">
        <f>$H54*factors!HK$3</f>
        <v>2.03433797856</v>
      </c>
      <c r="HR54" s="3">
        <f>$H54*factors!HL$3</f>
        <v>2.157245898098</v>
      </c>
      <c r="HS54" s="3">
        <f>$H54*factors!HM$3</f>
        <v>2.1953897351960001</v>
      </c>
      <c r="HT54" s="3">
        <f>$H54*factors!HN$3</f>
        <v>2.047052590926</v>
      </c>
      <c r="HU54" s="3">
        <f>$H54*factors!HO$3</f>
        <v>2.0682436115359999</v>
      </c>
      <c r="HV54" s="3">
        <f>$H54*factors!HP$3</f>
        <v>2.0936728362680004</v>
      </c>
      <c r="HW54" s="3">
        <f>$H54*factors!HQ$3</f>
        <v>2.1233402651220001</v>
      </c>
      <c r="HX54" s="3">
        <f>$H54*factors!HR$3</f>
        <v>2.2102234496229998</v>
      </c>
      <c r="HY54" s="3">
        <f>$H54*factors!HS$3</f>
        <v>2.1000301424510002</v>
      </c>
      <c r="HZ54" s="3">
        <f>$H54*factors!HT$3</f>
        <v>2.180556020769</v>
      </c>
      <c r="IA54" s="3">
        <f>$H54*factors!HU$3</f>
        <v>2.0746009177190001</v>
      </c>
      <c r="IB54" s="3">
        <f>$H54*factors!HV$3</f>
        <v>2.1466503877929997</v>
      </c>
      <c r="IC54" s="3">
        <f>$H54*factors!HW$3</f>
        <v>2.167841408403</v>
      </c>
      <c r="ID54" s="3">
        <f>$H54*factors!HX$3</f>
        <v>2.0131469579499996</v>
      </c>
      <c r="IE54" s="3">
        <f>$H54*factors!HY$3</f>
        <v>2.1381739795489998</v>
      </c>
      <c r="IF54" s="3">
        <f>$H54*factors!HZ$3</f>
        <v>2.1254593671829998</v>
      </c>
      <c r="IG54" s="3">
        <f>$H54*factors!IA$3</f>
        <v>2.106387448634</v>
      </c>
      <c r="IH54" s="3">
        <f>$H54*factors!IB$3</f>
        <v>2.1847942248909997</v>
      </c>
      <c r="II54" s="3">
        <f>$H54*factors!IC$3</f>
        <v>2.0915537342069999</v>
      </c>
      <c r="IJ54" s="3">
        <f>$H54*factors!ID$3</f>
        <v>2.1106256527560001</v>
      </c>
      <c r="IK54" s="3">
        <f>$H54*factors!IE$3</f>
        <v>2.1869133269520002</v>
      </c>
      <c r="IL54" s="3">
        <f>$H54*factors!IF$3</f>
        <v>2.0936728362680004</v>
      </c>
      <c r="IM54" s="3">
        <f>$H54*factors!IG$3</f>
        <v>2.0746009177190001</v>
      </c>
      <c r="IN54" s="3">
        <f>$H54*factors!IH$3</f>
        <v>2.0873155300850001</v>
      </c>
      <c r="IO54" s="3">
        <f>$H54*factors!II$3</f>
        <v>2.108506550695</v>
      </c>
      <c r="IP54" s="3">
        <f>$H54*factors!IJ$3</f>
        <v>2.0385761826820001</v>
      </c>
      <c r="IQ54" s="3">
        <f>$H54*factors!IK$3</f>
        <v>2.0322188764989999</v>
      </c>
      <c r="IR54" s="3">
        <f>$H54*factors!IL$3</f>
        <v>2.0915537342069999</v>
      </c>
      <c r="IS54" s="3">
        <f>$H54*factors!IM$3</f>
        <v>2.108506550695</v>
      </c>
      <c r="IT54" s="3">
        <f>$H54*factors!IN$3</f>
        <v>2.1233402651220001</v>
      </c>
      <c r="IU54" s="3">
        <f>$H54*factors!IO$3</f>
        <v>2.1699605104640001</v>
      </c>
      <c r="IV54" s="3">
        <f>$H54*factors!IP$3</f>
        <v>2.1975088372569997</v>
      </c>
      <c r="IW54" s="3">
        <f>$H54*factors!IQ$3</f>
        <v>2.0767200197799998</v>
      </c>
      <c r="IX54" s="3">
        <f>$H54*factors!IR$3</f>
        <v>2.1699605104640001</v>
      </c>
      <c r="IY54" s="3">
        <f>$H54*factors!IS$3</f>
        <v>2.1381739795489998</v>
      </c>
      <c r="IZ54" s="3">
        <f>$H54*factors!IT$3</f>
        <v>2.1741987145860002</v>
      </c>
      <c r="JA54" s="3">
        <f>$H54*factors!IU$3</f>
        <v>2.0534098971089998</v>
      </c>
      <c r="JB54" s="3">
        <f>$H54*factors!IV$3</f>
        <v>2.0915537342069999</v>
      </c>
      <c r="JC54" s="3">
        <f>$H54*factors!IW$3</f>
        <v>2.0428143868040003</v>
      </c>
      <c r="JD54" s="3">
        <f>$H54*factors!IX$3</f>
        <v>2.2250571640500003</v>
      </c>
      <c r="JE54" s="3">
        <f>$H54*factors!IY$3</f>
        <v>2.0491716929870001</v>
      </c>
      <c r="JF54" s="3">
        <f>$H54*factors!IZ$3</f>
        <v>2.1508885919149998</v>
      </c>
      <c r="JG54" s="3">
        <f>$H54*factors!JA$3</f>
        <v>2.1127447548169997</v>
      </c>
      <c r="JH54" s="3">
        <f>$H54*factors!JB$3</f>
        <v>2.1530076939760003</v>
      </c>
      <c r="JI54" s="3">
        <f>$H54*factors!JC$3</f>
        <v>2.0152660600110002</v>
      </c>
      <c r="JJ54" s="3">
        <f>$H54*factors!JD$3</f>
        <v>2.1699605104640001</v>
      </c>
      <c r="JK54" s="3">
        <f>$H54*factors!JE$3</f>
        <v>2.1000301424510002</v>
      </c>
      <c r="JL54" s="3">
        <f>$H54*factors!JF$3</f>
        <v>2.1847942248909997</v>
      </c>
      <c r="JM54" s="3">
        <f>$H54*factors!JG$3</f>
        <v>2.0385761826820001</v>
      </c>
      <c r="JN54" s="3">
        <f>$H54*factors!JH$3</f>
        <v>2.0385761826820001</v>
      </c>
      <c r="JO54" s="3">
        <f>$H54*factors!JI$3</f>
        <v>2.0131469579499996</v>
      </c>
      <c r="JP54" s="3">
        <f>$H54*factors!JJ$3</f>
        <v>2.1763178166469999</v>
      </c>
      <c r="JQ54" s="3">
        <f>$H54*factors!JK$3</f>
        <v>2.1212211630610001</v>
      </c>
      <c r="JR54" s="3">
        <f>$H54*factors!JL$3</f>
        <v>2.20386614344</v>
      </c>
      <c r="JS54" s="3">
        <f>$H54*factors!JM$3</f>
        <v>2.0131469579499996</v>
      </c>
      <c r="JT54" s="3">
        <f>$H54*factors!JN$3</f>
        <v>2.1148638568780003</v>
      </c>
      <c r="JU54" s="3">
        <f>$H54*factors!JO$3</f>
        <v>2.0449334888649999</v>
      </c>
      <c r="JV54" s="3">
        <f>$H54*factors!JP$3</f>
        <v>2.0788391218410003</v>
      </c>
      <c r="JW54" s="3">
        <f>$H54*factors!JQ$3</f>
        <v>2.2208189599280002</v>
      </c>
      <c r="JX54" s="3">
        <f>$H54*factors!JR$3</f>
        <v>2.1996279393179998</v>
      </c>
      <c r="JY54" s="3">
        <f>$H54*factors!JS$3</f>
        <v>2.070362713597</v>
      </c>
      <c r="JZ54" s="3">
        <f>$H54*factors!JT$3</f>
        <v>2.0936728362680004</v>
      </c>
      <c r="KA54" s="3">
        <f>$H54*factors!JU$3</f>
        <v>2.1021492445120002</v>
      </c>
      <c r="KB54" s="3">
        <f>$H54*factors!JV$3</f>
        <v>2.0322188764989999</v>
      </c>
      <c r="KC54" s="3">
        <f>$H54*factors!JW$3</f>
        <v>2.0428143868040003</v>
      </c>
      <c r="KD54" s="3">
        <f>$H54*factors!JX$3</f>
        <v>2.0449334888649999</v>
      </c>
      <c r="KE54" s="3">
        <f>$H54*factors!JY$3</f>
        <v>2.1763178166469999</v>
      </c>
      <c r="KF54" s="3">
        <f>$H54*factors!JZ$3</f>
        <v>2.2017470413789999</v>
      </c>
      <c r="KG54" s="3">
        <f>$H54*factors!KA$3</f>
        <v>2.1233402651220001</v>
      </c>
      <c r="KH54" s="3">
        <f>$H54*factors!KB$3</f>
        <v>2.0767200197799998</v>
      </c>
      <c r="KI54" s="3">
        <f>$H54*factors!KC$3</f>
        <v>2.0576481012309999</v>
      </c>
    </row>
    <row r="55" spans="1:295" x14ac:dyDescent="0.55000000000000004">
      <c r="A55" t="s">
        <v>431</v>
      </c>
      <c r="B55">
        <v>54</v>
      </c>
      <c r="C55">
        <v>230</v>
      </c>
      <c r="D55" t="s">
        <v>377</v>
      </c>
      <c r="E55">
        <v>2.578E-3</v>
      </c>
      <c r="F55">
        <v>54</v>
      </c>
      <c r="G55">
        <f>VLOOKUP(D55,demand_forecasted!$A$2:$G$11,2)</f>
        <v>11098</v>
      </c>
      <c r="H55" s="3">
        <f t="shared" si="1"/>
        <v>0.28610644000000002</v>
      </c>
      <c r="I55" s="3">
        <f>$H55*factors!C$3</f>
        <v>0.31671982908000001</v>
      </c>
      <c r="J55" s="3">
        <f>$H55*factors!D$3</f>
        <v>0.30528701573760003</v>
      </c>
      <c r="K55" s="3">
        <f>$H55*factors!E$3</f>
        <v>0.30003410149920001</v>
      </c>
      <c r="L55" s="3">
        <f>$H55*factors!F$3</f>
        <v>0.29910711663360007</v>
      </c>
      <c r="M55" s="3">
        <f>$H55*factors!G$3</f>
        <v>0.29879812167840003</v>
      </c>
      <c r="N55" s="3">
        <f>$H55*factors!H$3</f>
        <v>0.30744998042400001</v>
      </c>
      <c r="O55" s="3">
        <f>$H55*factors!I$3</f>
        <v>0.3142478694384</v>
      </c>
      <c r="P55" s="3">
        <f>$H55*factors!J$3</f>
        <v>0.31795580890080005</v>
      </c>
      <c r="Q55" s="3">
        <f>$H55*factors!K$3</f>
        <v>0.29848912672319999</v>
      </c>
      <c r="R55" s="3">
        <f>$H55*factors!L$3</f>
        <v>0.29354520744000001</v>
      </c>
      <c r="S55" s="3">
        <f>$H55*factors!M$3</f>
        <v>0.30559601069280001</v>
      </c>
      <c r="T55" s="3">
        <f>$H55*factors!N$3</f>
        <v>0.31610183916960005</v>
      </c>
      <c r="U55" s="3">
        <f>$H55*factors!O$3</f>
        <v>0.29941611158880005</v>
      </c>
      <c r="V55" s="3">
        <f>$H55*factors!P$3</f>
        <v>0.31146691484160005</v>
      </c>
      <c r="W55" s="3">
        <f>$H55*factors!Q$3</f>
        <v>0.3142478694384</v>
      </c>
      <c r="X55" s="3">
        <f>$H55*factors!R$3</f>
        <v>0.30065209140960003</v>
      </c>
      <c r="Y55" s="3">
        <f>$H55*factors!S$3</f>
        <v>0.29787113681280003</v>
      </c>
      <c r="Z55" s="3">
        <f>$H55*factors!T$3</f>
        <v>0.32135475340800007</v>
      </c>
      <c r="AA55" s="3">
        <f>$H55*factors!U$3</f>
        <v>0.30343304600639998</v>
      </c>
      <c r="AB55" s="3">
        <f>$H55*factors!V$3</f>
        <v>0.30374204096160007</v>
      </c>
      <c r="AC55" s="3">
        <f>$H55*factors!W$3</f>
        <v>0.30405103591680005</v>
      </c>
      <c r="AD55" s="3">
        <f>$H55*factors!X$3</f>
        <v>0.29756214185760005</v>
      </c>
      <c r="AE55" s="3">
        <f>$H55*factors!Y$3</f>
        <v>0.30003410149920001</v>
      </c>
      <c r="AF55" s="3">
        <f>$H55*factors!Z$3</f>
        <v>0.30621400060320003</v>
      </c>
      <c r="AG55" s="3">
        <f>$H55*factors!AA$3</f>
        <v>0.29848912672319999</v>
      </c>
      <c r="AH55" s="3">
        <f>$H55*factors!AB$3</f>
        <v>0.29725314690240007</v>
      </c>
      <c r="AI55" s="3">
        <f>$H55*factors!AC$3</f>
        <v>0.30683199051360005</v>
      </c>
      <c r="AJ55" s="3">
        <f>$H55*factors!AD$3</f>
        <v>0.31857379881120002</v>
      </c>
      <c r="AK55" s="3">
        <f>$H55*factors!AE$3</f>
        <v>0.30652299555840007</v>
      </c>
      <c r="AL55" s="3">
        <f>$H55*factors!AF$3</f>
        <v>0.29447219230560001</v>
      </c>
      <c r="AM55" s="3">
        <f>$H55*factors!AG$3</f>
        <v>0.30281505609600001</v>
      </c>
      <c r="AN55" s="3">
        <f>$H55*factors!AH$3</f>
        <v>0.29787113681280003</v>
      </c>
      <c r="AO55" s="3">
        <f>$H55*factors!AI$3</f>
        <v>0.31208490475200001</v>
      </c>
      <c r="AP55" s="3">
        <f>$H55*factors!AJ$3</f>
        <v>0.29910711663360007</v>
      </c>
      <c r="AQ55" s="3">
        <f>$H55*factors!AK$3</f>
        <v>0.30868596024480005</v>
      </c>
      <c r="AR55" s="3">
        <f>$H55*factors!AL$3</f>
        <v>0.30188807123040007</v>
      </c>
      <c r="AS55" s="3">
        <f>$H55*factors!AM$3</f>
        <v>0.29447219230560001</v>
      </c>
      <c r="AT55" s="3">
        <f>$H55*factors!AN$3</f>
        <v>0.30374204096160007</v>
      </c>
      <c r="AU55" s="3">
        <f>$H55*factors!AO$3</f>
        <v>0.3216637483632</v>
      </c>
      <c r="AV55" s="3">
        <f>$H55*factors!AP$3</f>
        <v>0.30405103591680005</v>
      </c>
      <c r="AW55" s="3">
        <f>$H55*factors!AQ$3</f>
        <v>0.30096108636480001</v>
      </c>
      <c r="AX55" s="3">
        <f>$H55*factors!AR$3</f>
        <v>0.31826480385600003</v>
      </c>
      <c r="AY55" s="3">
        <f>$H55*factors!AS$3</f>
        <v>0.29354520744000001</v>
      </c>
      <c r="AZ55" s="3">
        <f>$H55*factors!AT$3</f>
        <v>0.31455686439360009</v>
      </c>
      <c r="BA55" s="3">
        <f>$H55*factors!AU$3</f>
        <v>0.30775897537919999</v>
      </c>
      <c r="BB55" s="3">
        <f>$H55*factors!AV$3</f>
        <v>0.30374204096160007</v>
      </c>
      <c r="BC55" s="3">
        <f>$H55*factors!AW$3</f>
        <v>0.32135475340800007</v>
      </c>
      <c r="BD55" s="3">
        <f>$H55*factors!AX$3</f>
        <v>0.29663515699199999</v>
      </c>
      <c r="BE55" s="3">
        <f>$H55*factors!AY$3</f>
        <v>0.34874658397359998</v>
      </c>
      <c r="BF55" s="3">
        <f>$H55*factors!AZ$3</f>
        <v>0.32477658643040003</v>
      </c>
      <c r="BG55" s="3">
        <f>$H55*factors!BA$3</f>
        <v>0.32950306481919994</v>
      </c>
      <c r="BH55" s="3">
        <f>$H55*factors!BB$3</f>
        <v>0.33389193760879998</v>
      </c>
      <c r="BI55" s="3">
        <f>$H55*factors!BC$3</f>
        <v>0.34604573917999998</v>
      </c>
      <c r="BJ55" s="3">
        <f>$H55*factors!BD$3</f>
        <v>0.33051588161680001</v>
      </c>
      <c r="BK55" s="3">
        <f>$H55*factors!BE$3</f>
        <v>0.33119109281519998</v>
      </c>
      <c r="BL55" s="3">
        <f>$H55*factors!BF$3</f>
        <v>0.32747743122399997</v>
      </c>
      <c r="BM55" s="3">
        <f>$H55*factors!BG$3</f>
        <v>0.34975940077120005</v>
      </c>
      <c r="BN55" s="3">
        <f>$H55*factors!BH$3</f>
        <v>0.34537052798160001</v>
      </c>
      <c r="BO55" s="3">
        <f>$H55*factors!BI$3</f>
        <v>0.32477658643040003</v>
      </c>
      <c r="BP55" s="3">
        <f>$H55*factors!BJ$3</f>
        <v>0.32376376963279996</v>
      </c>
      <c r="BQ55" s="3">
        <f>$H55*factors!BK$3</f>
        <v>0.32916545921999996</v>
      </c>
      <c r="BR55" s="3">
        <f>$H55*factors!BL$3</f>
        <v>0.34098165519200002</v>
      </c>
      <c r="BS55" s="3">
        <f>$H55*factors!BM$3</f>
        <v>0.34638334477920002</v>
      </c>
      <c r="BT55" s="3">
        <f>$H55*factors!BN$3</f>
        <v>0.34739616157679998</v>
      </c>
      <c r="BU55" s="3">
        <f>$H55*factors!BO$3</f>
        <v>0.35313545676320002</v>
      </c>
      <c r="BV55" s="3">
        <f>$H55*factors!BP$3</f>
        <v>0.32849024802159998</v>
      </c>
      <c r="BW55" s="3">
        <f>$H55*factors!BQ$3</f>
        <v>0.33591757120400001</v>
      </c>
      <c r="BX55" s="3">
        <f>$H55*factors!BR$3</f>
        <v>0.32950306481919994</v>
      </c>
      <c r="BY55" s="3">
        <f>$H55*factors!BS$3</f>
        <v>0.34469531678319992</v>
      </c>
      <c r="BZ55" s="3">
        <f>$H55*factors!BT$3</f>
        <v>0.33828081039839997</v>
      </c>
      <c r="CA55" s="3">
        <f>$H55*factors!BU$3</f>
        <v>0.33389193760879998</v>
      </c>
      <c r="CB55" s="3">
        <f>$H55*factors!BV$3</f>
        <v>0.32308855843439999</v>
      </c>
      <c r="CC55" s="3">
        <f>$H55*factors!BW$3</f>
        <v>0.33254151521199998</v>
      </c>
      <c r="CD55" s="3">
        <f>$H55*factors!BX$3</f>
        <v>0.3335543320096</v>
      </c>
      <c r="CE55" s="3">
        <f>$H55*factors!BY$3</f>
        <v>0.33828081039839997</v>
      </c>
      <c r="CF55" s="3">
        <f>$H55*factors!BZ$3</f>
        <v>0.33321672641040001</v>
      </c>
      <c r="CG55" s="3">
        <f>$H55*factors!CA$3</f>
        <v>0.32207574163679997</v>
      </c>
      <c r="CH55" s="3">
        <f>$H55*factors!CB$3</f>
        <v>0.32241334723599996</v>
      </c>
      <c r="CI55" s="3">
        <f>$H55*factors!CC$3</f>
        <v>0.32072531924000003</v>
      </c>
      <c r="CJ55" s="3">
        <f>$H55*factors!CD$3</f>
        <v>0.33389193760879998</v>
      </c>
      <c r="CK55" s="3">
        <f>$H55*factors!CE$3</f>
        <v>0.34874658397359998</v>
      </c>
      <c r="CL55" s="3">
        <f>$H55*factors!CF$3</f>
        <v>0.3268022200256</v>
      </c>
      <c r="CM55" s="3">
        <f>$H55*factors!CG$3</f>
        <v>0.33456714880719995</v>
      </c>
      <c r="CN55" s="3">
        <f>$H55*factors!CH$3</f>
        <v>0.32342616403359997</v>
      </c>
      <c r="CO55" s="3">
        <f>$H55*factors!CI$3</f>
        <v>0.32578940322799999</v>
      </c>
      <c r="CP55" s="3">
        <f>$H55*factors!CJ$3</f>
        <v>0.34131926079119995</v>
      </c>
      <c r="CQ55" s="3">
        <f>$H55*factors!CK$3</f>
        <v>0.33119109281519998</v>
      </c>
      <c r="CR55" s="3">
        <f>$H55*factors!CL$3</f>
        <v>0.34165686639039999</v>
      </c>
      <c r="CS55" s="3">
        <f>$H55*factors!CM$3</f>
        <v>0.35246024556479999</v>
      </c>
      <c r="CT55" s="3">
        <f>$H55*factors!CN$3</f>
        <v>0.34840897837439999</v>
      </c>
      <c r="CU55" s="3">
        <f>$H55*factors!CO$3</f>
        <v>0.34064404959279998</v>
      </c>
      <c r="CV55" s="3">
        <f>$H55*factors!CP$3</f>
        <v>0.35448587915999996</v>
      </c>
      <c r="CW55" s="3">
        <f>$H55*factors!CQ$3</f>
        <v>0.33524236000560004</v>
      </c>
      <c r="CX55" s="3">
        <f>$H55*factors!CR$3</f>
        <v>0.33017827601760003</v>
      </c>
      <c r="CY55" s="3">
        <f>$H55*factors!CS$3</f>
        <v>0.32713982562479998</v>
      </c>
      <c r="CZ55" s="3">
        <f>$H55*factors!CT$3</f>
        <v>0.32241334723599996</v>
      </c>
      <c r="DA55" s="3">
        <f>$H55*factors!CU$3</f>
        <v>0.33474453479999999</v>
      </c>
      <c r="DB55" s="3">
        <f>$H55*factors!CV$3</f>
        <v>0.35637418166400003</v>
      </c>
      <c r="DC55" s="3">
        <f>$H55*factors!CW$3</f>
        <v>0.34126776163199996</v>
      </c>
      <c r="DD55" s="3">
        <f>$H55*factors!CX$3</f>
        <v>0.33886446753599997</v>
      </c>
      <c r="DE55" s="3">
        <f>$H55*factors!CY$3</f>
        <v>0.34882097164800002</v>
      </c>
      <c r="DF55" s="3">
        <f>$H55*factors!CZ$3</f>
        <v>0.34813431619199997</v>
      </c>
      <c r="DG55" s="3">
        <f>$H55*factors!DA$3</f>
        <v>0.34676100528000003</v>
      </c>
      <c r="DH55" s="3">
        <f>$H55*factors!DB$3</f>
        <v>0.34676100528000003</v>
      </c>
      <c r="DI55" s="3">
        <f>$H55*factors!DC$3</f>
        <v>0.333714551616</v>
      </c>
      <c r="DJ55" s="3">
        <f>$H55*factors!DD$3</f>
        <v>0.35362755983999999</v>
      </c>
      <c r="DK55" s="3">
        <f>$H55*factors!DE$3</f>
        <v>0.35362755983999999</v>
      </c>
      <c r="DL55" s="3">
        <f>$H55*factors!DF$3</f>
        <v>0.34950762710400002</v>
      </c>
      <c r="DM55" s="3">
        <f>$H55*factors!DG$3</f>
        <v>0.32925129115199997</v>
      </c>
      <c r="DN55" s="3">
        <f>$H55*factors!DH$3</f>
        <v>0.34538769436800004</v>
      </c>
      <c r="DO55" s="3">
        <f>$H55*factors!DI$3</f>
        <v>0.35671750939199998</v>
      </c>
      <c r="DP55" s="3">
        <f>$H55*factors!DJ$3</f>
        <v>0.35362755983999999</v>
      </c>
      <c r="DQ55" s="3">
        <f>$H55*factors!DK$3</f>
        <v>0.33714782889599998</v>
      </c>
      <c r="DR55" s="3">
        <f>$H55*factors!DL$3</f>
        <v>0.333371223888</v>
      </c>
      <c r="DS55" s="3">
        <f>$H55*factors!DM$3</f>
        <v>0.36015078667200001</v>
      </c>
      <c r="DT55" s="3">
        <f>$H55*factors!DN$3</f>
        <v>0.33852113980800003</v>
      </c>
      <c r="DU55" s="3">
        <f>$H55*factors!DO$3</f>
        <v>0.35431421529599999</v>
      </c>
      <c r="DV55" s="3">
        <f>$H55*factors!DP$3</f>
        <v>0.34607434982400004</v>
      </c>
      <c r="DW55" s="3">
        <f>$H55*factors!DQ$3</f>
        <v>0.33028127433599996</v>
      </c>
      <c r="DX55" s="3">
        <f>$H55*factors!DR$3</f>
        <v>0.34985095483200002</v>
      </c>
      <c r="DY55" s="3">
        <f>$H55*factors!DS$3</f>
        <v>0.33199791297600001</v>
      </c>
      <c r="DZ55" s="3">
        <f>$H55*factors!DT$3</f>
        <v>0.35500087075199999</v>
      </c>
      <c r="EA55" s="3">
        <f>$H55*factors!DU$3</f>
        <v>0.334401207072</v>
      </c>
      <c r="EB55" s="3">
        <f>$H55*factors!DV$3</f>
        <v>0.32616134159999999</v>
      </c>
      <c r="EC55" s="3">
        <f>$H55*factors!DW$3</f>
        <v>0.35088093801600001</v>
      </c>
      <c r="ED55" s="3">
        <f>$H55*factors!DX$3</f>
        <v>0.32925129115199997</v>
      </c>
      <c r="EE55" s="3">
        <f>$H55*factors!DY$3</f>
        <v>0.33199791297600001</v>
      </c>
      <c r="EF55" s="3">
        <f>$H55*factors!DZ$3</f>
        <v>0.36015078667200001</v>
      </c>
      <c r="EG55" s="3">
        <f>$H55*factors!EA$3</f>
        <v>0.33646117343999998</v>
      </c>
      <c r="EH55" s="3">
        <f>$H55*factors!EB$3</f>
        <v>0.33749115662400003</v>
      </c>
      <c r="EI55" s="3">
        <f>$H55*factors!EC$3</f>
        <v>0.33680450116800004</v>
      </c>
      <c r="EJ55" s="3">
        <f>$H55*factors!ED$3</f>
        <v>0.32822130796800003</v>
      </c>
      <c r="EK55" s="3">
        <f>$H55*factors!EE$3</f>
        <v>0.35088093801600001</v>
      </c>
      <c r="EL55" s="3">
        <f>$H55*factors!EF$3</f>
        <v>0.333714551616</v>
      </c>
      <c r="EM55" s="3">
        <f>$H55*factors!EG$3</f>
        <v>0.34710433300799998</v>
      </c>
      <c r="EN55" s="3">
        <f>$H55*factors!EH$3</f>
        <v>0.32616134159999999</v>
      </c>
      <c r="EO55" s="3">
        <f>$H55*factors!EI$3</f>
        <v>0.33096792979199996</v>
      </c>
      <c r="EP55" s="3">
        <f>$H55*factors!EJ$3</f>
        <v>0.34916429937600002</v>
      </c>
      <c r="EQ55" s="3">
        <f>$H55*factors!EK$3</f>
        <v>0.33955112299199997</v>
      </c>
      <c r="ER55" s="3">
        <f>$H55*factors!EL$3</f>
        <v>0.35362755983999999</v>
      </c>
      <c r="ES55" s="3">
        <f>$H55*factors!EM$3</f>
        <v>0.34916429937600002</v>
      </c>
      <c r="ET55" s="3">
        <f>$H55*factors!EN$3</f>
        <v>0.35706083712000003</v>
      </c>
      <c r="EU55" s="3">
        <f>$H55*factors!EO$3</f>
        <v>0.36049411440000001</v>
      </c>
      <c r="EV55" s="3">
        <f>$H55*factors!EP$3</f>
        <v>0.33783448435199998</v>
      </c>
      <c r="EW55" s="3">
        <f>$H55*factors!EQ$3</f>
        <v>0.37158073894999999</v>
      </c>
      <c r="EX55" s="3">
        <f>$H55*factors!ER$3</f>
        <v>0.36764677540000007</v>
      </c>
      <c r="EY55" s="3">
        <f>$H55*factors!ES$3</f>
        <v>0.37515706944999999</v>
      </c>
      <c r="EZ55" s="3">
        <f>$H55*factors!ET$3</f>
        <v>0.37158073894999999</v>
      </c>
      <c r="FA55" s="3">
        <f>$H55*factors!EU$3</f>
        <v>0.34153956274999997</v>
      </c>
      <c r="FB55" s="3">
        <f>$H55*factors!EV$3</f>
        <v>0.35691778390000006</v>
      </c>
      <c r="FC55" s="3">
        <f>$H55*factors!EW$3</f>
        <v>0.36693150930000001</v>
      </c>
      <c r="FD55" s="3">
        <f>$H55*factors!EX$3</f>
        <v>0.35405671950000006</v>
      </c>
      <c r="FE55" s="3">
        <f>$H55*factors!EY$3</f>
        <v>0.37301127114999999</v>
      </c>
      <c r="FF55" s="3">
        <f>$H55*factors!EZ$3</f>
        <v>0.37336890420000007</v>
      </c>
      <c r="FG55" s="3">
        <f>$H55*factors!FA$3</f>
        <v>0.34153956274999997</v>
      </c>
      <c r="FH55" s="3">
        <f>$H55*factors!FB$3</f>
        <v>0.35942121524999998</v>
      </c>
      <c r="FI55" s="3">
        <f>$H55*factors!FC$3</f>
        <v>0.37444180334999999</v>
      </c>
      <c r="FJ55" s="3">
        <f>$H55*factors!FD$3</f>
        <v>0.35942121524999998</v>
      </c>
      <c r="FK55" s="3">
        <f>$H55*factors!FE$3</f>
        <v>0.36550097710000007</v>
      </c>
      <c r="FL55" s="3">
        <f>$H55*factors!FF$3</f>
        <v>0.36657387625000004</v>
      </c>
      <c r="FM55" s="3">
        <f>$H55*factors!FG$3</f>
        <v>0.37050783980000002</v>
      </c>
      <c r="FN55" s="3">
        <f>$H55*factors!FH$3</f>
        <v>0.34654642545000003</v>
      </c>
      <c r="FO55" s="3">
        <f>$H55*factors!FI$3</f>
        <v>0.36800440844999999</v>
      </c>
      <c r="FP55" s="3">
        <f>$H55*factors!FJ$3</f>
        <v>0.35763305000000001</v>
      </c>
      <c r="FQ55" s="3">
        <f>$H55*factors!FK$3</f>
        <v>0.35405671950000006</v>
      </c>
      <c r="FR55" s="3">
        <f>$H55*factors!FL$3</f>
        <v>0.36120938050000001</v>
      </c>
      <c r="FS55" s="3">
        <f>$H55*factors!FM$3</f>
        <v>0.35906358220000001</v>
      </c>
      <c r="FT55" s="3">
        <f>$H55*factors!FN$3</f>
        <v>0.36693150930000001</v>
      </c>
      <c r="FU55" s="3">
        <f>$H55*factors!FO$3</f>
        <v>0.3526261873</v>
      </c>
      <c r="FV55" s="3">
        <f>$H55*factors!FP$3</f>
        <v>0.3497651229</v>
      </c>
      <c r="FW55" s="3">
        <f>$H55*factors!FQ$3</f>
        <v>0.37444180334999999</v>
      </c>
      <c r="FX55" s="3">
        <f>$H55*factors!FR$3</f>
        <v>0.36764677540000007</v>
      </c>
      <c r="FY55" s="3">
        <f>$H55*factors!FS$3</f>
        <v>0.36013648134999998</v>
      </c>
      <c r="FZ55" s="3">
        <f>$H55*factors!FT$3</f>
        <v>0.34225482885000003</v>
      </c>
      <c r="GA55" s="3">
        <f>$H55*factors!FU$3</f>
        <v>0.36013648134999998</v>
      </c>
      <c r="GB55" s="3">
        <f>$H55*factors!FV$3</f>
        <v>0.37336890420000007</v>
      </c>
      <c r="GC55" s="3">
        <f>$H55*factors!FW$3</f>
        <v>0.3497651229</v>
      </c>
      <c r="GD55" s="3">
        <f>$H55*factors!FX$3</f>
        <v>0.35584488474999998</v>
      </c>
      <c r="GE55" s="3">
        <f>$H55*factors!FY$3</f>
        <v>0.35584488474999998</v>
      </c>
      <c r="GF55" s="3">
        <f>$H55*factors!FZ$3</f>
        <v>0.35477198560000001</v>
      </c>
      <c r="GG55" s="3">
        <f>$H55*factors!GA$3</f>
        <v>0.34082429665000002</v>
      </c>
      <c r="GH55" s="3">
        <f>$H55*factors!GB$3</f>
        <v>0.36263991270000007</v>
      </c>
      <c r="GI55" s="3">
        <f>$H55*factors!GC$3</f>
        <v>0.34010903055000002</v>
      </c>
      <c r="GJ55" s="3">
        <f>$H55*factors!GD$3</f>
        <v>0.34082429665000002</v>
      </c>
      <c r="GK55" s="3">
        <f>$H55*factors!GE$3</f>
        <v>0.34940748985000003</v>
      </c>
      <c r="GL55" s="3">
        <f>$H55*factors!GF$3</f>
        <v>0.37015020674999999</v>
      </c>
      <c r="GM55" s="3">
        <f>$H55*factors!GG$3</f>
        <v>0.35083802205000003</v>
      </c>
      <c r="GN55" s="3">
        <f>$H55*factors!GH$3</f>
        <v>0.36192464660000007</v>
      </c>
      <c r="GO55" s="3">
        <f>$H55*factors!GI$3</f>
        <v>0.3418971958</v>
      </c>
      <c r="GP55" s="3">
        <f>$H55*factors!GJ$3</f>
        <v>0.36657387625000004</v>
      </c>
      <c r="GQ55" s="3">
        <f>$H55*factors!GK$3</f>
        <v>0.37408417030000007</v>
      </c>
      <c r="GR55" s="3">
        <f>$H55*factors!GL$3</f>
        <v>0.36693150930000001</v>
      </c>
      <c r="GS55" s="3">
        <f>$H55*factors!GM$3</f>
        <v>0.34700419575399999</v>
      </c>
      <c r="GT55" s="3">
        <f>$H55*factors!GN$3</f>
        <v>0.35499800968760004</v>
      </c>
      <c r="GU55" s="3">
        <f>$H55*factors!GO$3</f>
        <v>0.36335517880000001</v>
      </c>
      <c r="GV55" s="3">
        <f>$H55*factors!GP$3</f>
        <v>0.34882097164800002</v>
      </c>
      <c r="GW55" s="3">
        <f>$H55*factors!GQ$3</f>
        <v>0.36117504772720005</v>
      </c>
      <c r="GX55" s="3">
        <f>$H55*factors!GR$3</f>
        <v>0.35536136486640002</v>
      </c>
      <c r="GY55" s="3">
        <f>$H55*factors!GS$3</f>
        <v>0.35354458897240004</v>
      </c>
      <c r="GZ55" s="3">
        <f>$H55*factors!GT$3</f>
        <v>0.36662537540919998</v>
      </c>
      <c r="HA55" s="3">
        <f>$H55*factors!GU$3</f>
        <v>0.3546346545088</v>
      </c>
      <c r="HB55" s="3">
        <f>$H55*factors!GV$3</f>
        <v>0.36662537540919998</v>
      </c>
      <c r="HC55" s="3">
        <f>$H55*factors!GW$3</f>
        <v>0.35754149593919998</v>
      </c>
      <c r="HD55" s="3">
        <f>$H55*factors!GX$3</f>
        <v>0.36807879612439998</v>
      </c>
      <c r="HE55" s="3">
        <f>$H55*factors!GY$3</f>
        <v>0.36335517880000001</v>
      </c>
      <c r="HF55" s="3">
        <f>$H55*factors!GZ$3</f>
        <v>0.37461918934279997</v>
      </c>
      <c r="HG55" s="3">
        <f>$H55*factors!HA$3</f>
        <v>0.36008498219079998</v>
      </c>
      <c r="HH55" s="3">
        <f>$H55*factors!HB$3</f>
        <v>0.35536136486640002</v>
      </c>
      <c r="HI55" s="3">
        <f>$H55*factors!HC$3</f>
        <v>0.35100110272080004</v>
      </c>
      <c r="HJ55" s="3">
        <f>$H55*factors!HD$3</f>
        <v>0.34700419575399999</v>
      </c>
      <c r="HK55" s="3">
        <f>$H55*factors!HE$3</f>
        <v>0.36698873058800002</v>
      </c>
      <c r="HL55" s="3">
        <f>$H55*factors!HF$3</f>
        <v>0.34591413021759998</v>
      </c>
      <c r="HM55" s="3">
        <f>$H55*factors!HG$3</f>
        <v>0.34954768200560005</v>
      </c>
      <c r="HN55" s="3">
        <f>$H55*factors!HH$3</f>
        <v>0.37280241344880005</v>
      </c>
      <c r="HO55" s="3">
        <f>$H55*factors!HI$3</f>
        <v>0.35754149593919998</v>
      </c>
      <c r="HP55" s="3">
        <f>$H55*factors!HJ$3</f>
        <v>0.38152293774000007</v>
      </c>
      <c r="HQ55" s="3">
        <f>$H55*factors!HK$3</f>
        <v>0.34882097164800002</v>
      </c>
      <c r="HR55" s="3">
        <f>$H55*factors!HL$3</f>
        <v>0.36989557201840007</v>
      </c>
      <c r="HS55" s="3">
        <f>$H55*factors!HM$3</f>
        <v>0.37643596523680001</v>
      </c>
      <c r="HT55" s="3">
        <f>$H55*factors!HN$3</f>
        <v>0.35100110272080004</v>
      </c>
      <c r="HU55" s="3">
        <f>$H55*factors!HO$3</f>
        <v>0.3546346545088</v>
      </c>
      <c r="HV55" s="3">
        <f>$H55*factors!HP$3</f>
        <v>0.35899491665440003</v>
      </c>
      <c r="HW55" s="3">
        <f>$H55*factors!HQ$3</f>
        <v>0.36408188915760004</v>
      </c>
      <c r="HX55" s="3">
        <f>$H55*factors!HR$3</f>
        <v>0.37897945148839995</v>
      </c>
      <c r="HY55" s="3">
        <f>$H55*factors!HS$3</f>
        <v>0.36008498219079998</v>
      </c>
      <c r="HZ55" s="3">
        <f>$H55*factors!HT$3</f>
        <v>0.37389247898520001</v>
      </c>
      <c r="IA55" s="3">
        <f>$H55*factors!HU$3</f>
        <v>0.35572472004520006</v>
      </c>
      <c r="IB55" s="3">
        <f>$H55*factors!HV$3</f>
        <v>0.36807879612439998</v>
      </c>
      <c r="IC55" s="3">
        <f>$H55*factors!HW$3</f>
        <v>0.37171234791240004</v>
      </c>
      <c r="ID55" s="3">
        <f>$H55*factors!HX$3</f>
        <v>0.34518741986000001</v>
      </c>
      <c r="IE55" s="3">
        <f>$H55*factors!HY$3</f>
        <v>0.36662537540919998</v>
      </c>
      <c r="IF55" s="3">
        <f>$H55*factors!HZ$3</f>
        <v>0.36444524433639996</v>
      </c>
      <c r="IG55" s="3">
        <f>$H55*factors!IA$3</f>
        <v>0.36117504772720005</v>
      </c>
      <c r="IH55" s="3">
        <f>$H55*factors!IB$3</f>
        <v>0.37461918934279997</v>
      </c>
      <c r="II55" s="3">
        <f>$H55*factors!IC$3</f>
        <v>0.35863156147560005</v>
      </c>
      <c r="IJ55" s="3">
        <f>$H55*factors!ID$3</f>
        <v>0.36190175808480002</v>
      </c>
      <c r="IK55" s="3">
        <f>$H55*factors!IE$3</f>
        <v>0.37498254452160001</v>
      </c>
      <c r="IL55" s="3">
        <f>$H55*factors!IF$3</f>
        <v>0.35899491665440003</v>
      </c>
      <c r="IM55" s="3">
        <f>$H55*factors!IG$3</f>
        <v>0.35572472004520006</v>
      </c>
      <c r="IN55" s="3">
        <f>$H55*factors!IH$3</f>
        <v>0.35790485111800002</v>
      </c>
      <c r="IO55" s="3">
        <f>$H55*factors!II$3</f>
        <v>0.36153840290599998</v>
      </c>
      <c r="IP55" s="3">
        <f>$H55*factors!IJ$3</f>
        <v>0.34954768200560005</v>
      </c>
      <c r="IQ55" s="3">
        <f>$H55*factors!IK$3</f>
        <v>0.34845761646919998</v>
      </c>
      <c r="IR55" s="3">
        <f>$H55*factors!IL$3</f>
        <v>0.35863156147560005</v>
      </c>
      <c r="IS55" s="3">
        <f>$H55*factors!IM$3</f>
        <v>0.36153840290599998</v>
      </c>
      <c r="IT55" s="3">
        <f>$H55*factors!IN$3</f>
        <v>0.36408188915760004</v>
      </c>
      <c r="IU55" s="3">
        <f>$H55*factors!IO$3</f>
        <v>0.37207570309120003</v>
      </c>
      <c r="IV55" s="3">
        <f>$H55*factors!IP$3</f>
        <v>0.37679932041559999</v>
      </c>
      <c r="IW55" s="3">
        <f>$H55*factors!IQ$3</f>
        <v>0.35608807522399999</v>
      </c>
      <c r="IX55" s="3">
        <f>$H55*factors!IR$3</f>
        <v>0.37207570309120003</v>
      </c>
      <c r="IY55" s="3">
        <f>$H55*factors!IS$3</f>
        <v>0.36662537540919998</v>
      </c>
      <c r="IZ55" s="3">
        <f>$H55*factors!IT$3</f>
        <v>0.37280241344880005</v>
      </c>
      <c r="JA55" s="3">
        <f>$H55*factors!IU$3</f>
        <v>0.35209116825719999</v>
      </c>
      <c r="JB55" s="3">
        <f>$H55*factors!IV$3</f>
        <v>0.35863156147560005</v>
      </c>
      <c r="JC55" s="3">
        <f>$H55*factors!IW$3</f>
        <v>0.35027439236320002</v>
      </c>
      <c r="JD55" s="3">
        <f>$H55*factors!IX$3</f>
        <v>0.38152293774000007</v>
      </c>
      <c r="JE55" s="3">
        <f>$H55*factors!IY$3</f>
        <v>0.35136445789959997</v>
      </c>
      <c r="JF55" s="3">
        <f>$H55*factors!IZ$3</f>
        <v>0.36880550648199995</v>
      </c>
      <c r="JG55" s="3">
        <f>$H55*factors!JA$3</f>
        <v>0.3622651132636</v>
      </c>
      <c r="JH55" s="3">
        <f>$H55*factors!JB$3</f>
        <v>0.36916886166080004</v>
      </c>
      <c r="JI55" s="3">
        <f>$H55*factors!JC$3</f>
        <v>0.34555077503880005</v>
      </c>
      <c r="JJ55" s="3">
        <f>$H55*factors!JD$3</f>
        <v>0.37207570309120003</v>
      </c>
      <c r="JK55" s="3">
        <f>$H55*factors!JE$3</f>
        <v>0.36008498219079998</v>
      </c>
      <c r="JL55" s="3">
        <f>$H55*factors!JF$3</f>
        <v>0.37461918934279997</v>
      </c>
      <c r="JM55" s="3">
        <f>$H55*factors!JG$3</f>
        <v>0.34954768200560005</v>
      </c>
      <c r="JN55" s="3">
        <f>$H55*factors!JH$3</f>
        <v>0.34954768200560005</v>
      </c>
      <c r="JO55" s="3">
        <f>$H55*factors!JI$3</f>
        <v>0.34518741986000001</v>
      </c>
      <c r="JP55" s="3">
        <f>$H55*factors!JJ$3</f>
        <v>0.37316576862759998</v>
      </c>
      <c r="JQ55" s="3">
        <f>$H55*factors!JK$3</f>
        <v>0.3637185339788</v>
      </c>
      <c r="JR55" s="3">
        <f>$H55*factors!JL$3</f>
        <v>0.377889385952</v>
      </c>
      <c r="JS55" s="3">
        <f>$H55*factors!JM$3</f>
        <v>0.34518741986000001</v>
      </c>
      <c r="JT55" s="3">
        <f>$H55*factors!JN$3</f>
        <v>0.36262846844240004</v>
      </c>
      <c r="JU55" s="3">
        <f>$H55*factors!JO$3</f>
        <v>0.350637747542</v>
      </c>
      <c r="JV55" s="3">
        <f>$H55*factors!JP$3</f>
        <v>0.35645143040280003</v>
      </c>
      <c r="JW55" s="3">
        <f>$H55*factors!JQ$3</f>
        <v>0.38079622738240004</v>
      </c>
      <c r="JX55" s="3">
        <f>$H55*factors!JR$3</f>
        <v>0.37716267559440003</v>
      </c>
      <c r="JY55" s="3">
        <f>$H55*factors!JS$3</f>
        <v>0.35499800968760004</v>
      </c>
      <c r="JZ55" s="3">
        <f>$H55*factors!JT$3</f>
        <v>0.35899491665440003</v>
      </c>
      <c r="KA55" s="3">
        <f>$H55*factors!JU$3</f>
        <v>0.36044833736960002</v>
      </c>
      <c r="KB55" s="3">
        <f>$H55*factors!JV$3</f>
        <v>0.34845761646919998</v>
      </c>
      <c r="KC55" s="3">
        <f>$H55*factors!JW$3</f>
        <v>0.35027439236320002</v>
      </c>
      <c r="KD55" s="3">
        <f>$H55*factors!JX$3</f>
        <v>0.350637747542</v>
      </c>
      <c r="KE55" s="3">
        <f>$H55*factors!JY$3</f>
        <v>0.37316576862759998</v>
      </c>
      <c r="KF55" s="3">
        <f>$H55*factors!JZ$3</f>
        <v>0.37752603077319996</v>
      </c>
      <c r="KG55" s="3">
        <f>$H55*factors!KA$3</f>
        <v>0.36408188915760004</v>
      </c>
      <c r="KH55" s="3">
        <f>$H55*factors!KB$3</f>
        <v>0.35608807522399999</v>
      </c>
      <c r="KI55" s="3">
        <f>$H55*factors!KC$3</f>
        <v>0.35281787861479996</v>
      </c>
    </row>
    <row r="56" spans="1:295" x14ac:dyDescent="0.55000000000000004">
      <c r="A56" t="s">
        <v>432</v>
      </c>
      <c r="B56">
        <v>55</v>
      </c>
      <c r="C56">
        <v>230</v>
      </c>
      <c r="D56" t="s">
        <v>377</v>
      </c>
      <c r="E56">
        <v>7.1729999999999997E-3</v>
      </c>
      <c r="F56">
        <v>55</v>
      </c>
      <c r="G56">
        <f>VLOOKUP(D56,demand_forecasted!$A$2:$G$11,2)</f>
        <v>11098</v>
      </c>
      <c r="H56" s="3">
        <f t="shared" si="1"/>
        <v>0.79605954000000001</v>
      </c>
      <c r="I56" s="3">
        <f>$H56*factors!C$3</f>
        <v>0.88123791078000002</v>
      </c>
      <c r="J56" s="3">
        <f>$H56*factors!D$3</f>
        <v>0.84942737156159998</v>
      </c>
      <c r="K56" s="3">
        <f>$H56*factors!E$3</f>
        <v>0.83481171840720003</v>
      </c>
      <c r="L56" s="3">
        <f>$H56*factors!F$3</f>
        <v>0.83223248549760009</v>
      </c>
      <c r="M56" s="3">
        <f>$H56*factors!G$3</f>
        <v>0.83137274119439997</v>
      </c>
      <c r="N56" s="3">
        <f>$H56*factors!H$3</f>
        <v>0.85544558168399998</v>
      </c>
      <c r="O56" s="3">
        <f>$H56*factors!I$3</f>
        <v>0.8743599563544</v>
      </c>
      <c r="P56" s="3">
        <f>$H56*factors!J$3</f>
        <v>0.88467688799280009</v>
      </c>
      <c r="Q56" s="3">
        <f>$H56*factors!K$3</f>
        <v>0.83051299689119995</v>
      </c>
      <c r="R56" s="3">
        <f>$H56*factors!L$3</f>
        <v>0.81675708804000002</v>
      </c>
      <c r="S56" s="3">
        <f>$H56*factors!M$3</f>
        <v>0.85028711586479999</v>
      </c>
      <c r="T56" s="3">
        <f>$H56*factors!N$3</f>
        <v>0.8795184221736001</v>
      </c>
      <c r="U56" s="3">
        <f>$H56*factors!O$3</f>
        <v>0.83309222980080011</v>
      </c>
      <c r="V56" s="3">
        <f>$H56*factors!P$3</f>
        <v>0.86662225762560008</v>
      </c>
      <c r="W56" s="3">
        <f>$H56*factors!Q$3</f>
        <v>0.8743599563544</v>
      </c>
      <c r="X56" s="3">
        <f>$H56*factors!R$3</f>
        <v>0.83653120701359995</v>
      </c>
      <c r="Y56" s="3">
        <f>$H56*factors!S$3</f>
        <v>0.82879350828480003</v>
      </c>
      <c r="Z56" s="3">
        <f>$H56*factors!T$3</f>
        <v>0.89413407532800016</v>
      </c>
      <c r="AA56" s="3">
        <f>$H56*factors!U$3</f>
        <v>0.84426890574239999</v>
      </c>
      <c r="AB56" s="3">
        <f>$H56*factors!V$3</f>
        <v>0.84512865004560012</v>
      </c>
      <c r="AC56" s="3">
        <f>$H56*factors!W$3</f>
        <v>0.84598839434880013</v>
      </c>
      <c r="AD56" s="3">
        <f>$H56*factors!X$3</f>
        <v>0.82793376398160012</v>
      </c>
      <c r="AE56" s="3">
        <f>$H56*factors!Y$3</f>
        <v>0.83481171840720003</v>
      </c>
      <c r="AF56" s="3">
        <f>$H56*factors!Z$3</f>
        <v>0.85200660447120014</v>
      </c>
      <c r="AG56" s="3">
        <f>$H56*factors!AA$3</f>
        <v>0.83051299689119995</v>
      </c>
      <c r="AH56" s="3">
        <f>$H56*factors!AB$3</f>
        <v>0.82707401967840011</v>
      </c>
      <c r="AI56" s="3">
        <f>$H56*factors!AC$3</f>
        <v>0.85372609307760006</v>
      </c>
      <c r="AJ56" s="3">
        <f>$H56*factors!AD$3</f>
        <v>0.88639637659920001</v>
      </c>
      <c r="AK56" s="3">
        <f>$H56*factors!AE$3</f>
        <v>0.85286634877440004</v>
      </c>
      <c r="AL56" s="3">
        <f>$H56*factors!AF$3</f>
        <v>0.81933632094959996</v>
      </c>
      <c r="AM56" s="3">
        <f>$H56*factors!AG$3</f>
        <v>0.84254941713600007</v>
      </c>
      <c r="AN56" s="3">
        <f>$H56*factors!AH$3</f>
        <v>0.82879350828480003</v>
      </c>
      <c r="AO56" s="3">
        <f>$H56*factors!AI$3</f>
        <v>0.868341746232</v>
      </c>
      <c r="AP56" s="3">
        <f>$H56*factors!AJ$3</f>
        <v>0.83223248549760009</v>
      </c>
      <c r="AQ56" s="3">
        <f>$H56*factors!AK$3</f>
        <v>0.85888455889680004</v>
      </c>
      <c r="AR56" s="3">
        <f>$H56*factors!AL$3</f>
        <v>0.83997018422640013</v>
      </c>
      <c r="AS56" s="3">
        <f>$H56*factors!AM$3</f>
        <v>0.81933632094959996</v>
      </c>
      <c r="AT56" s="3">
        <f>$H56*factors!AN$3</f>
        <v>0.84512865004560012</v>
      </c>
      <c r="AU56" s="3">
        <f>$H56*factors!AO$3</f>
        <v>0.89499381963119995</v>
      </c>
      <c r="AV56" s="3">
        <f>$H56*factors!AP$3</f>
        <v>0.84598839434880013</v>
      </c>
      <c r="AW56" s="3">
        <f>$H56*factors!AQ$3</f>
        <v>0.83739095131679997</v>
      </c>
      <c r="AX56" s="3">
        <f>$H56*factors!AR$3</f>
        <v>0.8855366322960001</v>
      </c>
      <c r="AY56" s="3">
        <f>$H56*factors!AS$3</f>
        <v>0.81675708804000002</v>
      </c>
      <c r="AZ56" s="3">
        <f>$H56*factors!AT$3</f>
        <v>0.87521970065760013</v>
      </c>
      <c r="BA56" s="3">
        <f>$H56*factors!AU$3</f>
        <v>0.85630532598719999</v>
      </c>
      <c r="BB56" s="3">
        <f>$H56*factors!AV$3</f>
        <v>0.84512865004560012</v>
      </c>
      <c r="BC56" s="3">
        <f>$H56*factors!AW$3</f>
        <v>0.89413407532800016</v>
      </c>
      <c r="BD56" s="3">
        <f>$H56*factors!AX$3</f>
        <v>0.82535453107199996</v>
      </c>
      <c r="BE56" s="3">
        <f>$H56*factors!AY$3</f>
        <v>0.9703488156875999</v>
      </c>
      <c r="BF56" s="3">
        <f>$H56*factors!AZ$3</f>
        <v>0.90365494742639996</v>
      </c>
      <c r="BG56" s="3">
        <f>$H56*factors!BA$3</f>
        <v>0.91680585102719991</v>
      </c>
      <c r="BH56" s="3">
        <f>$H56*factors!BB$3</f>
        <v>0.92901740437079994</v>
      </c>
      <c r="BI56" s="3">
        <f>$H56*factors!BC$3</f>
        <v>0.96283401362999987</v>
      </c>
      <c r="BJ56" s="3">
        <f>$H56*factors!BD$3</f>
        <v>0.91962390179879994</v>
      </c>
      <c r="BK56" s="3">
        <f>$H56*factors!BE$3</f>
        <v>0.92150260231319991</v>
      </c>
      <c r="BL56" s="3">
        <f>$H56*factors!BF$3</f>
        <v>0.91116974948399987</v>
      </c>
      <c r="BM56" s="3">
        <f>$H56*factors!BG$3</f>
        <v>0.97316686645920003</v>
      </c>
      <c r="BN56" s="3">
        <f>$H56*factors!BH$3</f>
        <v>0.9609553131155999</v>
      </c>
      <c r="BO56" s="3">
        <f>$H56*factors!BI$3</f>
        <v>0.90365494742639996</v>
      </c>
      <c r="BP56" s="3">
        <f>$H56*factors!BJ$3</f>
        <v>0.90083689665479993</v>
      </c>
      <c r="BQ56" s="3">
        <f>$H56*factors!BK$3</f>
        <v>0.91586650076999987</v>
      </c>
      <c r="BR56" s="3">
        <f>$H56*factors!BL$3</f>
        <v>0.94874375977199998</v>
      </c>
      <c r="BS56" s="3">
        <f>$H56*factors!BM$3</f>
        <v>0.96377336388720003</v>
      </c>
      <c r="BT56" s="3">
        <f>$H56*factors!BN$3</f>
        <v>0.96659141465879994</v>
      </c>
      <c r="BU56" s="3">
        <f>$H56*factors!BO$3</f>
        <v>0.98256036903120003</v>
      </c>
      <c r="BV56" s="3">
        <f>$H56*factors!BP$3</f>
        <v>0.9139878002556</v>
      </c>
      <c r="BW56" s="3">
        <f>$H56*factors!BQ$3</f>
        <v>0.93465350591399998</v>
      </c>
      <c r="BX56" s="3">
        <f>$H56*factors!BR$3</f>
        <v>0.91680585102719991</v>
      </c>
      <c r="BY56" s="3">
        <f>$H56*factors!BS$3</f>
        <v>0.95907661260119981</v>
      </c>
      <c r="BZ56" s="3">
        <f>$H56*factors!BT$3</f>
        <v>0.94122895771439985</v>
      </c>
      <c r="CA56" s="3">
        <f>$H56*factors!BU$3</f>
        <v>0.92901740437079994</v>
      </c>
      <c r="CB56" s="3">
        <f>$H56*factors!BV$3</f>
        <v>0.89895819614039996</v>
      </c>
      <c r="CC56" s="3">
        <f>$H56*factors!BW$3</f>
        <v>0.92526000334199987</v>
      </c>
      <c r="CD56" s="3">
        <f>$H56*factors!BX$3</f>
        <v>0.9280780541136</v>
      </c>
      <c r="CE56" s="3">
        <f>$H56*factors!BY$3</f>
        <v>0.94122895771439985</v>
      </c>
      <c r="CF56" s="3">
        <f>$H56*factors!BZ$3</f>
        <v>0.92713870385640007</v>
      </c>
      <c r="CG56" s="3">
        <f>$H56*factors!CA$3</f>
        <v>0.89614014536879982</v>
      </c>
      <c r="CH56" s="3">
        <f>$H56*factors!CB$3</f>
        <v>0.89707949562599987</v>
      </c>
      <c r="CI56" s="3">
        <f>$H56*factors!CC$3</f>
        <v>0.89238274433999998</v>
      </c>
      <c r="CJ56" s="3">
        <f>$H56*factors!CD$3</f>
        <v>0.92901740437079994</v>
      </c>
      <c r="CK56" s="3">
        <f>$H56*factors!CE$3</f>
        <v>0.9703488156875999</v>
      </c>
      <c r="CL56" s="3">
        <f>$H56*factors!CF$3</f>
        <v>0.9092910489696</v>
      </c>
      <c r="CM56" s="3">
        <f>$H56*factors!CG$3</f>
        <v>0.93089610488519992</v>
      </c>
      <c r="CN56" s="3">
        <f>$H56*factors!CH$3</f>
        <v>0.89989754639759989</v>
      </c>
      <c r="CO56" s="3">
        <f>$H56*factors!CI$3</f>
        <v>0.90647299819799987</v>
      </c>
      <c r="CP56" s="3">
        <f>$H56*factors!CJ$3</f>
        <v>0.94968311002919981</v>
      </c>
      <c r="CQ56" s="3">
        <f>$H56*factors!CK$3</f>
        <v>0.92150260231319991</v>
      </c>
      <c r="CR56" s="3">
        <f>$H56*factors!CL$3</f>
        <v>0.95062246028639996</v>
      </c>
      <c r="CS56" s="3">
        <f>$H56*factors!CM$3</f>
        <v>0.98068166851679994</v>
      </c>
      <c r="CT56" s="3">
        <f>$H56*factors!CN$3</f>
        <v>0.96940946543039996</v>
      </c>
      <c r="CU56" s="3">
        <f>$H56*factors!CO$3</f>
        <v>0.94780440951479983</v>
      </c>
      <c r="CV56" s="3">
        <f>$H56*factors!CP$3</f>
        <v>0.98631777005999988</v>
      </c>
      <c r="CW56" s="3">
        <f>$H56*factors!CQ$3</f>
        <v>0.9327748053996</v>
      </c>
      <c r="CX56" s="3">
        <f>$H56*factors!CR$3</f>
        <v>0.9186845515416</v>
      </c>
      <c r="CY56" s="3">
        <f>$H56*factors!CS$3</f>
        <v>0.91023039922679994</v>
      </c>
      <c r="CZ56" s="3">
        <f>$H56*factors!CT$3</f>
        <v>0.89707949562599987</v>
      </c>
      <c r="DA56" s="3">
        <f>$H56*factors!CU$3</f>
        <v>0.93138966179999993</v>
      </c>
      <c r="DB56" s="3">
        <f>$H56*factors!CV$3</f>
        <v>0.99157176302400007</v>
      </c>
      <c r="DC56" s="3">
        <f>$H56*factors!CW$3</f>
        <v>0.94953981931199993</v>
      </c>
      <c r="DD56" s="3">
        <f>$H56*factors!CX$3</f>
        <v>0.94285291917599989</v>
      </c>
      <c r="DE56" s="3">
        <f>$H56*factors!CY$3</f>
        <v>0.97055579116800006</v>
      </c>
      <c r="DF56" s="3">
        <f>$H56*factors!CZ$3</f>
        <v>0.96864524827199994</v>
      </c>
      <c r="DG56" s="3">
        <f>$H56*factors!DA$3</f>
        <v>0.96482416248000002</v>
      </c>
      <c r="DH56" s="3">
        <f>$H56*factors!DB$3</f>
        <v>0.96482416248000002</v>
      </c>
      <c r="DI56" s="3">
        <f>$H56*factors!DC$3</f>
        <v>0.92852384745599992</v>
      </c>
      <c r="DJ56" s="3">
        <f>$H56*factors!DD$3</f>
        <v>0.98392959144000003</v>
      </c>
      <c r="DK56" s="3">
        <f>$H56*factors!DE$3</f>
        <v>0.98392959144000003</v>
      </c>
      <c r="DL56" s="3">
        <f>$H56*factors!DF$3</f>
        <v>0.97246633406400007</v>
      </c>
      <c r="DM56" s="3">
        <f>$H56*factors!DG$3</f>
        <v>0.91610531863199984</v>
      </c>
      <c r="DN56" s="3">
        <f>$H56*factors!DH$3</f>
        <v>0.961003076688</v>
      </c>
      <c r="DO56" s="3">
        <f>$H56*factors!DI$3</f>
        <v>0.99252703447199997</v>
      </c>
      <c r="DP56" s="3">
        <f>$H56*factors!DJ$3</f>
        <v>0.98392959144000003</v>
      </c>
      <c r="DQ56" s="3">
        <f>$H56*factors!DK$3</f>
        <v>0.93807656193599998</v>
      </c>
      <c r="DR56" s="3">
        <f>$H56*factors!DL$3</f>
        <v>0.92756857600800002</v>
      </c>
      <c r="DS56" s="3">
        <f>$H56*factors!DM$3</f>
        <v>1.0020797489519999</v>
      </c>
      <c r="DT56" s="3">
        <f>$H56*factors!DN$3</f>
        <v>0.941897647728</v>
      </c>
      <c r="DU56" s="3">
        <f>$H56*factors!DO$3</f>
        <v>0.98584013433599993</v>
      </c>
      <c r="DV56" s="3">
        <f>$H56*factors!DP$3</f>
        <v>0.96291361958400001</v>
      </c>
      <c r="DW56" s="3">
        <f>$H56*factors!DQ$3</f>
        <v>0.91897113297599986</v>
      </c>
      <c r="DX56" s="3">
        <f>$H56*factors!DR$3</f>
        <v>0.97342160551199997</v>
      </c>
      <c r="DY56" s="3">
        <f>$H56*factors!DS$3</f>
        <v>0.92374749021599989</v>
      </c>
      <c r="DZ56" s="3">
        <f>$H56*factors!DT$3</f>
        <v>0.98775067723199994</v>
      </c>
      <c r="EA56" s="3">
        <f>$H56*factors!DU$3</f>
        <v>0.93043439035199993</v>
      </c>
      <c r="EB56" s="3">
        <f>$H56*factors!DV$3</f>
        <v>0.9075078755999999</v>
      </c>
      <c r="EC56" s="3">
        <f>$H56*factors!DW$3</f>
        <v>0.97628741985599998</v>
      </c>
      <c r="ED56" s="3">
        <f>$H56*factors!DX$3</f>
        <v>0.91610531863199984</v>
      </c>
      <c r="EE56" s="3">
        <f>$H56*factors!DY$3</f>
        <v>0.92374749021599989</v>
      </c>
      <c r="EF56" s="3">
        <f>$H56*factors!DZ$3</f>
        <v>1.0020797489519999</v>
      </c>
      <c r="EG56" s="3">
        <f>$H56*factors!EA$3</f>
        <v>0.93616601903999996</v>
      </c>
      <c r="EH56" s="3">
        <f>$H56*factors!EB$3</f>
        <v>0.93903183338399998</v>
      </c>
      <c r="EI56" s="3">
        <f>$H56*factors!EC$3</f>
        <v>0.93712129048800008</v>
      </c>
      <c r="EJ56" s="3">
        <f>$H56*factors!ED$3</f>
        <v>0.91323950428800005</v>
      </c>
      <c r="EK56" s="3">
        <f>$H56*factors!EE$3</f>
        <v>0.97628741985599998</v>
      </c>
      <c r="EL56" s="3">
        <f>$H56*factors!EF$3</f>
        <v>0.92852384745599992</v>
      </c>
      <c r="EM56" s="3">
        <f>$H56*factors!EG$3</f>
        <v>0.96577943392799992</v>
      </c>
      <c r="EN56" s="3">
        <f>$H56*factors!EH$3</f>
        <v>0.9075078755999999</v>
      </c>
      <c r="EO56" s="3">
        <f>$H56*factors!EI$3</f>
        <v>0.92088167587199987</v>
      </c>
      <c r="EP56" s="3">
        <f>$H56*factors!EJ$3</f>
        <v>0.97151106261599995</v>
      </c>
      <c r="EQ56" s="3">
        <f>$H56*factors!EK$3</f>
        <v>0.9447634620719999</v>
      </c>
      <c r="ER56" s="3">
        <f>$H56*factors!EL$3</f>
        <v>0.98392959144000003</v>
      </c>
      <c r="ES56" s="3">
        <f>$H56*factors!EM$3</f>
        <v>0.97151106261599995</v>
      </c>
      <c r="ET56" s="3">
        <f>$H56*factors!EN$3</f>
        <v>0.99348230591999998</v>
      </c>
      <c r="EU56" s="3">
        <f>$H56*factors!EO$3</f>
        <v>1.0030350204</v>
      </c>
      <c r="EV56" s="3">
        <f>$H56*factors!EP$3</f>
        <v>0.93998710483199988</v>
      </c>
      <c r="EW56" s="3">
        <f>$H56*factors!EQ$3</f>
        <v>1.033882327575</v>
      </c>
      <c r="EX56" s="3">
        <f>$H56*factors!ER$3</f>
        <v>1.0229365089000002</v>
      </c>
      <c r="EY56" s="3">
        <f>$H56*factors!ES$3</f>
        <v>1.043833071825</v>
      </c>
      <c r="EZ56" s="3">
        <f>$H56*factors!ET$3</f>
        <v>1.033882327575</v>
      </c>
      <c r="FA56" s="3">
        <f>$H56*factors!EU$3</f>
        <v>0.95029607587499987</v>
      </c>
      <c r="FB56" s="3">
        <f>$H56*factors!EV$3</f>
        <v>0.99308427615000006</v>
      </c>
      <c r="FC56" s="3">
        <f>$H56*factors!EW$3</f>
        <v>1.0209463600499999</v>
      </c>
      <c r="FD56" s="3">
        <f>$H56*factors!EX$3</f>
        <v>0.98512368075000001</v>
      </c>
      <c r="FE56" s="3">
        <f>$H56*factors!EY$3</f>
        <v>1.0378626252750001</v>
      </c>
      <c r="FF56" s="3">
        <f>$H56*factors!EZ$3</f>
        <v>1.0388576997000001</v>
      </c>
      <c r="FG56" s="3">
        <f>$H56*factors!FA$3</f>
        <v>0.95029607587499987</v>
      </c>
      <c r="FH56" s="3">
        <f>$H56*factors!FB$3</f>
        <v>1.000049797125</v>
      </c>
      <c r="FI56" s="3">
        <f>$H56*factors!FC$3</f>
        <v>1.0418429229749999</v>
      </c>
      <c r="FJ56" s="3">
        <f>$H56*factors!FD$3</f>
        <v>1.000049797125</v>
      </c>
      <c r="FK56" s="3">
        <f>$H56*factors!FE$3</f>
        <v>1.0169660623500001</v>
      </c>
      <c r="FL56" s="3">
        <f>$H56*factors!FF$3</f>
        <v>1.0199512856249999</v>
      </c>
      <c r="FM56" s="3">
        <f>$H56*factors!FG$3</f>
        <v>1.0308971042999999</v>
      </c>
      <c r="FN56" s="3">
        <f>$H56*factors!FH$3</f>
        <v>0.96422711782499992</v>
      </c>
      <c r="FO56" s="3">
        <f>$H56*factors!FI$3</f>
        <v>1.023931583325</v>
      </c>
      <c r="FP56" s="3">
        <f>$H56*factors!FJ$3</f>
        <v>0.99507442499999998</v>
      </c>
      <c r="FQ56" s="3">
        <f>$H56*factors!FK$3</f>
        <v>0.98512368075000001</v>
      </c>
      <c r="FR56" s="3">
        <f>$H56*factors!FL$3</f>
        <v>1.0050251692500001</v>
      </c>
      <c r="FS56" s="3">
        <f>$H56*factors!FM$3</f>
        <v>0.99905472269999995</v>
      </c>
      <c r="FT56" s="3">
        <f>$H56*factors!FN$3</f>
        <v>1.0209463600499999</v>
      </c>
      <c r="FU56" s="3">
        <f>$H56*factors!FO$3</f>
        <v>0.98114338304999993</v>
      </c>
      <c r="FV56" s="3">
        <f>$H56*factors!FP$3</f>
        <v>0.97318278764999999</v>
      </c>
      <c r="FW56" s="3">
        <f>$H56*factors!FQ$3</f>
        <v>1.0418429229749999</v>
      </c>
      <c r="FX56" s="3">
        <f>$H56*factors!FR$3</f>
        <v>1.0229365089000002</v>
      </c>
      <c r="FY56" s="3">
        <f>$H56*factors!FS$3</f>
        <v>1.0020399459749998</v>
      </c>
      <c r="FZ56" s="3">
        <f>$H56*factors!FT$3</f>
        <v>0.95228622472500002</v>
      </c>
      <c r="GA56" s="3">
        <f>$H56*factors!FU$3</f>
        <v>1.0020399459749998</v>
      </c>
      <c r="GB56" s="3">
        <f>$H56*factors!FV$3</f>
        <v>1.0388576997000001</v>
      </c>
      <c r="GC56" s="3">
        <f>$H56*factors!FW$3</f>
        <v>0.97318278764999999</v>
      </c>
      <c r="GD56" s="3">
        <f>$H56*factors!FX$3</f>
        <v>0.990099052875</v>
      </c>
      <c r="GE56" s="3">
        <f>$H56*factors!FY$3</f>
        <v>0.990099052875</v>
      </c>
      <c r="GF56" s="3">
        <f>$H56*factors!FZ$3</f>
        <v>0.98711382960000005</v>
      </c>
      <c r="GG56" s="3">
        <f>$H56*factors!GA$3</f>
        <v>0.94830592702499994</v>
      </c>
      <c r="GH56" s="3">
        <f>$H56*factors!GB$3</f>
        <v>1.0090054669500002</v>
      </c>
      <c r="GI56" s="3">
        <f>$H56*factors!GC$3</f>
        <v>0.94631577817500001</v>
      </c>
      <c r="GJ56" s="3">
        <f>$H56*factors!GD$3</f>
        <v>0.94830592702499994</v>
      </c>
      <c r="GK56" s="3">
        <f>$H56*factors!GE$3</f>
        <v>0.97218771322499997</v>
      </c>
      <c r="GL56" s="3">
        <f>$H56*factors!GF$3</f>
        <v>1.0299020298749999</v>
      </c>
      <c r="GM56" s="3">
        <f>$H56*factors!GG$3</f>
        <v>0.97616801092500005</v>
      </c>
      <c r="GN56" s="3">
        <f>$H56*factors!GH$3</f>
        <v>1.0070153181000001</v>
      </c>
      <c r="GO56" s="3">
        <f>$H56*factors!GI$3</f>
        <v>0.95129115029999989</v>
      </c>
      <c r="GP56" s="3">
        <f>$H56*factors!GJ$3</f>
        <v>1.0199512856249999</v>
      </c>
      <c r="GQ56" s="3">
        <f>$H56*factors!GK$3</f>
        <v>1.0408478485500001</v>
      </c>
      <c r="GR56" s="3">
        <f>$H56*factors!GL$3</f>
        <v>1.0209463600499999</v>
      </c>
      <c r="GS56" s="3">
        <f>$H56*factors!GM$3</f>
        <v>0.96550081308900004</v>
      </c>
      <c r="GT56" s="3">
        <f>$H56*factors!GN$3</f>
        <v>0.98774271663660007</v>
      </c>
      <c r="GU56" s="3">
        <f>$H56*factors!GO$3</f>
        <v>1.0109956158</v>
      </c>
      <c r="GV56" s="3">
        <f>$H56*factors!GP$3</f>
        <v>0.97055579116800006</v>
      </c>
      <c r="GW56" s="3">
        <f>$H56*factors!GQ$3</f>
        <v>1.0049296421052001</v>
      </c>
      <c r="GX56" s="3">
        <f>$H56*factors!GR$3</f>
        <v>0.98875371225239994</v>
      </c>
      <c r="GY56" s="3">
        <f>$H56*factors!GS$3</f>
        <v>0.98369873417340004</v>
      </c>
      <c r="GZ56" s="3">
        <f>$H56*factors!GT$3</f>
        <v>1.0200945763421998</v>
      </c>
      <c r="HA56" s="3">
        <f>$H56*factors!GU$3</f>
        <v>0.98673172102079998</v>
      </c>
      <c r="HB56" s="3">
        <f>$H56*factors!GV$3</f>
        <v>1.0200945763421998</v>
      </c>
      <c r="HC56" s="3">
        <f>$H56*factors!GW$3</f>
        <v>0.99481968594719994</v>
      </c>
      <c r="HD56" s="3">
        <f>$H56*factors!GX$3</f>
        <v>1.0241385588053999</v>
      </c>
      <c r="HE56" s="3">
        <f>$H56*factors!GY$3</f>
        <v>1.0109956158</v>
      </c>
      <c r="HF56" s="3">
        <f>$H56*factors!GZ$3</f>
        <v>1.0423364798898</v>
      </c>
      <c r="HG56" s="3">
        <f>$H56*factors!HA$3</f>
        <v>1.0018966552577999</v>
      </c>
      <c r="HH56" s="3">
        <f>$H56*factors!HB$3</f>
        <v>0.98875371225239994</v>
      </c>
      <c r="HI56" s="3">
        <f>$H56*factors!HC$3</f>
        <v>0.97662176486280006</v>
      </c>
      <c r="HJ56" s="3">
        <f>$H56*factors!HD$3</f>
        <v>0.96550081308900004</v>
      </c>
      <c r="HK56" s="3">
        <f>$H56*factors!HE$3</f>
        <v>1.021105571958</v>
      </c>
      <c r="HL56" s="3">
        <f>$H56*factors!HF$3</f>
        <v>0.96246782624159988</v>
      </c>
      <c r="HM56" s="3">
        <f>$H56*factors!HG$3</f>
        <v>0.97257778239960002</v>
      </c>
      <c r="HN56" s="3">
        <f>$H56*factors!HH$3</f>
        <v>1.0372815018108001</v>
      </c>
      <c r="HO56" s="3">
        <f>$H56*factors!HI$3</f>
        <v>0.99481968594719994</v>
      </c>
      <c r="HP56" s="3">
        <f>$H56*factors!HJ$3</f>
        <v>1.0615453965900001</v>
      </c>
      <c r="HQ56" s="3">
        <f>$H56*factors!HK$3</f>
        <v>0.97055579116800006</v>
      </c>
      <c r="HR56" s="3">
        <f>$H56*factors!HL$3</f>
        <v>1.0291935368844001</v>
      </c>
      <c r="HS56" s="3">
        <f>$H56*factors!HM$3</f>
        <v>1.0473914579688</v>
      </c>
      <c r="HT56" s="3">
        <f>$H56*factors!HN$3</f>
        <v>0.97662176486280006</v>
      </c>
      <c r="HU56" s="3">
        <f>$H56*factors!HO$3</f>
        <v>0.98673172102079998</v>
      </c>
      <c r="HV56" s="3">
        <f>$H56*factors!HP$3</f>
        <v>0.99886366841040009</v>
      </c>
      <c r="HW56" s="3">
        <f>$H56*factors!HQ$3</f>
        <v>1.0130176070315999</v>
      </c>
      <c r="HX56" s="3">
        <f>$H56*factors!HR$3</f>
        <v>1.0544684272793998</v>
      </c>
      <c r="HY56" s="3">
        <f>$H56*factors!HS$3</f>
        <v>1.0018966552577999</v>
      </c>
      <c r="HZ56" s="3">
        <f>$H56*factors!HT$3</f>
        <v>1.0403144886581999</v>
      </c>
      <c r="IA56" s="3">
        <f>$H56*factors!HU$3</f>
        <v>0.98976470786820003</v>
      </c>
      <c r="IB56" s="3">
        <f>$H56*factors!HV$3</f>
        <v>1.0241385588053999</v>
      </c>
      <c r="IC56" s="3">
        <f>$H56*factors!HW$3</f>
        <v>1.0342485149634</v>
      </c>
      <c r="ID56" s="3">
        <f>$H56*factors!HX$3</f>
        <v>0.96044583500999992</v>
      </c>
      <c r="IE56" s="3">
        <f>$H56*factors!HY$3</f>
        <v>1.0200945763421998</v>
      </c>
      <c r="IF56" s="3">
        <f>$H56*factors!HZ$3</f>
        <v>1.0140286026473999</v>
      </c>
      <c r="IG56" s="3">
        <f>$H56*factors!IA$3</f>
        <v>1.0049296421052001</v>
      </c>
      <c r="IH56" s="3">
        <f>$H56*factors!IB$3</f>
        <v>1.0423364798898</v>
      </c>
      <c r="II56" s="3">
        <f>$H56*factors!IC$3</f>
        <v>0.99785267279459999</v>
      </c>
      <c r="IJ56" s="3">
        <f>$H56*factors!ID$3</f>
        <v>1.0069516333368</v>
      </c>
      <c r="IK56" s="3">
        <f>$H56*factors!IE$3</f>
        <v>1.0433474755056</v>
      </c>
      <c r="IL56" s="3">
        <f>$H56*factors!IF$3</f>
        <v>0.99886366841040009</v>
      </c>
      <c r="IM56" s="3">
        <f>$H56*factors!IG$3</f>
        <v>0.98976470786820003</v>
      </c>
      <c r="IN56" s="3">
        <f>$H56*factors!IH$3</f>
        <v>0.99583068156300003</v>
      </c>
      <c r="IO56" s="3">
        <f>$H56*factors!II$3</f>
        <v>1.0059406377210001</v>
      </c>
      <c r="IP56" s="3">
        <f>$H56*factors!IJ$3</f>
        <v>0.97257778239960002</v>
      </c>
      <c r="IQ56" s="3">
        <f>$H56*factors!IK$3</f>
        <v>0.96954479555219997</v>
      </c>
      <c r="IR56" s="3">
        <f>$H56*factors!IL$3</f>
        <v>0.99785267279459999</v>
      </c>
      <c r="IS56" s="3">
        <f>$H56*factors!IM$3</f>
        <v>1.0059406377210001</v>
      </c>
      <c r="IT56" s="3">
        <f>$H56*factors!IN$3</f>
        <v>1.0130176070315999</v>
      </c>
      <c r="IU56" s="3">
        <f>$H56*factors!IO$3</f>
        <v>1.0352595105792002</v>
      </c>
      <c r="IV56" s="3">
        <f>$H56*factors!IP$3</f>
        <v>1.0484024535845999</v>
      </c>
      <c r="IW56" s="3">
        <f>$H56*factors!IQ$3</f>
        <v>0.9907757034839999</v>
      </c>
      <c r="IX56" s="3">
        <f>$H56*factors!IR$3</f>
        <v>1.0352595105792002</v>
      </c>
      <c r="IY56" s="3">
        <f>$H56*factors!IS$3</f>
        <v>1.0200945763421998</v>
      </c>
      <c r="IZ56" s="3">
        <f>$H56*factors!IT$3</f>
        <v>1.0372815018108001</v>
      </c>
      <c r="JA56" s="3">
        <f>$H56*factors!IU$3</f>
        <v>0.97965475171019989</v>
      </c>
      <c r="JB56" s="3">
        <f>$H56*factors!IV$3</f>
        <v>0.99785267279459999</v>
      </c>
      <c r="JC56" s="3">
        <f>$H56*factors!IW$3</f>
        <v>0.97459977363120009</v>
      </c>
      <c r="JD56" s="3">
        <f>$H56*factors!IX$3</f>
        <v>1.0615453965900001</v>
      </c>
      <c r="JE56" s="3">
        <f>$H56*factors!IY$3</f>
        <v>0.97763276047859993</v>
      </c>
      <c r="JF56" s="3">
        <f>$H56*factors!IZ$3</f>
        <v>1.0261605500369999</v>
      </c>
      <c r="JG56" s="3">
        <f>$H56*factors!JA$3</f>
        <v>1.0079626289526</v>
      </c>
      <c r="JH56" s="3">
        <f>$H56*factors!JB$3</f>
        <v>1.0271715456528001</v>
      </c>
      <c r="JI56" s="3">
        <f>$H56*factors!JC$3</f>
        <v>0.96145683062580001</v>
      </c>
      <c r="JJ56" s="3">
        <f>$H56*factors!JD$3</f>
        <v>1.0352595105792002</v>
      </c>
      <c r="JK56" s="3">
        <f>$H56*factors!JE$3</f>
        <v>1.0018966552577999</v>
      </c>
      <c r="JL56" s="3">
        <f>$H56*factors!JF$3</f>
        <v>1.0423364798898</v>
      </c>
      <c r="JM56" s="3">
        <f>$H56*factors!JG$3</f>
        <v>0.97257778239960002</v>
      </c>
      <c r="JN56" s="3">
        <f>$H56*factors!JH$3</f>
        <v>0.97257778239960002</v>
      </c>
      <c r="JO56" s="3">
        <f>$H56*factors!JI$3</f>
        <v>0.96044583500999992</v>
      </c>
      <c r="JP56" s="3">
        <f>$H56*factors!JJ$3</f>
        <v>1.0382924974265999</v>
      </c>
      <c r="JQ56" s="3">
        <f>$H56*factors!JK$3</f>
        <v>1.0120066114158</v>
      </c>
      <c r="JR56" s="3">
        <f>$H56*factors!JL$3</f>
        <v>1.0514354404320001</v>
      </c>
      <c r="JS56" s="3">
        <f>$H56*factors!JM$3</f>
        <v>0.96044583500999992</v>
      </c>
      <c r="JT56" s="3">
        <f>$H56*factors!JN$3</f>
        <v>1.0089736245684</v>
      </c>
      <c r="JU56" s="3">
        <f>$H56*factors!JO$3</f>
        <v>0.97561076924699996</v>
      </c>
      <c r="JV56" s="3">
        <f>$H56*factors!JP$3</f>
        <v>0.9917866990998</v>
      </c>
      <c r="JW56" s="3">
        <f>$H56*factors!JQ$3</f>
        <v>1.0595234053584002</v>
      </c>
      <c r="JX56" s="3">
        <f>$H56*factors!JR$3</f>
        <v>1.0494134492003999</v>
      </c>
      <c r="JY56" s="3">
        <f>$H56*factors!JS$3</f>
        <v>0.98774271663660007</v>
      </c>
      <c r="JZ56" s="3">
        <f>$H56*factors!JT$3</f>
        <v>0.99886366841040009</v>
      </c>
      <c r="KA56" s="3">
        <f>$H56*factors!JU$3</f>
        <v>1.0029076508736001</v>
      </c>
      <c r="KB56" s="3">
        <f>$H56*factors!JV$3</f>
        <v>0.96954479555219997</v>
      </c>
      <c r="KC56" s="3">
        <f>$H56*factors!JW$3</f>
        <v>0.97459977363120009</v>
      </c>
      <c r="KD56" s="3">
        <f>$H56*factors!JX$3</f>
        <v>0.97561076924699996</v>
      </c>
      <c r="KE56" s="3">
        <f>$H56*factors!JY$3</f>
        <v>1.0382924974265999</v>
      </c>
      <c r="KF56" s="3">
        <f>$H56*factors!JZ$3</f>
        <v>1.0504244448161999</v>
      </c>
      <c r="KG56" s="3">
        <f>$H56*factors!KA$3</f>
        <v>1.0130176070315999</v>
      </c>
      <c r="KH56" s="3">
        <f>$H56*factors!KB$3</f>
        <v>0.9907757034839999</v>
      </c>
      <c r="KI56" s="3">
        <f>$H56*factors!KC$3</f>
        <v>0.98167674294179996</v>
      </c>
    </row>
    <row r="57" spans="1:295" x14ac:dyDescent="0.55000000000000004">
      <c r="A57" t="s">
        <v>433</v>
      </c>
      <c r="B57">
        <v>56</v>
      </c>
      <c r="C57">
        <v>230</v>
      </c>
      <c r="D57" t="s">
        <v>377</v>
      </c>
      <c r="E57">
        <v>5.0220000000000004E-3</v>
      </c>
      <c r="F57">
        <v>56</v>
      </c>
      <c r="G57">
        <f>VLOOKUP(D57,demand_forecasted!$A$2:$G$11,2)</f>
        <v>11098</v>
      </c>
      <c r="H57" s="3">
        <f t="shared" si="1"/>
        <v>0.55734156000000001</v>
      </c>
      <c r="I57" s="3">
        <f>$H57*factors!C$3</f>
        <v>0.61697710691999996</v>
      </c>
      <c r="J57" s="3">
        <f>$H57*factors!D$3</f>
        <v>0.59470573818240002</v>
      </c>
      <c r="K57" s="3">
        <f>$H57*factors!E$3</f>
        <v>0.5844729471408</v>
      </c>
      <c r="L57" s="3">
        <f>$H57*factors!F$3</f>
        <v>0.5826671604864001</v>
      </c>
      <c r="M57" s="3">
        <f>$H57*factors!G$3</f>
        <v>0.58206523160159995</v>
      </c>
      <c r="N57" s="3">
        <f>$H57*factors!H$3</f>
        <v>0.59891924037599997</v>
      </c>
      <c r="O57" s="3">
        <f>$H57*factors!I$3</f>
        <v>0.61216167584159997</v>
      </c>
      <c r="P57" s="3">
        <f>$H57*factors!J$3</f>
        <v>0.61938482245920001</v>
      </c>
      <c r="Q57" s="3">
        <f>$H57*factors!K$3</f>
        <v>0.58146330271680002</v>
      </c>
      <c r="R57" s="3">
        <f>$H57*factors!L$3</f>
        <v>0.57183244056000004</v>
      </c>
      <c r="S57" s="3">
        <f>$H57*factors!M$3</f>
        <v>0.59530766706719995</v>
      </c>
      <c r="T57" s="3">
        <f>$H57*factors!N$3</f>
        <v>0.61577324915039999</v>
      </c>
      <c r="U57" s="3">
        <f>$H57*factors!O$3</f>
        <v>0.58326908937120003</v>
      </c>
      <c r="V57" s="3">
        <f>$H57*factors!P$3</f>
        <v>0.60674431587840005</v>
      </c>
      <c r="W57" s="3">
        <f>$H57*factors!Q$3</f>
        <v>0.61216167584159997</v>
      </c>
      <c r="X57" s="3">
        <f>$H57*factors!R$3</f>
        <v>0.58567680491039997</v>
      </c>
      <c r="Y57" s="3">
        <f>$H57*factors!S$3</f>
        <v>0.58025944494720005</v>
      </c>
      <c r="Z57" s="3">
        <f>$H57*factors!T$3</f>
        <v>0.62600604019200012</v>
      </c>
      <c r="AA57" s="3">
        <f>$H57*factors!U$3</f>
        <v>0.5910941648736</v>
      </c>
      <c r="AB57" s="3">
        <f>$H57*factors!V$3</f>
        <v>0.59169609375840004</v>
      </c>
      <c r="AC57" s="3">
        <f>$H57*factors!W$3</f>
        <v>0.59229802264320008</v>
      </c>
      <c r="AD57" s="3">
        <f>$H57*factors!X$3</f>
        <v>0.57965751606240001</v>
      </c>
      <c r="AE57" s="3">
        <f>$H57*factors!Y$3</f>
        <v>0.5844729471408</v>
      </c>
      <c r="AF57" s="3">
        <f>$H57*factors!Z$3</f>
        <v>0.59651152483680003</v>
      </c>
      <c r="AG57" s="3">
        <f>$H57*factors!AA$3</f>
        <v>0.58146330271680002</v>
      </c>
      <c r="AH57" s="3">
        <f>$H57*factors!AB$3</f>
        <v>0.57905558717760008</v>
      </c>
      <c r="AI57" s="3">
        <f>$H57*factors!AC$3</f>
        <v>0.5977153826064</v>
      </c>
      <c r="AJ57" s="3">
        <f>$H57*factors!AD$3</f>
        <v>0.62058868022879998</v>
      </c>
      <c r="AK57" s="3">
        <f>$H57*factors!AE$3</f>
        <v>0.59711345372160007</v>
      </c>
      <c r="AL57" s="3">
        <f>$H57*factors!AF$3</f>
        <v>0.57363822721439994</v>
      </c>
      <c r="AM57" s="3">
        <f>$H57*factors!AG$3</f>
        <v>0.58989030710400003</v>
      </c>
      <c r="AN57" s="3">
        <f>$H57*factors!AH$3</f>
        <v>0.58025944494720005</v>
      </c>
      <c r="AO57" s="3">
        <f>$H57*factors!AI$3</f>
        <v>0.60794817364800002</v>
      </c>
      <c r="AP57" s="3">
        <f>$H57*factors!AJ$3</f>
        <v>0.5826671604864001</v>
      </c>
      <c r="AQ57" s="3">
        <f>$H57*factors!AK$3</f>
        <v>0.60132695591520002</v>
      </c>
      <c r="AR57" s="3">
        <f>$H57*factors!AL$3</f>
        <v>0.58808452044960002</v>
      </c>
      <c r="AS57" s="3">
        <f>$H57*factors!AM$3</f>
        <v>0.57363822721439994</v>
      </c>
      <c r="AT57" s="3">
        <f>$H57*factors!AN$3</f>
        <v>0.59169609375840004</v>
      </c>
      <c r="AU57" s="3">
        <f>$H57*factors!AO$3</f>
        <v>0.62660796907679994</v>
      </c>
      <c r="AV57" s="3">
        <f>$H57*factors!AP$3</f>
        <v>0.59229802264320008</v>
      </c>
      <c r="AW57" s="3">
        <f>$H57*factors!AQ$3</f>
        <v>0.58627873379520001</v>
      </c>
      <c r="AX57" s="3">
        <f>$H57*factors!AR$3</f>
        <v>0.61998675134400005</v>
      </c>
      <c r="AY57" s="3">
        <f>$H57*factors!AS$3</f>
        <v>0.57183244056000004</v>
      </c>
      <c r="AZ57" s="3">
        <f>$H57*factors!AT$3</f>
        <v>0.61276360472640012</v>
      </c>
      <c r="BA57" s="3">
        <f>$H57*factors!AU$3</f>
        <v>0.59952116926080001</v>
      </c>
      <c r="BB57" s="3">
        <f>$H57*factors!AV$3</f>
        <v>0.59169609375840004</v>
      </c>
      <c r="BC57" s="3">
        <f>$H57*factors!AW$3</f>
        <v>0.62600604019200012</v>
      </c>
      <c r="BD57" s="3">
        <f>$H57*factors!AX$3</f>
        <v>0.577851729408</v>
      </c>
      <c r="BE57" s="3">
        <f>$H57*factors!AY$3</f>
        <v>0.67936592114639993</v>
      </c>
      <c r="BF57" s="3">
        <f>$H57*factors!AZ$3</f>
        <v>0.63267184524959996</v>
      </c>
      <c r="BG57" s="3">
        <f>$H57*factors!BA$3</f>
        <v>0.64187912782079992</v>
      </c>
      <c r="BH57" s="3">
        <f>$H57*factors!BB$3</f>
        <v>0.65042874735119993</v>
      </c>
      <c r="BI57" s="3">
        <f>$H57*factors!BC$3</f>
        <v>0.67410461681999989</v>
      </c>
      <c r="BJ57" s="3">
        <f>$H57*factors!BD$3</f>
        <v>0.64385211694319999</v>
      </c>
      <c r="BK57" s="3">
        <f>$H57*factors!BE$3</f>
        <v>0.64516744302479989</v>
      </c>
      <c r="BL57" s="3">
        <f>$H57*factors!BF$3</f>
        <v>0.63793314957599989</v>
      </c>
      <c r="BM57" s="3">
        <f>$H57*factors!BG$3</f>
        <v>0.6813389102688</v>
      </c>
      <c r="BN57" s="3">
        <f>$H57*factors!BH$3</f>
        <v>0.67278929073839999</v>
      </c>
      <c r="BO57" s="3">
        <f>$H57*factors!BI$3</f>
        <v>0.63267184524959996</v>
      </c>
      <c r="BP57" s="3">
        <f>$H57*factors!BJ$3</f>
        <v>0.63069885612719989</v>
      </c>
      <c r="BQ57" s="3">
        <f>$H57*factors!BK$3</f>
        <v>0.64122146477999997</v>
      </c>
      <c r="BR57" s="3">
        <f>$H57*factors!BL$3</f>
        <v>0.66423967120799998</v>
      </c>
      <c r="BS57" s="3">
        <f>$H57*factors!BM$3</f>
        <v>0.67476227986079995</v>
      </c>
      <c r="BT57" s="3">
        <f>$H57*factors!BN$3</f>
        <v>0.67673526898319991</v>
      </c>
      <c r="BU57" s="3">
        <f>$H57*factors!BO$3</f>
        <v>0.68791554067680005</v>
      </c>
      <c r="BV57" s="3">
        <f>$H57*factors!BP$3</f>
        <v>0.63990613869839996</v>
      </c>
      <c r="BW57" s="3">
        <f>$H57*factors!BQ$3</f>
        <v>0.65437472559599996</v>
      </c>
      <c r="BX57" s="3">
        <f>$H57*factors!BR$3</f>
        <v>0.64187912782079992</v>
      </c>
      <c r="BY57" s="3">
        <f>$H57*factors!BS$3</f>
        <v>0.67147396465679987</v>
      </c>
      <c r="BZ57" s="3">
        <f>$H57*factors!BT$3</f>
        <v>0.65897836688159994</v>
      </c>
      <c r="CA57" s="3">
        <f>$H57*factors!BU$3</f>
        <v>0.65042874735119993</v>
      </c>
      <c r="CB57" s="3">
        <f>$H57*factors!BV$3</f>
        <v>0.62938353004559999</v>
      </c>
      <c r="CC57" s="3">
        <f>$H57*factors!BW$3</f>
        <v>0.64779809518799991</v>
      </c>
      <c r="CD57" s="3">
        <f>$H57*factors!BX$3</f>
        <v>0.64977108431039998</v>
      </c>
      <c r="CE57" s="3">
        <f>$H57*factors!BY$3</f>
        <v>0.65897836688159994</v>
      </c>
      <c r="CF57" s="3">
        <f>$H57*factors!BZ$3</f>
        <v>0.64911342126960003</v>
      </c>
      <c r="CG57" s="3">
        <f>$H57*factors!CA$3</f>
        <v>0.62741054092319992</v>
      </c>
      <c r="CH57" s="3">
        <f>$H57*factors!CB$3</f>
        <v>0.62806820396399987</v>
      </c>
      <c r="CI57" s="3">
        <f>$H57*factors!CC$3</f>
        <v>0.62477988876000001</v>
      </c>
      <c r="CJ57" s="3">
        <f>$H57*factors!CD$3</f>
        <v>0.65042874735119993</v>
      </c>
      <c r="CK57" s="3">
        <f>$H57*factors!CE$3</f>
        <v>0.67936592114639993</v>
      </c>
      <c r="CL57" s="3">
        <f>$H57*factors!CF$3</f>
        <v>0.63661782349439999</v>
      </c>
      <c r="CM57" s="3">
        <f>$H57*factors!CG$3</f>
        <v>0.65174407343279994</v>
      </c>
      <c r="CN57" s="3">
        <f>$H57*factors!CH$3</f>
        <v>0.63004119308639994</v>
      </c>
      <c r="CO57" s="3">
        <f>$H57*factors!CI$3</f>
        <v>0.63464483437199992</v>
      </c>
      <c r="CP57" s="3">
        <f>$H57*factors!CJ$3</f>
        <v>0.66489733424879982</v>
      </c>
      <c r="CQ57" s="3">
        <f>$H57*factors!CK$3</f>
        <v>0.64516744302479989</v>
      </c>
      <c r="CR57" s="3">
        <f>$H57*factors!CL$3</f>
        <v>0.66555499728959999</v>
      </c>
      <c r="CS57" s="3">
        <f>$H57*factors!CM$3</f>
        <v>0.68660021459519993</v>
      </c>
      <c r="CT57" s="3">
        <f>$H57*factors!CN$3</f>
        <v>0.67870825810559998</v>
      </c>
      <c r="CU57" s="3">
        <f>$H57*factors!CO$3</f>
        <v>0.66358200816719992</v>
      </c>
      <c r="CV57" s="3">
        <f>$H57*factors!CP$3</f>
        <v>0.69054619283999996</v>
      </c>
      <c r="CW57" s="3">
        <f>$H57*factors!CQ$3</f>
        <v>0.65305939951440006</v>
      </c>
      <c r="CX57" s="3">
        <f>$H57*factors!CR$3</f>
        <v>0.64319445390240004</v>
      </c>
      <c r="CY57" s="3">
        <f>$H57*factors!CS$3</f>
        <v>0.63727548653519994</v>
      </c>
      <c r="CZ57" s="3">
        <f>$H57*factors!CT$3</f>
        <v>0.62806820396399987</v>
      </c>
      <c r="DA57" s="3">
        <f>$H57*factors!CU$3</f>
        <v>0.65208962520000002</v>
      </c>
      <c r="DB57" s="3">
        <f>$H57*factors!CV$3</f>
        <v>0.69422464713600007</v>
      </c>
      <c r="DC57" s="3">
        <f>$H57*factors!CW$3</f>
        <v>0.66479701276799996</v>
      </c>
      <c r="DD57" s="3">
        <f>$H57*factors!CX$3</f>
        <v>0.66011534366399993</v>
      </c>
      <c r="DE57" s="3">
        <f>$H57*factors!CY$3</f>
        <v>0.67951082995200007</v>
      </c>
      <c r="DF57" s="3">
        <f>$H57*factors!CZ$3</f>
        <v>0.67817321020799992</v>
      </c>
      <c r="DG57" s="3">
        <f>$H57*factors!DA$3</f>
        <v>0.67549797071999995</v>
      </c>
      <c r="DH57" s="3">
        <f>$H57*factors!DB$3</f>
        <v>0.67549797071999995</v>
      </c>
      <c r="DI57" s="3">
        <f>$H57*factors!DC$3</f>
        <v>0.65008319558399996</v>
      </c>
      <c r="DJ57" s="3">
        <f>$H57*factors!DD$3</f>
        <v>0.68887416816000002</v>
      </c>
      <c r="DK57" s="3">
        <f>$H57*factors!DE$3</f>
        <v>0.68887416816000002</v>
      </c>
      <c r="DL57" s="3">
        <f>$H57*factors!DF$3</f>
        <v>0.680848449696</v>
      </c>
      <c r="DM57" s="3">
        <f>$H57*factors!DG$3</f>
        <v>0.64138866724799992</v>
      </c>
      <c r="DN57" s="3">
        <f>$H57*factors!DH$3</f>
        <v>0.67282273123200009</v>
      </c>
      <c r="DO57" s="3">
        <f>$H57*factors!DI$3</f>
        <v>0.69489345700799998</v>
      </c>
      <c r="DP57" s="3">
        <f>$H57*factors!DJ$3</f>
        <v>0.68887416816000002</v>
      </c>
      <c r="DQ57" s="3">
        <f>$H57*factors!DK$3</f>
        <v>0.65677129430399994</v>
      </c>
      <c r="DR57" s="3">
        <f>$H57*factors!DL$3</f>
        <v>0.64941438571200005</v>
      </c>
      <c r="DS57" s="3">
        <f>$H57*factors!DM$3</f>
        <v>0.70158155572799996</v>
      </c>
      <c r="DT57" s="3">
        <f>$H57*factors!DN$3</f>
        <v>0.65944653379200002</v>
      </c>
      <c r="DU57" s="3">
        <f>$H57*factors!DO$3</f>
        <v>0.69021178790399995</v>
      </c>
      <c r="DV57" s="3">
        <f>$H57*factors!DP$3</f>
        <v>0.67416035097600002</v>
      </c>
      <c r="DW57" s="3">
        <f>$H57*factors!DQ$3</f>
        <v>0.64339509686399998</v>
      </c>
      <c r="DX57" s="3">
        <f>$H57*factors!DR$3</f>
        <v>0.68151725956799991</v>
      </c>
      <c r="DY57" s="3">
        <f>$H57*factors!DS$3</f>
        <v>0.64673914622399997</v>
      </c>
      <c r="DZ57" s="3">
        <f>$H57*factors!DT$3</f>
        <v>0.69154940764799999</v>
      </c>
      <c r="EA57" s="3">
        <f>$H57*factors!DU$3</f>
        <v>0.65142081532799989</v>
      </c>
      <c r="EB57" s="3">
        <f>$H57*factors!DV$3</f>
        <v>0.63536937839999996</v>
      </c>
      <c r="EC57" s="3">
        <f>$H57*factors!DW$3</f>
        <v>0.68352368918399997</v>
      </c>
      <c r="ED57" s="3">
        <f>$H57*factors!DX$3</f>
        <v>0.64138866724799992</v>
      </c>
      <c r="EE57" s="3">
        <f>$H57*factors!DY$3</f>
        <v>0.64673914622399997</v>
      </c>
      <c r="EF57" s="3">
        <f>$H57*factors!DZ$3</f>
        <v>0.70158155572799996</v>
      </c>
      <c r="EG57" s="3">
        <f>$H57*factors!EA$3</f>
        <v>0.65543367456000001</v>
      </c>
      <c r="EH57" s="3">
        <f>$H57*factors!EB$3</f>
        <v>0.65744010417599996</v>
      </c>
      <c r="EI57" s="3">
        <f>$H57*factors!EC$3</f>
        <v>0.65610248443200003</v>
      </c>
      <c r="EJ57" s="3">
        <f>$H57*factors!ED$3</f>
        <v>0.63938223763199997</v>
      </c>
      <c r="EK57" s="3">
        <f>$H57*factors!EE$3</f>
        <v>0.68352368918399997</v>
      </c>
      <c r="EL57" s="3">
        <f>$H57*factors!EF$3</f>
        <v>0.65008319558399996</v>
      </c>
      <c r="EM57" s="3">
        <f>$H57*factors!EG$3</f>
        <v>0.67616678059199997</v>
      </c>
      <c r="EN57" s="3">
        <f>$H57*factors!EH$3</f>
        <v>0.63536937839999996</v>
      </c>
      <c r="EO57" s="3">
        <f>$H57*factors!EI$3</f>
        <v>0.64473271660799991</v>
      </c>
      <c r="EP57" s="3">
        <f>$H57*factors!EJ$3</f>
        <v>0.68017963982399998</v>
      </c>
      <c r="EQ57" s="3">
        <f>$H57*factors!EK$3</f>
        <v>0.66145296340799997</v>
      </c>
      <c r="ER57" s="3">
        <f>$H57*factors!EL$3</f>
        <v>0.68887416816000002</v>
      </c>
      <c r="ES57" s="3">
        <f>$H57*factors!EM$3</f>
        <v>0.68017963982399998</v>
      </c>
      <c r="ET57" s="3">
        <f>$H57*factors!EN$3</f>
        <v>0.69556226688</v>
      </c>
      <c r="EU57" s="3">
        <f>$H57*factors!EO$3</f>
        <v>0.70225036559999998</v>
      </c>
      <c r="EV57" s="3">
        <f>$H57*factors!EP$3</f>
        <v>0.65810891404799998</v>
      </c>
      <c r="EW57" s="3">
        <f>$H57*factors!EQ$3</f>
        <v>0.72384735104999998</v>
      </c>
      <c r="EX57" s="3">
        <f>$H57*factors!ER$3</f>
        <v>0.71618390460000014</v>
      </c>
      <c r="EY57" s="3">
        <f>$H57*factors!ES$3</f>
        <v>0.73081412054999995</v>
      </c>
      <c r="EZ57" s="3">
        <f>$H57*factors!ET$3</f>
        <v>0.72384735104999998</v>
      </c>
      <c r="FA57" s="3">
        <f>$H57*factors!EU$3</f>
        <v>0.66532648724999999</v>
      </c>
      <c r="FB57" s="3">
        <f>$H57*factors!EV$3</f>
        <v>0.69528359610000001</v>
      </c>
      <c r="FC57" s="3">
        <f>$H57*factors!EW$3</f>
        <v>0.71479055069999997</v>
      </c>
      <c r="FD57" s="3">
        <f>$H57*factors!EX$3</f>
        <v>0.68971018049999999</v>
      </c>
      <c r="FE57" s="3">
        <f>$H57*factors!EY$3</f>
        <v>0.72663405884999999</v>
      </c>
      <c r="FF57" s="3">
        <f>$H57*factors!EZ$3</f>
        <v>0.72733073580000007</v>
      </c>
      <c r="FG57" s="3">
        <f>$H57*factors!FA$3</f>
        <v>0.66532648724999999</v>
      </c>
      <c r="FH57" s="3">
        <f>$H57*factors!FB$3</f>
        <v>0.70016033474999995</v>
      </c>
      <c r="FI57" s="3">
        <f>$H57*factors!FC$3</f>
        <v>0.72942076664999989</v>
      </c>
      <c r="FJ57" s="3">
        <f>$H57*factors!FD$3</f>
        <v>0.70016033474999995</v>
      </c>
      <c r="FK57" s="3">
        <f>$H57*factors!FE$3</f>
        <v>0.71200384290000007</v>
      </c>
      <c r="FL57" s="3">
        <f>$H57*factors!FF$3</f>
        <v>0.71409387375</v>
      </c>
      <c r="FM57" s="3">
        <f>$H57*factors!FG$3</f>
        <v>0.72175732019999994</v>
      </c>
      <c r="FN57" s="3">
        <f>$H57*factors!FH$3</f>
        <v>0.67507996454999997</v>
      </c>
      <c r="FO57" s="3">
        <f>$H57*factors!FI$3</f>
        <v>0.71688058155000001</v>
      </c>
      <c r="FP57" s="3">
        <f>$H57*factors!FJ$3</f>
        <v>0.69667695000000007</v>
      </c>
      <c r="FQ57" s="3">
        <f>$H57*factors!FK$3</f>
        <v>0.68971018049999999</v>
      </c>
      <c r="FR57" s="3">
        <f>$H57*factors!FL$3</f>
        <v>0.70364371950000004</v>
      </c>
      <c r="FS57" s="3">
        <f>$H57*factors!FM$3</f>
        <v>0.69946365779999997</v>
      </c>
      <c r="FT57" s="3">
        <f>$H57*factors!FN$3</f>
        <v>0.71479055069999997</v>
      </c>
      <c r="FU57" s="3">
        <f>$H57*factors!FO$3</f>
        <v>0.68692347269999998</v>
      </c>
      <c r="FV57" s="3">
        <f>$H57*factors!FP$3</f>
        <v>0.68135005709999996</v>
      </c>
      <c r="FW57" s="3">
        <f>$H57*factors!FQ$3</f>
        <v>0.72942076664999989</v>
      </c>
      <c r="FX57" s="3">
        <f>$H57*factors!FR$3</f>
        <v>0.71618390460000014</v>
      </c>
      <c r="FY57" s="3">
        <f>$H57*factors!FS$3</f>
        <v>0.7015536886499999</v>
      </c>
      <c r="FZ57" s="3">
        <f>$H57*factors!FT$3</f>
        <v>0.66671984115000005</v>
      </c>
      <c r="GA57" s="3">
        <f>$H57*factors!FU$3</f>
        <v>0.7015536886499999</v>
      </c>
      <c r="GB57" s="3">
        <f>$H57*factors!FV$3</f>
        <v>0.72733073580000007</v>
      </c>
      <c r="GC57" s="3">
        <f>$H57*factors!FW$3</f>
        <v>0.68135005709999996</v>
      </c>
      <c r="GD57" s="3">
        <f>$H57*factors!FX$3</f>
        <v>0.69319356524999998</v>
      </c>
      <c r="GE57" s="3">
        <f>$H57*factors!FY$3</f>
        <v>0.69319356524999998</v>
      </c>
      <c r="GF57" s="3">
        <f>$H57*factors!FZ$3</f>
        <v>0.69110353440000005</v>
      </c>
      <c r="GG57" s="3">
        <f>$H57*factors!GA$3</f>
        <v>0.66393313334999993</v>
      </c>
      <c r="GH57" s="3">
        <f>$H57*factors!GB$3</f>
        <v>0.70643042730000005</v>
      </c>
      <c r="GI57" s="3">
        <f>$H57*factors!GC$3</f>
        <v>0.66253977944999998</v>
      </c>
      <c r="GJ57" s="3">
        <f>$H57*factors!GD$3</f>
        <v>0.66393313334999993</v>
      </c>
      <c r="GK57" s="3">
        <f>$H57*factors!GE$3</f>
        <v>0.68065338014999999</v>
      </c>
      <c r="GL57" s="3">
        <f>$H57*factors!GF$3</f>
        <v>0.72106064324999997</v>
      </c>
      <c r="GM57" s="3">
        <f>$H57*factors!GG$3</f>
        <v>0.68344008795</v>
      </c>
      <c r="GN57" s="3">
        <f>$H57*factors!GH$3</f>
        <v>0.7050370734000001</v>
      </c>
      <c r="GO57" s="3">
        <f>$H57*factors!GI$3</f>
        <v>0.66602316419999996</v>
      </c>
      <c r="GP57" s="3">
        <f>$H57*factors!GJ$3</f>
        <v>0.71409387375</v>
      </c>
      <c r="GQ57" s="3">
        <f>$H57*factors!GK$3</f>
        <v>0.72872408970000002</v>
      </c>
      <c r="GR57" s="3">
        <f>$H57*factors!GL$3</f>
        <v>0.71479055069999997</v>
      </c>
      <c r="GS57" s="3">
        <f>$H57*factors!GM$3</f>
        <v>0.67597171104599996</v>
      </c>
      <c r="GT57" s="3">
        <f>$H57*factors!GN$3</f>
        <v>0.69154383423240007</v>
      </c>
      <c r="GU57" s="3">
        <f>$H57*factors!GO$3</f>
        <v>0.7078237812</v>
      </c>
      <c r="GV57" s="3">
        <f>$H57*factors!GP$3</f>
        <v>0.67951082995200007</v>
      </c>
      <c r="GW57" s="3">
        <f>$H57*factors!GQ$3</f>
        <v>0.70357683851280006</v>
      </c>
      <c r="GX57" s="3">
        <f>$H57*factors!GR$3</f>
        <v>0.6922516580136</v>
      </c>
      <c r="GY57" s="3">
        <f>$H57*factors!GS$3</f>
        <v>0.68871253910760011</v>
      </c>
      <c r="GZ57" s="3">
        <f>$H57*factors!GT$3</f>
        <v>0.71419419523079997</v>
      </c>
      <c r="HA57" s="3">
        <f>$H57*factors!GU$3</f>
        <v>0.69083601045120002</v>
      </c>
      <c r="HB57" s="3">
        <f>$H57*factors!GV$3</f>
        <v>0.71419419523079997</v>
      </c>
      <c r="HC57" s="3">
        <f>$H57*factors!GW$3</f>
        <v>0.69649860070079994</v>
      </c>
      <c r="HD57" s="3">
        <f>$H57*factors!GX$3</f>
        <v>0.71702549035559993</v>
      </c>
      <c r="HE57" s="3">
        <f>$H57*factors!GY$3</f>
        <v>0.7078237812</v>
      </c>
      <c r="HF57" s="3">
        <f>$H57*factors!GZ$3</f>
        <v>0.72976631841719997</v>
      </c>
      <c r="HG57" s="3">
        <f>$H57*factors!HA$3</f>
        <v>0.70145336716920004</v>
      </c>
      <c r="HH57" s="3">
        <f>$H57*factors!HB$3</f>
        <v>0.6922516580136</v>
      </c>
      <c r="HI57" s="3">
        <f>$H57*factors!HC$3</f>
        <v>0.68375777263920001</v>
      </c>
      <c r="HJ57" s="3">
        <f>$H57*factors!HD$3</f>
        <v>0.67597171104599996</v>
      </c>
      <c r="HK57" s="3">
        <f>$H57*factors!HE$3</f>
        <v>0.71490201901200001</v>
      </c>
      <c r="HL57" s="3">
        <f>$H57*factors!HF$3</f>
        <v>0.67384823970239993</v>
      </c>
      <c r="HM57" s="3">
        <f>$H57*factors!HG$3</f>
        <v>0.68092647751440005</v>
      </c>
      <c r="HN57" s="3">
        <f>$H57*factors!HH$3</f>
        <v>0.72622719951120007</v>
      </c>
      <c r="HO57" s="3">
        <f>$H57*factors!HI$3</f>
        <v>0.69649860070079994</v>
      </c>
      <c r="HP57" s="3">
        <f>$H57*factors!HJ$3</f>
        <v>0.74321497026000005</v>
      </c>
      <c r="HQ57" s="3">
        <f>$H57*factors!HK$3</f>
        <v>0.67951082995200007</v>
      </c>
      <c r="HR57" s="3">
        <f>$H57*factors!HL$3</f>
        <v>0.72056460926160004</v>
      </c>
      <c r="HS57" s="3">
        <f>$H57*factors!HM$3</f>
        <v>0.73330543732319997</v>
      </c>
      <c r="HT57" s="3">
        <f>$H57*factors!HN$3</f>
        <v>0.68375777263920001</v>
      </c>
      <c r="HU57" s="3">
        <f>$H57*factors!HO$3</f>
        <v>0.69083601045120002</v>
      </c>
      <c r="HV57" s="3">
        <f>$H57*factors!HP$3</f>
        <v>0.69932989582560012</v>
      </c>
      <c r="HW57" s="3">
        <f>$H57*factors!HQ$3</f>
        <v>0.70923942876239998</v>
      </c>
      <c r="HX57" s="3">
        <f>$H57*factors!HR$3</f>
        <v>0.73826020379159996</v>
      </c>
      <c r="HY57" s="3">
        <f>$H57*factors!HS$3</f>
        <v>0.70145336716920004</v>
      </c>
      <c r="HZ57" s="3">
        <f>$H57*factors!HT$3</f>
        <v>0.72835067085479999</v>
      </c>
      <c r="IA57" s="3">
        <f>$H57*factors!HU$3</f>
        <v>0.69295948179480005</v>
      </c>
      <c r="IB57" s="3">
        <f>$H57*factors!HV$3</f>
        <v>0.71702549035559993</v>
      </c>
      <c r="IC57" s="3">
        <f>$H57*factors!HW$3</f>
        <v>0.72410372816760005</v>
      </c>
      <c r="ID57" s="3">
        <f>$H57*factors!HX$3</f>
        <v>0.67243259213999995</v>
      </c>
      <c r="IE57" s="3">
        <f>$H57*factors!HY$3</f>
        <v>0.71419419523079997</v>
      </c>
      <c r="IF57" s="3">
        <f>$H57*factors!HZ$3</f>
        <v>0.70994725254359992</v>
      </c>
      <c r="IG57" s="3">
        <f>$H57*factors!IA$3</f>
        <v>0.70357683851280006</v>
      </c>
      <c r="IH57" s="3">
        <f>$H57*factors!IB$3</f>
        <v>0.72976631841719997</v>
      </c>
      <c r="II57" s="3">
        <f>$H57*factors!IC$3</f>
        <v>0.69862207204439997</v>
      </c>
      <c r="IJ57" s="3">
        <f>$H57*factors!ID$3</f>
        <v>0.70499248607520004</v>
      </c>
      <c r="IK57" s="3">
        <f>$H57*factors!IE$3</f>
        <v>0.73047414219840001</v>
      </c>
      <c r="IL57" s="3">
        <f>$H57*factors!IF$3</f>
        <v>0.69932989582560012</v>
      </c>
      <c r="IM57" s="3">
        <f>$H57*factors!IG$3</f>
        <v>0.69295948179480005</v>
      </c>
      <c r="IN57" s="3">
        <f>$H57*factors!IH$3</f>
        <v>0.69720642448199999</v>
      </c>
      <c r="IO57" s="3">
        <f>$H57*factors!II$3</f>
        <v>0.704284662294</v>
      </c>
      <c r="IP57" s="3">
        <f>$H57*factors!IJ$3</f>
        <v>0.68092647751440005</v>
      </c>
      <c r="IQ57" s="3">
        <f>$H57*factors!IK$3</f>
        <v>0.67880300617080003</v>
      </c>
      <c r="IR57" s="3">
        <f>$H57*factors!IL$3</f>
        <v>0.69862207204439997</v>
      </c>
      <c r="IS57" s="3">
        <f>$H57*factors!IM$3</f>
        <v>0.704284662294</v>
      </c>
      <c r="IT57" s="3">
        <f>$H57*factors!IN$3</f>
        <v>0.70923942876239998</v>
      </c>
      <c r="IU57" s="3">
        <f>$H57*factors!IO$3</f>
        <v>0.72481155194880009</v>
      </c>
      <c r="IV57" s="3">
        <f>$H57*factors!IP$3</f>
        <v>0.73401326110439991</v>
      </c>
      <c r="IW57" s="3">
        <f>$H57*factors!IQ$3</f>
        <v>0.69366730557599998</v>
      </c>
      <c r="IX57" s="3">
        <f>$H57*factors!IR$3</f>
        <v>0.72481155194880009</v>
      </c>
      <c r="IY57" s="3">
        <f>$H57*factors!IS$3</f>
        <v>0.71419419523079997</v>
      </c>
      <c r="IZ57" s="3">
        <f>$H57*factors!IT$3</f>
        <v>0.72622719951120007</v>
      </c>
      <c r="JA57" s="3">
        <f>$H57*factors!IU$3</f>
        <v>0.68588124398279993</v>
      </c>
      <c r="JB57" s="3">
        <f>$H57*factors!IV$3</f>
        <v>0.69862207204439997</v>
      </c>
      <c r="JC57" s="3">
        <f>$H57*factors!IW$3</f>
        <v>0.68234212507680003</v>
      </c>
      <c r="JD57" s="3">
        <f>$H57*factors!IX$3</f>
        <v>0.74321497026000005</v>
      </c>
      <c r="JE57" s="3">
        <f>$H57*factors!IY$3</f>
        <v>0.68446559642039995</v>
      </c>
      <c r="JF57" s="3">
        <f>$H57*factors!IZ$3</f>
        <v>0.71844113791799991</v>
      </c>
      <c r="JG57" s="3">
        <f>$H57*factors!JA$3</f>
        <v>0.70570030985639998</v>
      </c>
      <c r="JH57" s="3">
        <f>$H57*factors!JB$3</f>
        <v>0.71914896169920006</v>
      </c>
      <c r="JI57" s="3">
        <f>$H57*factors!JC$3</f>
        <v>0.6731404159212</v>
      </c>
      <c r="JJ57" s="3">
        <f>$H57*factors!JD$3</f>
        <v>0.72481155194880009</v>
      </c>
      <c r="JK57" s="3">
        <f>$H57*factors!JE$3</f>
        <v>0.70145336716920004</v>
      </c>
      <c r="JL57" s="3">
        <f>$H57*factors!JF$3</f>
        <v>0.72976631841719997</v>
      </c>
      <c r="JM57" s="3">
        <f>$H57*factors!JG$3</f>
        <v>0.68092647751440005</v>
      </c>
      <c r="JN57" s="3">
        <f>$H57*factors!JH$3</f>
        <v>0.68092647751440005</v>
      </c>
      <c r="JO57" s="3">
        <f>$H57*factors!JI$3</f>
        <v>0.67243259213999995</v>
      </c>
      <c r="JP57" s="3">
        <f>$H57*factors!JJ$3</f>
        <v>0.72693502329240001</v>
      </c>
      <c r="JQ57" s="3">
        <f>$H57*factors!JK$3</f>
        <v>0.70853160498119994</v>
      </c>
      <c r="JR57" s="3">
        <f>$H57*factors!JL$3</f>
        <v>0.73613673244800004</v>
      </c>
      <c r="JS57" s="3">
        <f>$H57*factors!JM$3</f>
        <v>0.67243259213999995</v>
      </c>
      <c r="JT57" s="3">
        <f>$H57*factors!JN$3</f>
        <v>0.70640813363760002</v>
      </c>
      <c r="JU57" s="3">
        <f>$H57*factors!JO$3</f>
        <v>0.68304994885799997</v>
      </c>
      <c r="JV57" s="3">
        <f>$H57*factors!JP$3</f>
        <v>0.69437512935720003</v>
      </c>
      <c r="JW57" s="3">
        <f>$H57*factors!JQ$3</f>
        <v>0.74179932269760007</v>
      </c>
      <c r="JX57" s="3">
        <f>$H57*factors!JR$3</f>
        <v>0.73472108488560006</v>
      </c>
      <c r="JY57" s="3">
        <f>$H57*factors!JS$3</f>
        <v>0.69154383423240007</v>
      </c>
      <c r="JZ57" s="3">
        <f>$H57*factors!JT$3</f>
        <v>0.69932989582560012</v>
      </c>
      <c r="KA57" s="3">
        <f>$H57*factors!JU$3</f>
        <v>0.70216119095040008</v>
      </c>
      <c r="KB57" s="3">
        <f>$H57*factors!JV$3</f>
        <v>0.67880300617080003</v>
      </c>
      <c r="KC57" s="3">
        <f>$H57*factors!JW$3</f>
        <v>0.68234212507680003</v>
      </c>
      <c r="KD57" s="3">
        <f>$H57*factors!JX$3</f>
        <v>0.68304994885799997</v>
      </c>
      <c r="KE57" s="3">
        <f>$H57*factors!JY$3</f>
        <v>0.72693502329240001</v>
      </c>
      <c r="KF57" s="3">
        <f>$H57*factors!JZ$3</f>
        <v>0.7354289086668</v>
      </c>
      <c r="KG57" s="3">
        <f>$H57*factors!KA$3</f>
        <v>0.70923942876239998</v>
      </c>
      <c r="KH57" s="3">
        <f>$H57*factors!KB$3</f>
        <v>0.69366730557599998</v>
      </c>
      <c r="KI57" s="3">
        <f>$H57*factors!KC$3</f>
        <v>0.68729689154519991</v>
      </c>
    </row>
    <row r="58" spans="1:295" x14ac:dyDescent="0.55000000000000004">
      <c r="A58" t="s">
        <v>434</v>
      </c>
      <c r="B58">
        <v>57</v>
      </c>
      <c r="C58">
        <v>230</v>
      </c>
      <c r="D58" t="s">
        <v>377</v>
      </c>
      <c r="E58">
        <v>5.0220000000000004E-3</v>
      </c>
      <c r="F58">
        <v>57</v>
      </c>
      <c r="G58">
        <f>VLOOKUP(D58,demand_forecasted!$A$2:$G$11,2)</f>
        <v>11098</v>
      </c>
      <c r="H58" s="3">
        <f t="shared" si="1"/>
        <v>0.55734156000000001</v>
      </c>
      <c r="I58" s="3">
        <f>$H58*factors!C$3</f>
        <v>0.61697710691999996</v>
      </c>
      <c r="J58" s="3">
        <f>$H58*factors!D$3</f>
        <v>0.59470573818240002</v>
      </c>
      <c r="K58" s="3">
        <f>$H58*factors!E$3</f>
        <v>0.5844729471408</v>
      </c>
      <c r="L58" s="3">
        <f>$H58*factors!F$3</f>
        <v>0.5826671604864001</v>
      </c>
      <c r="M58" s="3">
        <f>$H58*factors!G$3</f>
        <v>0.58206523160159995</v>
      </c>
      <c r="N58" s="3">
        <f>$H58*factors!H$3</f>
        <v>0.59891924037599997</v>
      </c>
      <c r="O58" s="3">
        <f>$H58*factors!I$3</f>
        <v>0.61216167584159997</v>
      </c>
      <c r="P58" s="3">
        <f>$H58*factors!J$3</f>
        <v>0.61938482245920001</v>
      </c>
      <c r="Q58" s="3">
        <f>$H58*factors!K$3</f>
        <v>0.58146330271680002</v>
      </c>
      <c r="R58" s="3">
        <f>$H58*factors!L$3</f>
        <v>0.57183244056000004</v>
      </c>
      <c r="S58" s="3">
        <f>$H58*factors!M$3</f>
        <v>0.59530766706719995</v>
      </c>
      <c r="T58" s="3">
        <f>$H58*factors!N$3</f>
        <v>0.61577324915039999</v>
      </c>
      <c r="U58" s="3">
        <f>$H58*factors!O$3</f>
        <v>0.58326908937120003</v>
      </c>
      <c r="V58" s="3">
        <f>$H58*factors!P$3</f>
        <v>0.60674431587840005</v>
      </c>
      <c r="W58" s="3">
        <f>$H58*factors!Q$3</f>
        <v>0.61216167584159997</v>
      </c>
      <c r="X58" s="3">
        <f>$H58*factors!R$3</f>
        <v>0.58567680491039997</v>
      </c>
      <c r="Y58" s="3">
        <f>$H58*factors!S$3</f>
        <v>0.58025944494720005</v>
      </c>
      <c r="Z58" s="3">
        <f>$H58*factors!T$3</f>
        <v>0.62600604019200012</v>
      </c>
      <c r="AA58" s="3">
        <f>$H58*factors!U$3</f>
        <v>0.5910941648736</v>
      </c>
      <c r="AB58" s="3">
        <f>$H58*factors!V$3</f>
        <v>0.59169609375840004</v>
      </c>
      <c r="AC58" s="3">
        <f>$H58*factors!W$3</f>
        <v>0.59229802264320008</v>
      </c>
      <c r="AD58" s="3">
        <f>$H58*factors!X$3</f>
        <v>0.57965751606240001</v>
      </c>
      <c r="AE58" s="3">
        <f>$H58*factors!Y$3</f>
        <v>0.5844729471408</v>
      </c>
      <c r="AF58" s="3">
        <f>$H58*factors!Z$3</f>
        <v>0.59651152483680003</v>
      </c>
      <c r="AG58" s="3">
        <f>$H58*factors!AA$3</f>
        <v>0.58146330271680002</v>
      </c>
      <c r="AH58" s="3">
        <f>$H58*factors!AB$3</f>
        <v>0.57905558717760008</v>
      </c>
      <c r="AI58" s="3">
        <f>$H58*factors!AC$3</f>
        <v>0.5977153826064</v>
      </c>
      <c r="AJ58" s="3">
        <f>$H58*factors!AD$3</f>
        <v>0.62058868022879998</v>
      </c>
      <c r="AK58" s="3">
        <f>$H58*factors!AE$3</f>
        <v>0.59711345372160007</v>
      </c>
      <c r="AL58" s="3">
        <f>$H58*factors!AF$3</f>
        <v>0.57363822721439994</v>
      </c>
      <c r="AM58" s="3">
        <f>$H58*factors!AG$3</f>
        <v>0.58989030710400003</v>
      </c>
      <c r="AN58" s="3">
        <f>$H58*factors!AH$3</f>
        <v>0.58025944494720005</v>
      </c>
      <c r="AO58" s="3">
        <f>$H58*factors!AI$3</f>
        <v>0.60794817364800002</v>
      </c>
      <c r="AP58" s="3">
        <f>$H58*factors!AJ$3</f>
        <v>0.5826671604864001</v>
      </c>
      <c r="AQ58" s="3">
        <f>$H58*factors!AK$3</f>
        <v>0.60132695591520002</v>
      </c>
      <c r="AR58" s="3">
        <f>$H58*factors!AL$3</f>
        <v>0.58808452044960002</v>
      </c>
      <c r="AS58" s="3">
        <f>$H58*factors!AM$3</f>
        <v>0.57363822721439994</v>
      </c>
      <c r="AT58" s="3">
        <f>$H58*factors!AN$3</f>
        <v>0.59169609375840004</v>
      </c>
      <c r="AU58" s="3">
        <f>$H58*factors!AO$3</f>
        <v>0.62660796907679994</v>
      </c>
      <c r="AV58" s="3">
        <f>$H58*factors!AP$3</f>
        <v>0.59229802264320008</v>
      </c>
      <c r="AW58" s="3">
        <f>$H58*factors!AQ$3</f>
        <v>0.58627873379520001</v>
      </c>
      <c r="AX58" s="3">
        <f>$H58*factors!AR$3</f>
        <v>0.61998675134400005</v>
      </c>
      <c r="AY58" s="3">
        <f>$H58*factors!AS$3</f>
        <v>0.57183244056000004</v>
      </c>
      <c r="AZ58" s="3">
        <f>$H58*factors!AT$3</f>
        <v>0.61276360472640012</v>
      </c>
      <c r="BA58" s="3">
        <f>$H58*factors!AU$3</f>
        <v>0.59952116926080001</v>
      </c>
      <c r="BB58" s="3">
        <f>$H58*factors!AV$3</f>
        <v>0.59169609375840004</v>
      </c>
      <c r="BC58" s="3">
        <f>$H58*factors!AW$3</f>
        <v>0.62600604019200012</v>
      </c>
      <c r="BD58" s="3">
        <f>$H58*factors!AX$3</f>
        <v>0.577851729408</v>
      </c>
      <c r="BE58" s="3">
        <f>$H58*factors!AY$3</f>
        <v>0.67936592114639993</v>
      </c>
      <c r="BF58" s="3">
        <f>$H58*factors!AZ$3</f>
        <v>0.63267184524959996</v>
      </c>
      <c r="BG58" s="3">
        <f>$H58*factors!BA$3</f>
        <v>0.64187912782079992</v>
      </c>
      <c r="BH58" s="3">
        <f>$H58*factors!BB$3</f>
        <v>0.65042874735119993</v>
      </c>
      <c r="BI58" s="3">
        <f>$H58*factors!BC$3</f>
        <v>0.67410461681999989</v>
      </c>
      <c r="BJ58" s="3">
        <f>$H58*factors!BD$3</f>
        <v>0.64385211694319999</v>
      </c>
      <c r="BK58" s="3">
        <f>$H58*factors!BE$3</f>
        <v>0.64516744302479989</v>
      </c>
      <c r="BL58" s="3">
        <f>$H58*factors!BF$3</f>
        <v>0.63793314957599989</v>
      </c>
      <c r="BM58" s="3">
        <f>$H58*factors!BG$3</f>
        <v>0.6813389102688</v>
      </c>
      <c r="BN58" s="3">
        <f>$H58*factors!BH$3</f>
        <v>0.67278929073839999</v>
      </c>
      <c r="BO58" s="3">
        <f>$H58*factors!BI$3</f>
        <v>0.63267184524959996</v>
      </c>
      <c r="BP58" s="3">
        <f>$H58*factors!BJ$3</f>
        <v>0.63069885612719989</v>
      </c>
      <c r="BQ58" s="3">
        <f>$H58*factors!BK$3</f>
        <v>0.64122146477999997</v>
      </c>
      <c r="BR58" s="3">
        <f>$H58*factors!BL$3</f>
        <v>0.66423967120799998</v>
      </c>
      <c r="BS58" s="3">
        <f>$H58*factors!BM$3</f>
        <v>0.67476227986079995</v>
      </c>
      <c r="BT58" s="3">
        <f>$H58*factors!BN$3</f>
        <v>0.67673526898319991</v>
      </c>
      <c r="BU58" s="3">
        <f>$H58*factors!BO$3</f>
        <v>0.68791554067680005</v>
      </c>
      <c r="BV58" s="3">
        <f>$H58*factors!BP$3</f>
        <v>0.63990613869839996</v>
      </c>
      <c r="BW58" s="3">
        <f>$H58*factors!BQ$3</f>
        <v>0.65437472559599996</v>
      </c>
      <c r="BX58" s="3">
        <f>$H58*factors!BR$3</f>
        <v>0.64187912782079992</v>
      </c>
      <c r="BY58" s="3">
        <f>$H58*factors!BS$3</f>
        <v>0.67147396465679987</v>
      </c>
      <c r="BZ58" s="3">
        <f>$H58*factors!BT$3</f>
        <v>0.65897836688159994</v>
      </c>
      <c r="CA58" s="3">
        <f>$H58*factors!BU$3</f>
        <v>0.65042874735119993</v>
      </c>
      <c r="CB58" s="3">
        <f>$H58*factors!BV$3</f>
        <v>0.62938353004559999</v>
      </c>
      <c r="CC58" s="3">
        <f>$H58*factors!BW$3</f>
        <v>0.64779809518799991</v>
      </c>
      <c r="CD58" s="3">
        <f>$H58*factors!BX$3</f>
        <v>0.64977108431039998</v>
      </c>
      <c r="CE58" s="3">
        <f>$H58*factors!BY$3</f>
        <v>0.65897836688159994</v>
      </c>
      <c r="CF58" s="3">
        <f>$H58*factors!BZ$3</f>
        <v>0.64911342126960003</v>
      </c>
      <c r="CG58" s="3">
        <f>$H58*factors!CA$3</f>
        <v>0.62741054092319992</v>
      </c>
      <c r="CH58" s="3">
        <f>$H58*factors!CB$3</f>
        <v>0.62806820396399987</v>
      </c>
      <c r="CI58" s="3">
        <f>$H58*factors!CC$3</f>
        <v>0.62477988876000001</v>
      </c>
      <c r="CJ58" s="3">
        <f>$H58*factors!CD$3</f>
        <v>0.65042874735119993</v>
      </c>
      <c r="CK58" s="3">
        <f>$H58*factors!CE$3</f>
        <v>0.67936592114639993</v>
      </c>
      <c r="CL58" s="3">
        <f>$H58*factors!CF$3</f>
        <v>0.63661782349439999</v>
      </c>
      <c r="CM58" s="3">
        <f>$H58*factors!CG$3</f>
        <v>0.65174407343279994</v>
      </c>
      <c r="CN58" s="3">
        <f>$H58*factors!CH$3</f>
        <v>0.63004119308639994</v>
      </c>
      <c r="CO58" s="3">
        <f>$H58*factors!CI$3</f>
        <v>0.63464483437199992</v>
      </c>
      <c r="CP58" s="3">
        <f>$H58*factors!CJ$3</f>
        <v>0.66489733424879982</v>
      </c>
      <c r="CQ58" s="3">
        <f>$H58*factors!CK$3</f>
        <v>0.64516744302479989</v>
      </c>
      <c r="CR58" s="3">
        <f>$H58*factors!CL$3</f>
        <v>0.66555499728959999</v>
      </c>
      <c r="CS58" s="3">
        <f>$H58*factors!CM$3</f>
        <v>0.68660021459519993</v>
      </c>
      <c r="CT58" s="3">
        <f>$H58*factors!CN$3</f>
        <v>0.67870825810559998</v>
      </c>
      <c r="CU58" s="3">
        <f>$H58*factors!CO$3</f>
        <v>0.66358200816719992</v>
      </c>
      <c r="CV58" s="3">
        <f>$H58*factors!CP$3</f>
        <v>0.69054619283999996</v>
      </c>
      <c r="CW58" s="3">
        <f>$H58*factors!CQ$3</f>
        <v>0.65305939951440006</v>
      </c>
      <c r="CX58" s="3">
        <f>$H58*factors!CR$3</f>
        <v>0.64319445390240004</v>
      </c>
      <c r="CY58" s="3">
        <f>$H58*factors!CS$3</f>
        <v>0.63727548653519994</v>
      </c>
      <c r="CZ58" s="3">
        <f>$H58*factors!CT$3</f>
        <v>0.62806820396399987</v>
      </c>
      <c r="DA58" s="3">
        <f>$H58*factors!CU$3</f>
        <v>0.65208962520000002</v>
      </c>
      <c r="DB58" s="3">
        <f>$H58*factors!CV$3</f>
        <v>0.69422464713600007</v>
      </c>
      <c r="DC58" s="3">
        <f>$H58*factors!CW$3</f>
        <v>0.66479701276799996</v>
      </c>
      <c r="DD58" s="3">
        <f>$H58*factors!CX$3</f>
        <v>0.66011534366399993</v>
      </c>
      <c r="DE58" s="3">
        <f>$H58*factors!CY$3</f>
        <v>0.67951082995200007</v>
      </c>
      <c r="DF58" s="3">
        <f>$H58*factors!CZ$3</f>
        <v>0.67817321020799992</v>
      </c>
      <c r="DG58" s="3">
        <f>$H58*factors!DA$3</f>
        <v>0.67549797071999995</v>
      </c>
      <c r="DH58" s="3">
        <f>$H58*factors!DB$3</f>
        <v>0.67549797071999995</v>
      </c>
      <c r="DI58" s="3">
        <f>$H58*factors!DC$3</f>
        <v>0.65008319558399996</v>
      </c>
      <c r="DJ58" s="3">
        <f>$H58*factors!DD$3</f>
        <v>0.68887416816000002</v>
      </c>
      <c r="DK58" s="3">
        <f>$H58*factors!DE$3</f>
        <v>0.68887416816000002</v>
      </c>
      <c r="DL58" s="3">
        <f>$H58*factors!DF$3</f>
        <v>0.680848449696</v>
      </c>
      <c r="DM58" s="3">
        <f>$H58*factors!DG$3</f>
        <v>0.64138866724799992</v>
      </c>
      <c r="DN58" s="3">
        <f>$H58*factors!DH$3</f>
        <v>0.67282273123200009</v>
      </c>
      <c r="DO58" s="3">
        <f>$H58*factors!DI$3</f>
        <v>0.69489345700799998</v>
      </c>
      <c r="DP58" s="3">
        <f>$H58*factors!DJ$3</f>
        <v>0.68887416816000002</v>
      </c>
      <c r="DQ58" s="3">
        <f>$H58*factors!DK$3</f>
        <v>0.65677129430399994</v>
      </c>
      <c r="DR58" s="3">
        <f>$H58*factors!DL$3</f>
        <v>0.64941438571200005</v>
      </c>
      <c r="DS58" s="3">
        <f>$H58*factors!DM$3</f>
        <v>0.70158155572799996</v>
      </c>
      <c r="DT58" s="3">
        <f>$H58*factors!DN$3</f>
        <v>0.65944653379200002</v>
      </c>
      <c r="DU58" s="3">
        <f>$H58*factors!DO$3</f>
        <v>0.69021178790399995</v>
      </c>
      <c r="DV58" s="3">
        <f>$H58*factors!DP$3</f>
        <v>0.67416035097600002</v>
      </c>
      <c r="DW58" s="3">
        <f>$H58*factors!DQ$3</f>
        <v>0.64339509686399998</v>
      </c>
      <c r="DX58" s="3">
        <f>$H58*factors!DR$3</f>
        <v>0.68151725956799991</v>
      </c>
      <c r="DY58" s="3">
        <f>$H58*factors!DS$3</f>
        <v>0.64673914622399997</v>
      </c>
      <c r="DZ58" s="3">
        <f>$H58*factors!DT$3</f>
        <v>0.69154940764799999</v>
      </c>
      <c r="EA58" s="3">
        <f>$H58*factors!DU$3</f>
        <v>0.65142081532799989</v>
      </c>
      <c r="EB58" s="3">
        <f>$H58*factors!DV$3</f>
        <v>0.63536937839999996</v>
      </c>
      <c r="EC58" s="3">
        <f>$H58*factors!DW$3</f>
        <v>0.68352368918399997</v>
      </c>
      <c r="ED58" s="3">
        <f>$H58*factors!DX$3</f>
        <v>0.64138866724799992</v>
      </c>
      <c r="EE58" s="3">
        <f>$H58*factors!DY$3</f>
        <v>0.64673914622399997</v>
      </c>
      <c r="EF58" s="3">
        <f>$H58*factors!DZ$3</f>
        <v>0.70158155572799996</v>
      </c>
      <c r="EG58" s="3">
        <f>$H58*factors!EA$3</f>
        <v>0.65543367456000001</v>
      </c>
      <c r="EH58" s="3">
        <f>$H58*factors!EB$3</f>
        <v>0.65744010417599996</v>
      </c>
      <c r="EI58" s="3">
        <f>$H58*factors!EC$3</f>
        <v>0.65610248443200003</v>
      </c>
      <c r="EJ58" s="3">
        <f>$H58*factors!ED$3</f>
        <v>0.63938223763199997</v>
      </c>
      <c r="EK58" s="3">
        <f>$H58*factors!EE$3</f>
        <v>0.68352368918399997</v>
      </c>
      <c r="EL58" s="3">
        <f>$H58*factors!EF$3</f>
        <v>0.65008319558399996</v>
      </c>
      <c r="EM58" s="3">
        <f>$H58*factors!EG$3</f>
        <v>0.67616678059199997</v>
      </c>
      <c r="EN58" s="3">
        <f>$H58*factors!EH$3</f>
        <v>0.63536937839999996</v>
      </c>
      <c r="EO58" s="3">
        <f>$H58*factors!EI$3</f>
        <v>0.64473271660799991</v>
      </c>
      <c r="EP58" s="3">
        <f>$H58*factors!EJ$3</f>
        <v>0.68017963982399998</v>
      </c>
      <c r="EQ58" s="3">
        <f>$H58*factors!EK$3</f>
        <v>0.66145296340799997</v>
      </c>
      <c r="ER58" s="3">
        <f>$H58*factors!EL$3</f>
        <v>0.68887416816000002</v>
      </c>
      <c r="ES58" s="3">
        <f>$H58*factors!EM$3</f>
        <v>0.68017963982399998</v>
      </c>
      <c r="ET58" s="3">
        <f>$H58*factors!EN$3</f>
        <v>0.69556226688</v>
      </c>
      <c r="EU58" s="3">
        <f>$H58*factors!EO$3</f>
        <v>0.70225036559999998</v>
      </c>
      <c r="EV58" s="3">
        <f>$H58*factors!EP$3</f>
        <v>0.65810891404799998</v>
      </c>
      <c r="EW58" s="3">
        <f>$H58*factors!EQ$3</f>
        <v>0.72384735104999998</v>
      </c>
      <c r="EX58" s="3">
        <f>$H58*factors!ER$3</f>
        <v>0.71618390460000014</v>
      </c>
      <c r="EY58" s="3">
        <f>$H58*factors!ES$3</f>
        <v>0.73081412054999995</v>
      </c>
      <c r="EZ58" s="3">
        <f>$H58*factors!ET$3</f>
        <v>0.72384735104999998</v>
      </c>
      <c r="FA58" s="3">
        <f>$H58*factors!EU$3</f>
        <v>0.66532648724999999</v>
      </c>
      <c r="FB58" s="3">
        <f>$H58*factors!EV$3</f>
        <v>0.69528359610000001</v>
      </c>
      <c r="FC58" s="3">
        <f>$H58*factors!EW$3</f>
        <v>0.71479055069999997</v>
      </c>
      <c r="FD58" s="3">
        <f>$H58*factors!EX$3</f>
        <v>0.68971018049999999</v>
      </c>
      <c r="FE58" s="3">
        <f>$H58*factors!EY$3</f>
        <v>0.72663405884999999</v>
      </c>
      <c r="FF58" s="3">
        <f>$H58*factors!EZ$3</f>
        <v>0.72733073580000007</v>
      </c>
      <c r="FG58" s="3">
        <f>$H58*factors!FA$3</f>
        <v>0.66532648724999999</v>
      </c>
      <c r="FH58" s="3">
        <f>$H58*factors!FB$3</f>
        <v>0.70016033474999995</v>
      </c>
      <c r="FI58" s="3">
        <f>$H58*factors!FC$3</f>
        <v>0.72942076664999989</v>
      </c>
      <c r="FJ58" s="3">
        <f>$H58*factors!FD$3</f>
        <v>0.70016033474999995</v>
      </c>
      <c r="FK58" s="3">
        <f>$H58*factors!FE$3</f>
        <v>0.71200384290000007</v>
      </c>
      <c r="FL58" s="3">
        <f>$H58*factors!FF$3</f>
        <v>0.71409387375</v>
      </c>
      <c r="FM58" s="3">
        <f>$H58*factors!FG$3</f>
        <v>0.72175732019999994</v>
      </c>
      <c r="FN58" s="3">
        <f>$H58*factors!FH$3</f>
        <v>0.67507996454999997</v>
      </c>
      <c r="FO58" s="3">
        <f>$H58*factors!FI$3</f>
        <v>0.71688058155000001</v>
      </c>
      <c r="FP58" s="3">
        <f>$H58*factors!FJ$3</f>
        <v>0.69667695000000007</v>
      </c>
      <c r="FQ58" s="3">
        <f>$H58*factors!FK$3</f>
        <v>0.68971018049999999</v>
      </c>
      <c r="FR58" s="3">
        <f>$H58*factors!FL$3</f>
        <v>0.70364371950000004</v>
      </c>
      <c r="FS58" s="3">
        <f>$H58*factors!FM$3</f>
        <v>0.69946365779999997</v>
      </c>
      <c r="FT58" s="3">
        <f>$H58*factors!FN$3</f>
        <v>0.71479055069999997</v>
      </c>
      <c r="FU58" s="3">
        <f>$H58*factors!FO$3</f>
        <v>0.68692347269999998</v>
      </c>
      <c r="FV58" s="3">
        <f>$H58*factors!FP$3</f>
        <v>0.68135005709999996</v>
      </c>
      <c r="FW58" s="3">
        <f>$H58*factors!FQ$3</f>
        <v>0.72942076664999989</v>
      </c>
      <c r="FX58" s="3">
        <f>$H58*factors!FR$3</f>
        <v>0.71618390460000014</v>
      </c>
      <c r="FY58" s="3">
        <f>$H58*factors!FS$3</f>
        <v>0.7015536886499999</v>
      </c>
      <c r="FZ58" s="3">
        <f>$H58*factors!FT$3</f>
        <v>0.66671984115000005</v>
      </c>
      <c r="GA58" s="3">
        <f>$H58*factors!FU$3</f>
        <v>0.7015536886499999</v>
      </c>
      <c r="GB58" s="3">
        <f>$H58*factors!FV$3</f>
        <v>0.72733073580000007</v>
      </c>
      <c r="GC58" s="3">
        <f>$H58*factors!FW$3</f>
        <v>0.68135005709999996</v>
      </c>
      <c r="GD58" s="3">
        <f>$H58*factors!FX$3</f>
        <v>0.69319356524999998</v>
      </c>
      <c r="GE58" s="3">
        <f>$H58*factors!FY$3</f>
        <v>0.69319356524999998</v>
      </c>
      <c r="GF58" s="3">
        <f>$H58*factors!FZ$3</f>
        <v>0.69110353440000005</v>
      </c>
      <c r="GG58" s="3">
        <f>$H58*factors!GA$3</f>
        <v>0.66393313334999993</v>
      </c>
      <c r="GH58" s="3">
        <f>$H58*factors!GB$3</f>
        <v>0.70643042730000005</v>
      </c>
      <c r="GI58" s="3">
        <f>$H58*factors!GC$3</f>
        <v>0.66253977944999998</v>
      </c>
      <c r="GJ58" s="3">
        <f>$H58*factors!GD$3</f>
        <v>0.66393313334999993</v>
      </c>
      <c r="GK58" s="3">
        <f>$H58*factors!GE$3</f>
        <v>0.68065338014999999</v>
      </c>
      <c r="GL58" s="3">
        <f>$H58*factors!GF$3</f>
        <v>0.72106064324999997</v>
      </c>
      <c r="GM58" s="3">
        <f>$H58*factors!GG$3</f>
        <v>0.68344008795</v>
      </c>
      <c r="GN58" s="3">
        <f>$H58*factors!GH$3</f>
        <v>0.7050370734000001</v>
      </c>
      <c r="GO58" s="3">
        <f>$H58*factors!GI$3</f>
        <v>0.66602316419999996</v>
      </c>
      <c r="GP58" s="3">
        <f>$H58*factors!GJ$3</f>
        <v>0.71409387375</v>
      </c>
      <c r="GQ58" s="3">
        <f>$H58*factors!GK$3</f>
        <v>0.72872408970000002</v>
      </c>
      <c r="GR58" s="3">
        <f>$H58*factors!GL$3</f>
        <v>0.71479055069999997</v>
      </c>
      <c r="GS58" s="3">
        <f>$H58*factors!GM$3</f>
        <v>0.67597171104599996</v>
      </c>
      <c r="GT58" s="3">
        <f>$H58*factors!GN$3</f>
        <v>0.69154383423240007</v>
      </c>
      <c r="GU58" s="3">
        <f>$H58*factors!GO$3</f>
        <v>0.7078237812</v>
      </c>
      <c r="GV58" s="3">
        <f>$H58*factors!GP$3</f>
        <v>0.67951082995200007</v>
      </c>
      <c r="GW58" s="3">
        <f>$H58*factors!GQ$3</f>
        <v>0.70357683851280006</v>
      </c>
      <c r="GX58" s="3">
        <f>$H58*factors!GR$3</f>
        <v>0.6922516580136</v>
      </c>
      <c r="GY58" s="3">
        <f>$H58*factors!GS$3</f>
        <v>0.68871253910760011</v>
      </c>
      <c r="GZ58" s="3">
        <f>$H58*factors!GT$3</f>
        <v>0.71419419523079997</v>
      </c>
      <c r="HA58" s="3">
        <f>$H58*factors!GU$3</f>
        <v>0.69083601045120002</v>
      </c>
      <c r="HB58" s="3">
        <f>$H58*factors!GV$3</f>
        <v>0.71419419523079997</v>
      </c>
      <c r="HC58" s="3">
        <f>$H58*factors!GW$3</f>
        <v>0.69649860070079994</v>
      </c>
      <c r="HD58" s="3">
        <f>$H58*factors!GX$3</f>
        <v>0.71702549035559993</v>
      </c>
      <c r="HE58" s="3">
        <f>$H58*factors!GY$3</f>
        <v>0.7078237812</v>
      </c>
      <c r="HF58" s="3">
        <f>$H58*factors!GZ$3</f>
        <v>0.72976631841719997</v>
      </c>
      <c r="HG58" s="3">
        <f>$H58*factors!HA$3</f>
        <v>0.70145336716920004</v>
      </c>
      <c r="HH58" s="3">
        <f>$H58*factors!HB$3</f>
        <v>0.6922516580136</v>
      </c>
      <c r="HI58" s="3">
        <f>$H58*factors!HC$3</f>
        <v>0.68375777263920001</v>
      </c>
      <c r="HJ58" s="3">
        <f>$H58*factors!HD$3</f>
        <v>0.67597171104599996</v>
      </c>
      <c r="HK58" s="3">
        <f>$H58*factors!HE$3</f>
        <v>0.71490201901200001</v>
      </c>
      <c r="HL58" s="3">
        <f>$H58*factors!HF$3</f>
        <v>0.67384823970239993</v>
      </c>
      <c r="HM58" s="3">
        <f>$H58*factors!HG$3</f>
        <v>0.68092647751440005</v>
      </c>
      <c r="HN58" s="3">
        <f>$H58*factors!HH$3</f>
        <v>0.72622719951120007</v>
      </c>
      <c r="HO58" s="3">
        <f>$H58*factors!HI$3</f>
        <v>0.69649860070079994</v>
      </c>
      <c r="HP58" s="3">
        <f>$H58*factors!HJ$3</f>
        <v>0.74321497026000005</v>
      </c>
      <c r="HQ58" s="3">
        <f>$H58*factors!HK$3</f>
        <v>0.67951082995200007</v>
      </c>
      <c r="HR58" s="3">
        <f>$H58*factors!HL$3</f>
        <v>0.72056460926160004</v>
      </c>
      <c r="HS58" s="3">
        <f>$H58*factors!HM$3</f>
        <v>0.73330543732319997</v>
      </c>
      <c r="HT58" s="3">
        <f>$H58*factors!HN$3</f>
        <v>0.68375777263920001</v>
      </c>
      <c r="HU58" s="3">
        <f>$H58*factors!HO$3</f>
        <v>0.69083601045120002</v>
      </c>
      <c r="HV58" s="3">
        <f>$H58*factors!HP$3</f>
        <v>0.69932989582560012</v>
      </c>
      <c r="HW58" s="3">
        <f>$H58*factors!HQ$3</f>
        <v>0.70923942876239998</v>
      </c>
      <c r="HX58" s="3">
        <f>$H58*factors!HR$3</f>
        <v>0.73826020379159996</v>
      </c>
      <c r="HY58" s="3">
        <f>$H58*factors!HS$3</f>
        <v>0.70145336716920004</v>
      </c>
      <c r="HZ58" s="3">
        <f>$H58*factors!HT$3</f>
        <v>0.72835067085479999</v>
      </c>
      <c r="IA58" s="3">
        <f>$H58*factors!HU$3</f>
        <v>0.69295948179480005</v>
      </c>
      <c r="IB58" s="3">
        <f>$H58*factors!HV$3</f>
        <v>0.71702549035559993</v>
      </c>
      <c r="IC58" s="3">
        <f>$H58*factors!HW$3</f>
        <v>0.72410372816760005</v>
      </c>
      <c r="ID58" s="3">
        <f>$H58*factors!HX$3</f>
        <v>0.67243259213999995</v>
      </c>
      <c r="IE58" s="3">
        <f>$H58*factors!HY$3</f>
        <v>0.71419419523079997</v>
      </c>
      <c r="IF58" s="3">
        <f>$H58*factors!HZ$3</f>
        <v>0.70994725254359992</v>
      </c>
      <c r="IG58" s="3">
        <f>$H58*factors!IA$3</f>
        <v>0.70357683851280006</v>
      </c>
      <c r="IH58" s="3">
        <f>$H58*factors!IB$3</f>
        <v>0.72976631841719997</v>
      </c>
      <c r="II58" s="3">
        <f>$H58*factors!IC$3</f>
        <v>0.69862207204439997</v>
      </c>
      <c r="IJ58" s="3">
        <f>$H58*factors!ID$3</f>
        <v>0.70499248607520004</v>
      </c>
      <c r="IK58" s="3">
        <f>$H58*factors!IE$3</f>
        <v>0.73047414219840001</v>
      </c>
      <c r="IL58" s="3">
        <f>$H58*factors!IF$3</f>
        <v>0.69932989582560012</v>
      </c>
      <c r="IM58" s="3">
        <f>$H58*factors!IG$3</f>
        <v>0.69295948179480005</v>
      </c>
      <c r="IN58" s="3">
        <f>$H58*factors!IH$3</f>
        <v>0.69720642448199999</v>
      </c>
      <c r="IO58" s="3">
        <f>$H58*factors!II$3</f>
        <v>0.704284662294</v>
      </c>
      <c r="IP58" s="3">
        <f>$H58*factors!IJ$3</f>
        <v>0.68092647751440005</v>
      </c>
      <c r="IQ58" s="3">
        <f>$H58*factors!IK$3</f>
        <v>0.67880300617080003</v>
      </c>
      <c r="IR58" s="3">
        <f>$H58*factors!IL$3</f>
        <v>0.69862207204439997</v>
      </c>
      <c r="IS58" s="3">
        <f>$H58*factors!IM$3</f>
        <v>0.704284662294</v>
      </c>
      <c r="IT58" s="3">
        <f>$H58*factors!IN$3</f>
        <v>0.70923942876239998</v>
      </c>
      <c r="IU58" s="3">
        <f>$H58*factors!IO$3</f>
        <v>0.72481155194880009</v>
      </c>
      <c r="IV58" s="3">
        <f>$H58*factors!IP$3</f>
        <v>0.73401326110439991</v>
      </c>
      <c r="IW58" s="3">
        <f>$H58*factors!IQ$3</f>
        <v>0.69366730557599998</v>
      </c>
      <c r="IX58" s="3">
        <f>$H58*factors!IR$3</f>
        <v>0.72481155194880009</v>
      </c>
      <c r="IY58" s="3">
        <f>$H58*factors!IS$3</f>
        <v>0.71419419523079997</v>
      </c>
      <c r="IZ58" s="3">
        <f>$H58*factors!IT$3</f>
        <v>0.72622719951120007</v>
      </c>
      <c r="JA58" s="3">
        <f>$H58*factors!IU$3</f>
        <v>0.68588124398279993</v>
      </c>
      <c r="JB58" s="3">
        <f>$H58*factors!IV$3</f>
        <v>0.69862207204439997</v>
      </c>
      <c r="JC58" s="3">
        <f>$H58*factors!IW$3</f>
        <v>0.68234212507680003</v>
      </c>
      <c r="JD58" s="3">
        <f>$H58*factors!IX$3</f>
        <v>0.74321497026000005</v>
      </c>
      <c r="JE58" s="3">
        <f>$H58*factors!IY$3</f>
        <v>0.68446559642039995</v>
      </c>
      <c r="JF58" s="3">
        <f>$H58*factors!IZ$3</f>
        <v>0.71844113791799991</v>
      </c>
      <c r="JG58" s="3">
        <f>$H58*factors!JA$3</f>
        <v>0.70570030985639998</v>
      </c>
      <c r="JH58" s="3">
        <f>$H58*factors!JB$3</f>
        <v>0.71914896169920006</v>
      </c>
      <c r="JI58" s="3">
        <f>$H58*factors!JC$3</f>
        <v>0.6731404159212</v>
      </c>
      <c r="JJ58" s="3">
        <f>$H58*factors!JD$3</f>
        <v>0.72481155194880009</v>
      </c>
      <c r="JK58" s="3">
        <f>$H58*factors!JE$3</f>
        <v>0.70145336716920004</v>
      </c>
      <c r="JL58" s="3">
        <f>$H58*factors!JF$3</f>
        <v>0.72976631841719997</v>
      </c>
      <c r="JM58" s="3">
        <f>$H58*factors!JG$3</f>
        <v>0.68092647751440005</v>
      </c>
      <c r="JN58" s="3">
        <f>$H58*factors!JH$3</f>
        <v>0.68092647751440005</v>
      </c>
      <c r="JO58" s="3">
        <f>$H58*factors!JI$3</f>
        <v>0.67243259213999995</v>
      </c>
      <c r="JP58" s="3">
        <f>$H58*factors!JJ$3</f>
        <v>0.72693502329240001</v>
      </c>
      <c r="JQ58" s="3">
        <f>$H58*factors!JK$3</f>
        <v>0.70853160498119994</v>
      </c>
      <c r="JR58" s="3">
        <f>$H58*factors!JL$3</f>
        <v>0.73613673244800004</v>
      </c>
      <c r="JS58" s="3">
        <f>$H58*factors!JM$3</f>
        <v>0.67243259213999995</v>
      </c>
      <c r="JT58" s="3">
        <f>$H58*factors!JN$3</f>
        <v>0.70640813363760002</v>
      </c>
      <c r="JU58" s="3">
        <f>$H58*factors!JO$3</f>
        <v>0.68304994885799997</v>
      </c>
      <c r="JV58" s="3">
        <f>$H58*factors!JP$3</f>
        <v>0.69437512935720003</v>
      </c>
      <c r="JW58" s="3">
        <f>$H58*factors!JQ$3</f>
        <v>0.74179932269760007</v>
      </c>
      <c r="JX58" s="3">
        <f>$H58*factors!JR$3</f>
        <v>0.73472108488560006</v>
      </c>
      <c r="JY58" s="3">
        <f>$H58*factors!JS$3</f>
        <v>0.69154383423240007</v>
      </c>
      <c r="JZ58" s="3">
        <f>$H58*factors!JT$3</f>
        <v>0.69932989582560012</v>
      </c>
      <c r="KA58" s="3">
        <f>$H58*factors!JU$3</f>
        <v>0.70216119095040008</v>
      </c>
      <c r="KB58" s="3">
        <f>$H58*factors!JV$3</f>
        <v>0.67880300617080003</v>
      </c>
      <c r="KC58" s="3">
        <f>$H58*factors!JW$3</f>
        <v>0.68234212507680003</v>
      </c>
      <c r="KD58" s="3">
        <f>$H58*factors!JX$3</f>
        <v>0.68304994885799997</v>
      </c>
      <c r="KE58" s="3">
        <f>$H58*factors!JY$3</f>
        <v>0.72693502329240001</v>
      </c>
      <c r="KF58" s="3">
        <f>$H58*factors!JZ$3</f>
        <v>0.7354289086668</v>
      </c>
      <c r="KG58" s="3">
        <f>$H58*factors!KA$3</f>
        <v>0.70923942876239998</v>
      </c>
      <c r="KH58" s="3">
        <f>$H58*factors!KB$3</f>
        <v>0.69366730557599998</v>
      </c>
      <c r="KI58" s="3">
        <f>$H58*factors!KC$3</f>
        <v>0.68729689154519991</v>
      </c>
    </row>
    <row r="59" spans="1:295" x14ac:dyDescent="0.55000000000000004">
      <c r="A59" t="s">
        <v>435</v>
      </c>
      <c r="B59">
        <v>58</v>
      </c>
      <c r="C59">
        <v>230</v>
      </c>
      <c r="D59" t="s">
        <v>377</v>
      </c>
      <c r="E59">
        <v>3.241E-3</v>
      </c>
      <c r="F59">
        <v>58</v>
      </c>
      <c r="G59">
        <f>VLOOKUP(D59,demand_forecasted!$A$2:$G$11,2)</f>
        <v>11098</v>
      </c>
      <c r="H59" s="3">
        <f t="shared" si="1"/>
        <v>0.35968617999999997</v>
      </c>
      <c r="I59" s="3">
        <f>$H59*factors!C$3</f>
        <v>0.39817260125999998</v>
      </c>
      <c r="J59" s="3">
        <f>$H59*factors!D$3</f>
        <v>0.38379954150719997</v>
      </c>
      <c r="K59" s="3">
        <f>$H59*factors!E$3</f>
        <v>0.37719570324239998</v>
      </c>
      <c r="L59" s="3">
        <f>$H59*factors!F$3</f>
        <v>0.3760303200192</v>
      </c>
      <c r="M59" s="3">
        <f>$H59*factors!G$3</f>
        <v>0.37564185894479996</v>
      </c>
      <c r="N59" s="3">
        <f>$H59*factors!H$3</f>
        <v>0.38651876902799998</v>
      </c>
      <c r="O59" s="3">
        <f>$H59*factors!I$3</f>
        <v>0.39506491266479998</v>
      </c>
      <c r="P59" s="3">
        <f>$H59*factors!J$3</f>
        <v>0.39972644555760001</v>
      </c>
      <c r="Q59" s="3">
        <f>$H59*factors!K$3</f>
        <v>0.37525339787039996</v>
      </c>
      <c r="R59" s="3">
        <f>$H59*factors!L$3</f>
        <v>0.36903802067999997</v>
      </c>
      <c r="S59" s="3">
        <f>$H59*factors!M$3</f>
        <v>0.38418800258159996</v>
      </c>
      <c r="T59" s="3">
        <f>$H59*factors!N$3</f>
        <v>0.3973956791112</v>
      </c>
      <c r="U59" s="3">
        <f>$H59*factors!O$3</f>
        <v>0.3764187810936</v>
      </c>
      <c r="V59" s="3">
        <f>$H59*factors!P$3</f>
        <v>0.39156876299519999</v>
      </c>
      <c r="W59" s="3">
        <f>$H59*factors!Q$3</f>
        <v>0.39506491266479998</v>
      </c>
      <c r="X59" s="3">
        <f>$H59*factors!R$3</f>
        <v>0.37797262539119997</v>
      </c>
      <c r="Y59" s="3">
        <f>$H59*factors!S$3</f>
        <v>0.37447647572159998</v>
      </c>
      <c r="Z59" s="3">
        <f>$H59*factors!T$3</f>
        <v>0.40399951737600004</v>
      </c>
      <c r="AA59" s="3">
        <f>$H59*factors!U$3</f>
        <v>0.38146877506079996</v>
      </c>
      <c r="AB59" s="3">
        <f>$H59*factors!V$3</f>
        <v>0.38185723613520001</v>
      </c>
      <c r="AC59" s="3">
        <f>$H59*factors!W$3</f>
        <v>0.3822456972096</v>
      </c>
      <c r="AD59" s="3">
        <f>$H59*factors!X$3</f>
        <v>0.37408801464719998</v>
      </c>
      <c r="AE59" s="3">
        <f>$H59*factors!Y$3</f>
        <v>0.37719570324239998</v>
      </c>
      <c r="AF59" s="3">
        <f>$H59*factors!Z$3</f>
        <v>0.3849649247304</v>
      </c>
      <c r="AG59" s="3">
        <f>$H59*factors!AA$3</f>
        <v>0.37525339787039996</v>
      </c>
      <c r="AH59" s="3">
        <f>$H59*factors!AB$3</f>
        <v>0.37369955357279999</v>
      </c>
      <c r="AI59" s="3">
        <f>$H59*factors!AC$3</f>
        <v>0.38574184687919999</v>
      </c>
      <c r="AJ59" s="3">
        <f>$H59*factors!AD$3</f>
        <v>0.40050336770639999</v>
      </c>
      <c r="AK59" s="3">
        <f>$H59*factors!AE$3</f>
        <v>0.3853533858048</v>
      </c>
      <c r="AL59" s="3">
        <f>$H59*factors!AF$3</f>
        <v>0.37020340390319995</v>
      </c>
      <c r="AM59" s="3">
        <f>$H59*factors!AG$3</f>
        <v>0.38069185291199997</v>
      </c>
      <c r="AN59" s="3">
        <f>$H59*factors!AH$3</f>
        <v>0.37447647572159998</v>
      </c>
      <c r="AO59" s="3">
        <f>$H59*factors!AI$3</f>
        <v>0.39234568514399998</v>
      </c>
      <c r="AP59" s="3">
        <f>$H59*factors!AJ$3</f>
        <v>0.3760303200192</v>
      </c>
      <c r="AQ59" s="3">
        <f>$H59*factors!AK$3</f>
        <v>0.3880726133256</v>
      </c>
      <c r="AR59" s="3">
        <f>$H59*factors!AL$3</f>
        <v>0.37952646968879999</v>
      </c>
      <c r="AS59" s="3">
        <f>$H59*factors!AM$3</f>
        <v>0.37020340390319995</v>
      </c>
      <c r="AT59" s="3">
        <f>$H59*factors!AN$3</f>
        <v>0.38185723613520001</v>
      </c>
      <c r="AU59" s="3">
        <f>$H59*factors!AO$3</f>
        <v>0.40438797845039992</v>
      </c>
      <c r="AV59" s="3">
        <f>$H59*factors!AP$3</f>
        <v>0.3822456972096</v>
      </c>
      <c r="AW59" s="3">
        <f>$H59*factors!AQ$3</f>
        <v>0.37836108646559996</v>
      </c>
      <c r="AX59" s="3">
        <f>$H59*factors!AR$3</f>
        <v>0.400114906632</v>
      </c>
      <c r="AY59" s="3">
        <f>$H59*factors!AS$3</f>
        <v>0.36903802067999997</v>
      </c>
      <c r="AZ59" s="3">
        <f>$H59*factors!AT$3</f>
        <v>0.39545337373920003</v>
      </c>
      <c r="BA59" s="3">
        <f>$H59*factors!AU$3</f>
        <v>0.38690723010239997</v>
      </c>
      <c r="BB59" s="3">
        <f>$H59*factors!AV$3</f>
        <v>0.38185723613520001</v>
      </c>
      <c r="BC59" s="3">
        <f>$H59*factors!AW$3</f>
        <v>0.40399951737600004</v>
      </c>
      <c r="BD59" s="3">
        <f>$H59*factors!AX$3</f>
        <v>0.37292263142399995</v>
      </c>
      <c r="BE59" s="3">
        <f>$H59*factors!AY$3</f>
        <v>0.43843587224919994</v>
      </c>
      <c r="BF59" s="3">
        <f>$H59*factors!AZ$3</f>
        <v>0.40830136408879997</v>
      </c>
      <c r="BG59" s="3">
        <f>$H59*factors!BA$3</f>
        <v>0.41424337978239989</v>
      </c>
      <c r="BH59" s="3">
        <f>$H59*factors!BB$3</f>
        <v>0.41976096578359995</v>
      </c>
      <c r="BI59" s="3">
        <f>$H59*factors!BC$3</f>
        <v>0.43504043470999987</v>
      </c>
      <c r="BJ59" s="3">
        <f>$H59*factors!BD$3</f>
        <v>0.41551666885959992</v>
      </c>
      <c r="BK59" s="3">
        <f>$H59*factors!BE$3</f>
        <v>0.41636552824439987</v>
      </c>
      <c r="BL59" s="3">
        <f>$H59*factors!BF$3</f>
        <v>0.41169680162799993</v>
      </c>
      <c r="BM59" s="3">
        <f>$H59*factors!BG$3</f>
        <v>0.43970916132639998</v>
      </c>
      <c r="BN59" s="3">
        <f>$H59*factors!BH$3</f>
        <v>0.43419157532519992</v>
      </c>
      <c r="BO59" s="3">
        <f>$H59*factors!BI$3</f>
        <v>0.40830136408879997</v>
      </c>
      <c r="BP59" s="3">
        <f>$H59*factors!BJ$3</f>
        <v>0.40702807501159993</v>
      </c>
      <c r="BQ59" s="3">
        <f>$H59*factors!BK$3</f>
        <v>0.41381895008999992</v>
      </c>
      <c r="BR59" s="3">
        <f>$H59*factors!BL$3</f>
        <v>0.42867398932399997</v>
      </c>
      <c r="BS59" s="3">
        <f>$H59*factors!BM$3</f>
        <v>0.43546486440239995</v>
      </c>
      <c r="BT59" s="3">
        <f>$H59*factors!BN$3</f>
        <v>0.43673815347959993</v>
      </c>
      <c r="BU59" s="3">
        <f>$H59*factors!BO$3</f>
        <v>0.4439534582504</v>
      </c>
      <c r="BV59" s="3">
        <f>$H59*factors!BP$3</f>
        <v>0.41297009070519997</v>
      </c>
      <c r="BW59" s="3">
        <f>$H59*factors!BQ$3</f>
        <v>0.42230754393799991</v>
      </c>
      <c r="BX59" s="3">
        <f>$H59*factors!BR$3</f>
        <v>0.41424337978239989</v>
      </c>
      <c r="BY59" s="3">
        <f>$H59*factors!BS$3</f>
        <v>0.43334271594039986</v>
      </c>
      <c r="BZ59" s="3">
        <f>$H59*factors!BT$3</f>
        <v>0.4252785517847999</v>
      </c>
      <c r="CA59" s="3">
        <f>$H59*factors!BU$3</f>
        <v>0.41976096578359995</v>
      </c>
      <c r="CB59" s="3">
        <f>$H59*factors!BV$3</f>
        <v>0.40617921562679993</v>
      </c>
      <c r="CC59" s="3">
        <f>$H59*factors!BW$3</f>
        <v>0.41806324701399994</v>
      </c>
      <c r="CD59" s="3">
        <f>$H59*factors!BX$3</f>
        <v>0.41933653609119997</v>
      </c>
      <c r="CE59" s="3">
        <f>$H59*factors!BY$3</f>
        <v>0.4252785517847999</v>
      </c>
      <c r="CF59" s="3">
        <f>$H59*factors!BZ$3</f>
        <v>0.41891210639879994</v>
      </c>
      <c r="CG59" s="3">
        <f>$H59*factors!CA$3</f>
        <v>0.40490592654959989</v>
      </c>
      <c r="CH59" s="3">
        <f>$H59*factors!CB$3</f>
        <v>0.40533035624199987</v>
      </c>
      <c r="CI59" s="3">
        <f>$H59*factors!CC$3</f>
        <v>0.40320820777999994</v>
      </c>
      <c r="CJ59" s="3">
        <f>$H59*factors!CD$3</f>
        <v>0.41976096578359995</v>
      </c>
      <c r="CK59" s="3">
        <f>$H59*factors!CE$3</f>
        <v>0.43843587224919994</v>
      </c>
      <c r="CL59" s="3">
        <f>$H59*factors!CF$3</f>
        <v>0.41084794224319993</v>
      </c>
      <c r="CM59" s="3">
        <f>$H59*factors!CG$3</f>
        <v>0.4206098251683999</v>
      </c>
      <c r="CN59" s="3">
        <f>$H59*factors!CH$3</f>
        <v>0.4066036453191999</v>
      </c>
      <c r="CO59" s="3">
        <f>$H59*factors!CI$3</f>
        <v>0.40957465316599989</v>
      </c>
      <c r="CP59" s="3">
        <f>$H59*factors!CJ$3</f>
        <v>0.42909841901639983</v>
      </c>
      <c r="CQ59" s="3">
        <f>$H59*factors!CK$3</f>
        <v>0.41636552824439987</v>
      </c>
      <c r="CR59" s="3">
        <f>$H59*factors!CL$3</f>
        <v>0.42952284870879992</v>
      </c>
      <c r="CS59" s="3">
        <f>$H59*factors!CM$3</f>
        <v>0.44310459886559994</v>
      </c>
      <c r="CT59" s="3">
        <f>$H59*factors!CN$3</f>
        <v>0.43801144255679997</v>
      </c>
      <c r="CU59" s="3">
        <f>$H59*factors!CO$3</f>
        <v>0.42824955963159989</v>
      </c>
      <c r="CV59" s="3">
        <f>$H59*factors!CP$3</f>
        <v>0.4456511770199999</v>
      </c>
      <c r="CW59" s="3">
        <f>$H59*factors!CQ$3</f>
        <v>0.42145868455319996</v>
      </c>
      <c r="CX59" s="3">
        <f>$H59*factors!CR$3</f>
        <v>0.41509223916719995</v>
      </c>
      <c r="CY59" s="3">
        <f>$H59*factors!CS$3</f>
        <v>0.4112723719355999</v>
      </c>
      <c r="CZ59" s="3">
        <f>$H59*factors!CT$3</f>
        <v>0.40533035624199987</v>
      </c>
      <c r="DA59" s="3">
        <f>$H59*factors!CU$3</f>
        <v>0.42083283059999993</v>
      </c>
      <c r="DB59" s="3">
        <f>$H59*factors!CV$3</f>
        <v>0.44802510580799998</v>
      </c>
      <c r="DC59" s="3">
        <f>$H59*factors!CW$3</f>
        <v>0.4290336755039999</v>
      </c>
      <c r="DD59" s="3">
        <f>$H59*factors!CX$3</f>
        <v>0.42601231159199993</v>
      </c>
      <c r="DE59" s="3">
        <f>$H59*factors!CY$3</f>
        <v>0.438529390656</v>
      </c>
      <c r="DF59" s="3">
        <f>$H59*factors!CZ$3</f>
        <v>0.43766614382399993</v>
      </c>
      <c r="DG59" s="3">
        <f>$H59*factors!DA$3</f>
        <v>0.43593965015999997</v>
      </c>
      <c r="DH59" s="3">
        <f>$H59*factors!DB$3</f>
        <v>0.43593965015999997</v>
      </c>
      <c r="DI59" s="3">
        <f>$H59*factors!DC$3</f>
        <v>0.41953796035199992</v>
      </c>
      <c r="DJ59" s="3">
        <f>$H59*factors!DD$3</f>
        <v>0.44457211847999994</v>
      </c>
      <c r="DK59" s="3">
        <f>$H59*factors!DE$3</f>
        <v>0.44457211847999994</v>
      </c>
      <c r="DL59" s="3">
        <f>$H59*factors!DF$3</f>
        <v>0.43939263748799995</v>
      </c>
      <c r="DM59" s="3">
        <f>$H59*factors!DG$3</f>
        <v>0.41392685594399992</v>
      </c>
      <c r="DN59" s="3">
        <f>$H59*factors!DH$3</f>
        <v>0.43421315649599995</v>
      </c>
      <c r="DO59" s="3">
        <f>$H59*factors!DI$3</f>
        <v>0.44845672922399993</v>
      </c>
      <c r="DP59" s="3">
        <f>$H59*factors!DJ$3</f>
        <v>0.44457211847999994</v>
      </c>
      <c r="DQ59" s="3">
        <f>$H59*factors!DK$3</f>
        <v>0.4238541945119999</v>
      </c>
      <c r="DR59" s="3">
        <f>$H59*factors!DL$3</f>
        <v>0.41910633693599997</v>
      </c>
      <c r="DS59" s="3">
        <f>$H59*factors!DM$3</f>
        <v>0.45277296338399992</v>
      </c>
      <c r="DT59" s="3">
        <f>$H59*factors!DN$3</f>
        <v>0.42558068817599998</v>
      </c>
      <c r="DU59" s="3">
        <f>$H59*factors!DO$3</f>
        <v>0.44543536531199995</v>
      </c>
      <c r="DV59" s="3">
        <f>$H59*factors!DP$3</f>
        <v>0.43507640332799996</v>
      </c>
      <c r="DW59" s="3">
        <f>$H59*factors!DQ$3</f>
        <v>0.41522172619199993</v>
      </c>
      <c r="DX59" s="3">
        <f>$H59*factors!DR$3</f>
        <v>0.4398242609039999</v>
      </c>
      <c r="DY59" s="3">
        <f>$H59*factors!DS$3</f>
        <v>0.4173798432719999</v>
      </c>
      <c r="DZ59" s="3">
        <f>$H59*factors!DT$3</f>
        <v>0.44629861214399991</v>
      </c>
      <c r="EA59" s="3">
        <f>$H59*factors!DU$3</f>
        <v>0.42040120718399993</v>
      </c>
      <c r="EB59" s="3">
        <f>$H59*factors!DV$3</f>
        <v>0.41004224519999993</v>
      </c>
      <c r="EC59" s="3">
        <f>$H59*factors!DW$3</f>
        <v>0.44111913115199991</v>
      </c>
      <c r="ED59" s="3">
        <f>$H59*factors!DX$3</f>
        <v>0.41392685594399992</v>
      </c>
      <c r="EE59" s="3">
        <f>$H59*factors!DY$3</f>
        <v>0.4173798432719999</v>
      </c>
      <c r="EF59" s="3">
        <f>$H59*factors!DZ$3</f>
        <v>0.45277296338399992</v>
      </c>
      <c r="EG59" s="3">
        <f>$H59*factors!EA$3</f>
        <v>0.42299094767999995</v>
      </c>
      <c r="EH59" s="3">
        <f>$H59*factors!EB$3</f>
        <v>0.42428581792799996</v>
      </c>
      <c r="EI59" s="3">
        <f>$H59*factors!EC$3</f>
        <v>0.42342257109599996</v>
      </c>
      <c r="EJ59" s="3">
        <f>$H59*factors!ED$3</f>
        <v>0.41263198569599996</v>
      </c>
      <c r="EK59" s="3">
        <f>$H59*factors!EE$3</f>
        <v>0.44111913115199991</v>
      </c>
      <c r="EL59" s="3">
        <f>$H59*factors!EF$3</f>
        <v>0.41953796035199992</v>
      </c>
      <c r="EM59" s="3">
        <f>$H59*factors!EG$3</f>
        <v>0.43637127357599992</v>
      </c>
      <c r="EN59" s="3">
        <f>$H59*factors!EH$3</f>
        <v>0.41004224519999993</v>
      </c>
      <c r="EO59" s="3">
        <f>$H59*factors!EI$3</f>
        <v>0.41608497302399988</v>
      </c>
      <c r="EP59" s="3">
        <f>$H59*factors!EJ$3</f>
        <v>0.43896101407199994</v>
      </c>
      <c r="EQ59" s="3">
        <f>$H59*factors!EK$3</f>
        <v>0.42687555842399993</v>
      </c>
      <c r="ER59" s="3">
        <f>$H59*factors!EL$3</f>
        <v>0.44457211847999994</v>
      </c>
      <c r="ES59" s="3">
        <f>$H59*factors!EM$3</f>
        <v>0.43896101407199994</v>
      </c>
      <c r="ET59" s="3">
        <f>$H59*factors!EN$3</f>
        <v>0.44888835263999993</v>
      </c>
      <c r="EU59" s="3">
        <f>$H59*factors!EO$3</f>
        <v>0.45320458679999998</v>
      </c>
      <c r="EV59" s="3">
        <f>$H59*factors!EP$3</f>
        <v>0.42471744134399991</v>
      </c>
      <c r="EW59" s="3">
        <f>$H59*factors!EQ$3</f>
        <v>0.46714242627499991</v>
      </c>
      <c r="EX59" s="3">
        <f>$H59*factors!ER$3</f>
        <v>0.46219674129999999</v>
      </c>
      <c r="EY59" s="3">
        <f>$H59*factors!ES$3</f>
        <v>0.47163850352499986</v>
      </c>
      <c r="EZ59" s="3">
        <f>$H59*factors!ET$3</f>
        <v>0.46714242627499991</v>
      </c>
      <c r="FA59" s="3">
        <f>$H59*factors!EU$3</f>
        <v>0.42937537737499992</v>
      </c>
      <c r="FB59" s="3">
        <f>$H59*factors!EV$3</f>
        <v>0.44870850954999997</v>
      </c>
      <c r="FC59" s="3">
        <f>$H59*factors!EW$3</f>
        <v>0.46129752584999995</v>
      </c>
      <c r="FD59" s="3">
        <f>$H59*factors!EX$3</f>
        <v>0.44511164774999995</v>
      </c>
      <c r="FE59" s="3">
        <f>$H59*factors!EY$3</f>
        <v>0.46894085717499995</v>
      </c>
      <c r="FF59" s="3">
        <f>$H59*factors!EZ$3</f>
        <v>0.46939046490000003</v>
      </c>
      <c r="FG59" s="3">
        <f>$H59*factors!FA$3</f>
        <v>0.42937537737499992</v>
      </c>
      <c r="FH59" s="3">
        <f>$H59*factors!FB$3</f>
        <v>0.45185576362499991</v>
      </c>
      <c r="FI59" s="3">
        <f>$H59*factors!FC$3</f>
        <v>0.47073928807499993</v>
      </c>
      <c r="FJ59" s="3">
        <f>$H59*factors!FD$3</f>
        <v>0.45185576362499991</v>
      </c>
      <c r="FK59" s="3">
        <f>$H59*factors!FE$3</f>
        <v>0.45949909494999996</v>
      </c>
      <c r="FL59" s="3">
        <f>$H59*factors!FF$3</f>
        <v>0.46084791812499998</v>
      </c>
      <c r="FM59" s="3">
        <f>$H59*factors!FG$3</f>
        <v>0.46579360309999995</v>
      </c>
      <c r="FN59" s="3">
        <f>$H59*factors!FH$3</f>
        <v>0.43566988552499991</v>
      </c>
      <c r="FO59" s="3">
        <f>$H59*factors!FI$3</f>
        <v>0.4626463490249999</v>
      </c>
      <c r="FP59" s="3">
        <f>$H59*factors!FJ$3</f>
        <v>0.44960772499999996</v>
      </c>
      <c r="FQ59" s="3">
        <f>$H59*factors!FK$3</f>
        <v>0.44511164774999995</v>
      </c>
      <c r="FR59" s="3">
        <f>$H59*factors!FL$3</f>
        <v>0.45410380224999997</v>
      </c>
      <c r="FS59" s="3">
        <f>$H59*factors!FM$3</f>
        <v>0.45140615589999994</v>
      </c>
      <c r="FT59" s="3">
        <f>$H59*factors!FN$3</f>
        <v>0.46129752584999995</v>
      </c>
      <c r="FU59" s="3">
        <f>$H59*factors!FO$3</f>
        <v>0.44331321684999991</v>
      </c>
      <c r="FV59" s="3">
        <f>$H59*factors!FP$3</f>
        <v>0.43971635504999995</v>
      </c>
      <c r="FW59" s="3">
        <f>$H59*factors!FQ$3</f>
        <v>0.47073928807499993</v>
      </c>
      <c r="FX59" s="3">
        <f>$H59*factors!FR$3</f>
        <v>0.46219674129999999</v>
      </c>
      <c r="FY59" s="3">
        <f>$H59*factors!FS$3</f>
        <v>0.4527549790749999</v>
      </c>
      <c r="FZ59" s="3">
        <f>$H59*factors!FT$3</f>
        <v>0.43027459282499997</v>
      </c>
      <c r="GA59" s="3">
        <f>$H59*factors!FU$3</f>
        <v>0.4527549790749999</v>
      </c>
      <c r="GB59" s="3">
        <f>$H59*factors!FV$3</f>
        <v>0.46939046490000003</v>
      </c>
      <c r="GC59" s="3">
        <f>$H59*factors!FW$3</f>
        <v>0.43971635504999995</v>
      </c>
      <c r="GD59" s="3">
        <f>$H59*factors!FX$3</f>
        <v>0.4473596863749999</v>
      </c>
      <c r="GE59" s="3">
        <f>$H59*factors!FY$3</f>
        <v>0.4473596863749999</v>
      </c>
      <c r="GF59" s="3">
        <f>$H59*factors!FZ$3</f>
        <v>0.44601086319999994</v>
      </c>
      <c r="GG59" s="3">
        <f>$H59*factors!GA$3</f>
        <v>0.42847616192499993</v>
      </c>
      <c r="GH59" s="3">
        <f>$H59*factors!GB$3</f>
        <v>0.45590223315</v>
      </c>
      <c r="GI59" s="3">
        <f>$H59*factors!GC$3</f>
        <v>0.42757694647499994</v>
      </c>
      <c r="GJ59" s="3">
        <f>$H59*factors!GD$3</f>
        <v>0.42847616192499993</v>
      </c>
      <c r="GK59" s="3">
        <f>$H59*factors!GE$3</f>
        <v>0.43926674732499993</v>
      </c>
      <c r="GL59" s="3">
        <f>$H59*factors!GF$3</f>
        <v>0.46534399537499993</v>
      </c>
      <c r="GM59" s="3">
        <f>$H59*factors!GG$3</f>
        <v>0.44106517822499997</v>
      </c>
      <c r="GN59" s="3">
        <f>$H59*factors!GH$3</f>
        <v>0.45500301770000001</v>
      </c>
      <c r="GO59" s="3">
        <f>$H59*factors!GI$3</f>
        <v>0.42982498509999989</v>
      </c>
      <c r="GP59" s="3">
        <f>$H59*factors!GJ$3</f>
        <v>0.46084791812499998</v>
      </c>
      <c r="GQ59" s="3">
        <f>$H59*factors!GK$3</f>
        <v>0.47028968035000002</v>
      </c>
      <c r="GR59" s="3">
        <f>$H59*factors!GL$3</f>
        <v>0.46129752584999995</v>
      </c>
      <c r="GS59" s="3">
        <f>$H59*factors!GM$3</f>
        <v>0.43624538341299995</v>
      </c>
      <c r="GT59" s="3">
        <f>$H59*factors!GN$3</f>
        <v>0.4462950152822</v>
      </c>
      <c r="GU59" s="3">
        <f>$H59*factors!GO$3</f>
        <v>0.45680144859999994</v>
      </c>
      <c r="GV59" s="3">
        <f>$H59*factors!GP$3</f>
        <v>0.438529390656</v>
      </c>
      <c r="GW59" s="3">
        <f>$H59*factors!GQ$3</f>
        <v>0.45406063990839995</v>
      </c>
      <c r="GX59" s="3">
        <f>$H59*factors!GR$3</f>
        <v>0.44675181673079994</v>
      </c>
      <c r="GY59" s="3">
        <f>$H59*factors!GS$3</f>
        <v>0.44446780948780001</v>
      </c>
      <c r="GZ59" s="3">
        <f>$H59*factors!GT$3</f>
        <v>0.46091266163739991</v>
      </c>
      <c r="HA59" s="3">
        <f>$H59*factors!GU$3</f>
        <v>0.44583821383359995</v>
      </c>
      <c r="HB59" s="3">
        <f>$H59*factors!GV$3</f>
        <v>0.46091266163739991</v>
      </c>
      <c r="HC59" s="3">
        <f>$H59*factors!GW$3</f>
        <v>0.44949262542239993</v>
      </c>
      <c r="HD59" s="3">
        <f>$H59*factors!GX$3</f>
        <v>0.4627398674317999</v>
      </c>
      <c r="HE59" s="3">
        <f>$H59*factors!GY$3</f>
        <v>0.45680144859999994</v>
      </c>
      <c r="HF59" s="3">
        <f>$H59*factors!GZ$3</f>
        <v>0.4709622935065999</v>
      </c>
      <c r="HG59" s="3">
        <f>$H59*factors!HA$3</f>
        <v>0.45269023556259996</v>
      </c>
      <c r="HH59" s="3">
        <f>$H59*factors!HB$3</f>
        <v>0.44675181673079994</v>
      </c>
      <c r="HI59" s="3">
        <f>$H59*factors!HC$3</f>
        <v>0.44127019934759998</v>
      </c>
      <c r="HJ59" s="3">
        <f>$H59*factors!HD$3</f>
        <v>0.43624538341299995</v>
      </c>
      <c r="HK59" s="3">
        <f>$H59*factors!HE$3</f>
        <v>0.46136946308599996</v>
      </c>
      <c r="HL59" s="3">
        <f>$H59*factors!HF$3</f>
        <v>0.43487497906719991</v>
      </c>
      <c r="HM59" s="3">
        <f>$H59*factors!HG$3</f>
        <v>0.43944299355319999</v>
      </c>
      <c r="HN59" s="3">
        <f>$H59*factors!HH$3</f>
        <v>0.46867828626359997</v>
      </c>
      <c r="HO59" s="3">
        <f>$H59*factors!HI$3</f>
        <v>0.44949262542239993</v>
      </c>
      <c r="HP59" s="3">
        <f>$H59*factors!HJ$3</f>
        <v>0.47964152103000002</v>
      </c>
      <c r="HQ59" s="3">
        <f>$H59*factors!HK$3</f>
        <v>0.438529390656</v>
      </c>
      <c r="HR59" s="3">
        <f>$H59*factors!HL$3</f>
        <v>0.4650238746748</v>
      </c>
      <c r="HS59" s="3">
        <f>$H59*factors!HM$3</f>
        <v>0.47324630074959995</v>
      </c>
      <c r="HT59" s="3">
        <f>$H59*factors!HN$3</f>
        <v>0.44127019934759998</v>
      </c>
      <c r="HU59" s="3">
        <f>$H59*factors!HO$3</f>
        <v>0.44583821383359995</v>
      </c>
      <c r="HV59" s="3">
        <f>$H59*factors!HP$3</f>
        <v>0.45131983121679997</v>
      </c>
      <c r="HW59" s="3">
        <f>$H59*factors!HQ$3</f>
        <v>0.45771505149719993</v>
      </c>
      <c r="HX59" s="3">
        <f>$H59*factors!HR$3</f>
        <v>0.47644391088979993</v>
      </c>
      <c r="HY59" s="3">
        <f>$H59*factors!HS$3</f>
        <v>0.45269023556259996</v>
      </c>
      <c r="HZ59" s="3">
        <f>$H59*factors!HT$3</f>
        <v>0.47004869060939991</v>
      </c>
      <c r="IA59" s="3">
        <f>$H59*factors!HU$3</f>
        <v>0.4472086181794</v>
      </c>
      <c r="IB59" s="3">
        <f>$H59*factors!HV$3</f>
        <v>0.4627398674317999</v>
      </c>
      <c r="IC59" s="3">
        <f>$H59*factors!HW$3</f>
        <v>0.46730788191779993</v>
      </c>
      <c r="ID59" s="3">
        <f>$H59*factors!HX$3</f>
        <v>0.43396137616999991</v>
      </c>
      <c r="IE59" s="3">
        <f>$H59*factors!HY$3</f>
        <v>0.46091266163739991</v>
      </c>
      <c r="IF59" s="3">
        <f>$H59*factors!HZ$3</f>
        <v>0.45817185294579993</v>
      </c>
      <c r="IG59" s="3">
        <f>$H59*factors!IA$3</f>
        <v>0.45406063990839995</v>
      </c>
      <c r="IH59" s="3">
        <f>$H59*factors!IB$3</f>
        <v>0.4709622935065999</v>
      </c>
      <c r="II59" s="3">
        <f>$H59*factors!IC$3</f>
        <v>0.45086302976819997</v>
      </c>
      <c r="IJ59" s="3">
        <f>$H59*factors!ID$3</f>
        <v>0.45497424280559995</v>
      </c>
      <c r="IK59" s="3">
        <f>$H59*factors!IE$3</f>
        <v>0.47141909495519996</v>
      </c>
      <c r="IL59" s="3">
        <f>$H59*factors!IF$3</f>
        <v>0.45131983121679997</v>
      </c>
      <c r="IM59" s="3">
        <f>$H59*factors!IG$3</f>
        <v>0.4472086181794</v>
      </c>
      <c r="IN59" s="3">
        <f>$H59*factors!IH$3</f>
        <v>0.44994942687099998</v>
      </c>
      <c r="IO59" s="3">
        <f>$H59*factors!II$3</f>
        <v>0.45451744135699995</v>
      </c>
      <c r="IP59" s="3">
        <f>$H59*factors!IJ$3</f>
        <v>0.43944299355319999</v>
      </c>
      <c r="IQ59" s="3">
        <f>$H59*factors!IK$3</f>
        <v>0.43807258920739994</v>
      </c>
      <c r="IR59" s="3">
        <f>$H59*factors!IL$3</f>
        <v>0.45086302976819997</v>
      </c>
      <c r="IS59" s="3">
        <f>$H59*factors!IM$3</f>
        <v>0.45451744135699995</v>
      </c>
      <c r="IT59" s="3">
        <f>$H59*factors!IN$3</f>
        <v>0.45771505149719993</v>
      </c>
      <c r="IU59" s="3">
        <f>$H59*factors!IO$3</f>
        <v>0.46776468336639998</v>
      </c>
      <c r="IV59" s="3">
        <f>$H59*factors!IP$3</f>
        <v>0.47370310219819989</v>
      </c>
      <c r="IW59" s="3">
        <f>$H59*factors!IQ$3</f>
        <v>0.44766541962799994</v>
      </c>
      <c r="IX59" s="3">
        <f>$H59*factors!IR$3</f>
        <v>0.46776468336639998</v>
      </c>
      <c r="IY59" s="3">
        <f>$H59*factors!IS$3</f>
        <v>0.46091266163739991</v>
      </c>
      <c r="IZ59" s="3">
        <f>$H59*factors!IT$3</f>
        <v>0.46867828626359997</v>
      </c>
      <c r="JA59" s="3">
        <f>$H59*factors!IU$3</f>
        <v>0.44264060369339991</v>
      </c>
      <c r="JB59" s="3">
        <f>$H59*factors!IV$3</f>
        <v>0.45086302976819997</v>
      </c>
      <c r="JC59" s="3">
        <f>$H59*factors!IW$3</f>
        <v>0.44035659645039998</v>
      </c>
      <c r="JD59" s="3">
        <f>$H59*factors!IX$3</f>
        <v>0.47964152103000002</v>
      </c>
      <c r="JE59" s="3">
        <f>$H59*factors!IY$3</f>
        <v>0.44172700079619992</v>
      </c>
      <c r="JF59" s="3">
        <f>$H59*factors!IZ$3</f>
        <v>0.46365347032899989</v>
      </c>
      <c r="JG59" s="3">
        <f>$H59*factors!JA$3</f>
        <v>0.45543104425419995</v>
      </c>
      <c r="JH59" s="3">
        <f>$H59*factors!JB$3</f>
        <v>0.4641102717776</v>
      </c>
      <c r="JI59" s="3">
        <f>$H59*factors!JC$3</f>
        <v>0.43441817761859997</v>
      </c>
      <c r="JJ59" s="3">
        <f>$H59*factors!JD$3</f>
        <v>0.46776468336639998</v>
      </c>
      <c r="JK59" s="3">
        <f>$H59*factors!JE$3</f>
        <v>0.45269023556259996</v>
      </c>
      <c r="JL59" s="3">
        <f>$H59*factors!JF$3</f>
        <v>0.4709622935065999</v>
      </c>
      <c r="JM59" s="3">
        <f>$H59*factors!JG$3</f>
        <v>0.43944299355319999</v>
      </c>
      <c r="JN59" s="3">
        <f>$H59*factors!JH$3</f>
        <v>0.43944299355319999</v>
      </c>
      <c r="JO59" s="3">
        <f>$H59*factors!JI$3</f>
        <v>0.43396137616999991</v>
      </c>
      <c r="JP59" s="3">
        <f>$H59*factors!JJ$3</f>
        <v>0.46913508771219992</v>
      </c>
      <c r="JQ59" s="3">
        <f>$H59*factors!JK$3</f>
        <v>0.45725825004859993</v>
      </c>
      <c r="JR59" s="3">
        <f>$H59*factors!JL$3</f>
        <v>0.47507350654399993</v>
      </c>
      <c r="JS59" s="3">
        <f>$H59*factors!JM$3</f>
        <v>0.43396137616999991</v>
      </c>
      <c r="JT59" s="3">
        <f>$H59*factors!JN$3</f>
        <v>0.45588784570279994</v>
      </c>
      <c r="JU59" s="3">
        <f>$H59*factors!JO$3</f>
        <v>0.44081339789899993</v>
      </c>
      <c r="JV59" s="3">
        <f>$H59*factors!JP$3</f>
        <v>0.44812222107659999</v>
      </c>
      <c r="JW59" s="3">
        <f>$H59*factors!JQ$3</f>
        <v>0.47872791813280002</v>
      </c>
      <c r="JX59" s="3">
        <f>$H59*factors!JR$3</f>
        <v>0.47415990364679994</v>
      </c>
      <c r="JY59" s="3">
        <f>$H59*factors!JS$3</f>
        <v>0.4462950152822</v>
      </c>
      <c r="JZ59" s="3">
        <f>$H59*factors!JT$3</f>
        <v>0.45131983121679997</v>
      </c>
      <c r="KA59" s="3">
        <f>$H59*factors!JU$3</f>
        <v>0.45314703701119996</v>
      </c>
      <c r="KB59" s="3">
        <f>$H59*factors!JV$3</f>
        <v>0.43807258920739994</v>
      </c>
      <c r="KC59" s="3">
        <f>$H59*factors!JW$3</f>
        <v>0.44035659645039998</v>
      </c>
      <c r="KD59" s="3">
        <f>$H59*factors!JX$3</f>
        <v>0.44081339789899993</v>
      </c>
      <c r="KE59" s="3">
        <f>$H59*factors!JY$3</f>
        <v>0.46913508771219992</v>
      </c>
      <c r="KF59" s="3">
        <f>$H59*factors!JZ$3</f>
        <v>0.47461670509539988</v>
      </c>
      <c r="KG59" s="3">
        <f>$H59*factors!KA$3</f>
        <v>0.45771505149719993</v>
      </c>
      <c r="KH59" s="3">
        <f>$H59*factors!KB$3</f>
        <v>0.44766541962799994</v>
      </c>
      <c r="KI59" s="3">
        <f>$H59*factors!KC$3</f>
        <v>0.44355420659059991</v>
      </c>
    </row>
    <row r="60" spans="1:295" x14ac:dyDescent="0.55000000000000004">
      <c r="A60" t="s">
        <v>436</v>
      </c>
      <c r="B60">
        <v>59</v>
      </c>
      <c r="C60">
        <v>230</v>
      </c>
      <c r="D60" t="s">
        <v>377</v>
      </c>
      <c r="E60">
        <v>1.5035E-2</v>
      </c>
      <c r="F60">
        <v>59</v>
      </c>
      <c r="G60">
        <f>VLOOKUP(D60,demand_forecasted!$A$2:$G$11,2)</f>
        <v>11098</v>
      </c>
      <c r="H60" s="3">
        <f t="shared" si="1"/>
        <v>1.6685843</v>
      </c>
      <c r="I60" s="3">
        <f>$H60*factors!C$3</f>
        <v>1.8471228201000001</v>
      </c>
      <c r="J60" s="3">
        <f>$H60*factors!D$3</f>
        <v>1.780446191472</v>
      </c>
      <c r="K60" s="3">
        <f>$H60*factors!E$3</f>
        <v>1.7498109837240001</v>
      </c>
      <c r="L60" s="3">
        <f>$H60*factors!F$3</f>
        <v>1.7444047705920003</v>
      </c>
      <c r="M60" s="3">
        <f>$H60*factors!G$3</f>
        <v>1.742602699548</v>
      </c>
      <c r="N60" s="3">
        <f>$H60*factors!H$3</f>
        <v>1.79306068878</v>
      </c>
      <c r="O60" s="3">
        <f>$H60*factors!I$3</f>
        <v>1.8327062517479999</v>
      </c>
      <c r="P60" s="3">
        <f>$H60*factors!J$3</f>
        <v>1.8543311042760002</v>
      </c>
      <c r="Q60" s="3">
        <f>$H60*factors!K$3</f>
        <v>1.7408006285040001</v>
      </c>
      <c r="R60" s="3">
        <f>$H60*factors!L$3</f>
        <v>1.7119674918000001</v>
      </c>
      <c r="S60" s="3">
        <f>$H60*factors!M$3</f>
        <v>1.7822482625159999</v>
      </c>
      <c r="T60" s="3">
        <f>$H60*factors!N$3</f>
        <v>1.8435186780120001</v>
      </c>
      <c r="U60" s="3">
        <f>$H60*factors!O$3</f>
        <v>1.7462068416360002</v>
      </c>
      <c r="V60" s="3">
        <f>$H60*factors!P$3</f>
        <v>1.8164876123520002</v>
      </c>
      <c r="W60" s="3">
        <f>$H60*factors!Q$3</f>
        <v>1.8327062517479999</v>
      </c>
      <c r="X60" s="3">
        <f>$H60*factors!R$3</f>
        <v>1.7534151258120001</v>
      </c>
      <c r="Y60" s="3">
        <f>$H60*factors!S$3</f>
        <v>1.7371964864160001</v>
      </c>
      <c r="Z60" s="3">
        <f>$H60*factors!T$3</f>
        <v>1.8741538857600004</v>
      </c>
      <c r="AA60" s="3">
        <f>$H60*factors!U$3</f>
        <v>1.7696337652079999</v>
      </c>
      <c r="AB60" s="3">
        <f>$H60*factors!V$3</f>
        <v>1.7714358362520002</v>
      </c>
      <c r="AC60" s="3">
        <f>$H60*factors!W$3</f>
        <v>1.7732379072960003</v>
      </c>
      <c r="AD60" s="3">
        <f>$H60*factors!X$3</f>
        <v>1.7353944153720002</v>
      </c>
      <c r="AE60" s="3">
        <f>$H60*factors!Y$3</f>
        <v>1.7498109837240001</v>
      </c>
      <c r="AF60" s="3">
        <f>$H60*factors!Z$3</f>
        <v>1.7858524046040003</v>
      </c>
      <c r="AG60" s="3">
        <f>$H60*factors!AA$3</f>
        <v>1.7408006285040001</v>
      </c>
      <c r="AH60" s="3">
        <f>$H60*factors!AB$3</f>
        <v>1.7335923443280001</v>
      </c>
      <c r="AI60" s="3">
        <f>$H60*factors!AC$3</f>
        <v>1.789456546692</v>
      </c>
      <c r="AJ60" s="3">
        <f>$H60*factors!AD$3</f>
        <v>1.857935246364</v>
      </c>
      <c r="AK60" s="3">
        <f>$H60*factors!AE$3</f>
        <v>1.7876544756480002</v>
      </c>
      <c r="AL60" s="3">
        <f>$H60*factors!AF$3</f>
        <v>1.7173737049319999</v>
      </c>
      <c r="AM60" s="3">
        <f>$H60*factors!AG$3</f>
        <v>1.7660296231200001</v>
      </c>
      <c r="AN60" s="3">
        <f>$H60*factors!AH$3</f>
        <v>1.7371964864160001</v>
      </c>
      <c r="AO60" s="3">
        <f>$H60*factors!AI$3</f>
        <v>1.8200917544399999</v>
      </c>
      <c r="AP60" s="3">
        <f>$H60*factors!AJ$3</f>
        <v>1.7444047705920003</v>
      </c>
      <c r="AQ60" s="3">
        <f>$H60*factors!AK$3</f>
        <v>1.8002689729560002</v>
      </c>
      <c r="AR60" s="3">
        <f>$H60*factors!AL$3</f>
        <v>1.7606234099880003</v>
      </c>
      <c r="AS60" s="3">
        <f>$H60*factors!AM$3</f>
        <v>1.7173737049319999</v>
      </c>
      <c r="AT60" s="3">
        <f>$H60*factors!AN$3</f>
        <v>1.7714358362520002</v>
      </c>
      <c r="AU60" s="3">
        <f>$H60*factors!AO$3</f>
        <v>1.8759559568039998</v>
      </c>
      <c r="AV60" s="3">
        <f>$H60*factors!AP$3</f>
        <v>1.7732379072960003</v>
      </c>
      <c r="AW60" s="3">
        <f>$H60*factors!AQ$3</f>
        <v>1.755217196856</v>
      </c>
      <c r="AX60" s="3">
        <f>$H60*factors!AR$3</f>
        <v>1.8561331753200001</v>
      </c>
      <c r="AY60" s="3">
        <f>$H60*factors!AS$3</f>
        <v>1.7119674918000001</v>
      </c>
      <c r="AZ60" s="3">
        <f>$H60*factors!AT$3</f>
        <v>1.8345083227920003</v>
      </c>
      <c r="BA60" s="3">
        <f>$H60*factors!AU$3</f>
        <v>1.7948627598239999</v>
      </c>
      <c r="BB60" s="3">
        <f>$H60*factors!AV$3</f>
        <v>1.7714358362520002</v>
      </c>
      <c r="BC60" s="3">
        <f>$H60*factors!AW$3</f>
        <v>1.8741538857600004</v>
      </c>
      <c r="BD60" s="3">
        <f>$H60*factors!AX$3</f>
        <v>1.7299882022399999</v>
      </c>
      <c r="BE60" s="3">
        <f>$H60*factors!AY$3</f>
        <v>2.033904146642</v>
      </c>
      <c r="BF60" s="3">
        <f>$H60*factors!AZ$3</f>
        <v>1.8941101539879999</v>
      </c>
      <c r="BG60" s="3">
        <f>$H60*factors!BA$3</f>
        <v>1.9216751666239997</v>
      </c>
      <c r="BH60" s="3">
        <f>$H60*factors!BB$3</f>
        <v>1.9472712497859999</v>
      </c>
      <c r="BI60" s="3">
        <f>$H60*factors!BC$3</f>
        <v>2.0181527108499995</v>
      </c>
      <c r="BJ60" s="3">
        <f>$H60*factors!BD$3</f>
        <v>1.9275819550459998</v>
      </c>
      <c r="BK60" s="3">
        <f>$H60*factors!BE$3</f>
        <v>1.9315198139939997</v>
      </c>
      <c r="BL60" s="3">
        <f>$H60*factors!BF$3</f>
        <v>1.9098615897799998</v>
      </c>
      <c r="BM60" s="3">
        <f>$H60*factors!BG$3</f>
        <v>2.0398109350640001</v>
      </c>
      <c r="BN60" s="3">
        <f>$H60*factors!BH$3</f>
        <v>2.014214851902</v>
      </c>
      <c r="BO60" s="3">
        <f>$H60*factors!BI$3</f>
        <v>1.8941101539879999</v>
      </c>
      <c r="BP60" s="3">
        <f>$H60*factors!BJ$3</f>
        <v>1.8882033655659998</v>
      </c>
      <c r="BQ60" s="3">
        <f>$H60*factors!BK$3</f>
        <v>1.9197062371499998</v>
      </c>
      <c r="BR60" s="3">
        <f>$H60*factors!BL$3</f>
        <v>1.9886187687399999</v>
      </c>
      <c r="BS60" s="3">
        <f>$H60*factors!BM$3</f>
        <v>2.0201216403240001</v>
      </c>
      <c r="BT60" s="3">
        <f>$H60*factors!BN$3</f>
        <v>2.0260284287459998</v>
      </c>
      <c r="BU60" s="3">
        <f>$H60*factors!BO$3</f>
        <v>2.0595002298040002</v>
      </c>
      <c r="BV60" s="3">
        <f>$H60*factors!BP$3</f>
        <v>1.9157683782019999</v>
      </c>
      <c r="BW60" s="3">
        <f>$H60*factors!BQ$3</f>
        <v>1.9590848266299998</v>
      </c>
      <c r="BX60" s="3">
        <f>$H60*factors!BR$3</f>
        <v>1.9216751666239997</v>
      </c>
      <c r="BY60" s="3">
        <f>$H60*factors!BS$3</f>
        <v>2.0102769929539996</v>
      </c>
      <c r="BZ60" s="3">
        <f>$H60*factors!BT$3</f>
        <v>1.9728673329479998</v>
      </c>
      <c r="CA60" s="3">
        <f>$H60*factors!BU$3</f>
        <v>1.9472712497859999</v>
      </c>
      <c r="CB60" s="3">
        <f>$H60*factors!BV$3</f>
        <v>1.8842655066179999</v>
      </c>
      <c r="CC60" s="3">
        <f>$H60*factors!BW$3</f>
        <v>1.9393955318899998</v>
      </c>
      <c r="CD60" s="3">
        <f>$H60*factors!BX$3</f>
        <v>1.9453023203119999</v>
      </c>
      <c r="CE60" s="3">
        <f>$H60*factors!BY$3</f>
        <v>1.9728673329479998</v>
      </c>
      <c r="CF60" s="3">
        <f>$H60*factors!BZ$3</f>
        <v>1.9433333908380002</v>
      </c>
      <c r="CG60" s="3">
        <f>$H60*factors!CA$3</f>
        <v>1.8783587181959998</v>
      </c>
      <c r="CH60" s="3">
        <f>$H60*factors!CB$3</f>
        <v>1.8803276476699997</v>
      </c>
      <c r="CI60" s="3">
        <f>$H60*factors!CC$3</f>
        <v>1.8704830002999999</v>
      </c>
      <c r="CJ60" s="3">
        <f>$H60*factors!CD$3</f>
        <v>1.9472712497859999</v>
      </c>
      <c r="CK60" s="3">
        <f>$H60*factors!CE$3</f>
        <v>2.033904146642</v>
      </c>
      <c r="CL60" s="3">
        <f>$H60*factors!CF$3</f>
        <v>1.9059237308319998</v>
      </c>
      <c r="CM60" s="3">
        <f>$H60*factors!CG$3</f>
        <v>1.9512091087339998</v>
      </c>
      <c r="CN60" s="3">
        <f>$H60*factors!CH$3</f>
        <v>1.8862344360919998</v>
      </c>
      <c r="CO60" s="3">
        <f>$H60*factors!CI$3</f>
        <v>1.9000169424099997</v>
      </c>
      <c r="CP60" s="3">
        <f>$H60*factors!CJ$3</f>
        <v>1.9905876982139996</v>
      </c>
      <c r="CQ60" s="3">
        <f>$H60*factors!CK$3</f>
        <v>1.9315198139939997</v>
      </c>
      <c r="CR60" s="3">
        <f>$H60*factors!CL$3</f>
        <v>1.9925566276879998</v>
      </c>
      <c r="CS60" s="3">
        <f>$H60*factors!CM$3</f>
        <v>2.0555623708559998</v>
      </c>
      <c r="CT60" s="3">
        <f>$H60*factors!CN$3</f>
        <v>2.0319352171679999</v>
      </c>
      <c r="CU60" s="3">
        <f>$H60*factors!CO$3</f>
        <v>1.9866498392659997</v>
      </c>
      <c r="CV60" s="3">
        <f>$H60*factors!CP$3</f>
        <v>2.0673759477</v>
      </c>
      <c r="CW60" s="3">
        <f>$H60*factors!CQ$3</f>
        <v>1.9551469676820001</v>
      </c>
      <c r="CX60" s="3">
        <f>$H60*factors!CR$3</f>
        <v>1.9256130255719999</v>
      </c>
      <c r="CY60" s="3">
        <f>$H60*factors!CS$3</f>
        <v>1.9078926603059998</v>
      </c>
      <c r="CZ60" s="3">
        <f>$H60*factors!CT$3</f>
        <v>1.8803276476699997</v>
      </c>
      <c r="DA60" s="3">
        <f>$H60*factors!CU$3</f>
        <v>1.952243631</v>
      </c>
      <c r="DB60" s="3">
        <f>$H60*factors!CV$3</f>
        <v>2.0783886040800001</v>
      </c>
      <c r="DC60" s="3">
        <f>$H60*factors!CW$3</f>
        <v>1.9902873530399998</v>
      </c>
      <c r="DD60" s="3">
        <f>$H60*factors!CX$3</f>
        <v>1.9762712449199999</v>
      </c>
      <c r="DE60" s="3">
        <f>$H60*factors!CY$3</f>
        <v>2.03433797856</v>
      </c>
      <c r="DF60" s="3">
        <f>$H60*factors!CZ$3</f>
        <v>2.0303333762399998</v>
      </c>
      <c r="DG60" s="3">
        <f>$H60*factors!DA$3</f>
        <v>2.0223241715999998</v>
      </c>
      <c r="DH60" s="3">
        <f>$H60*factors!DB$3</f>
        <v>2.0223241715999998</v>
      </c>
      <c r="DI60" s="3">
        <f>$H60*factors!DC$3</f>
        <v>1.9462367275199999</v>
      </c>
      <c r="DJ60" s="3">
        <f>$H60*factors!DD$3</f>
        <v>2.0623701948000002</v>
      </c>
      <c r="DK60" s="3">
        <f>$H60*factors!DE$3</f>
        <v>2.0623701948000002</v>
      </c>
      <c r="DL60" s="3">
        <f>$H60*factors!DF$3</f>
        <v>2.0383425808800002</v>
      </c>
      <c r="DM60" s="3">
        <f>$H60*factors!DG$3</f>
        <v>1.9202068124399998</v>
      </c>
      <c r="DN60" s="3">
        <f>$H60*factors!DH$3</f>
        <v>2.0143149669600002</v>
      </c>
      <c r="DO60" s="3">
        <f>$H60*factors!DI$3</f>
        <v>2.0803909052399998</v>
      </c>
      <c r="DP60" s="3">
        <f>$H60*factors!DJ$3</f>
        <v>2.0623701948000002</v>
      </c>
      <c r="DQ60" s="3">
        <f>$H60*factors!DK$3</f>
        <v>1.9662597391199998</v>
      </c>
      <c r="DR60" s="3">
        <f>$H60*factors!DL$3</f>
        <v>1.94423442636</v>
      </c>
      <c r="DS60" s="3">
        <f>$H60*factors!DM$3</f>
        <v>2.10041391684</v>
      </c>
      <c r="DT60" s="3">
        <f>$H60*factors!DN$3</f>
        <v>1.9742689437600001</v>
      </c>
      <c r="DU60" s="3">
        <f>$H60*factors!DO$3</f>
        <v>2.0663747971199999</v>
      </c>
      <c r="DV60" s="3">
        <f>$H60*factors!DP$3</f>
        <v>2.01831956928</v>
      </c>
      <c r="DW60" s="3">
        <f>$H60*factors!DQ$3</f>
        <v>1.9262137159199999</v>
      </c>
      <c r="DX60" s="3">
        <f>$H60*factors!DR$3</f>
        <v>2.0403448820399999</v>
      </c>
      <c r="DY60" s="3">
        <f>$H60*factors!DS$3</f>
        <v>1.9362252217199998</v>
      </c>
      <c r="DZ60" s="3">
        <f>$H60*factors!DT$3</f>
        <v>2.0703793994399997</v>
      </c>
      <c r="EA60" s="3">
        <f>$H60*factors!DU$3</f>
        <v>1.9502413298399996</v>
      </c>
      <c r="EB60" s="3">
        <f>$H60*factors!DV$3</f>
        <v>1.9021861019999999</v>
      </c>
      <c r="EC60" s="3">
        <f>$H60*factors!DW$3</f>
        <v>2.0463517855199997</v>
      </c>
      <c r="ED60" s="3">
        <f>$H60*factors!DX$3</f>
        <v>1.9202068124399998</v>
      </c>
      <c r="EE60" s="3">
        <f>$H60*factors!DY$3</f>
        <v>1.9362252217199998</v>
      </c>
      <c r="EF60" s="3">
        <f>$H60*factors!DZ$3</f>
        <v>2.10041391684</v>
      </c>
      <c r="EG60" s="3">
        <f>$H60*factors!EA$3</f>
        <v>1.9622551367999999</v>
      </c>
      <c r="EH60" s="3">
        <f>$H60*factors!EB$3</f>
        <v>1.96826204028</v>
      </c>
      <c r="EI60" s="3">
        <f>$H60*factors!EC$3</f>
        <v>1.96425743796</v>
      </c>
      <c r="EJ60" s="3">
        <f>$H60*factors!ED$3</f>
        <v>1.9141999089599999</v>
      </c>
      <c r="EK60" s="3">
        <f>$H60*factors!EE$3</f>
        <v>2.0463517855199997</v>
      </c>
      <c r="EL60" s="3">
        <f>$H60*factors!EF$3</f>
        <v>1.9462367275199999</v>
      </c>
      <c r="EM60" s="3">
        <f>$H60*factors!EG$3</f>
        <v>2.0243264727599999</v>
      </c>
      <c r="EN60" s="3">
        <f>$H60*factors!EH$3</f>
        <v>1.9021861019999999</v>
      </c>
      <c r="EO60" s="3">
        <f>$H60*factors!EI$3</f>
        <v>1.9302183182399997</v>
      </c>
      <c r="EP60" s="3">
        <f>$H60*factors!EJ$3</f>
        <v>2.0363402797200001</v>
      </c>
      <c r="EQ60" s="3">
        <f>$H60*factors!EK$3</f>
        <v>1.9802758472399997</v>
      </c>
      <c r="ER60" s="3">
        <f>$H60*factors!EL$3</f>
        <v>2.0623701948000002</v>
      </c>
      <c r="ES60" s="3">
        <f>$H60*factors!EM$3</f>
        <v>2.0363402797200001</v>
      </c>
      <c r="ET60" s="3">
        <f>$H60*factors!EN$3</f>
        <v>2.0823932063999999</v>
      </c>
      <c r="EU60" s="3">
        <f>$H60*factors!EO$3</f>
        <v>2.1024162180000001</v>
      </c>
      <c r="EV60" s="3">
        <f>$H60*factors!EP$3</f>
        <v>1.9702643414399998</v>
      </c>
      <c r="EW60" s="3">
        <f>$H60*factors!EQ$3</f>
        <v>2.1670738596249999</v>
      </c>
      <c r="EX60" s="3">
        <f>$H60*factors!ER$3</f>
        <v>2.1441308255000004</v>
      </c>
      <c r="EY60" s="3">
        <f>$H60*factors!ES$3</f>
        <v>2.1879311633749996</v>
      </c>
      <c r="EZ60" s="3">
        <f>$H60*factors!ET$3</f>
        <v>2.1670738596249999</v>
      </c>
      <c r="FA60" s="3">
        <f>$H60*factors!EU$3</f>
        <v>1.9918725081249997</v>
      </c>
      <c r="FB60" s="3">
        <f>$H60*factors!EV$3</f>
        <v>2.0815589142499999</v>
      </c>
      <c r="FC60" s="3">
        <f>$H60*factors!EW$3</f>
        <v>2.1399593647500001</v>
      </c>
      <c r="FD60" s="3">
        <f>$H60*factors!EX$3</f>
        <v>2.0648730712500001</v>
      </c>
      <c r="FE60" s="3">
        <f>$H60*factors!EY$3</f>
        <v>2.175416781125</v>
      </c>
      <c r="FF60" s="3">
        <f>$H60*factors!EZ$3</f>
        <v>2.1775025115000002</v>
      </c>
      <c r="FG60" s="3">
        <f>$H60*factors!FA$3</f>
        <v>1.9918725081249997</v>
      </c>
      <c r="FH60" s="3">
        <f>$H60*factors!FB$3</f>
        <v>2.0961590268749997</v>
      </c>
      <c r="FI60" s="3">
        <f>$H60*factors!FC$3</f>
        <v>2.1837597026249997</v>
      </c>
      <c r="FJ60" s="3">
        <f>$H60*factors!FD$3</f>
        <v>2.0961590268749997</v>
      </c>
      <c r="FK60" s="3">
        <f>$H60*factors!FE$3</f>
        <v>2.13161644325</v>
      </c>
      <c r="FL60" s="3">
        <f>$H60*factors!FF$3</f>
        <v>2.137873634375</v>
      </c>
      <c r="FM60" s="3">
        <f>$H60*factors!FG$3</f>
        <v>2.1608166684999999</v>
      </c>
      <c r="FN60" s="3">
        <f>$H60*factors!FH$3</f>
        <v>2.021072733375</v>
      </c>
      <c r="FO60" s="3">
        <f>$H60*factors!FI$3</f>
        <v>2.1462165558749997</v>
      </c>
      <c r="FP60" s="3">
        <f>$H60*factors!FJ$3</f>
        <v>2.0857303749999998</v>
      </c>
      <c r="FQ60" s="3">
        <f>$H60*factors!FK$3</f>
        <v>2.0648730712500001</v>
      </c>
      <c r="FR60" s="3">
        <f>$H60*factors!FL$3</f>
        <v>2.10658767875</v>
      </c>
      <c r="FS60" s="3">
        <f>$H60*factors!FM$3</f>
        <v>2.0940732965</v>
      </c>
      <c r="FT60" s="3">
        <f>$H60*factors!FN$3</f>
        <v>2.1399593647500001</v>
      </c>
      <c r="FU60" s="3">
        <f>$H60*factors!FO$3</f>
        <v>2.0565301497499999</v>
      </c>
      <c r="FV60" s="3">
        <f>$H60*factors!FP$3</f>
        <v>2.0398443067500001</v>
      </c>
      <c r="FW60" s="3">
        <f>$H60*factors!FQ$3</f>
        <v>2.1837597026249997</v>
      </c>
      <c r="FX60" s="3">
        <f>$H60*factors!FR$3</f>
        <v>2.1441308255000004</v>
      </c>
      <c r="FY60" s="3">
        <f>$H60*factors!FS$3</f>
        <v>2.1003304876249995</v>
      </c>
      <c r="FZ60" s="3">
        <f>$H60*factors!FT$3</f>
        <v>1.996043968875</v>
      </c>
      <c r="GA60" s="3">
        <f>$H60*factors!FU$3</f>
        <v>2.1003304876249995</v>
      </c>
      <c r="GB60" s="3">
        <f>$H60*factors!FV$3</f>
        <v>2.1775025115000002</v>
      </c>
      <c r="GC60" s="3">
        <f>$H60*factors!FW$3</f>
        <v>2.0398443067500001</v>
      </c>
      <c r="GD60" s="3">
        <f>$H60*factors!FX$3</f>
        <v>2.0753017231249999</v>
      </c>
      <c r="GE60" s="3">
        <f>$H60*factors!FY$3</f>
        <v>2.0753017231249999</v>
      </c>
      <c r="GF60" s="3">
        <f>$H60*factors!FZ$3</f>
        <v>2.0690445319999999</v>
      </c>
      <c r="GG60" s="3">
        <f>$H60*factors!GA$3</f>
        <v>1.9877010473749999</v>
      </c>
      <c r="GH60" s="3">
        <f>$H60*factors!GB$3</f>
        <v>2.1149306002500001</v>
      </c>
      <c r="GI60" s="3">
        <f>$H60*factors!GC$3</f>
        <v>1.983529586625</v>
      </c>
      <c r="GJ60" s="3">
        <f>$H60*factors!GD$3</f>
        <v>1.9877010473749999</v>
      </c>
      <c r="GK60" s="3">
        <f>$H60*factors!GE$3</f>
        <v>2.0377585763749999</v>
      </c>
      <c r="GL60" s="3">
        <f>$H60*factors!GF$3</f>
        <v>2.1587309381250002</v>
      </c>
      <c r="GM60" s="3">
        <f>$H60*factors!GG$3</f>
        <v>2.0461014978750001</v>
      </c>
      <c r="GN60" s="3">
        <f>$H60*factors!GH$3</f>
        <v>2.1107591395000003</v>
      </c>
      <c r="GO60" s="3">
        <f>$H60*factors!GI$3</f>
        <v>1.9939582384999996</v>
      </c>
      <c r="GP60" s="3">
        <f>$H60*factors!GJ$3</f>
        <v>2.137873634375</v>
      </c>
      <c r="GQ60" s="3">
        <f>$H60*factors!GK$3</f>
        <v>2.18167397225</v>
      </c>
      <c r="GR60" s="3">
        <f>$H60*factors!GL$3</f>
        <v>2.1399593647500001</v>
      </c>
      <c r="GS60" s="3">
        <f>$H60*factors!GM$3</f>
        <v>2.023742468255</v>
      </c>
      <c r="GT60" s="3">
        <f>$H60*factors!GN$3</f>
        <v>2.070362713597</v>
      </c>
      <c r="GU60" s="3">
        <f>$H60*factors!GO$3</f>
        <v>2.119102061</v>
      </c>
      <c r="GV60" s="3">
        <f>$H60*factors!GP$3</f>
        <v>2.03433797856</v>
      </c>
      <c r="GW60" s="3">
        <f>$H60*factors!GQ$3</f>
        <v>2.106387448634</v>
      </c>
      <c r="GX60" s="3">
        <f>$H60*factors!GR$3</f>
        <v>2.072481815658</v>
      </c>
      <c r="GY60" s="3">
        <f>$H60*factors!GS$3</f>
        <v>2.0618863053530001</v>
      </c>
      <c r="GZ60" s="3">
        <f>$H60*factors!GT$3</f>
        <v>2.1381739795489998</v>
      </c>
      <c r="HA60" s="3">
        <f>$H60*factors!GU$3</f>
        <v>2.0682436115359999</v>
      </c>
      <c r="HB60" s="3">
        <f>$H60*factors!GV$3</f>
        <v>2.1381739795489998</v>
      </c>
      <c r="HC60" s="3">
        <f>$H60*factors!GW$3</f>
        <v>2.0851964280240001</v>
      </c>
      <c r="HD60" s="3">
        <f>$H60*factors!GX$3</f>
        <v>2.1466503877929997</v>
      </c>
      <c r="HE60" s="3">
        <f>$H60*factors!GY$3</f>
        <v>2.119102061</v>
      </c>
      <c r="HF60" s="3">
        <f>$H60*factors!GZ$3</f>
        <v>2.1847942248909997</v>
      </c>
      <c r="HG60" s="3">
        <f>$H60*factors!HA$3</f>
        <v>2.1000301424510002</v>
      </c>
      <c r="HH60" s="3">
        <f>$H60*factors!HB$3</f>
        <v>2.072481815658</v>
      </c>
      <c r="HI60" s="3">
        <f>$H60*factors!HC$3</f>
        <v>2.047052590926</v>
      </c>
      <c r="HJ60" s="3">
        <f>$H60*factors!HD$3</f>
        <v>2.023742468255</v>
      </c>
      <c r="HK60" s="3">
        <f>$H60*factors!HE$3</f>
        <v>2.1402930816099999</v>
      </c>
      <c r="HL60" s="3">
        <f>$H60*factors!HF$3</f>
        <v>2.0173851620719998</v>
      </c>
      <c r="HM60" s="3">
        <f>$H60*factors!HG$3</f>
        <v>2.0385761826820001</v>
      </c>
      <c r="HN60" s="3">
        <f>$H60*factors!HH$3</f>
        <v>2.1741987145860002</v>
      </c>
      <c r="HO60" s="3">
        <f>$H60*factors!HI$3</f>
        <v>2.0851964280240001</v>
      </c>
      <c r="HP60" s="3">
        <f>$H60*factors!HJ$3</f>
        <v>2.2250571640500003</v>
      </c>
      <c r="HQ60" s="3">
        <f>$H60*factors!HK$3</f>
        <v>2.03433797856</v>
      </c>
      <c r="HR60" s="3">
        <f>$H60*factors!HL$3</f>
        <v>2.157245898098</v>
      </c>
      <c r="HS60" s="3">
        <f>$H60*factors!HM$3</f>
        <v>2.1953897351960001</v>
      </c>
      <c r="HT60" s="3">
        <f>$H60*factors!HN$3</f>
        <v>2.047052590926</v>
      </c>
      <c r="HU60" s="3">
        <f>$H60*factors!HO$3</f>
        <v>2.0682436115359999</v>
      </c>
      <c r="HV60" s="3">
        <f>$H60*factors!HP$3</f>
        <v>2.0936728362680004</v>
      </c>
      <c r="HW60" s="3">
        <f>$H60*factors!HQ$3</f>
        <v>2.1233402651220001</v>
      </c>
      <c r="HX60" s="3">
        <f>$H60*factors!HR$3</f>
        <v>2.2102234496229998</v>
      </c>
      <c r="HY60" s="3">
        <f>$H60*factors!HS$3</f>
        <v>2.1000301424510002</v>
      </c>
      <c r="HZ60" s="3">
        <f>$H60*factors!HT$3</f>
        <v>2.180556020769</v>
      </c>
      <c r="IA60" s="3">
        <f>$H60*factors!HU$3</f>
        <v>2.0746009177190001</v>
      </c>
      <c r="IB60" s="3">
        <f>$H60*factors!HV$3</f>
        <v>2.1466503877929997</v>
      </c>
      <c r="IC60" s="3">
        <f>$H60*factors!HW$3</f>
        <v>2.167841408403</v>
      </c>
      <c r="ID60" s="3">
        <f>$H60*factors!HX$3</f>
        <v>2.0131469579499996</v>
      </c>
      <c r="IE60" s="3">
        <f>$H60*factors!HY$3</f>
        <v>2.1381739795489998</v>
      </c>
      <c r="IF60" s="3">
        <f>$H60*factors!HZ$3</f>
        <v>2.1254593671829998</v>
      </c>
      <c r="IG60" s="3">
        <f>$H60*factors!IA$3</f>
        <v>2.106387448634</v>
      </c>
      <c r="IH60" s="3">
        <f>$H60*factors!IB$3</f>
        <v>2.1847942248909997</v>
      </c>
      <c r="II60" s="3">
        <f>$H60*factors!IC$3</f>
        <v>2.0915537342069999</v>
      </c>
      <c r="IJ60" s="3">
        <f>$H60*factors!ID$3</f>
        <v>2.1106256527560001</v>
      </c>
      <c r="IK60" s="3">
        <f>$H60*factors!IE$3</f>
        <v>2.1869133269520002</v>
      </c>
      <c r="IL60" s="3">
        <f>$H60*factors!IF$3</f>
        <v>2.0936728362680004</v>
      </c>
      <c r="IM60" s="3">
        <f>$H60*factors!IG$3</f>
        <v>2.0746009177190001</v>
      </c>
      <c r="IN60" s="3">
        <f>$H60*factors!IH$3</f>
        <v>2.0873155300850001</v>
      </c>
      <c r="IO60" s="3">
        <f>$H60*factors!II$3</f>
        <v>2.108506550695</v>
      </c>
      <c r="IP60" s="3">
        <f>$H60*factors!IJ$3</f>
        <v>2.0385761826820001</v>
      </c>
      <c r="IQ60" s="3">
        <f>$H60*factors!IK$3</f>
        <v>2.0322188764989999</v>
      </c>
      <c r="IR60" s="3">
        <f>$H60*factors!IL$3</f>
        <v>2.0915537342069999</v>
      </c>
      <c r="IS60" s="3">
        <f>$H60*factors!IM$3</f>
        <v>2.108506550695</v>
      </c>
      <c r="IT60" s="3">
        <f>$H60*factors!IN$3</f>
        <v>2.1233402651220001</v>
      </c>
      <c r="IU60" s="3">
        <f>$H60*factors!IO$3</f>
        <v>2.1699605104640001</v>
      </c>
      <c r="IV60" s="3">
        <f>$H60*factors!IP$3</f>
        <v>2.1975088372569997</v>
      </c>
      <c r="IW60" s="3">
        <f>$H60*factors!IQ$3</f>
        <v>2.0767200197799998</v>
      </c>
      <c r="IX60" s="3">
        <f>$H60*factors!IR$3</f>
        <v>2.1699605104640001</v>
      </c>
      <c r="IY60" s="3">
        <f>$H60*factors!IS$3</f>
        <v>2.1381739795489998</v>
      </c>
      <c r="IZ60" s="3">
        <f>$H60*factors!IT$3</f>
        <v>2.1741987145860002</v>
      </c>
      <c r="JA60" s="3">
        <f>$H60*factors!IU$3</f>
        <v>2.0534098971089998</v>
      </c>
      <c r="JB60" s="3">
        <f>$H60*factors!IV$3</f>
        <v>2.0915537342069999</v>
      </c>
      <c r="JC60" s="3">
        <f>$H60*factors!IW$3</f>
        <v>2.0428143868040003</v>
      </c>
      <c r="JD60" s="3">
        <f>$H60*factors!IX$3</f>
        <v>2.2250571640500003</v>
      </c>
      <c r="JE60" s="3">
        <f>$H60*factors!IY$3</f>
        <v>2.0491716929870001</v>
      </c>
      <c r="JF60" s="3">
        <f>$H60*factors!IZ$3</f>
        <v>2.1508885919149998</v>
      </c>
      <c r="JG60" s="3">
        <f>$H60*factors!JA$3</f>
        <v>2.1127447548169997</v>
      </c>
      <c r="JH60" s="3">
        <f>$H60*factors!JB$3</f>
        <v>2.1530076939760003</v>
      </c>
      <c r="JI60" s="3">
        <f>$H60*factors!JC$3</f>
        <v>2.0152660600110002</v>
      </c>
      <c r="JJ60" s="3">
        <f>$H60*factors!JD$3</f>
        <v>2.1699605104640001</v>
      </c>
      <c r="JK60" s="3">
        <f>$H60*factors!JE$3</f>
        <v>2.1000301424510002</v>
      </c>
      <c r="JL60" s="3">
        <f>$H60*factors!JF$3</f>
        <v>2.1847942248909997</v>
      </c>
      <c r="JM60" s="3">
        <f>$H60*factors!JG$3</f>
        <v>2.0385761826820001</v>
      </c>
      <c r="JN60" s="3">
        <f>$H60*factors!JH$3</f>
        <v>2.0385761826820001</v>
      </c>
      <c r="JO60" s="3">
        <f>$H60*factors!JI$3</f>
        <v>2.0131469579499996</v>
      </c>
      <c r="JP60" s="3">
        <f>$H60*factors!JJ$3</f>
        <v>2.1763178166469999</v>
      </c>
      <c r="JQ60" s="3">
        <f>$H60*factors!JK$3</f>
        <v>2.1212211630610001</v>
      </c>
      <c r="JR60" s="3">
        <f>$H60*factors!JL$3</f>
        <v>2.20386614344</v>
      </c>
      <c r="JS60" s="3">
        <f>$H60*factors!JM$3</f>
        <v>2.0131469579499996</v>
      </c>
      <c r="JT60" s="3">
        <f>$H60*factors!JN$3</f>
        <v>2.1148638568780003</v>
      </c>
      <c r="JU60" s="3">
        <f>$H60*factors!JO$3</f>
        <v>2.0449334888649999</v>
      </c>
      <c r="JV60" s="3">
        <f>$H60*factors!JP$3</f>
        <v>2.0788391218410003</v>
      </c>
      <c r="JW60" s="3">
        <f>$H60*factors!JQ$3</f>
        <v>2.2208189599280002</v>
      </c>
      <c r="JX60" s="3">
        <f>$H60*factors!JR$3</f>
        <v>2.1996279393179998</v>
      </c>
      <c r="JY60" s="3">
        <f>$H60*factors!JS$3</f>
        <v>2.070362713597</v>
      </c>
      <c r="JZ60" s="3">
        <f>$H60*factors!JT$3</f>
        <v>2.0936728362680004</v>
      </c>
      <c r="KA60" s="3">
        <f>$H60*factors!JU$3</f>
        <v>2.1021492445120002</v>
      </c>
      <c r="KB60" s="3">
        <f>$H60*factors!JV$3</f>
        <v>2.0322188764989999</v>
      </c>
      <c r="KC60" s="3">
        <f>$H60*factors!JW$3</f>
        <v>2.0428143868040003</v>
      </c>
      <c r="KD60" s="3">
        <f>$H60*factors!JX$3</f>
        <v>2.0449334888649999</v>
      </c>
      <c r="KE60" s="3">
        <f>$H60*factors!JY$3</f>
        <v>2.1763178166469999</v>
      </c>
      <c r="KF60" s="3">
        <f>$H60*factors!JZ$3</f>
        <v>2.2017470413789999</v>
      </c>
      <c r="KG60" s="3">
        <f>$H60*factors!KA$3</f>
        <v>2.1233402651220001</v>
      </c>
      <c r="KH60" s="3">
        <f>$H60*factors!KB$3</f>
        <v>2.0767200197799998</v>
      </c>
      <c r="KI60" s="3">
        <f>$H60*factors!KC$3</f>
        <v>2.0576481012309999</v>
      </c>
    </row>
    <row r="61" spans="1:295" x14ac:dyDescent="0.55000000000000004">
      <c r="A61" t="s">
        <v>437</v>
      </c>
      <c r="B61">
        <v>60</v>
      </c>
      <c r="C61">
        <v>230</v>
      </c>
      <c r="D61" t="s">
        <v>377</v>
      </c>
      <c r="E61">
        <v>3.434E-3</v>
      </c>
      <c r="F61">
        <v>60</v>
      </c>
      <c r="G61">
        <f>VLOOKUP(D61,demand_forecasted!$A$2:$G$11,2)</f>
        <v>11098</v>
      </c>
      <c r="H61" s="3">
        <f t="shared" si="1"/>
        <v>0.38110531999999997</v>
      </c>
      <c r="I61" s="3">
        <f>$H61*factors!C$3</f>
        <v>0.42188358923999997</v>
      </c>
      <c r="J61" s="3">
        <f>$H61*factors!D$3</f>
        <v>0.40665462065279995</v>
      </c>
      <c r="K61" s="3">
        <f>$H61*factors!E$3</f>
        <v>0.39965752697759999</v>
      </c>
      <c r="L61" s="3">
        <f>$H61*factors!F$3</f>
        <v>0.3984227457408</v>
      </c>
      <c r="M61" s="3">
        <f>$H61*factors!G$3</f>
        <v>0.39801115199519993</v>
      </c>
      <c r="N61" s="3">
        <f>$H61*factors!H$3</f>
        <v>0.40953577687199999</v>
      </c>
      <c r="O61" s="3">
        <f>$H61*factors!I$3</f>
        <v>0.41859083927519997</v>
      </c>
      <c r="P61" s="3">
        <f>$H61*factors!J$3</f>
        <v>0.42352996422240002</v>
      </c>
      <c r="Q61" s="3">
        <f>$H61*factors!K$3</f>
        <v>0.39759955824959997</v>
      </c>
      <c r="R61" s="3">
        <f>$H61*factors!L$3</f>
        <v>0.39101405831999997</v>
      </c>
      <c r="S61" s="3">
        <f>$H61*factors!M$3</f>
        <v>0.40706621439839996</v>
      </c>
      <c r="T61" s="3">
        <f>$H61*factors!N$3</f>
        <v>0.4210604017488</v>
      </c>
      <c r="U61" s="3">
        <f>$H61*factors!O$3</f>
        <v>0.39883433948640001</v>
      </c>
      <c r="V61" s="3">
        <f>$H61*factors!P$3</f>
        <v>0.41488649556480001</v>
      </c>
      <c r="W61" s="3">
        <f>$H61*factors!Q$3</f>
        <v>0.41859083927519997</v>
      </c>
      <c r="X61" s="3">
        <f>$H61*factors!R$3</f>
        <v>0.40048071446879996</v>
      </c>
      <c r="Y61" s="3">
        <f>$H61*factors!S$3</f>
        <v>0.3967763707584</v>
      </c>
      <c r="Z61" s="3">
        <f>$H61*factors!T$3</f>
        <v>0.42805749542400007</v>
      </c>
      <c r="AA61" s="3">
        <f>$H61*factors!U$3</f>
        <v>0.40418505817919997</v>
      </c>
      <c r="AB61" s="3">
        <f>$H61*factors!V$3</f>
        <v>0.40459665192480004</v>
      </c>
      <c r="AC61" s="3">
        <f>$H61*factors!W$3</f>
        <v>0.4050082456704</v>
      </c>
      <c r="AD61" s="3">
        <f>$H61*factors!X$3</f>
        <v>0.39636477701279998</v>
      </c>
      <c r="AE61" s="3">
        <f>$H61*factors!Y$3</f>
        <v>0.39965752697759999</v>
      </c>
      <c r="AF61" s="3">
        <f>$H61*factors!Z$3</f>
        <v>0.40788940188959999</v>
      </c>
      <c r="AG61" s="3">
        <f>$H61*factors!AA$3</f>
        <v>0.39759955824959997</v>
      </c>
      <c r="AH61" s="3">
        <f>$H61*factors!AB$3</f>
        <v>0.39595318326720003</v>
      </c>
      <c r="AI61" s="3">
        <f>$H61*factors!AC$3</f>
        <v>0.40871258938080002</v>
      </c>
      <c r="AJ61" s="3">
        <f>$H61*factors!AD$3</f>
        <v>0.4243531517136</v>
      </c>
      <c r="AK61" s="3">
        <f>$H61*factors!AE$3</f>
        <v>0.4083009956352</v>
      </c>
      <c r="AL61" s="3">
        <f>$H61*factors!AF$3</f>
        <v>0.39224883955679996</v>
      </c>
      <c r="AM61" s="3">
        <f>$H61*factors!AG$3</f>
        <v>0.40336187068799995</v>
      </c>
      <c r="AN61" s="3">
        <f>$H61*factors!AH$3</f>
        <v>0.3967763707584</v>
      </c>
      <c r="AO61" s="3">
        <f>$H61*factors!AI$3</f>
        <v>0.41570968305599998</v>
      </c>
      <c r="AP61" s="3">
        <f>$H61*factors!AJ$3</f>
        <v>0.3984227457408</v>
      </c>
      <c r="AQ61" s="3">
        <f>$H61*factors!AK$3</f>
        <v>0.41118215185439999</v>
      </c>
      <c r="AR61" s="3">
        <f>$H61*factors!AL$3</f>
        <v>0.40212708945120001</v>
      </c>
      <c r="AS61" s="3">
        <f>$H61*factors!AM$3</f>
        <v>0.39224883955679996</v>
      </c>
      <c r="AT61" s="3">
        <f>$H61*factors!AN$3</f>
        <v>0.40459665192480004</v>
      </c>
      <c r="AU61" s="3">
        <f>$H61*factors!AO$3</f>
        <v>0.42846908916959997</v>
      </c>
      <c r="AV61" s="3">
        <f>$H61*factors!AP$3</f>
        <v>0.4050082456704</v>
      </c>
      <c r="AW61" s="3">
        <f>$H61*factors!AQ$3</f>
        <v>0.40089230821439997</v>
      </c>
      <c r="AX61" s="3">
        <f>$H61*factors!AR$3</f>
        <v>0.42394155796799998</v>
      </c>
      <c r="AY61" s="3">
        <f>$H61*factors!AS$3</f>
        <v>0.39101405831999997</v>
      </c>
      <c r="AZ61" s="3">
        <f>$H61*factors!AT$3</f>
        <v>0.41900243302080004</v>
      </c>
      <c r="BA61" s="3">
        <f>$H61*factors!AU$3</f>
        <v>0.40994737061759995</v>
      </c>
      <c r="BB61" s="3">
        <f>$H61*factors!AV$3</f>
        <v>0.40459665192480004</v>
      </c>
      <c r="BC61" s="3">
        <f>$H61*factors!AW$3</f>
        <v>0.42805749542400007</v>
      </c>
      <c r="BD61" s="3">
        <f>$H61*factors!AX$3</f>
        <v>0.39512999577599994</v>
      </c>
      <c r="BE61" s="3">
        <f>$H61*factors!AY$3</f>
        <v>0.46454451876079994</v>
      </c>
      <c r="BF61" s="3">
        <f>$H61*factors!AZ$3</f>
        <v>0.43261551505119994</v>
      </c>
      <c r="BG61" s="3">
        <f>$H61*factors!BA$3</f>
        <v>0.43891137493759991</v>
      </c>
      <c r="BH61" s="3">
        <f>$H61*factors!BB$3</f>
        <v>0.44475753054639994</v>
      </c>
      <c r="BI61" s="3">
        <f>$H61*factors!BC$3</f>
        <v>0.46094688453999988</v>
      </c>
      <c r="BJ61" s="3">
        <f>$H61*factors!BD$3</f>
        <v>0.44026048777039994</v>
      </c>
      <c r="BK61" s="3">
        <f>$H61*factors!BE$3</f>
        <v>0.44115989632559988</v>
      </c>
      <c r="BL61" s="3">
        <f>$H61*factors!BF$3</f>
        <v>0.43621314927199989</v>
      </c>
      <c r="BM61" s="3">
        <f>$H61*factors!BG$3</f>
        <v>0.46589363159359998</v>
      </c>
      <c r="BN61" s="3">
        <f>$H61*factors!BH$3</f>
        <v>0.46004747598479989</v>
      </c>
      <c r="BO61" s="3">
        <f>$H61*factors!BI$3</f>
        <v>0.43261551505119994</v>
      </c>
      <c r="BP61" s="3">
        <f>$H61*factors!BJ$3</f>
        <v>0.4312664022183999</v>
      </c>
      <c r="BQ61" s="3">
        <f>$H61*factors!BK$3</f>
        <v>0.43846167065999991</v>
      </c>
      <c r="BR61" s="3">
        <f>$H61*factors!BL$3</f>
        <v>0.45420132037599997</v>
      </c>
      <c r="BS61" s="3">
        <f>$H61*factors!BM$3</f>
        <v>0.46139658881759993</v>
      </c>
      <c r="BT61" s="3">
        <f>$H61*factors!BN$3</f>
        <v>0.46274570165039991</v>
      </c>
      <c r="BU61" s="3">
        <f>$H61*factors!BO$3</f>
        <v>0.47039067436959997</v>
      </c>
      <c r="BV61" s="3">
        <f>$H61*factors!BP$3</f>
        <v>0.43756226210479993</v>
      </c>
      <c r="BW61" s="3">
        <f>$H61*factors!BQ$3</f>
        <v>0.44745575621199996</v>
      </c>
      <c r="BX61" s="3">
        <f>$H61*factors!BR$3</f>
        <v>0.43891137493759991</v>
      </c>
      <c r="BY61" s="3">
        <f>$H61*factors!BS$3</f>
        <v>0.45914806742959985</v>
      </c>
      <c r="BZ61" s="3">
        <f>$H61*factors!BT$3</f>
        <v>0.45060368615519991</v>
      </c>
      <c r="CA61" s="3">
        <f>$H61*factors!BU$3</f>
        <v>0.44475753054639994</v>
      </c>
      <c r="CB61" s="3">
        <f>$H61*factors!BV$3</f>
        <v>0.43036699366319991</v>
      </c>
      <c r="CC61" s="3">
        <f>$H61*factors!BW$3</f>
        <v>0.44295871343599991</v>
      </c>
      <c r="CD61" s="3">
        <f>$H61*factors!BX$3</f>
        <v>0.44430782626879994</v>
      </c>
      <c r="CE61" s="3">
        <f>$H61*factors!BY$3</f>
        <v>0.45060368615519991</v>
      </c>
      <c r="CF61" s="3">
        <f>$H61*factors!BZ$3</f>
        <v>0.44385812199119995</v>
      </c>
      <c r="CG61" s="3">
        <f>$H61*factors!CA$3</f>
        <v>0.42901788083039988</v>
      </c>
      <c r="CH61" s="3">
        <f>$H61*factors!CB$3</f>
        <v>0.42946758510799987</v>
      </c>
      <c r="CI61" s="3">
        <f>$H61*factors!CC$3</f>
        <v>0.42721906371999996</v>
      </c>
      <c r="CJ61" s="3">
        <f>$H61*factors!CD$3</f>
        <v>0.44475753054639994</v>
      </c>
      <c r="CK61" s="3">
        <f>$H61*factors!CE$3</f>
        <v>0.46454451876079994</v>
      </c>
      <c r="CL61" s="3">
        <f>$H61*factors!CF$3</f>
        <v>0.43531374071679996</v>
      </c>
      <c r="CM61" s="3">
        <f>$H61*factors!CG$3</f>
        <v>0.44565693910159992</v>
      </c>
      <c r="CN61" s="3">
        <f>$H61*factors!CH$3</f>
        <v>0.43081669794079991</v>
      </c>
      <c r="CO61" s="3">
        <f>$H61*factors!CI$3</f>
        <v>0.43396462788399992</v>
      </c>
      <c r="CP61" s="3">
        <f>$H61*factors!CJ$3</f>
        <v>0.45465102465359986</v>
      </c>
      <c r="CQ61" s="3">
        <f>$H61*factors!CK$3</f>
        <v>0.44115989632559988</v>
      </c>
      <c r="CR61" s="3">
        <f>$H61*factors!CL$3</f>
        <v>0.4551007289311999</v>
      </c>
      <c r="CS61" s="3">
        <f>$H61*factors!CM$3</f>
        <v>0.46949126581439993</v>
      </c>
      <c r="CT61" s="3">
        <f>$H61*factors!CN$3</f>
        <v>0.46409481448319995</v>
      </c>
      <c r="CU61" s="3">
        <f>$H61*factors!CO$3</f>
        <v>0.45375161609839987</v>
      </c>
      <c r="CV61" s="3">
        <f>$H61*factors!CP$3</f>
        <v>0.47218949147999989</v>
      </c>
      <c r="CW61" s="3">
        <f>$H61*factors!CQ$3</f>
        <v>0.44655634765679997</v>
      </c>
      <c r="CX61" s="3">
        <f>$H61*factors!CR$3</f>
        <v>0.43981078349279995</v>
      </c>
      <c r="CY61" s="3">
        <f>$H61*factors!CS$3</f>
        <v>0.4357634449943999</v>
      </c>
      <c r="CZ61" s="3">
        <f>$H61*factors!CT$3</f>
        <v>0.42946758510799987</v>
      </c>
      <c r="DA61" s="3">
        <f>$H61*factors!CU$3</f>
        <v>0.44589322439999995</v>
      </c>
      <c r="DB61" s="3">
        <f>$H61*factors!CV$3</f>
        <v>0.47470478659199999</v>
      </c>
      <c r="DC61" s="3">
        <f>$H61*factors!CW$3</f>
        <v>0.45458242569599994</v>
      </c>
      <c r="DD61" s="3">
        <f>$H61*factors!CX$3</f>
        <v>0.45138114100799992</v>
      </c>
      <c r="DE61" s="3">
        <f>$H61*factors!CY$3</f>
        <v>0.46464360614399997</v>
      </c>
      <c r="DF61" s="3">
        <f>$H61*factors!CZ$3</f>
        <v>0.4637289533759999</v>
      </c>
      <c r="DG61" s="3">
        <f>$H61*factors!DA$3</f>
        <v>0.46189964783999993</v>
      </c>
      <c r="DH61" s="3">
        <f>$H61*factors!DB$3</f>
        <v>0.46189964783999993</v>
      </c>
      <c r="DI61" s="3">
        <f>$H61*factors!DC$3</f>
        <v>0.44452124524799991</v>
      </c>
      <c r="DJ61" s="3">
        <f>$H61*factors!DD$3</f>
        <v>0.47104617551999994</v>
      </c>
      <c r="DK61" s="3">
        <f>$H61*factors!DE$3</f>
        <v>0.47104617551999994</v>
      </c>
      <c r="DL61" s="3">
        <f>$H61*factors!DF$3</f>
        <v>0.46555825891199998</v>
      </c>
      <c r="DM61" s="3">
        <f>$H61*factors!DG$3</f>
        <v>0.43857600225599991</v>
      </c>
      <c r="DN61" s="3">
        <f>$H61*factors!DH$3</f>
        <v>0.46007034230399996</v>
      </c>
      <c r="DO61" s="3">
        <f>$H61*factors!DI$3</f>
        <v>0.47516211297599992</v>
      </c>
      <c r="DP61" s="3">
        <f>$H61*factors!DJ$3</f>
        <v>0.47104617551999994</v>
      </c>
      <c r="DQ61" s="3">
        <f>$H61*factors!DK$3</f>
        <v>0.44909450908799992</v>
      </c>
      <c r="DR61" s="3">
        <f>$H61*factors!DL$3</f>
        <v>0.44406391886399998</v>
      </c>
      <c r="DS61" s="3">
        <f>$H61*factors!DM$3</f>
        <v>0.47973537681599993</v>
      </c>
      <c r="DT61" s="3">
        <f>$H61*factors!DN$3</f>
        <v>0.450923814624</v>
      </c>
      <c r="DU61" s="3">
        <f>$H61*factors!DO$3</f>
        <v>0.47196082828799996</v>
      </c>
      <c r="DV61" s="3">
        <f>$H61*factors!DP$3</f>
        <v>0.46098499507199997</v>
      </c>
      <c r="DW61" s="3">
        <f>$H61*factors!DQ$3</f>
        <v>0.4399479814079999</v>
      </c>
      <c r="DX61" s="3">
        <f>$H61*factors!DR$3</f>
        <v>0.4660155852959999</v>
      </c>
      <c r="DY61" s="3">
        <f>$H61*factors!DS$3</f>
        <v>0.4422346133279999</v>
      </c>
      <c r="DZ61" s="3">
        <f>$H61*factors!DT$3</f>
        <v>0.47287548105599991</v>
      </c>
      <c r="EA61" s="3">
        <f>$H61*factors!DU$3</f>
        <v>0.44543589801599992</v>
      </c>
      <c r="EB61" s="3">
        <f>$H61*factors!DV$3</f>
        <v>0.43446006479999993</v>
      </c>
      <c r="EC61" s="3">
        <f>$H61*factors!DW$3</f>
        <v>0.46738756444799995</v>
      </c>
      <c r="ED61" s="3">
        <f>$H61*factors!DX$3</f>
        <v>0.43857600225599991</v>
      </c>
      <c r="EE61" s="3">
        <f>$H61*factors!DY$3</f>
        <v>0.4422346133279999</v>
      </c>
      <c r="EF61" s="3">
        <f>$H61*factors!DZ$3</f>
        <v>0.47973537681599993</v>
      </c>
      <c r="EG61" s="3">
        <f>$H61*factors!EA$3</f>
        <v>0.44817985631999996</v>
      </c>
      <c r="EH61" s="3">
        <f>$H61*factors!EB$3</f>
        <v>0.44955183547199995</v>
      </c>
      <c r="EI61" s="3">
        <f>$H61*factors!EC$3</f>
        <v>0.44863718270399999</v>
      </c>
      <c r="EJ61" s="3">
        <f>$H61*factors!ED$3</f>
        <v>0.43720402310399997</v>
      </c>
      <c r="EK61" s="3">
        <f>$H61*factors!EE$3</f>
        <v>0.46738756444799995</v>
      </c>
      <c r="EL61" s="3">
        <f>$H61*factors!EF$3</f>
        <v>0.44452124524799991</v>
      </c>
      <c r="EM61" s="3">
        <f>$H61*factors!EG$3</f>
        <v>0.46235697422399991</v>
      </c>
      <c r="EN61" s="3">
        <f>$H61*factors!EH$3</f>
        <v>0.43446006479999993</v>
      </c>
      <c r="EO61" s="3">
        <f>$H61*factors!EI$3</f>
        <v>0.44086263417599991</v>
      </c>
      <c r="EP61" s="3">
        <f>$H61*factors!EJ$3</f>
        <v>0.46510093252799994</v>
      </c>
      <c r="EQ61" s="3">
        <f>$H61*factors!EK$3</f>
        <v>0.45229579377599993</v>
      </c>
      <c r="ER61" s="3">
        <f>$H61*factors!EL$3</f>
        <v>0.47104617551999994</v>
      </c>
      <c r="ES61" s="3">
        <f>$H61*factors!EM$3</f>
        <v>0.46510093252799994</v>
      </c>
      <c r="ET61" s="3">
        <f>$H61*factors!EN$3</f>
        <v>0.47561943935999995</v>
      </c>
      <c r="EU61" s="3">
        <f>$H61*factors!EO$3</f>
        <v>0.48019270319999996</v>
      </c>
      <c r="EV61" s="3">
        <f>$H61*factors!EP$3</f>
        <v>0.45000916185599993</v>
      </c>
      <c r="EW61" s="3">
        <f>$H61*factors!EQ$3</f>
        <v>0.49496053434999993</v>
      </c>
      <c r="EX61" s="3">
        <f>$H61*factors!ER$3</f>
        <v>0.48972033619999999</v>
      </c>
      <c r="EY61" s="3">
        <f>$H61*factors!ES$3</f>
        <v>0.49972435084999989</v>
      </c>
      <c r="EZ61" s="3">
        <f>$H61*factors!ET$3</f>
        <v>0.49496053434999993</v>
      </c>
      <c r="FA61" s="3">
        <f>$H61*factors!EU$3</f>
        <v>0.45494447574999991</v>
      </c>
      <c r="FB61" s="3">
        <f>$H61*factors!EV$3</f>
        <v>0.4754288867</v>
      </c>
      <c r="FC61" s="3">
        <f>$H61*factors!EW$3</f>
        <v>0.48876757289999995</v>
      </c>
      <c r="FD61" s="3">
        <f>$H61*factors!EX$3</f>
        <v>0.47161783349999997</v>
      </c>
      <c r="FE61" s="3">
        <f>$H61*factors!EY$3</f>
        <v>0.49686606094999997</v>
      </c>
      <c r="FF61" s="3">
        <f>$H61*factors!EZ$3</f>
        <v>0.49734244260000005</v>
      </c>
      <c r="FG61" s="3">
        <f>$H61*factors!FA$3</f>
        <v>0.45494447574999991</v>
      </c>
      <c r="FH61" s="3">
        <f>$H61*factors!FB$3</f>
        <v>0.47876355824999989</v>
      </c>
      <c r="FI61" s="3">
        <f>$H61*factors!FC$3</f>
        <v>0.4987715875499999</v>
      </c>
      <c r="FJ61" s="3">
        <f>$H61*factors!FD$3</f>
        <v>0.47876355824999989</v>
      </c>
      <c r="FK61" s="3">
        <f>$H61*factors!FE$3</f>
        <v>0.48686204630000002</v>
      </c>
      <c r="FL61" s="3">
        <f>$H61*factors!FF$3</f>
        <v>0.48829119124999998</v>
      </c>
      <c r="FM61" s="3">
        <f>$H61*factors!FG$3</f>
        <v>0.49353138939999991</v>
      </c>
      <c r="FN61" s="3">
        <f>$H61*factors!FH$3</f>
        <v>0.46161381884999991</v>
      </c>
      <c r="FO61" s="3">
        <f>$H61*factors!FI$3</f>
        <v>0.49019671784999991</v>
      </c>
      <c r="FP61" s="3">
        <f>$H61*factors!FJ$3</f>
        <v>0.47638164999999999</v>
      </c>
      <c r="FQ61" s="3">
        <f>$H61*factors!FK$3</f>
        <v>0.47161783349999997</v>
      </c>
      <c r="FR61" s="3">
        <f>$H61*factors!FL$3</f>
        <v>0.48114546649999995</v>
      </c>
      <c r="FS61" s="3">
        <f>$H61*factors!FM$3</f>
        <v>0.47828717659999992</v>
      </c>
      <c r="FT61" s="3">
        <f>$H61*factors!FN$3</f>
        <v>0.48876757289999995</v>
      </c>
      <c r="FU61" s="3">
        <f>$H61*factors!FO$3</f>
        <v>0.46971230689999993</v>
      </c>
      <c r="FV61" s="3">
        <f>$H61*factors!FP$3</f>
        <v>0.46590125369999991</v>
      </c>
      <c r="FW61" s="3">
        <f>$H61*factors!FQ$3</f>
        <v>0.4987715875499999</v>
      </c>
      <c r="FX61" s="3">
        <f>$H61*factors!FR$3</f>
        <v>0.48972033619999999</v>
      </c>
      <c r="FY61" s="3">
        <f>$H61*factors!FS$3</f>
        <v>0.47971632154999988</v>
      </c>
      <c r="FZ61" s="3">
        <f>$H61*factors!FT$3</f>
        <v>0.45589723904999996</v>
      </c>
      <c r="GA61" s="3">
        <f>$H61*factors!FU$3</f>
        <v>0.47971632154999988</v>
      </c>
      <c r="GB61" s="3">
        <f>$H61*factors!FV$3</f>
        <v>0.49734244260000005</v>
      </c>
      <c r="GC61" s="3">
        <f>$H61*factors!FW$3</f>
        <v>0.46590125369999991</v>
      </c>
      <c r="GD61" s="3">
        <f>$H61*factors!FX$3</f>
        <v>0.47399974174999993</v>
      </c>
      <c r="GE61" s="3">
        <f>$H61*factors!FY$3</f>
        <v>0.47399974174999993</v>
      </c>
      <c r="GF61" s="3">
        <f>$H61*factors!FZ$3</f>
        <v>0.47257059679999996</v>
      </c>
      <c r="GG61" s="3">
        <f>$H61*factors!GA$3</f>
        <v>0.45399171244999992</v>
      </c>
      <c r="GH61" s="3">
        <f>$H61*factors!GB$3</f>
        <v>0.48305099309999999</v>
      </c>
      <c r="GI61" s="3">
        <f>$H61*factors!GC$3</f>
        <v>0.45303894914999998</v>
      </c>
      <c r="GJ61" s="3">
        <f>$H61*factors!GD$3</f>
        <v>0.45399171244999992</v>
      </c>
      <c r="GK61" s="3">
        <f>$H61*factors!GE$3</f>
        <v>0.46542487204999994</v>
      </c>
      <c r="GL61" s="3">
        <f>$H61*factors!GF$3</f>
        <v>0.49305500774999994</v>
      </c>
      <c r="GM61" s="3">
        <f>$H61*factors!GG$3</f>
        <v>0.46733039864999998</v>
      </c>
      <c r="GN61" s="3">
        <f>$H61*factors!GH$3</f>
        <v>0.4820982298</v>
      </c>
      <c r="GO61" s="3">
        <f>$H61*factors!GI$3</f>
        <v>0.45542085739999988</v>
      </c>
      <c r="GP61" s="3">
        <f>$H61*factors!GJ$3</f>
        <v>0.48829119124999998</v>
      </c>
      <c r="GQ61" s="3">
        <f>$H61*factors!GK$3</f>
        <v>0.49829520589999998</v>
      </c>
      <c r="GR61" s="3">
        <f>$H61*factors!GL$3</f>
        <v>0.48876757289999995</v>
      </c>
      <c r="GS61" s="3">
        <f>$H61*factors!GM$3</f>
        <v>0.46222358736199998</v>
      </c>
      <c r="GT61" s="3">
        <f>$H61*factors!GN$3</f>
        <v>0.4728716700028</v>
      </c>
      <c r="GU61" s="3">
        <f>$H61*factors!GO$3</f>
        <v>0.48400375639999998</v>
      </c>
      <c r="GV61" s="3">
        <f>$H61*factors!GP$3</f>
        <v>0.46464360614399997</v>
      </c>
      <c r="GW61" s="3">
        <f>$H61*factors!GQ$3</f>
        <v>0.48109973386159999</v>
      </c>
      <c r="GX61" s="3">
        <f>$H61*factors!GR$3</f>
        <v>0.47335567375919996</v>
      </c>
      <c r="GY61" s="3">
        <f>$H61*factors!GS$3</f>
        <v>0.47093565497719997</v>
      </c>
      <c r="GZ61" s="3">
        <f>$H61*factors!GT$3</f>
        <v>0.4883597902075999</v>
      </c>
      <c r="HA61" s="3">
        <f>$H61*factors!GU$3</f>
        <v>0.47238766624639994</v>
      </c>
      <c r="HB61" s="3">
        <f>$H61*factors!GV$3</f>
        <v>0.4883597902075999</v>
      </c>
      <c r="HC61" s="3">
        <f>$H61*factors!GW$3</f>
        <v>0.4762596962975999</v>
      </c>
      <c r="HD61" s="3">
        <f>$H61*factors!GX$3</f>
        <v>0.49029580523319988</v>
      </c>
      <c r="HE61" s="3">
        <f>$H61*factors!GY$3</f>
        <v>0.48400375639999998</v>
      </c>
      <c r="HF61" s="3">
        <f>$H61*factors!GZ$3</f>
        <v>0.49900787284839992</v>
      </c>
      <c r="HG61" s="3">
        <f>$H61*factors!HA$3</f>
        <v>0.47964772259239996</v>
      </c>
      <c r="HH61" s="3">
        <f>$H61*factors!HB$3</f>
        <v>0.47335567375919996</v>
      </c>
      <c r="HI61" s="3">
        <f>$H61*factors!HC$3</f>
        <v>0.46754762868239996</v>
      </c>
      <c r="HJ61" s="3">
        <f>$H61*factors!HD$3</f>
        <v>0.46222358736199998</v>
      </c>
      <c r="HK61" s="3">
        <f>$H61*factors!HE$3</f>
        <v>0.48884379396399996</v>
      </c>
      <c r="HL61" s="3">
        <f>$H61*factors!HF$3</f>
        <v>0.46077157609279989</v>
      </c>
      <c r="HM61" s="3">
        <f>$H61*factors!HG$3</f>
        <v>0.46561161365679998</v>
      </c>
      <c r="HN61" s="3">
        <f>$H61*factors!HH$3</f>
        <v>0.49658785406639999</v>
      </c>
      <c r="HO61" s="3">
        <f>$H61*factors!HI$3</f>
        <v>0.4762596962975999</v>
      </c>
      <c r="HP61" s="3">
        <f>$H61*factors!HJ$3</f>
        <v>0.50820394422000004</v>
      </c>
      <c r="HQ61" s="3">
        <f>$H61*factors!HK$3</f>
        <v>0.46464360614399997</v>
      </c>
      <c r="HR61" s="3">
        <f>$H61*factors!HL$3</f>
        <v>0.49271582401520003</v>
      </c>
      <c r="HS61" s="3">
        <f>$H61*factors!HM$3</f>
        <v>0.50142789163039991</v>
      </c>
      <c r="HT61" s="3">
        <f>$H61*factors!HN$3</f>
        <v>0.46754762868239996</v>
      </c>
      <c r="HU61" s="3">
        <f>$H61*factors!HO$3</f>
        <v>0.47238766624639994</v>
      </c>
      <c r="HV61" s="3">
        <f>$H61*factors!HP$3</f>
        <v>0.47819571132319999</v>
      </c>
      <c r="HW61" s="3">
        <f>$H61*factors!HQ$3</f>
        <v>0.48497176391279995</v>
      </c>
      <c r="HX61" s="3">
        <f>$H61*factors!HR$3</f>
        <v>0.50481591792519986</v>
      </c>
      <c r="HY61" s="3">
        <f>$H61*factors!HS$3</f>
        <v>0.47964772259239996</v>
      </c>
      <c r="HZ61" s="3">
        <f>$H61*factors!HT$3</f>
        <v>0.49803986533559996</v>
      </c>
      <c r="IA61" s="3">
        <f>$H61*factors!HU$3</f>
        <v>0.47383967751559997</v>
      </c>
      <c r="IB61" s="3">
        <f>$H61*factors!HV$3</f>
        <v>0.49029580523319988</v>
      </c>
      <c r="IC61" s="3">
        <f>$H61*factors!HW$3</f>
        <v>0.49513584279719997</v>
      </c>
      <c r="ID61" s="3">
        <f>$H61*factors!HX$3</f>
        <v>0.45980356857999993</v>
      </c>
      <c r="IE61" s="3">
        <f>$H61*factors!HY$3</f>
        <v>0.4883597902075999</v>
      </c>
      <c r="IF61" s="3">
        <f>$H61*factors!HZ$3</f>
        <v>0.4854557676691999</v>
      </c>
      <c r="IG61" s="3">
        <f>$H61*factors!IA$3</f>
        <v>0.48109973386159999</v>
      </c>
      <c r="IH61" s="3">
        <f>$H61*factors!IB$3</f>
        <v>0.49900787284839992</v>
      </c>
      <c r="II61" s="3">
        <f>$H61*factors!IC$3</f>
        <v>0.47771170756679998</v>
      </c>
      <c r="IJ61" s="3">
        <f>$H61*factors!ID$3</f>
        <v>0.48206774137440001</v>
      </c>
      <c r="IK61" s="3">
        <f>$H61*factors!IE$3</f>
        <v>0.49949187660479999</v>
      </c>
      <c r="IL61" s="3">
        <f>$H61*factors!IF$3</f>
        <v>0.47819571132319999</v>
      </c>
      <c r="IM61" s="3">
        <f>$H61*factors!IG$3</f>
        <v>0.47383967751559997</v>
      </c>
      <c r="IN61" s="3">
        <f>$H61*factors!IH$3</f>
        <v>0.47674370005399996</v>
      </c>
      <c r="IO61" s="3">
        <f>$H61*factors!II$3</f>
        <v>0.48158373761799994</v>
      </c>
      <c r="IP61" s="3">
        <f>$H61*factors!IJ$3</f>
        <v>0.46561161365679998</v>
      </c>
      <c r="IQ61" s="3">
        <f>$H61*factors!IK$3</f>
        <v>0.46415960238759996</v>
      </c>
      <c r="IR61" s="3">
        <f>$H61*factors!IL$3</f>
        <v>0.47771170756679998</v>
      </c>
      <c r="IS61" s="3">
        <f>$H61*factors!IM$3</f>
        <v>0.48158373761799994</v>
      </c>
      <c r="IT61" s="3">
        <f>$H61*factors!IN$3</f>
        <v>0.48497176391279995</v>
      </c>
      <c r="IU61" s="3">
        <f>$H61*factors!IO$3</f>
        <v>0.49561984655359997</v>
      </c>
      <c r="IV61" s="3">
        <f>$H61*factors!IP$3</f>
        <v>0.50191189538679992</v>
      </c>
      <c r="IW61" s="3">
        <f>$H61*factors!IQ$3</f>
        <v>0.47432368127199992</v>
      </c>
      <c r="IX61" s="3">
        <f>$H61*factors!IR$3</f>
        <v>0.49561984655359997</v>
      </c>
      <c r="IY61" s="3">
        <f>$H61*factors!IS$3</f>
        <v>0.4883597902075999</v>
      </c>
      <c r="IZ61" s="3">
        <f>$H61*factors!IT$3</f>
        <v>0.49658785406639999</v>
      </c>
      <c r="JA61" s="3">
        <f>$H61*factors!IU$3</f>
        <v>0.46899963995159993</v>
      </c>
      <c r="JB61" s="3">
        <f>$H61*factors!IV$3</f>
        <v>0.47771170756679998</v>
      </c>
      <c r="JC61" s="3">
        <f>$H61*factors!IW$3</f>
        <v>0.4665796211696</v>
      </c>
      <c r="JD61" s="3">
        <f>$H61*factors!IX$3</f>
        <v>0.50820394422000004</v>
      </c>
      <c r="JE61" s="3">
        <f>$H61*factors!IY$3</f>
        <v>0.46803163243879992</v>
      </c>
      <c r="JF61" s="3">
        <f>$H61*factors!IZ$3</f>
        <v>0.49126381274599989</v>
      </c>
      <c r="JG61" s="3">
        <f>$H61*factors!JA$3</f>
        <v>0.48255174513079996</v>
      </c>
      <c r="JH61" s="3">
        <f>$H61*factors!JB$3</f>
        <v>0.49174781650240001</v>
      </c>
      <c r="JI61" s="3">
        <f>$H61*factors!JC$3</f>
        <v>0.46028757233639994</v>
      </c>
      <c r="JJ61" s="3">
        <f>$H61*factors!JD$3</f>
        <v>0.49561984655359997</v>
      </c>
      <c r="JK61" s="3">
        <f>$H61*factors!JE$3</f>
        <v>0.47964772259239996</v>
      </c>
      <c r="JL61" s="3">
        <f>$H61*factors!JF$3</f>
        <v>0.49900787284839992</v>
      </c>
      <c r="JM61" s="3">
        <f>$H61*factors!JG$3</f>
        <v>0.46561161365679998</v>
      </c>
      <c r="JN61" s="3">
        <f>$H61*factors!JH$3</f>
        <v>0.46561161365679998</v>
      </c>
      <c r="JO61" s="3">
        <f>$H61*factors!JI$3</f>
        <v>0.45980356857999993</v>
      </c>
      <c r="JP61" s="3">
        <f>$H61*factors!JJ$3</f>
        <v>0.49707185782279995</v>
      </c>
      <c r="JQ61" s="3">
        <f>$H61*factors!JK$3</f>
        <v>0.48448776015639994</v>
      </c>
      <c r="JR61" s="3">
        <f>$H61*factors!JL$3</f>
        <v>0.50336390665599995</v>
      </c>
      <c r="JS61" s="3">
        <f>$H61*factors!JM$3</f>
        <v>0.45980356857999993</v>
      </c>
      <c r="JT61" s="3">
        <f>$H61*factors!JN$3</f>
        <v>0.48303574888719997</v>
      </c>
      <c r="JU61" s="3">
        <f>$H61*factors!JO$3</f>
        <v>0.46706362492599995</v>
      </c>
      <c r="JV61" s="3">
        <f>$H61*factors!JP$3</f>
        <v>0.47480768502839998</v>
      </c>
      <c r="JW61" s="3">
        <f>$H61*factors!JQ$3</f>
        <v>0.50723593670720002</v>
      </c>
      <c r="JX61" s="3">
        <f>$H61*factors!JR$3</f>
        <v>0.50239589914319993</v>
      </c>
      <c r="JY61" s="3">
        <f>$H61*factors!JS$3</f>
        <v>0.4728716700028</v>
      </c>
      <c r="JZ61" s="3">
        <f>$H61*factors!JT$3</f>
        <v>0.47819571132319999</v>
      </c>
      <c r="KA61" s="3">
        <f>$H61*factors!JU$3</f>
        <v>0.48013172634879997</v>
      </c>
      <c r="KB61" s="3">
        <f>$H61*factors!JV$3</f>
        <v>0.46415960238759996</v>
      </c>
      <c r="KC61" s="3">
        <f>$H61*factors!JW$3</f>
        <v>0.4665796211696</v>
      </c>
      <c r="KD61" s="3">
        <f>$H61*factors!JX$3</f>
        <v>0.46706362492599995</v>
      </c>
      <c r="KE61" s="3">
        <f>$H61*factors!JY$3</f>
        <v>0.49707185782279995</v>
      </c>
      <c r="KF61" s="3">
        <f>$H61*factors!JZ$3</f>
        <v>0.50287990289959994</v>
      </c>
      <c r="KG61" s="3">
        <f>$H61*factors!KA$3</f>
        <v>0.48497176391279995</v>
      </c>
      <c r="KH61" s="3">
        <f>$H61*factors!KB$3</f>
        <v>0.47432368127199992</v>
      </c>
      <c r="KI61" s="3">
        <f>$H61*factors!KC$3</f>
        <v>0.4699676474643999</v>
      </c>
    </row>
    <row r="62" spans="1:295" x14ac:dyDescent="0.55000000000000004">
      <c r="A62" t="s">
        <v>438</v>
      </c>
      <c r="B62">
        <v>61</v>
      </c>
      <c r="C62">
        <v>230</v>
      </c>
      <c r="D62" t="s">
        <v>377</v>
      </c>
      <c r="E62">
        <v>2.1940000000000002E-3</v>
      </c>
      <c r="F62">
        <v>61</v>
      </c>
      <c r="G62">
        <f>VLOOKUP(D62,demand_forecasted!$A$2:$G$11,2)</f>
        <v>11098</v>
      </c>
      <c r="H62" s="3">
        <f t="shared" si="1"/>
        <v>0.24349012000000003</v>
      </c>
      <c r="I62" s="3">
        <f>$H62*factors!C$3</f>
        <v>0.26954356284000003</v>
      </c>
      <c r="J62" s="3">
        <f>$H62*factors!D$3</f>
        <v>0.25981369764480006</v>
      </c>
      <c r="K62" s="3">
        <f>$H62*factors!E$3</f>
        <v>0.25534321904160007</v>
      </c>
      <c r="L62" s="3">
        <f>$H62*factors!F$3</f>
        <v>0.25455431105280008</v>
      </c>
      <c r="M62" s="3">
        <f>$H62*factors!G$3</f>
        <v>0.2542913417232</v>
      </c>
      <c r="N62" s="3">
        <f>$H62*factors!H$3</f>
        <v>0.26165448295200006</v>
      </c>
      <c r="O62" s="3">
        <f>$H62*factors!I$3</f>
        <v>0.26743980820320001</v>
      </c>
      <c r="P62" s="3">
        <f>$H62*factors!J$3</f>
        <v>0.27059544015840004</v>
      </c>
      <c r="Q62" s="3">
        <f>$H62*factors!K$3</f>
        <v>0.25402837239360004</v>
      </c>
      <c r="R62" s="3">
        <f>$H62*factors!L$3</f>
        <v>0.24982086312000004</v>
      </c>
      <c r="S62" s="3">
        <f>$H62*factors!M$3</f>
        <v>0.26007666697440002</v>
      </c>
      <c r="T62" s="3">
        <f>$H62*factors!N$3</f>
        <v>0.26901762418080005</v>
      </c>
      <c r="U62" s="3">
        <f>$H62*factors!O$3</f>
        <v>0.25481728038240004</v>
      </c>
      <c r="V62" s="3">
        <f>$H62*factors!P$3</f>
        <v>0.26507308423680004</v>
      </c>
      <c r="W62" s="3">
        <f>$H62*factors!Q$3</f>
        <v>0.26743980820320001</v>
      </c>
      <c r="X62" s="3">
        <f>$H62*factors!R$3</f>
        <v>0.25586915770080004</v>
      </c>
      <c r="Y62" s="3">
        <f>$H62*factors!S$3</f>
        <v>0.25350243373440007</v>
      </c>
      <c r="Z62" s="3">
        <f>$H62*factors!T$3</f>
        <v>0.2734881027840001</v>
      </c>
      <c r="AA62" s="3">
        <f>$H62*factors!U$3</f>
        <v>0.25823588166720002</v>
      </c>
      <c r="AB62" s="3">
        <f>$H62*factors!V$3</f>
        <v>0.25849885099680009</v>
      </c>
      <c r="AC62" s="3">
        <f>$H62*factors!W$3</f>
        <v>0.25876182032640005</v>
      </c>
      <c r="AD62" s="3">
        <f>$H62*factors!X$3</f>
        <v>0.25323946440480005</v>
      </c>
      <c r="AE62" s="3">
        <f>$H62*factors!Y$3</f>
        <v>0.25534321904160007</v>
      </c>
      <c r="AF62" s="3">
        <f>$H62*factors!Z$3</f>
        <v>0.26060260563360005</v>
      </c>
      <c r="AG62" s="3">
        <f>$H62*factors!AA$3</f>
        <v>0.25402837239360004</v>
      </c>
      <c r="AH62" s="3">
        <f>$H62*factors!AB$3</f>
        <v>0.25297649507520004</v>
      </c>
      <c r="AI62" s="3">
        <f>$H62*factors!AC$3</f>
        <v>0.26112854429280002</v>
      </c>
      <c r="AJ62" s="3">
        <f>$H62*factors!AD$3</f>
        <v>0.27112137881760007</v>
      </c>
      <c r="AK62" s="3">
        <f>$H62*factors!AE$3</f>
        <v>0.26086557496320006</v>
      </c>
      <c r="AL62" s="3">
        <f>$H62*factors!AF$3</f>
        <v>0.25060977110880001</v>
      </c>
      <c r="AM62" s="3">
        <f>$H62*factors!AG$3</f>
        <v>0.25770994300800004</v>
      </c>
      <c r="AN62" s="3">
        <f>$H62*factors!AH$3</f>
        <v>0.25350243373440007</v>
      </c>
      <c r="AO62" s="3">
        <f>$H62*factors!AI$3</f>
        <v>0.26559902289600001</v>
      </c>
      <c r="AP62" s="3">
        <f>$H62*factors!AJ$3</f>
        <v>0.25455431105280008</v>
      </c>
      <c r="AQ62" s="3">
        <f>$H62*factors!AK$3</f>
        <v>0.26270636027040006</v>
      </c>
      <c r="AR62" s="3">
        <f>$H62*factors!AL$3</f>
        <v>0.25692103501920005</v>
      </c>
      <c r="AS62" s="3">
        <f>$H62*factors!AM$3</f>
        <v>0.25060977110880001</v>
      </c>
      <c r="AT62" s="3">
        <f>$H62*factors!AN$3</f>
        <v>0.25849885099680009</v>
      </c>
      <c r="AU62" s="3">
        <f>$H62*factors!AO$3</f>
        <v>0.2737510721136</v>
      </c>
      <c r="AV62" s="3">
        <f>$H62*factors!AP$3</f>
        <v>0.25876182032640005</v>
      </c>
      <c r="AW62" s="3">
        <f>$H62*factors!AQ$3</f>
        <v>0.2561321270304</v>
      </c>
      <c r="AX62" s="3">
        <f>$H62*factors!AR$3</f>
        <v>0.27085840948800005</v>
      </c>
      <c r="AY62" s="3">
        <f>$H62*factors!AS$3</f>
        <v>0.24982086312000004</v>
      </c>
      <c r="AZ62" s="3">
        <f>$H62*factors!AT$3</f>
        <v>0.26770277753280008</v>
      </c>
      <c r="BA62" s="3">
        <f>$H62*factors!AU$3</f>
        <v>0.26191745228160002</v>
      </c>
      <c r="BB62" s="3">
        <f>$H62*factors!AV$3</f>
        <v>0.25849885099680009</v>
      </c>
      <c r="BC62" s="3">
        <f>$H62*factors!AW$3</f>
        <v>0.2734881027840001</v>
      </c>
      <c r="BD62" s="3">
        <f>$H62*factors!AX$3</f>
        <v>0.252450556416</v>
      </c>
      <c r="BE62" s="3">
        <f>$H62*factors!AY$3</f>
        <v>0.29679984687280003</v>
      </c>
      <c r="BF62" s="3">
        <f>$H62*factors!AZ$3</f>
        <v>0.27640024461920004</v>
      </c>
      <c r="BG62" s="3">
        <f>$H62*factors!BA$3</f>
        <v>0.28042270140159997</v>
      </c>
      <c r="BH62" s="3">
        <f>$H62*factors!BB$3</f>
        <v>0.28415783984240001</v>
      </c>
      <c r="BI62" s="3">
        <f>$H62*factors!BC$3</f>
        <v>0.29450130013999998</v>
      </c>
      <c r="BJ62" s="3">
        <f>$H62*factors!BD$3</f>
        <v>0.28128465642639999</v>
      </c>
      <c r="BK62" s="3">
        <f>$H62*factors!BE$3</f>
        <v>0.28185929310960001</v>
      </c>
      <c r="BL62" s="3">
        <f>$H62*factors!BF$3</f>
        <v>0.27869879135199999</v>
      </c>
      <c r="BM62" s="3">
        <f>$H62*factors!BG$3</f>
        <v>0.29766180189760005</v>
      </c>
      <c r="BN62" s="3">
        <f>$H62*factors!BH$3</f>
        <v>0.29392666345680002</v>
      </c>
      <c r="BO62" s="3">
        <f>$H62*factors!BI$3</f>
        <v>0.27640024461920004</v>
      </c>
      <c r="BP62" s="3">
        <f>$H62*factors!BJ$3</f>
        <v>0.27553828959440002</v>
      </c>
      <c r="BQ62" s="3">
        <f>$H62*factors!BK$3</f>
        <v>0.28013538306000002</v>
      </c>
      <c r="BR62" s="3">
        <f>$H62*factors!BL$3</f>
        <v>0.29019152501600004</v>
      </c>
      <c r="BS62" s="3">
        <f>$H62*factors!BM$3</f>
        <v>0.29478861848160004</v>
      </c>
      <c r="BT62" s="3">
        <f>$H62*factors!BN$3</f>
        <v>0.29565057350640001</v>
      </c>
      <c r="BU62" s="3">
        <f>$H62*factors!BO$3</f>
        <v>0.30053498531360007</v>
      </c>
      <c r="BV62" s="3">
        <f>$H62*factors!BP$3</f>
        <v>0.27956074637680001</v>
      </c>
      <c r="BW62" s="3">
        <f>$H62*factors!BQ$3</f>
        <v>0.28588174989199999</v>
      </c>
      <c r="BX62" s="3">
        <f>$H62*factors!BR$3</f>
        <v>0.28042270140159997</v>
      </c>
      <c r="BY62" s="3">
        <f>$H62*factors!BS$3</f>
        <v>0.29335202677359995</v>
      </c>
      <c r="BZ62" s="3">
        <f>$H62*factors!BT$3</f>
        <v>0.28789297828319999</v>
      </c>
      <c r="CA62" s="3">
        <f>$H62*factors!BU$3</f>
        <v>0.28415783984240001</v>
      </c>
      <c r="CB62" s="3">
        <f>$H62*factors!BV$3</f>
        <v>0.27496365291120001</v>
      </c>
      <c r="CC62" s="3">
        <f>$H62*factors!BW$3</f>
        <v>0.28300856647600003</v>
      </c>
      <c r="CD62" s="3">
        <f>$H62*factors!BX$3</f>
        <v>0.28387052150080005</v>
      </c>
      <c r="CE62" s="3">
        <f>$H62*factors!BY$3</f>
        <v>0.28789297828319999</v>
      </c>
      <c r="CF62" s="3">
        <f>$H62*factors!BZ$3</f>
        <v>0.28358320315920005</v>
      </c>
      <c r="CG62" s="3">
        <f>$H62*factors!CA$3</f>
        <v>0.27410169788639999</v>
      </c>
      <c r="CH62" s="3">
        <f>$H62*factors!CB$3</f>
        <v>0.27438901622799999</v>
      </c>
      <c r="CI62" s="3">
        <f>$H62*factors!CC$3</f>
        <v>0.27295242452000001</v>
      </c>
      <c r="CJ62" s="3">
        <f>$H62*factors!CD$3</f>
        <v>0.28415783984240001</v>
      </c>
      <c r="CK62" s="3">
        <f>$H62*factors!CE$3</f>
        <v>0.29679984687280003</v>
      </c>
      <c r="CL62" s="3">
        <f>$H62*factors!CF$3</f>
        <v>0.27812415466880003</v>
      </c>
      <c r="CM62" s="3">
        <f>$H62*factors!CG$3</f>
        <v>0.28473247652560002</v>
      </c>
      <c r="CN62" s="3">
        <f>$H62*factors!CH$3</f>
        <v>0.27525097125280001</v>
      </c>
      <c r="CO62" s="3">
        <f>$H62*factors!CI$3</f>
        <v>0.27726219964400001</v>
      </c>
      <c r="CP62" s="3">
        <f>$H62*factors!CJ$3</f>
        <v>0.29047884335759999</v>
      </c>
      <c r="CQ62" s="3">
        <f>$H62*factors!CK$3</f>
        <v>0.28185929310960001</v>
      </c>
      <c r="CR62" s="3">
        <f>$H62*factors!CL$3</f>
        <v>0.2907661616992</v>
      </c>
      <c r="CS62" s="3">
        <f>$H62*factors!CM$3</f>
        <v>0.2999603486304</v>
      </c>
      <c r="CT62" s="3">
        <f>$H62*factors!CN$3</f>
        <v>0.29651252853120003</v>
      </c>
      <c r="CU62" s="3">
        <f>$H62*factors!CO$3</f>
        <v>0.28990420667439998</v>
      </c>
      <c r="CV62" s="3">
        <f>$H62*factors!CP$3</f>
        <v>0.30168425867999998</v>
      </c>
      <c r="CW62" s="3">
        <f>$H62*factors!CQ$3</f>
        <v>0.28530711320880003</v>
      </c>
      <c r="CX62" s="3">
        <f>$H62*factors!CR$3</f>
        <v>0.28099733808480004</v>
      </c>
      <c r="CY62" s="3">
        <f>$H62*factors!CS$3</f>
        <v>0.27841147301040003</v>
      </c>
      <c r="CZ62" s="3">
        <f>$H62*factors!CT$3</f>
        <v>0.27438901622799999</v>
      </c>
      <c r="DA62" s="3">
        <f>$H62*factors!CU$3</f>
        <v>0.28488344040000002</v>
      </c>
      <c r="DB62" s="3">
        <f>$H62*factors!CV$3</f>
        <v>0.30329129347200007</v>
      </c>
      <c r="DC62" s="3">
        <f>$H62*factors!CW$3</f>
        <v>0.29043501513600001</v>
      </c>
      <c r="DD62" s="3">
        <f>$H62*factors!CX$3</f>
        <v>0.28838969812800003</v>
      </c>
      <c r="DE62" s="3">
        <f>$H62*factors!CY$3</f>
        <v>0.29686315430400007</v>
      </c>
      <c r="DF62" s="3">
        <f>$H62*factors!CZ$3</f>
        <v>0.296278778016</v>
      </c>
      <c r="DG62" s="3">
        <f>$H62*factors!DA$3</f>
        <v>0.29511002544000003</v>
      </c>
      <c r="DH62" s="3">
        <f>$H62*factors!DB$3</f>
        <v>0.29511002544000003</v>
      </c>
      <c r="DI62" s="3">
        <f>$H62*factors!DC$3</f>
        <v>0.28400687596800001</v>
      </c>
      <c r="DJ62" s="3">
        <f>$H62*factors!DD$3</f>
        <v>0.30095378832000003</v>
      </c>
      <c r="DK62" s="3">
        <f>$H62*factors!DE$3</f>
        <v>0.30095378832000003</v>
      </c>
      <c r="DL62" s="3">
        <f>$H62*factors!DF$3</f>
        <v>0.29744753059200002</v>
      </c>
      <c r="DM62" s="3">
        <f>$H62*factors!DG$3</f>
        <v>0.28020843009599999</v>
      </c>
      <c r="DN62" s="3">
        <f>$H62*factors!DH$3</f>
        <v>0.29394127286400007</v>
      </c>
      <c r="DO62" s="3">
        <f>$H62*factors!DI$3</f>
        <v>0.30358348161600002</v>
      </c>
      <c r="DP62" s="3">
        <f>$H62*factors!DJ$3</f>
        <v>0.30095378832000003</v>
      </c>
      <c r="DQ62" s="3">
        <f>$H62*factors!DK$3</f>
        <v>0.286928757408</v>
      </c>
      <c r="DR62" s="3">
        <f>$H62*factors!DL$3</f>
        <v>0.28371468782400006</v>
      </c>
      <c r="DS62" s="3">
        <f>$H62*factors!DM$3</f>
        <v>0.30650536305600001</v>
      </c>
      <c r="DT62" s="3">
        <f>$H62*factors!DN$3</f>
        <v>0.28809750998400002</v>
      </c>
      <c r="DU62" s="3">
        <f>$H62*factors!DO$3</f>
        <v>0.30153816460800004</v>
      </c>
      <c r="DV62" s="3">
        <f>$H62*factors!DP$3</f>
        <v>0.29452564915200002</v>
      </c>
      <c r="DW62" s="3">
        <f>$H62*factors!DQ$3</f>
        <v>0.28108499452800001</v>
      </c>
      <c r="DX62" s="3">
        <f>$H62*factors!DR$3</f>
        <v>0.29773971873600003</v>
      </c>
      <c r="DY62" s="3">
        <f>$H62*factors!DS$3</f>
        <v>0.28254593524799998</v>
      </c>
      <c r="DZ62" s="3">
        <f>$H62*factors!DT$3</f>
        <v>0.30212254089599999</v>
      </c>
      <c r="EA62" s="3">
        <f>$H62*factors!DU$3</f>
        <v>0.28459125225600002</v>
      </c>
      <c r="EB62" s="3">
        <f>$H62*factors!DV$3</f>
        <v>0.2775787368</v>
      </c>
      <c r="EC62" s="3">
        <f>$H62*factors!DW$3</f>
        <v>0.29861628316800004</v>
      </c>
      <c r="ED62" s="3">
        <f>$H62*factors!DX$3</f>
        <v>0.28020843009599999</v>
      </c>
      <c r="EE62" s="3">
        <f>$H62*factors!DY$3</f>
        <v>0.28254593524799998</v>
      </c>
      <c r="EF62" s="3">
        <f>$H62*factors!DZ$3</f>
        <v>0.30650536305600001</v>
      </c>
      <c r="EG62" s="3">
        <f>$H62*factors!EA$3</f>
        <v>0.28634438112000005</v>
      </c>
      <c r="EH62" s="3">
        <f>$H62*factors!EB$3</f>
        <v>0.28722094555200001</v>
      </c>
      <c r="EI62" s="3">
        <f>$H62*factors!EC$3</f>
        <v>0.28663656926400005</v>
      </c>
      <c r="EJ62" s="3">
        <f>$H62*factors!ED$3</f>
        <v>0.27933186566400003</v>
      </c>
      <c r="EK62" s="3">
        <f>$H62*factors!EE$3</f>
        <v>0.29861628316800004</v>
      </c>
      <c r="EL62" s="3">
        <f>$H62*factors!EF$3</f>
        <v>0.28400687596800001</v>
      </c>
      <c r="EM62" s="3">
        <f>$H62*factors!EG$3</f>
        <v>0.29540221358399998</v>
      </c>
      <c r="EN62" s="3">
        <f>$H62*factors!EH$3</f>
        <v>0.2775787368</v>
      </c>
      <c r="EO62" s="3">
        <f>$H62*factors!EI$3</f>
        <v>0.28166937081600002</v>
      </c>
      <c r="EP62" s="3">
        <f>$H62*factors!EJ$3</f>
        <v>0.29715534244800001</v>
      </c>
      <c r="EQ62" s="3">
        <f>$H62*factors!EK$3</f>
        <v>0.28897407441599998</v>
      </c>
      <c r="ER62" s="3">
        <f>$H62*factors!EL$3</f>
        <v>0.30095378832000003</v>
      </c>
      <c r="ES62" s="3">
        <f>$H62*factors!EM$3</f>
        <v>0.29715534244800001</v>
      </c>
      <c r="ET62" s="3">
        <f>$H62*factors!EN$3</f>
        <v>0.30387566976000002</v>
      </c>
      <c r="EU62" s="3">
        <f>$H62*factors!EO$3</f>
        <v>0.30679755120000002</v>
      </c>
      <c r="EV62" s="3">
        <f>$H62*factors!EP$3</f>
        <v>0.28751313369600001</v>
      </c>
      <c r="EW62" s="3">
        <f>$H62*factors!EQ$3</f>
        <v>0.31623279334999999</v>
      </c>
      <c r="EX62" s="3">
        <f>$H62*factors!ER$3</f>
        <v>0.31288480420000009</v>
      </c>
      <c r="EY62" s="3">
        <f>$H62*factors!ES$3</f>
        <v>0.31927641984999999</v>
      </c>
      <c r="EZ62" s="3">
        <f>$H62*factors!ET$3</f>
        <v>0.31623279334999999</v>
      </c>
      <c r="FA62" s="3">
        <f>$H62*factors!EU$3</f>
        <v>0.29066633074999998</v>
      </c>
      <c r="FB62" s="3">
        <f>$H62*factors!EV$3</f>
        <v>0.30375392470000007</v>
      </c>
      <c r="FC62" s="3">
        <f>$H62*factors!EW$3</f>
        <v>0.31227607890000003</v>
      </c>
      <c r="FD62" s="3">
        <f>$H62*factors!EX$3</f>
        <v>0.30131902350000006</v>
      </c>
      <c r="FE62" s="3">
        <f>$H62*factors!EY$3</f>
        <v>0.31745024395000004</v>
      </c>
      <c r="FF62" s="3">
        <f>$H62*factors!EZ$3</f>
        <v>0.3177546066000001</v>
      </c>
      <c r="FG62" s="3">
        <f>$H62*factors!FA$3</f>
        <v>0.29066633074999998</v>
      </c>
      <c r="FH62" s="3">
        <f>$H62*factors!FB$3</f>
        <v>0.30588446325000002</v>
      </c>
      <c r="FI62" s="3">
        <f>$H62*factors!FC$3</f>
        <v>0.31866769454999999</v>
      </c>
      <c r="FJ62" s="3">
        <f>$H62*factors!FD$3</f>
        <v>0.30588446325000002</v>
      </c>
      <c r="FK62" s="3">
        <f>$H62*factors!FE$3</f>
        <v>0.31105862830000008</v>
      </c>
      <c r="FL62" s="3">
        <f>$H62*factors!FF$3</f>
        <v>0.31197171625000003</v>
      </c>
      <c r="FM62" s="3">
        <f>$H62*factors!FG$3</f>
        <v>0.31531970540000004</v>
      </c>
      <c r="FN62" s="3">
        <f>$H62*factors!FH$3</f>
        <v>0.29492740785000005</v>
      </c>
      <c r="FO62" s="3">
        <f>$H62*factors!FI$3</f>
        <v>0.31318916685000003</v>
      </c>
      <c r="FP62" s="3">
        <f>$H62*factors!FJ$3</f>
        <v>0.30436265000000007</v>
      </c>
      <c r="FQ62" s="3">
        <f>$H62*factors!FK$3</f>
        <v>0.30131902350000006</v>
      </c>
      <c r="FR62" s="3">
        <f>$H62*factors!FL$3</f>
        <v>0.30740627650000002</v>
      </c>
      <c r="FS62" s="3">
        <f>$H62*factors!FM$3</f>
        <v>0.30558010060000002</v>
      </c>
      <c r="FT62" s="3">
        <f>$H62*factors!FN$3</f>
        <v>0.31227607890000003</v>
      </c>
      <c r="FU62" s="3">
        <f>$H62*factors!FO$3</f>
        <v>0.3001015729</v>
      </c>
      <c r="FV62" s="3">
        <f>$H62*factors!FP$3</f>
        <v>0.2976666717</v>
      </c>
      <c r="FW62" s="3">
        <f>$H62*factors!FQ$3</f>
        <v>0.31866769454999999</v>
      </c>
      <c r="FX62" s="3">
        <f>$H62*factors!FR$3</f>
        <v>0.31288480420000009</v>
      </c>
      <c r="FY62" s="3">
        <f>$H62*factors!FS$3</f>
        <v>0.30649318855000002</v>
      </c>
      <c r="FZ62" s="3">
        <f>$H62*factors!FT$3</f>
        <v>0.29127505605000004</v>
      </c>
      <c r="GA62" s="3">
        <f>$H62*factors!FU$3</f>
        <v>0.30649318855000002</v>
      </c>
      <c r="GB62" s="3">
        <f>$H62*factors!FV$3</f>
        <v>0.3177546066000001</v>
      </c>
      <c r="GC62" s="3">
        <f>$H62*factors!FW$3</f>
        <v>0.2976666717</v>
      </c>
      <c r="GD62" s="3">
        <f>$H62*factors!FX$3</f>
        <v>0.30284083675000001</v>
      </c>
      <c r="GE62" s="3">
        <f>$H62*factors!FY$3</f>
        <v>0.30284083675000001</v>
      </c>
      <c r="GF62" s="3">
        <f>$H62*factors!FZ$3</f>
        <v>0.30192774880000006</v>
      </c>
      <c r="GG62" s="3">
        <f>$H62*factors!GA$3</f>
        <v>0.29005760545000003</v>
      </c>
      <c r="GH62" s="3">
        <f>$H62*factors!GB$3</f>
        <v>0.30862372710000008</v>
      </c>
      <c r="GI62" s="3">
        <f>$H62*factors!GC$3</f>
        <v>0.28944888015000003</v>
      </c>
      <c r="GJ62" s="3">
        <f>$H62*factors!GD$3</f>
        <v>0.29005760545000003</v>
      </c>
      <c r="GK62" s="3">
        <f>$H62*factors!GE$3</f>
        <v>0.29736230905000005</v>
      </c>
      <c r="GL62" s="3">
        <f>$H62*factors!GF$3</f>
        <v>0.31501534275000004</v>
      </c>
      <c r="GM62" s="3">
        <f>$H62*factors!GG$3</f>
        <v>0.29857975965000005</v>
      </c>
      <c r="GN62" s="3">
        <f>$H62*factors!GH$3</f>
        <v>0.30801500180000008</v>
      </c>
      <c r="GO62" s="3">
        <f>$H62*factors!GI$3</f>
        <v>0.29097069339999998</v>
      </c>
      <c r="GP62" s="3">
        <f>$H62*factors!GJ$3</f>
        <v>0.31197171625000003</v>
      </c>
      <c r="GQ62" s="3">
        <f>$H62*factors!GK$3</f>
        <v>0.31836333190000005</v>
      </c>
      <c r="GR62" s="3">
        <f>$H62*factors!GL$3</f>
        <v>0.31227607890000003</v>
      </c>
      <c r="GS62" s="3">
        <f>$H62*factors!GM$3</f>
        <v>0.29531699204200001</v>
      </c>
      <c r="GT62" s="3">
        <f>$H62*factors!GN$3</f>
        <v>0.30212010599480005</v>
      </c>
      <c r="GU62" s="3">
        <f>$H62*factors!GO$3</f>
        <v>0.30923245240000002</v>
      </c>
      <c r="GV62" s="3">
        <f>$H62*factors!GP$3</f>
        <v>0.29686315430400007</v>
      </c>
      <c r="GW62" s="3">
        <f>$H62*factors!GQ$3</f>
        <v>0.30737705768560003</v>
      </c>
      <c r="GX62" s="3">
        <f>$H62*factors!GR$3</f>
        <v>0.30242933844720005</v>
      </c>
      <c r="GY62" s="3">
        <f>$H62*factors!GS$3</f>
        <v>0.30088317618520005</v>
      </c>
      <c r="GZ62" s="3">
        <f>$H62*factors!GT$3</f>
        <v>0.31201554447160001</v>
      </c>
      <c r="HA62" s="3">
        <f>$H62*factors!GU$3</f>
        <v>0.30181087354240005</v>
      </c>
      <c r="HB62" s="3">
        <f>$H62*factors!GV$3</f>
        <v>0.31201554447160001</v>
      </c>
      <c r="HC62" s="3">
        <f>$H62*factors!GW$3</f>
        <v>0.30428473316160004</v>
      </c>
      <c r="HD62" s="3">
        <f>$H62*factors!GX$3</f>
        <v>0.31325247428120001</v>
      </c>
      <c r="HE62" s="3">
        <f>$H62*factors!GY$3</f>
        <v>0.30923245240000002</v>
      </c>
      <c r="HF62" s="3">
        <f>$H62*factors!GZ$3</f>
        <v>0.31881865842440005</v>
      </c>
      <c r="HG62" s="3">
        <f>$H62*factors!HA$3</f>
        <v>0.30644936032840003</v>
      </c>
      <c r="HH62" s="3">
        <f>$H62*factors!HB$3</f>
        <v>0.30242933844720005</v>
      </c>
      <c r="HI62" s="3">
        <f>$H62*factors!HC$3</f>
        <v>0.29871854901840006</v>
      </c>
      <c r="HJ62" s="3">
        <f>$H62*factors!HD$3</f>
        <v>0.29531699204200001</v>
      </c>
      <c r="HK62" s="3">
        <f>$H62*factors!HE$3</f>
        <v>0.31232477692400001</v>
      </c>
      <c r="HL62" s="3">
        <f>$H62*factors!HF$3</f>
        <v>0.29438929468480002</v>
      </c>
      <c r="HM62" s="3">
        <f>$H62*factors!HG$3</f>
        <v>0.29748161920880006</v>
      </c>
      <c r="HN62" s="3">
        <f>$H62*factors!HH$3</f>
        <v>0.31727249616240005</v>
      </c>
      <c r="HO62" s="3">
        <f>$H62*factors!HI$3</f>
        <v>0.30428473316160004</v>
      </c>
      <c r="HP62" s="3">
        <f>$H62*factors!HJ$3</f>
        <v>0.32469407502000008</v>
      </c>
      <c r="HQ62" s="3">
        <f>$H62*factors!HK$3</f>
        <v>0.29686315430400007</v>
      </c>
      <c r="HR62" s="3">
        <f>$H62*factors!HL$3</f>
        <v>0.31479863654320006</v>
      </c>
      <c r="HS62" s="3">
        <f>$H62*factors!HM$3</f>
        <v>0.32036482068640004</v>
      </c>
      <c r="HT62" s="3">
        <f>$H62*factors!HN$3</f>
        <v>0.29871854901840006</v>
      </c>
      <c r="HU62" s="3">
        <f>$H62*factors!HO$3</f>
        <v>0.30181087354240005</v>
      </c>
      <c r="HV62" s="3">
        <f>$H62*factors!HP$3</f>
        <v>0.30552166297120004</v>
      </c>
      <c r="HW62" s="3">
        <f>$H62*factors!HQ$3</f>
        <v>0.30985091730480002</v>
      </c>
      <c r="HX62" s="3">
        <f>$H62*factors!HR$3</f>
        <v>0.32252944785319998</v>
      </c>
      <c r="HY62" s="3">
        <f>$H62*factors!HS$3</f>
        <v>0.30644936032840003</v>
      </c>
      <c r="HZ62" s="3">
        <f>$H62*factors!HT$3</f>
        <v>0.31820019351960005</v>
      </c>
      <c r="IA62" s="3">
        <f>$H62*factors!HU$3</f>
        <v>0.30273857089960005</v>
      </c>
      <c r="IB62" s="3">
        <f>$H62*factors!HV$3</f>
        <v>0.31325247428120001</v>
      </c>
      <c r="IC62" s="3">
        <f>$H62*factors!HW$3</f>
        <v>0.31634479880520006</v>
      </c>
      <c r="ID62" s="3">
        <f>$H62*factors!HX$3</f>
        <v>0.29377082978000002</v>
      </c>
      <c r="IE62" s="3">
        <f>$H62*factors!HY$3</f>
        <v>0.31201554447160001</v>
      </c>
      <c r="IF62" s="3">
        <f>$H62*factors!HZ$3</f>
        <v>0.31016014975720002</v>
      </c>
      <c r="IG62" s="3">
        <f>$H62*factors!IA$3</f>
        <v>0.30737705768560003</v>
      </c>
      <c r="IH62" s="3">
        <f>$H62*factors!IB$3</f>
        <v>0.31881865842440005</v>
      </c>
      <c r="II62" s="3">
        <f>$H62*factors!IC$3</f>
        <v>0.30521243051880004</v>
      </c>
      <c r="IJ62" s="3">
        <f>$H62*factors!ID$3</f>
        <v>0.30799552259040003</v>
      </c>
      <c r="IK62" s="3">
        <f>$H62*factors!IE$3</f>
        <v>0.31912789087680005</v>
      </c>
      <c r="IL62" s="3">
        <f>$H62*factors!IF$3</f>
        <v>0.30552166297120004</v>
      </c>
      <c r="IM62" s="3">
        <f>$H62*factors!IG$3</f>
        <v>0.30273857089960005</v>
      </c>
      <c r="IN62" s="3">
        <f>$H62*factors!IH$3</f>
        <v>0.30459396561400004</v>
      </c>
      <c r="IO62" s="3">
        <f>$H62*factors!II$3</f>
        <v>0.30768629013800003</v>
      </c>
      <c r="IP62" s="3">
        <f>$H62*factors!IJ$3</f>
        <v>0.29748161920880006</v>
      </c>
      <c r="IQ62" s="3">
        <f>$H62*factors!IK$3</f>
        <v>0.29655392185160001</v>
      </c>
      <c r="IR62" s="3">
        <f>$H62*factors!IL$3</f>
        <v>0.30521243051880004</v>
      </c>
      <c r="IS62" s="3">
        <f>$H62*factors!IM$3</f>
        <v>0.30768629013800003</v>
      </c>
      <c r="IT62" s="3">
        <f>$H62*factors!IN$3</f>
        <v>0.30985091730480002</v>
      </c>
      <c r="IU62" s="3">
        <f>$H62*factors!IO$3</f>
        <v>0.31665403125760005</v>
      </c>
      <c r="IV62" s="3">
        <f>$H62*factors!IP$3</f>
        <v>0.32067405313880004</v>
      </c>
      <c r="IW62" s="3">
        <f>$H62*factors!IQ$3</f>
        <v>0.30304780335200004</v>
      </c>
      <c r="IX62" s="3">
        <f>$H62*factors!IR$3</f>
        <v>0.31665403125760005</v>
      </c>
      <c r="IY62" s="3">
        <f>$H62*factors!IS$3</f>
        <v>0.31201554447160001</v>
      </c>
      <c r="IZ62" s="3">
        <f>$H62*factors!IT$3</f>
        <v>0.31727249616240005</v>
      </c>
      <c r="JA62" s="3">
        <f>$H62*factors!IU$3</f>
        <v>0.2996462463756</v>
      </c>
      <c r="JB62" s="3">
        <f>$H62*factors!IV$3</f>
        <v>0.30521243051880004</v>
      </c>
      <c r="JC62" s="3">
        <f>$H62*factors!IW$3</f>
        <v>0.29810008411360006</v>
      </c>
      <c r="JD62" s="3">
        <f>$H62*factors!IX$3</f>
        <v>0.32469407502000008</v>
      </c>
      <c r="JE62" s="3">
        <f>$H62*factors!IY$3</f>
        <v>0.2990277814708</v>
      </c>
      <c r="JF62" s="3">
        <f>$H62*factors!IZ$3</f>
        <v>0.31387093918600001</v>
      </c>
      <c r="JG62" s="3">
        <f>$H62*factors!JA$3</f>
        <v>0.30830475504280003</v>
      </c>
      <c r="JH62" s="3">
        <f>$H62*factors!JB$3</f>
        <v>0.31418017163840006</v>
      </c>
      <c r="JI62" s="3">
        <f>$H62*factors!JC$3</f>
        <v>0.29408006223240002</v>
      </c>
      <c r="JJ62" s="3">
        <f>$H62*factors!JD$3</f>
        <v>0.31665403125760005</v>
      </c>
      <c r="JK62" s="3">
        <f>$H62*factors!JE$3</f>
        <v>0.30644936032840003</v>
      </c>
      <c r="JL62" s="3">
        <f>$H62*factors!JF$3</f>
        <v>0.31881865842440005</v>
      </c>
      <c r="JM62" s="3">
        <f>$H62*factors!JG$3</f>
        <v>0.29748161920880006</v>
      </c>
      <c r="JN62" s="3">
        <f>$H62*factors!JH$3</f>
        <v>0.29748161920880006</v>
      </c>
      <c r="JO62" s="3">
        <f>$H62*factors!JI$3</f>
        <v>0.29377082978000002</v>
      </c>
      <c r="JP62" s="3">
        <f>$H62*factors!JJ$3</f>
        <v>0.31758172861480005</v>
      </c>
      <c r="JQ62" s="3">
        <f>$H62*factors!JK$3</f>
        <v>0.30954168485240002</v>
      </c>
      <c r="JR62" s="3">
        <f>$H62*factors!JL$3</f>
        <v>0.32160175049600004</v>
      </c>
      <c r="JS62" s="3">
        <f>$H62*factors!JM$3</f>
        <v>0.29377082978000002</v>
      </c>
      <c r="JT62" s="3">
        <f>$H62*factors!JN$3</f>
        <v>0.30861398749520003</v>
      </c>
      <c r="JU62" s="3">
        <f>$H62*factors!JO$3</f>
        <v>0.298409316566</v>
      </c>
      <c r="JV62" s="3">
        <f>$H62*factors!JP$3</f>
        <v>0.30335703580440004</v>
      </c>
      <c r="JW62" s="3">
        <f>$H62*factors!JQ$3</f>
        <v>0.32407561011520009</v>
      </c>
      <c r="JX62" s="3">
        <f>$H62*factors!JR$3</f>
        <v>0.32098328559120004</v>
      </c>
      <c r="JY62" s="3">
        <f>$H62*factors!JS$3</f>
        <v>0.30212010599480005</v>
      </c>
      <c r="JZ62" s="3">
        <f>$H62*factors!JT$3</f>
        <v>0.30552166297120004</v>
      </c>
      <c r="KA62" s="3">
        <f>$H62*factors!JU$3</f>
        <v>0.30675859278080003</v>
      </c>
      <c r="KB62" s="3">
        <f>$H62*factors!JV$3</f>
        <v>0.29655392185160001</v>
      </c>
      <c r="KC62" s="3">
        <f>$H62*factors!JW$3</f>
        <v>0.29810008411360006</v>
      </c>
      <c r="KD62" s="3">
        <f>$H62*factors!JX$3</f>
        <v>0.298409316566</v>
      </c>
      <c r="KE62" s="3">
        <f>$H62*factors!JY$3</f>
        <v>0.31758172861480005</v>
      </c>
      <c r="KF62" s="3">
        <f>$H62*factors!JZ$3</f>
        <v>0.32129251804359998</v>
      </c>
      <c r="KG62" s="3">
        <f>$H62*factors!KA$3</f>
        <v>0.30985091730480002</v>
      </c>
      <c r="KH62" s="3">
        <f>$H62*factors!KB$3</f>
        <v>0.30304780335200004</v>
      </c>
      <c r="KI62" s="3">
        <f>$H62*factors!KC$3</f>
        <v>0.3002647112804</v>
      </c>
    </row>
    <row r="63" spans="1:295" x14ac:dyDescent="0.55000000000000004">
      <c r="A63" t="s">
        <v>439</v>
      </c>
      <c r="B63">
        <v>62</v>
      </c>
      <c r="C63">
        <v>500</v>
      </c>
      <c r="D63" t="s">
        <v>377</v>
      </c>
      <c r="E63">
        <v>1.0196999999999999E-2</v>
      </c>
      <c r="F63">
        <v>62</v>
      </c>
      <c r="G63">
        <f>VLOOKUP(D63,demand_forecasted!$A$2:$G$11,2)</f>
        <v>11098</v>
      </c>
      <c r="H63" s="3">
        <f t="shared" si="1"/>
        <v>1.1316630599999999</v>
      </c>
      <c r="I63" s="3">
        <f>$H63*factors!C$3</f>
        <v>1.2527510074199999</v>
      </c>
      <c r="J63" s="3">
        <f>$H63*factors!D$3</f>
        <v>1.2075297515423999</v>
      </c>
      <c r="K63" s="3">
        <f>$H63*factors!E$3</f>
        <v>1.1867524177608</v>
      </c>
      <c r="L63" s="3">
        <f>$H63*factors!F$3</f>
        <v>1.1830858294464002</v>
      </c>
      <c r="M63" s="3">
        <f>$H63*factors!G$3</f>
        <v>1.1818636333415999</v>
      </c>
      <c r="N63" s="3">
        <f>$H63*factors!H$3</f>
        <v>1.216085124276</v>
      </c>
      <c r="O63" s="3">
        <f>$H63*factors!I$3</f>
        <v>1.2429734385816</v>
      </c>
      <c r="P63" s="3">
        <f>$H63*factors!J$3</f>
        <v>1.2576397918391999</v>
      </c>
      <c r="Q63" s="3">
        <f>$H63*factors!K$3</f>
        <v>1.1806414372367999</v>
      </c>
      <c r="R63" s="3">
        <f>$H63*factors!L$3</f>
        <v>1.16108629956</v>
      </c>
      <c r="S63" s="3">
        <f>$H63*factors!M$3</f>
        <v>1.2087519476472</v>
      </c>
      <c r="T63" s="3">
        <f>$H63*factors!N$3</f>
        <v>1.2503066152104001</v>
      </c>
      <c r="U63" s="3">
        <f>$H63*factors!O$3</f>
        <v>1.1843080255512002</v>
      </c>
      <c r="V63" s="3">
        <f>$H63*factors!P$3</f>
        <v>1.2319736736383999</v>
      </c>
      <c r="W63" s="3">
        <f>$H63*factors!Q$3</f>
        <v>1.2429734385816</v>
      </c>
      <c r="X63" s="3">
        <f>$H63*factors!R$3</f>
        <v>1.1891968099704</v>
      </c>
      <c r="Y63" s="3">
        <f>$H63*factors!S$3</f>
        <v>1.1781970450271999</v>
      </c>
      <c r="Z63" s="3">
        <f>$H63*factors!T$3</f>
        <v>1.2710839489920001</v>
      </c>
      <c r="AA63" s="3">
        <f>$H63*factors!U$3</f>
        <v>1.2001965749135999</v>
      </c>
      <c r="AB63" s="3">
        <f>$H63*factors!V$3</f>
        <v>1.2014187710184001</v>
      </c>
      <c r="AC63" s="3">
        <f>$H63*factors!W$3</f>
        <v>1.2026409671232001</v>
      </c>
      <c r="AD63" s="3">
        <f>$H63*factors!X$3</f>
        <v>1.1769748489224001</v>
      </c>
      <c r="AE63" s="3">
        <f>$H63*factors!Y$3</f>
        <v>1.1867524177608</v>
      </c>
      <c r="AF63" s="3">
        <f>$H63*factors!Z$3</f>
        <v>1.2111963398568</v>
      </c>
      <c r="AG63" s="3">
        <f>$H63*factors!AA$3</f>
        <v>1.1806414372367999</v>
      </c>
      <c r="AH63" s="3">
        <f>$H63*factors!AB$3</f>
        <v>1.1757526528176001</v>
      </c>
      <c r="AI63" s="3">
        <f>$H63*factors!AC$3</f>
        <v>1.2136407320664</v>
      </c>
      <c r="AJ63" s="3">
        <f>$H63*factors!AD$3</f>
        <v>1.2600841840488</v>
      </c>
      <c r="AK63" s="3">
        <f>$H63*factors!AE$3</f>
        <v>1.2124185359616</v>
      </c>
      <c r="AL63" s="3">
        <f>$H63*factors!AF$3</f>
        <v>1.1647528878743998</v>
      </c>
      <c r="AM63" s="3">
        <f>$H63*factors!AG$3</f>
        <v>1.1977521827039999</v>
      </c>
      <c r="AN63" s="3">
        <f>$H63*factors!AH$3</f>
        <v>1.1781970450271999</v>
      </c>
      <c r="AO63" s="3">
        <f>$H63*factors!AI$3</f>
        <v>1.234418065848</v>
      </c>
      <c r="AP63" s="3">
        <f>$H63*factors!AJ$3</f>
        <v>1.1830858294464002</v>
      </c>
      <c r="AQ63" s="3">
        <f>$H63*factors!AK$3</f>
        <v>1.2209739086952001</v>
      </c>
      <c r="AR63" s="3">
        <f>$H63*factors!AL$3</f>
        <v>1.1940855943896</v>
      </c>
      <c r="AS63" s="3">
        <f>$H63*factors!AM$3</f>
        <v>1.1647528878743998</v>
      </c>
      <c r="AT63" s="3">
        <f>$H63*factors!AN$3</f>
        <v>1.2014187710184001</v>
      </c>
      <c r="AU63" s="3">
        <f>$H63*factors!AO$3</f>
        <v>1.2723061450967998</v>
      </c>
      <c r="AV63" s="3">
        <f>$H63*factors!AP$3</f>
        <v>1.2026409671232001</v>
      </c>
      <c r="AW63" s="3">
        <f>$H63*factors!AQ$3</f>
        <v>1.1904190060751998</v>
      </c>
      <c r="AX63" s="3">
        <f>$H63*factors!AR$3</f>
        <v>1.2588619879439999</v>
      </c>
      <c r="AY63" s="3">
        <f>$H63*factors!AS$3</f>
        <v>1.16108629956</v>
      </c>
      <c r="AZ63" s="3">
        <f>$H63*factors!AT$3</f>
        <v>1.2441956346864003</v>
      </c>
      <c r="BA63" s="3">
        <f>$H63*factors!AU$3</f>
        <v>1.2173073203807998</v>
      </c>
      <c r="BB63" s="3">
        <f>$H63*factors!AV$3</f>
        <v>1.2014187710184001</v>
      </c>
      <c r="BC63" s="3">
        <f>$H63*factors!AW$3</f>
        <v>1.2710839489920001</v>
      </c>
      <c r="BD63" s="3">
        <f>$H63*factors!AX$3</f>
        <v>1.1733082606079999</v>
      </c>
      <c r="BE63" s="3">
        <f>$H63*factors!AY$3</f>
        <v>1.3794293703563998</v>
      </c>
      <c r="BF63" s="3">
        <f>$H63*factors!AZ$3</f>
        <v>1.2846186391896</v>
      </c>
      <c r="BG63" s="3">
        <f>$H63*factors!BA$3</f>
        <v>1.3033137129407997</v>
      </c>
      <c r="BH63" s="3">
        <f>$H63*factors!BB$3</f>
        <v>1.3206734242811999</v>
      </c>
      <c r="BI63" s="3">
        <f>$H63*factors!BC$3</f>
        <v>1.3687464710699997</v>
      </c>
      <c r="BJ63" s="3">
        <f>$H63*factors!BD$3</f>
        <v>1.3073198001731998</v>
      </c>
      <c r="BK63" s="3">
        <f>$H63*factors!BE$3</f>
        <v>1.3099905249947998</v>
      </c>
      <c r="BL63" s="3">
        <f>$H63*factors!BF$3</f>
        <v>1.2953015384759998</v>
      </c>
      <c r="BM63" s="3">
        <f>$H63*factors!BG$3</f>
        <v>1.3834354575887999</v>
      </c>
      <c r="BN63" s="3">
        <f>$H63*factors!BH$3</f>
        <v>1.3660757462483999</v>
      </c>
      <c r="BO63" s="3">
        <f>$H63*factors!BI$3</f>
        <v>1.2846186391896</v>
      </c>
      <c r="BP63" s="3">
        <f>$H63*factors!BJ$3</f>
        <v>1.2806125519571998</v>
      </c>
      <c r="BQ63" s="3">
        <f>$H63*factors!BK$3</f>
        <v>1.3019783505299998</v>
      </c>
      <c r="BR63" s="3">
        <f>$H63*factors!BL$3</f>
        <v>1.3487160349079999</v>
      </c>
      <c r="BS63" s="3">
        <f>$H63*factors!BM$3</f>
        <v>1.3700818334807998</v>
      </c>
      <c r="BT63" s="3">
        <f>$H63*factors!BN$3</f>
        <v>1.3740879207131997</v>
      </c>
      <c r="BU63" s="3">
        <f>$H63*factors!BO$3</f>
        <v>1.3967890816968001</v>
      </c>
      <c r="BV63" s="3">
        <f>$H63*factors!BP$3</f>
        <v>1.2993076257084</v>
      </c>
      <c r="BW63" s="3">
        <f>$H63*factors!BQ$3</f>
        <v>1.3286855987459998</v>
      </c>
      <c r="BX63" s="3">
        <f>$H63*factors!BR$3</f>
        <v>1.3033137129407997</v>
      </c>
      <c r="BY63" s="3">
        <f>$H63*factors!BS$3</f>
        <v>1.3634050214267996</v>
      </c>
      <c r="BZ63" s="3">
        <f>$H63*factors!BT$3</f>
        <v>1.3380331356215998</v>
      </c>
      <c r="CA63" s="3">
        <f>$H63*factors!BU$3</f>
        <v>1.3206734242811999</v>
      </c>
      <c r="CB63" s="3">
        <f>$H63*factors!BV$3</f>
        <v>1.2779418271355998</v>
      </c>
      <c r="CC63" s="3">
        <f>$H63*factors!BW$3</f>
        <v>1.3153319746379999</v>
      </c>
      <c r="CD63" s="3">
        <f>$H63*factors!BX$3</f>
        <v>1.3193380618703998</v>
      </c>
      <c r="CE63" s="3">
        <f>$H63*factors!BY$3</f>
        <v>1.3380331356215998</v>
      </c>
      <c r="CF63" s="3">
        <f>$H63*factors!BZ$3</f>
        <v>1.3180026994595999</v>
      </c>
      <c r="CG63" s="3">
        <f>$H63*factors!CA$3</f>
        <v>1.2739357399031996</v>
      </c>
      <c r="CH63" s="3">
        <f>$H63*factors!CB$3</f>
        <v>1.2752711023139998</v>
      </c>
      <c r="CI63" s="3">
        <f>$H63*factors!CC$3</f>
        <v>1.26859429026</v>
      </c>
      <c r="CJ63" s="3">
        <f>$H63*factors!CD$3</f>
        <v>1.3206734242811999</v>
      </c>
      <c r="CK63" s="3">
        <f>$H63*factors!CE$3</f>
        <v>1.3794293703563998</v>
      </c>
      <c r="CL63" s="3">
        <f>$H63*factors!CF$3</f>
        <v>1.2926308136543998</v>
      </c>
      <c r="CM63" s="3">
        <f>$H63*factors!CG$3</f>
        <v>1.3233441491027997</v>
      </c>
      <c r="CN63" s="3">
        <f>$H63*factors!CH$3</f>
        <v>1.2792771895463999</v>
      </c>
      <c r="CO63" s="3">
        <f>$H63*factors!CI$3</f>
        <v>1.2886247264219997</v>
      </c>
      <c r="CP63" s="3">
        <f>$H63*factors!CJ$3</f>
        <v>1.3500513973187995</v>
      </c>
      <c r="CQ63" s="3">
        <f>$H63*factors!CK$3</f>
        <v>1.3099905249947998</v>
      </c>
      <c r="CR63" s="3">
        <f>$H63*factors!CL$3</f>
        <v>1.3513867597295999</v>
      </c>
      <c r="CS63" s="3">
        <f>$H63*factors!CM$3</f>
        <v>1.3941183568751998</v>
      </c>
      <c r="CT63" s="3">
        <f>$H63*factors!CN$3</f>
        <v>1.3780940079455999</v>
      </c>
      <c r="CU63" s="3">
        <f>$H63*factors!CO$3</f>
        <v>1.3473806724971997</v>
      </c>
      <c r="CV63" s="3">
        <f>$H63*factors!CP$3</f>
        <v>1.4021305313399999</v>
      </c>
      <c r="CW63" s="3">
        <f>$H63*factors!CQ$3</f>
        <v>1.3260148739244</v>
      </c>
      <c r="CX63" s="3">
        <f>$H63*factors!CR$3</f>
        <v>1.3059844377623999</v>
      </c>
      <c r="CY63" s="3">
        <f>$H63*factors!CS$3</f>
        <v>1.2939661760651997</v>
      </c>
      <c r="CZ63" s="3">
        <f>$H63*factors!CT$3</f>
        <v>1.2752711023139998</v>
      </c>
      <c r="DA63" s="3">
        <f>$H63*factors!CU$3</f>
        <v>1.3240457801999999</v>
      </c>
      <c r="DB63" s="3">
        <f>$H63*factors!CV$3</f>
        <v>1.4095995075359999</v>
      </c>
      <c r="DC63" s="3">
        <f>$H63*factors!CW$3</f>
        <v>1.3498476979679999</v>
      </c>
      <c r="DD63" s="3">
        <f>$H63*factors!CX$3</f>
        <v>1.3403417282639998</v>
      </c>
      <c r="DE63" s="3">
        <f>$H63*factors!CY$3</f>
        <v>1.3797236027519999</v>
      </c>
      <c r="DF63" s="3">
        <f>$H63*factors!CZ$3</f>
        <v>1.3770076114079999</v>
      </c>
      <c r="DG63" s="3">
        <f>$H63*factors!DA$3</f>
        <v>1.3715756287199998</v>
      </c>
      <c r="DH63" s="3">
        <f>$H63*factors!DB$3</f>
        <v>1.3715756287199998</v>
      </c>
      <c r="DI63" s="3">
        <f>$H63*factors!DC$3</f>
        <v>1.3199717931839998</v>
      </c>
      <c r="DJ63" s="3">
        <f>$H63*factors!DD$3</f>
        <v>1.3987355421599998</v>
      </c>
      <c r="DK63" s="3">
        <f>$H63*factors!DE$3</f>
        <v>1.3987355421599998</v>
      </c>
      <c r="DL63" s="3">
        <f>$H63*factors!DF$3</f>
        <v>1.3824395940959999</v>
      </c>
      <c r="DM63" s="3">
        <f>$H63*factors!DG$3</f>
        <v>1.3023178494479997</v>
      </c>
      <c r="DN63" s="3">
        <f>$H63*factors!DH$3</f>
        <v>1.366143646032</v>
      </c>
      <c r="DO63" s="3">
        <f>$H63*factors!DI$3</f>
        <v>1.4109575032079997</v>
      </c>
      <c r="DP63" s="3">
        <f>$H63*factors!DJ$3</f>
        <v>1.3987355421599998</v>
      </c>
      <c r="DQ63" s="3">
        <f>$H63*factors!DK$3</f>
        <v>1.3335517499039997</v>
      </c>
      <c r="DR63" s="3">
        <f>$H63*factors!DL$3</f>
        <v>1.318613797512</v>
      </c>
      <c r="DS63" s="3">
        <f>$H63*factors!DM$3</f>
        <v>1.4245374599279998</v>
      </c>
      <c r="DT63" s="3">
        <f>$H63*factors!DN$3</f>
        <v>1.338983732592</v>
      </c>
      <c r="DU63" s="3">
        <f>$H63*factors!DO$3</f>
        <v>1.4014515335039999</v>
      </c>
      <c r="DV63" s="3">
        <f>$H63*factors!DP$3</f>
        <v>1.368859637376</v>
      </c>
      <c r="DW63" s="3">
        <f>$H63*factors!DQ$3</f>
        <v>1.3063918364639997</v>
      </c>
      <c r="DX63" s="3">
        <f>$H63*factors!DR$3</f>
        <v>1.3837975897679997</v>
      </c>
      <c r="DY63" s="3">
        <f>$H63*factors!DS$3</f>
        <v>1.3131818148239998</v>
      </c>
      <c r="DZ63" s="3">
        <f>$H63*factors!DT$3</f>
        <v>1.4041675248479999</v>
      </c>
      <c r="EA63" s="3">
        <f>$H63*factors!DU$3</f>
        <v>1.3226877845279998</v>
      </c>
      <c r="EB63" s="3">
        <f>$H63*factors!DV$3</f>
        <v>1.2900958883999998</v>
      </c>
      <c r="EC63" s="3">
        <f>$H63*factors!DW$3</f>
        <v>1.3878715767839997</v>
      </c>
      <c r="ED63" s="3">
        <f>$H63*factors!DX$3</f>
        <v>1.3023178494479997</v>
      </c>
      <c r="EE63" s="3">
        <f>$H63*factors!DY$3</f>
        <v>1.3131818148239998</v>
      </c>
      <c r="EF63" s="3">
        <f>$H63*factors!DZ$3</f>
        <v>1.4245374599279998</v>
      </c>
      <c r="EG63" s="3">
        <f>$H63*factors!EA$3</f>
        <v>1.3308357585599999</v>
      </c>
      <c r="EH63" s="3">
        <f>$H63*factors!EB$3</f>
        <v>1.334909745576</v>
      </c>
      <c r="EI63" s="3">
        <f>$H63*factors!EC$3</f>
        <v>1.3321937542319999</v>
      </c>
      <c r="EJ63" s="3">
        <f>$H63*factors!ED$3</f>
        <v>1.2982438624319999</v>
      </c>
      <c r="EK63" s="3">
        <f>$H63*factors!EE$3</f>
        <v>1.3878715767839997</v>
      </c>
      <c r="EL63" s="3">
        <f>$H63*factors!EF$3</f>
        <v>1.3199717931839998</v>
      </c>
      <c r="EM63" s="3">
        <f>$H63*factors!EG$3</f>
        <v>1.3729336243919998</v>
      </c>
      <c r="EN63" s="3">
        <f>$H63*factors!EH$3</f>
        <v>1.2900958883999998</v>
      </c>
      <c r="EO63" s="3">
        <f>$H63*factors!EI$3</f>
        <v>1.3091078278079997</v>
      </c>
      <c r="EP63" s="3">
        <f>$H63*factors!EJ$3</f>
        <v>1.3810815984239999</v>
      </c>
      <c r="EQ63" s="3">
        <f>$H63*factors!EK$3</f>
        <v>1.3430577196079998</v>
      </c>
      <c r="ER63" s="3">
        <f>$H63*factors!EL$3</f>
        <v>1.3987355421599998</v>
      </c>
      <c r="ES63" s="3">
        <f>$H63*factors!EM$3</f>
        <v>1.3810815984239999</v>
      </c>
      <c r="ET63" s="3">
        <f>$H63*factors!EN$3</f>
        <v>1.41231549888</v>
      </c>
      <c r="EU63" s="3">
        <f>$H63*factors!EO$3</f>
        <v>1.4258954555999999</v>
      </c>
      <c r="EV63" s="3">
        <f>$H63*factors!EP$3</f>
        <v>1.3362677412479997</v>
      </c>
      <c r="EW63" s="3">
        <f>$H63*factors!EQ$3</f>
        <v>1.4697473991749999</v>
      </c>
      <c r="EX63" s="3">
        <f>$H63*factors!ER$3</f>
        <v>1.4541870321000001</v>
      </c>
      <c r="EY63" s="3">
        <f>$H63*factors!ES$3</f>
        <v>1.4838931874249996</v>
      </c>
      <c r="EZ63" s="3">
        <f>$H63*factors!ET$3</f>
        <v>1.4697473991749999</v>
      </c>
      <c r="FA63" s="3">
        <f>$H63*factors!EU$3</f>
        <v>1.3509227778749997</v>
      </c>
      <c r="FB63" s="3">
        <f>$H63*factors!EV$3</f>
        <v>1.4117496673500001</v>
      </c>
      <c r="FC63" s="3">
        <f>$H63*factors!EW$3</f>
        <v>1.45135787445</v>
      </c>
      <c r="FD63" s="3">
        <f>$H63*factors!EX$3</f>
        <v>1.40043303675</v>
      </c>
      <c r="FE63" s="3">
        <f>$H63*factors!EY$3</f>
        <v>1.4754057144749999</v>
      </c>
      <c r="FF63" s="3">
        <f>$H63*factors!EZ$3</f>
        <v>1.4768202933000001</v>
      </c>
      <c r="FG63" s="3">
        <f>$H63*factors!FA$3</f>
        <v>1.3509227778749997</v>
      </c>
      <c r="FH63" s="3">
        <f>$H63*factors!FB$3</f>
        <v>1.4216517191249998</v>
      </c>
      <c r="FI63" s="3">
        <f>$H63*factors!FC$3</f>
        <v>1.4810640297749997</v>
      </c>
      <c r="FJ63" s="3">
        <f>$H63*factors!FD$3</f>
        <v>1.4216517191249998</v>
      </c>
      <c r="FK63" s="3">
        <f>$H63*factors!FE$3</f>
        <v>1.4456995591499999</v>
      </c>
      <c r="FL63" s="3">
        <f>$H63*factors!FF$3</f>
        <v>1.449943295625</v>
      </c>
      <c r="FM63" s="3">
        <f>$H63*factors!FG$3</f>
        <v>1.4655036626999998</v>
      </c>
      <c r="FN63" s="3">
        <f>$H63*factors!FH$3</f>
        <v>1.3707268814249998</v>
      </c>
      <c r="FO63" s="3">
        <f>$H63*factors!FI$3</f>
        <v>1.4556016109249998</v>
      </c>
      <c r="FP63" s="3">
        <f>$H63*factors!FJ$3</f>
        <v>1.414578825</v>
      </c>
      <c r="FQ63" s="3">
        <f>$H63*factors!FK$3</f>
        <v>1.40043303675</v>
      </c>
      <c r="FR63" s="3">
        <f>$H63*factors!FL$3</f>
        <v>1.4287246132499998</v>
      </c>
      <c r="FS63" s="3">
        <f>$H63*factors!FM$3</f>
        <v>1.4202371402999998</v>
      </c>
      <c r="FT63" s="3">
        <f>$H63*factors!FN$3</f>
        <v>1.45135787445</v>
      </c>
      <c r="FU63" s="3">
        <f>$H63*factors!FO$3</f>
        <v>1.3947747214499999</v>
      </c>
      <c r="FV63" s="3">
        <f>$H63*factors!FP$3</f>
        <v>1.3834580908499998</v>
      </c>
      <c r="FW63" s="3">
        <f>$H63*factors!FQ$3</f>
        <v>1.4810640297749997</v>
      </c>
      <c r="FX63" s="3">
        <f>$H63*factors!FR$3</f>
        <v>1.4541870321000001</v>
      </c>
      <c r="FY63" s="3">
        <f>$H63*factors!FS$3</f>
        <v>1.4244808767749997</v>
      </c>
      <c r="FZ63" s="3">
        <f>$H63*factors!FT$3</f>
        <v>1.3537519355250001</v>
      </c>
      <c r="GA63" s="3">
        <f>$H63*factors!FU$3</f>
        <v>1.4244808767749997</v>
      </c>
      <c r="GB63" s="3">
        <f>$H63*factors!FV$3</f>
        <v>1.4768202933000001</v>
      </c>
      <c r="GC63" s="3">
        <f>$H63*factors!FW$3</f>
        <v>1.3834580908499998</v>
      </c>
      <c r="GD63" s="3">
        <f>$H63*factors!FX$3</f>
        <v>1.4075059308749998</v>
      </c>
      <c r="GE63" s="3">
        <f>$H63*factors!FY$3</f>
        <v>1.4075059308749998</v>
      </c>
      <c r="GF63" s="3">
        <f>$H63*factors!FZ$3</f>
        <v>1.4032621943999999</v>
      </c>
      <c r="GG63" s="3">
        <f>$H63*factors!GA$3</f>
        <v>1.3480936202249998</v>
      </c>
      <c r="GH63" s="3">
        <f>$H63*factors!GB$3</f>
        <v>1.43438292855</v>
      </c>
      <c r="GI63" s="3">
        <f>$H63*factors!GC$3</f>
        <v>1.3452644625749999</v>
      </c>
      <c r="GJ63" s="3">
        <f>$H63*factors!GD$3</f>
        <v>1.3480936202249998</v>
      </c>
      <c r="GK63" s="3">
        <f>$H63*factors!GE$3</f>
        <v>1.3820435120249999</v>
      </c>
      <c r="GL63" s="3">
        <f>$H63*factors!GF$3</f>
        <v>1.4640890838749998</v>
      </c>
      <c r="GM63" s="3">
        <f>$H63*factors!GG$3</f>
        <v>1.3877018273249999</v>
      </c>
      <c r="GN63" s="3">
        <f>$H63*factors!GH$3</f>
        <v>1.4315537709000001</v>
      </c>
      <c r="GO63" s="3">
        <f>$H63*factors!GI$3</f>
        <v>1.3523373566999997</v>
      </c>
      <c r="GP63" s="3">
        <f>$H63*factors!GJ$3</f>
        <v>1.449943295625</v>
      </c>
      <c r="GQ63" s="3">
        <f>$H63*factors!GK$3</f>
        <v>1.47964945095</v>
      </c>
      <c r="GR63" s="3">
        <f>$H63*factors!GL$3</f>
        <v>1.45135787445</v>
      </c>
      <c r="GS63" s="3">
        <f>$H63*factors!GM$3</f>
        <v>1.372537542321</v>
      </c>
      <c r="GT63" s="3">
        <f>$H63*factors!GN$3</f>
        <v>1.4041562082173999</v>
      </c>
      <c r="GU63" s="3">
        <f>$H63*factors!GO$3</f>
        <v>1.4372120862</v>
      </c>
      <c r="GV63" s="3">
        <f>$H63*factors!GP$3</f>
        <v>1.3797236027519999</v>
      </c>
      <c r="GW63" s="3">
        <f>$H63*factors!GQ$3</f>
        <v>1.4285888136828</v>
      </c>
      <c r="GX63" s="3">
        <f>$H63*factors!GR$3</f>
        <v>1.4055934203035998</v>
      </c>
      <c r="GY63" s="3">
        <f>$H63*factors!GS$3</f>
        <v>1.3984073598726001</v>
      </c>
      <c r="GZ63" s="3">
        <f>$H63*factors!GT$3</f>
        <v>1.4501469949757997</v>
      </c>
      <c r="HA63" s="3">
        <f>$H63*factors!GU$3</f>
        <v>1.4027189961311999</v>
      </c>
      <c r="HB63" s="3">
        <f>$H63*factors!GV$3</f>
        <v>1.4501469949757997</v>
      </c>
      <c r="HC63" s="3">
        <f>$H63*factors!GW$3</f>
        <v>1.4142166928207998</v>
      </c>
      <c r="HD63" s="3">
        <f>$H63*factors!GX$3</f>
        <v>1.4558958433205997</v>
      </c>
      <c r="HE63" s="3">
        <f>$H63*factors!GY$3</f>
        <v>1.4372120862</v>
      </c>
      <c r="HF63" s="3">
        <f>$H63*factors!GZ$3</f>
        <v>1.4817656608721999</v>
      </c>
      <c r="HG63" s="3">
        <f>$H63*factors!HA$3</f>
        <v>1.4242771774241998</v>
      </c>
      <c r="HH63" s="3">
        <f>$H63*factors!HB$3</f>
        <v>1.4055934203035998</v>
      </c>
      <c r="HI63" s="3">
        <f>$H63*factors!HC$3</f>
        <v>1.3883468752691999</v>
      </c>
      <c r="HJ63" s="3">
        <f>$H63*factors!HD$3</f>
        <v>1.372537542321</v>
      </c>
      <c r="HK63" s="3">
        <f>$H63*factors!HE$3</f>
        <v>1.451584207062</v>
      </c>
      <c r="HL63" s="3">
        <f>$H63*factors!HF$3</f>
        <v>1.3682259060623998</v>
      </c>
      <c r="HM63" s="3">
        <f>$H63*factors!HG$3</f>
        <v>1.3825980269244</v>
      </c>
      <c r="HN63" s="3">
        <f>$H63*factors!HH$3</f>
        <v>1.4745796004412</v>
      </c>
      <c r="HO63" s="3">
        <f>$H63*factors!HI$3</f>
        <v>1.4142166928207998</v>
      </c>
      <c r="HP63" s="3">
        <f>$H63*factors!HJ$3</f>
        <v>1.50907269051</v>
      </c>
      <c r="HQ63" s="3">
        <f>$H63*factors!HK$3</f>
        <v>1.3797236027519999</v>
      </c>
      <c r="HR63" s="3">
        <f>$H63*factors!HL$3</f>
        <v>1.4630819037516001</v>
      </c>
      <c r="HS63" s="3">
        <f>$H63*factors!HM$3</f>
        <v>1.4889517213032</v>
      </c>
      <c r="HT63" s="3">
        <f>$H63*factors!HN$3</f>
        <v>1.3883468752691999</v>
      </c>
      <c r="HU63" s="3">
        <f>$H63*factors!HO$3</f>
        <v>1.4027189961311999</v>
      </c>
      <c r="HV63" s="3">
        <f>$H63*factors!HP$3</f>
        <v>1.4199655411656</v>
      </c>
      <c r="HW63" s="3">
        <f>$H63*factors!HQ$3</f>
        <v>1.4400865103723999</v>
      </c>
      <c r="HX63" s="3">
        <f>$H63*factors!HR$3</f>
        <v>1.4990122059065998</v>
      </c>
      <c r="HY63" s="3">
        <f>$H63*factors!HS$3</f>
        <v>1.4242771774241998</v>
      </c>
      <c r="HZ63" s="3">
        <f>$H63*factors!HT$3</f>
        <v>1.4788912366997999</v>
      </c>
      <c r="IA63" s="3">
        <f>$H63*factors!HU$3</f>
        <v>1.4070306323898001</v>
      </c>
      <c r="IB63" s="3">
        <f>$H63*factors!HV$3</f>
        <v>1.4558958433205997</v>
      </c>
      <c r="IC63" s="3">
        <f>$H63*factors!HW$3</f>
        <v>1.4702679641826</v>
      </c>
      <c r="ID63" s="3">
        <f>$H63*factors!HX$3</f>
        <v>1.3653514818899999</v>
      </c>
      <c r="IE63" s="3">
        <f>$H63*factors!HY$3</f>
        <v>1.4501469949757997</v>
      </c>
      <c r="IF63" s="3">
        <f>$H63*factors!HZ$3</f>
        <v>1.4415237224585997</v>
      </c>
      <c r="IG63" s="3">
        <f>$H63*factors!IA$3</f>
        <v>1.4285888136828</v>
      </c>
      <c r="IH63" s="3">
        <f>$H63*factors!IB$3</f>
        <v>1.4817656608721999</v>
      </c>
      <c r="II63" s="3">
        <f>$H63*factors!IC$3</f>
        <v>1.4185283290794</v>
      </c>
      <c r="IJ63" s="3">
        <f>$H63*factors!ID$3</f>
        <v>1.4314632378551999</v>
      </c>
      <c r="IK63" s="3">
        <f>$H63*factors!IE$3</f>
        <v>1.4832028729583999</v>
      </c>
      <c r="IL63" s="3">
        <f>$H63*factors!IF$3</f>
        <v>1.4199655411656</v>
      </c>
      <c r="IM63" s="3">
        <f>$H63*factors!IG$3</f>
        <v>1.4070306323898001</v>
      </c>
      <c r="IN63" s="3">
        <f>$H63*factors!IH$3</f>
        <v>1.4156539049069998</v>
      </c>
      <c r="IO63" s="3">
        <f>$H63*factors!II$3</f>
        <v>1.4300260257689998</v>
      </c>
      <c r="IP63" s="3">
        <f>$H63*factors!IJ$3</f>
        <v>1.3825980269244</v>
      </c>
      <c r="IQ63" s="3">
        <f>$H63*factors!IK$3</f>
        <v>1.3782863906657998</v>
      </c>
      <c r="IR63" s="3">
        <f>$H63*factors!IL$3</f>
        <v>1.4185283290794</v>
      </c>
      <c r="IS63" s="3">
        <f>$H63*factors!IM$3</f>
        <v>1.4300260257689998</v>
      </c>
      <c r="IT63" s="3">
        <f>$H63*factors!IN$3</f>
        <v>1.4400865103723999</v>
      </c>
      <c r="IU63" s="3">
        <f>$H63*factors!IO$3</f>
        <v>1.4717051762688</v>
      </c>
      <c r="IV63" s="3">
        <f>$H63*factors!IP$3</f>
        <v>1.4903889333893998</v>
      </c>
      <c r="IW63" s="3">
        <f>$H63*factors!IQ$3</f>
        <v>1.4084678444759999</v>
      </c>
      <c r="IX63" s="3">
        <f>$H63*factors!IR$3</f>
        <v>1.4717051762688</v>
      </c>
      <c r="IY63" s="3">
        <f>$H63*factors!IS$3</f>
        <v>1.4501469949757997</v>
      </c>
      <c r="IZ63" s="3">
        <f>$H63*factors!IT$3</f>
        <v>1.4745796004412</v>
      </c>
      <c r="JA63" s="3">
        <f>$H63*factors!IU$3</f>
        <v>1.3926585115277998</v>
      </c>
      <c r="JB63" s="3">
        <f>$H63*factors!IV$3</f>
        <v>1.4185283290794</v>
      </c>
      <c r="JC63" s="3">
        <f>$H63*factors!IW$3</f>
        <v>1.3854724510968</v>
      </c>
      <c r="JD63" s="3">
        <f>$H63*factors!IX$3</f>
        <v>1.50907269051</v>
      </c>
      <c r="JE63" s="3">
        <f>$H63*factors!IY$3</f>
        <v>1.3897840873553997</v>
      </c>
      <c r="JF63" s="3">
        <f>$H63*factors!IZ$3</f>
        <v>1.4587702674929997</v>
      </c>
      <c r="JG63" s="3">
        <f>$H63*factors!JA$3</f>
        <v>1.4329004499413998</v>
      </c>
      <c r="JH63" s="3">
        <f>$H63*factors!JB$3</f>
        <v>1.4602074795792002</v>
      </c>
      <c r="JI63" s="3">
        <f>$H63*factors!JC$3</f>
        <v>1.3667886939762</v>
      </c>
      <c r="JJ63" s="3">
        <f>$H63*factors!JD$3</f>
        <v>1.4717051762688</v>
      </c>
      <c r="JK63" s="3">
        <f>$H63*factors!JE$3</f>
        <v>1.4242771774241998</v>
      </c>
      <c r="JL63" s="3">
        <f>$H63*factors!JF$3</f>
        <v>1.4817656608721999</v>
      </c>
      <c r="JM63" s="3">
        <f>$H63*factors!JG$3</f>
        <v>1.3825980269244</v>
      </c>
      <c r="JN63" s="3">
        <f>$H63*factors!JH$3</f>
        <v>1.3825980269244</v>
      </c>
      <c r="JO63" s="3">
        <f>$H63*factors!JI$3</f>
        <v>1.3653514818899999</v>
      </c>
      <c r="JP63" s="3">
        <f>$H63*factors!JJ$3</f>
        <v>1.4760168125273998</v>
      </c>
      <c r="JQ63" s="3">
        <f>$H63*factors!JK$3</f>
        <v>1.4386492982861998</v>
      </c>
      <c r="JR63" s="3">
        <f>$H63*factors!JL$3</f>
        <v>1.4947005696479998</v>
      </c>
      <c r="JS63" s="3">
        <f>$H63*factors!JM$3</f>
        <v>1.3653514818899999</v>
      </c>
      <c r="JT63" s="3">
        <f>$H63*factors!JN$3</f>
        <v>1.4343376620276</v>
      </c>
      <c r="JU63" s="3">
        <f>$H63*factors!JO$3</f>
        <v>1.3869096631829998</v>
      </c>
      <c r="JV63" s="3">
        <f>$H63*factors!JP$3</f>
        <v>1.4099050565622</v>
      </c>
      <c r="JW63" s="3">
        <f>$H63*factors!JQ$3</f>
        <v>1.5061982663376001</v>
      </c>
      <c r="JX63" s="3">
        <f>$H63*factors!JR$3</f>
        <v>1.4918261454755999</v>
      </c>
      <c r="JY63" s="3">
        <f>$H63*factors!JS$3</f>
        <v>1.4041562082173999</v>
      </c>
      <c r="JZ63" s="3">
        <f>$H63*factors!JT$3</f>
        <v>1.4199655411656</v>
      </c>
      <c r="KA63" s="3">
        <f>$H63*factors!JU$3</f>
        <v>1.4257143895104001</v>
      </c>
      <c r="KB63" s="3">
        <f>$H63*factors!JV$3</f>
        <v>1.3782863906657998</v>
      </c>
      <c r="KC63" s="3">
        <f>$H63*factors!JW$3</f>
        <v>1.3854724510968</v>
      </c>
      <c r="KD63" s="3">
        <f>$H63*factors!JX$3</f>
        <v>1.3869096631829998</v>
      </c>
      <c r="KE63" s="3">
        <f>$H63*factors!JY$3</f>
        <v>1.4760168125273998</v>
      </c>
      <c r="KF63" s="3">
        <f>$H63*factors!JZ$3</f>
        <v>1.4932633575617997</v>
      </c>
      <c r="KG63" s="3">
        <f>$H63*factors!KA$3</f>
        <v>1.4400865103723999</v>
      </c>
      <c r="KH63" s="3">
        <f>$H63*factors!KB$3</f>
        <v>1.4084678444759999</v>
      </c>
      <c r="KI63" s="3">
        <f>$H63*factors!KC$3</f>
        <v>1.3955329357001998</v>
      </c>
    </row>
    <row r="64" spans="1:295" x14ac:dyDescent="0.55000000000000004">
      <c r="A64" t="s">
        <v>440</v>
      </c>
      <c r="B64">
        <v>63</v>
      </c>
      <c r="C64">
        <v>230</v>
      </c>
      <c r="D64" t="s">
        <v>377</v>
      </c>
      <c r="E64">
        <v>3.3630000000000001E-3</v>
      </c>
      <c r="F64">
        <v>63</v>
      </c>
      <c r="G64">
        <f>VLOOKUP(D64,demand_forecasted!$A$2:$G$11,2)</f>
        <v>11098</v>
      </c>
      <c r="H64" s="3">
        <f t="shared" si="1"/>
        <v>0.37322574000000003</v>
      </c>
      <c r="I64" s="3">
        <f>$H64*factors!C$3</f>
        <v>0.41316089418000002</v>
      </c>
      <c r="J64" s="3">
        <f>$H64*factors!D$3</f>
        <v>0.39824679360960002</v>
      </c>
      <c r="K64" s="3">
        <f>$H64*factors!E$3</f>
        <v>0.39139436902320007</v>
      </c>
      <c r="L64" s="3">
        <f>$H64*factors!F$3</f>
        <v>0.3901851176256001</v>
      </c>
      <c r="M64" s="3">
        <f>$H64*factors!G$3</f>
        <v>0.38978203382640003</v>
      </c>
      <c r="N64" s="3">
        <f>$H64*factors!H$3</f>
        <v>0.40106838020400004</v>
      </c>
      <c r="O64" s="3">
        <f>$H64*factors!I$3</f>
        <v>0.40993622378640004</v>
      </c>
      <c r="P64" s="3">
        <f>$H64*factors!J$3</f>
        <v>0.41477322937680006</v>
      </c>
      <c r="Q64" s="3">
        <f>$H64*factors!K$3</f>
        <v>0.38937895002720002</v>
      </c>
      <c r="R64" s="3">
        <f>$H64*factors!L$3</f>
        <v>0.38292960924000002</v>
      </c>
      <c r="S64" s="3">
        <f>$H64*factors!M$3</f>
        <v>0.39864987740880004</v>
      </c>
      <c r="T64" s="3">
        <f>$H64*factors!N$3</f>
        <v>0.41235472658160005</v>
      </c>
      <c r="U64" s="3">
        <f>$H64*factors!O$3</f>
        <v>0.39058820142480005</v>
      </c>
      <c r="V64" s="3">
        <f>$H64*factors!P$3</f>
        <v>0.40630846959360006</v>
      </c>
      <c r="W64" s="3">
        <f>$H64*factors!Q$3</f>
        <v>0.40993622378640004</v>
      </c>
      <c r="X64" s="3">
        <f>$H64*factors!R$3</f>
        <v>0.39220053662160004</v>
      </c>
      <c r="Y64" s="3">
        <f>$H64*factors!S$3</f>
        <v>0.38857278242880006</v>
      </c>
      <c r="Z64" s="3">
        <f>$H64*factors!T$3</f>
        <v>0.41920715116800011</v>
      </c>
      <c r="AA64" s="3">
        <f>$H64*factors!U$3</f>
        <v>0.39582829081440002</v>
      </c>
      <c r="AB64" s="3">
        <f>$H64*factors!V$3</f>
        <v>0.39623137461360008</v>
      </c>
      <c r="AC64" s="3">
        <f>$H64*factors!W$3</f>
        <v>0.39663445841280009</v>
      </c>
      <c r="AD64" s="3">
        <f>$H64*factors!X$3</f>
        <v>0.38816969862960005</v>
      </c>
      <c r="AE64" s="3">
        <f>$H64*factors!Y$3</f>
        <v>0.39139436902320007</v>
      </c>
      <c r="AF64" s="3">
        <f>$H64*factors!Z$3</f>
        <v>0.39945604500720006</v>
      </c>
      <c r="AG64" s="3">
        <f>$H64*factors!AA$3</f>
        <v>0.38937895002720002</v>
      </c>
      <c r="AH64" s="3">
        <f>$H64*factors!AB$3</f>
        <v>0.38776661483040009</v>
      </c>
      <c r="AI64" s="3">
        <f>$H64*factors!AC$3</f>
        <v>0.40026221260560008</v>
      </c>
      <c r="AJ64" s="3">
        <f>$H64*factors!AD$3</f>
        <v>0.41557939697520002</v>
      </c>
      <c r="AK64" s="3">
        <f>$H64*factors!AE$3</f>
        <v>0.39985912880640007</v>
      </c>
      <c r="AL64" s="3">
        <f>$H64*factors!AF$3</f>
        <v>0.3841388606376</v>
      </c>
      <c r="AM64" s="3">
        <f>$H64*factors!AG$3</f>
        <v>0.39502212321600005</v>
      </c>
      <c r="AN64" s="3">
        <f>$H64*factors!AH$3</f>
        <v>0.38857278242880006</v>
      </c>
      <c r="AO64" s="3">
        <f>$H64*factors!AI$3</f>
        <v>0.40711463719200003</v>
      </c>
      <c r="AP64" s="3">
        <f>$H64*factors!AJ$3</f>
        <v>0.3901851176256001</v>
      </c>
      <c r="AQ64" s="3">
        <f>$H64*factors!AK$3</f>
        <v>0.40268071540080008</v>
      </c>
      <c r="AR64" s="3">
        <f>$H64*factors!AL$3</f>
        <v>0.39381287181840008</v>
      </c>
      <c r="AS64" s="3">
        <f>$H64*factors!AM$3</f>
        <v>0.3841388606376</v>
      </c>
      <c r="AT64" s="3">
        <f>$H64*factors!AN$3</f>
        <v>0.39623137461360008</v>
      </c>
      <c r="AU64" s="3">
        <f>$H64*factors!AO$3</f>
        <v>0.41961023496720001</v>
      </c>
      <c r="AV64" s="3">
        <f>$H64*factors!AP$3</f>
        <v>0.39663445841280009</v>
      </c>
      <c r="AW64" s="3">
        <f>$H64*factors!AQ$3</f>
        <v>0.39260362042079999</v>
      </c>
      <c r="AX64" s="3">
        <f>$H64*factors!AR$3</f>
        <v>0.41517631317600007</v>
      </c>
      <c r="AY64" s="3">
        <f>$H64*factors!AS$3</f>
        <v>0.38292960924000002</v>
      </c>
      <c r="AZ64" s="3">
        <f>$H64*factors!AT$3</f>
        <v>0.41033930758560011</v>
      </c>
      <c r="BA64" s="3">
        <f>$H64*factors!AU$3</f>
        <v>0.4014714640032</v>
      </c>
      <c r="BB64" s="3">
        <f>$H64*factors!AV$3</f>
        <v>0.39623137461360008</v>
      </c>
      <c r="BC64" s="3">
        <f>$H64*factors!AW$3</f>
        <v>0.41920715116800011</v>
      </c>
      <c r="BD64" s="3">
        <f>$H64*factors!AX$3</f>
        <v>0.38696044723200002</v>
      </c>
      <c r="BE64" s="3">
        <f>$H64*factors!AY$3</f>
        <v>0.45493978351559999</v>
      </c>
      <c r="BF64" s="3">
        <f>$H64*factors!AZ$3</f>
        <v>0.42367093101840003</v>
      </c>
      <c r="BG64" s="3">
        <f>$H64*factors!BA$3</f>
        <v>0.42983662024319996</v>
      </c>
      <c r="BH64" s="3">
        <f>$H64*factors!BB$3</f>
        <v>0.43556190309480003</v>
      </c>
      <c r="BI64" s="3">
        <f>$H64*factors!BC$3</f>
        <v>0.45141653252999997</v>
      </c>
      <c r="BJ64" s="3">
        <f>$H64*factors!BD$3</f>
        <v>0.4311578393628</v>
      </c>
      <c r="BK64" s="3">
        <f>$H64*factors!BE$3</f>
        <v>0.43203865210919995</v>
      </c>
      <c r="BL64" s="3">
        <f>$H64*factors!BF$3</f>
        <v>0.42719418200399994</v>
      </c>
      <c r="BM64" s="3">
        <f>$H64*factors!BG$3</f>
        <v>0.45626100263520003</v>
      </c>
      <c r="BN64" s="3">
        <f>$H64*factors!BH$3</f>
        <v>0.45053571978359996</v>
      </c>
      <c r="BO64" s="3">
        <f>$H64*factors!BI$3</f>
        <v>0.42367093101840003</v>
      </c>
      <c r="BP64" s="3">
        <f>$H64*factors!BJ$3</f>
        <v>0.4223497118988</v>
      </c>
      <c r="BQ64" s="3">
        <f>$H64*factors!BK$3</f>
        <v>0.42939621386999999</v>
      </c>
      <c r="BR64" s="3">
        <f>$H64*factors!BL$3</f>
        <v>0.44481043693200001</v>
      </c>
      <c r="BS64" s="3">
        <f>$H64*factors!BM$3</f>
        <v>0.4518569389032</v>
      </c>
      <c r="BT64" s="3">
        <f>$H64*factors!BN$3</f>
        <v>0.45317815802279998</v>
      </c>
      <c r="BU64" s="3">
        <f>$H64*factors!BO$3</f>
        <v>0.46066506636720006</v>
      </c>
      <c r="BV64" s="3">
        <f>$H64*factors!BP$3</f>
        <v>0.42851540112359998</v>
      </c>
      <c r="BW64" s="3">
        <f>$H64*factors!BQ$3</f>
        <v>0.43820434133399999</v>
      </c>
      <c r="BX64" s="3">
        <f>$H64*factors!BR$3</f>
        <v>0.42983662024319996</v>
      </c>
      <c r="BY64" s="3">
        <f>$H64*factors!BS$3</f>
        <v>0.44965490703719996</v>
      </c>
      <c r="BZ64" s="3">
        <f>$H64*factors!BT$3</f>
        <v>0.44128718594639998</v>
      </c>
      <c r="CA64" s="3">
        <f>$H64*factors!BU$3</f>
        <v>0.43556190309480003</v>
      </c>
      <c r="CB64" s="3">
        <f>$H64*factors!BV$3</f>
        <v>0.42146889915239999</v>
      </c>
      <c r="CC64" s="3">
        <f>$H64*factors!BW$3</f>
        <v>0.43380027760200002</v>
      </c>
      <c r="CD64" s="3">
        <f>$H64*factors!BX$3</f>
        <v>0.43512149672160005</v>
      </c>
      <c r="CE64" s="3">
        <f>$H64*factors!BY$3</f>
        <v>0.44128718594639998</v>
      </c>
      <c r="CF64" s="3">
        <f>$H64*factors!BZ$3</f>
        <v>0.43468109034840002</v>
      </c>
      <c r="CG64" s="3">
        <f>$H64*factors!CA$3</f>
        <v>0.42014768003279995</v>
      </c>
      <c r="CH64" s="3">
        <f>$H64*factors!CB$3</f>
        <v>0.42058808640599993</v>
      </c>
      <c r="CI64" s="3">
        <f>$H64*factors!CC$3</f>
        <v>0.41838605454000005</v>
      </c>
      <c r="CJ64" s="3">
        <f>$H64*factors!CD$3</f>
        <v>0.43556190309480003</v>
      </c>
      <c r="CK64" s="3">
        <f>$H64*factors!CE$3</f>
        <v>0.45493978351559999</v>
      </c>
      <c r="CL64" s="3">
        <f>$H64*factors!CF$3</f>
        <v>0.42631336925759999</v>
      </c>
      <c r="CM64" s="3">
        <f>$H64*factors!CG$3</f>
        <v>0.43644271584119998</v>
      </c>
      <c r="CN64" s="3">
        <f>$H64*factors!CH$3</f>
        <v>0.42190930552559996</v>
      </c>
      <c r="CO64" s="3">
        <f>$H64*factors!CI$3</f>
        <v>0.42499215013799996</v>
      </c>
      <c r="CP64" s="3">
        <f>$H64*factors!CJ$3</f>
        <v>0.44525084330519993</v>
      </c>
      <c r="CQ64" s="3">
        <f>$H64*factors!CK$3</f>
        <v>0.43203865210919995</v>
      </c>
      <c r="CR64" s="3">
        <f>$H64*factors!CL$3</f>
        <v>0.44569124967840001</v>
      </c>
      <c r="CS64" s="3">
        <f>$H64*factors!CM$3</f>
        <v>0.4597842536208</v>
      </c>
      <c r="CT64" s="3">
        <f>$H64*factors!CN$3</f>
        <v>0.45449937714240002</v>
      </c>
      <c r="CU64" s="3">
        <f>$H64*factors!CO$3</f>
        <v>0.44437003055879998</v>
      </c>
      <c r="CV64" s="3">
        <f>$H64*factors!CP$3</f>
        <v>0.46242669186000002</v>
      </c>
      <c r="CW64" s="3">
        <f>$H64*factors!CQ$3</f>
        <v>0.43732352858760004</v>
      </c>
      <c r="CX64" s="3">
        <f>$H64*factors!CR$3</f>
        <v>0.43071743298960002</v>
      </c>
      <c r="CY64" s="3">
        <f>$H64*factors!CS$3</f>
        <v>0.42675377563079997</v>
      </c>
      <c r="CZ64" s="3">
        <f>$H64*factors!CT$3</f>
        <v>0.42058808640599993</v>
      </c>
      <c r="DA64" s="3">
        <f>$H64*factors!CU$3</f>
        <v>0.43667411579999998</v>
      </c>
      <c r="DB64" s="3">
        <f>$H64*factors!CV$3</f>
        <v>0.46488998174400004</v>
      </c>
      <c r="DC64" s="3">
        <f>$H64*factors!CW$3</f>
        <v>0.44518366267199999</v>
      </c>
      <c r="DD64" s="3">
        <f>$H64*factors!CX$3</f>
        <v>0.44204856645599999</v>
      </c>
      <c r="DE64" s="3">
        <f>$H64*factors!CY$3</f>
        <v>0.45503682220800007</v>
      </c>
      <c r="DF64" s="3">
        <f>$H64*factors!CZ$3</f>
        <v>0.45414108043199997</v>
      </c>
      <c r="DG64" s="3">
        <f>$H64*factors!DA$3</f>
        <v>0.45234959688000004</v>
      </c>
      <c r="DH64" s="3">
        <f>$H64*factors!DB$3</f>
        <v>0.45234959688000004</v>
      </c>
      <c r="DI64" s="3">
        <f>$H64*factors!DC$3</f>
        <v>0.43533050313599997</v>
      </c>
      <c r="DJ64" s="3">
        <f>$H64*factors!DD$3</f>
        <v>0.46130701464000001</v>
      </c>
      <c r="DK64" s="3">
        <f>$H64*factors!DE$3</f>
        <v>0.46130701464000001</v>
      </c>
      <c r="DL64" s="3">
        <f>$H64*factors!DF$3</f>
        <v>0.45593256398400006</v>
      </c>
      <c r="DM64" s="3">
        <f>$H64*factors!DG$3</f>
        <v>0.42950818159199999</v>
      </c>
      <c r="DN64" s="3">
        <f>$H64*factors!DH$3</f>
        <v>0.45055811332800005</v>
      </c>
      <c r="DO64" s="3">
        <f>$H64*factors!DI$3</f>
        <v>0.465337852632</v>
      </c>
      <c r="DP64" s="3">
        <f>$H64*factors!DJ$3</f>
        <v>0.46130701464000001</v>
      </c>
      <c r="DQ64" s="3">
        <f>$H64*factors!DK$3</f>
        <v>0.43980921201599998</v>
      </c>
      <c r="DR64" s="3">
        <f>$H64*factors!DL$3</f>
        <v>0.43488263224800006</v>
      </c>
      <c r="DS64" s="3">
        <f>$H64*factors!DM$3</f>
        <v>0.46981656151200002</v>
      </c>
      <c r="DT64" s="3">
        <f>$H64*factors!DN$3</f>
        <v>0.44160069556800002</v>
      </c>
      <c r="DU64" s="3">
        <f>$H64*factors!DO$3</f>
        <v>0.462202756416</v>
      </c>
      <c r="DV64" s="3">
        <f>$H64*factors!DP$3</f>
        <v>0.45145385510400005</v>
      </c>
      <c r="DW64" s="3">
        <f>$H64*factors!DQ$3</f>
        <v>0.43085179425600001</v>
      </c>
      <c r="DX64" s="3">
        <f>$H64*factors!DR$3</f>
        <v>0.45638043487199997</v>
      </c>
      <c r="DY64" s="3">
        <f>$H64*factors!DS$3</f>
        <v>0.43309114869599996</v>
      </c>
      <c r="DZ64" s="3">
        <f>$H64*factors!DT$3</f>
        <v>0.463098498192</v>
      </c>
      <c r="EA64" s="3">
        <f>$H64*factors!DU$3</f>
        <v>0.43622624491199996</v>
      </c>
      <c r="EB64" s="3">
        <f>$H64*factors!DV$3</f>
        <v>0.4254773436</v>
      </c>
      <c r="EC64" s="3">
        <f>$H64*factors!DW$3</f>
        <v>0.45772404753599999</v>
      </c>
      <c r="ED64" s="3">
        <f>$H64*factors!DX$3</f>
        <v>0.42950818159199999</v>
      </c>
      <c r="EE64" s="3">
        <f>$H64*factors!DY$3</f>
        <v>0.43309114869599996</v>
      </c>
      <c r="EF64" s="3">
        <f>$H64*factors!DZ$3</f>
        <v>0.46981656151200002</v>
      </c>
      <c r="EG64" s="3">
        <f>$H64*factors!EA$3</f>
        <v>0.43891347023999999</v>
      </c>
      <c r="EH64" s="3">
        <f>$H64*factors!EB$3</f>
        <v>0.44025708290400001</v>
      </c>
      <c r="EI64" s="3">
        <f>$H64*factors!EC$3</f>
        <v>0.43936134112800002</v>
      </c>
      <c r="EJ64" s="3">
        <f>$H64*factors!ED$3</f>
        <v>0.42816456892800003</v>
      </c>
      <c r="EK64" s="3">
        <f>$H64*factors!EE$3</f>
        <v>0.45772404753599999</v>
      </c>
      <c r="EL64" s="3">
        <f>$H64*factors!EF$3</f>
        <v>0.43533050313599997</v>
      </c>
      <c r="EM64" s="3">
        <f>$H64*factors!EG$3</f>
        <v>0.45279746776799995</v>
      </c>
      <c r="EN64" s="3">
        <f>$H64*factors!EH$3</f>
        <v>0.4254773436</v>
      </c>
      <c r="EO64" s="3">
        <f>$H64*factors!EI$3</f>
        <v>0.43174753603199995</v>
      </c>
      <c r="EP64" s="3">
        <f>$H64*factors!EJ$3</f>
        <v>0.45548469309599998</v>
      </c>
      <c r="EQ64" s="3">
        <f>$H64*factors!EK$3</f>
        <v>0.44294430823199998</v>
      </c>
      <c r="ER64" s="3">
        <f>$H64*factors!EL$3</f>
        <v>0.46130701464000001</v>
      </c>
      <c r="ES64" s="3">
        <f>$H64*factors!EM$3</f>
        <v>0.45548469309599998</v>
      </c>
      <c r="ET64" s="3">
        <f>$H64*factors!EN$3</f>
        <v>0.46578572352000003</v>
      </c>
      <c r="EU64" s="3">
        <f>$H64*factors!EO$3</f>
        <v>0.47026443240000004</v>
      </c>
      <c r="EV64" s="3">
        <f>$H64*factors!EP$3</f>
        <v>0.44070495379199998</v>
      </c>
      <c r="EW64" s="3">
        <f>$H64*factors!EQ$3</f>
        <v>0.48472692982499999</v>
      </c>
      <c r="EX64" s="3">
        <f>$H64*factors!ER$3</f>
        <v>0.47959507590000011</v>
      </c>
      <c r="EY64" s="3">
        <f>$H64*factors!ES$3</f>
        <v>0.48939225157499994</v>
      </c>
      <c r="EZ64" s="3">
        <f>$H64*factors!ET$3</f>
        <v>0.48472692982499999</v>
      </c>
      <c r="FA64" s="3">
        <f>$H64*factors!EU$3</f>
        <v>0.44553822712499996</v>
      </c>
      <c r="FB64" s="3">
        <f>$H64*factors!EV$3</f>
        <v>0.46559911065000004</v>
      </c>
      <c r="FC64" s="3">
        <f>$H64*factors!EW$3</f>
        <v>0.47866201155000004</v>
      </c>
      <c r="FD64" s="3">
        <f>$H64*factors!EX$3</f>
        <v>0.46186685325000004</v>
      </c>
      <c r="FE64" s="3">
        <f>$H64*factors!EY$3</f>
        <v>0.48659305852500001</v>
      </c>
      <c r="FF64" s="3">
        <f>$H64*factors!EZ$3</f>
        <v>0.4870595907000001</v>
      </c>
      <c r="FG64" s="3">
        <f>$H64*factors!FA$3</f>
        <v>0.44553822712499996</v>
      </c>
      <c r="FH64" s="3">
        <f>$H64*factors!FB$3</f>
        <v>0.468864835875</v>
      </c>
      <c r="FI64" s="3">
        <f>$H64*factors!FC$3</f>
        <v>0.48845918722499998</v>
      </c>
      <c r="FJ64" s="3">
        <f>$H64*factors!FD$3</f>
        <v>0.468864835875</v>
      </c>
      <c r="FK64" s="3">
        <f>$H64*factors!FE$3</f>
        <v>0.47679588285000007</v>
      </c>
      <c r="FL64" s="3">
        <f>$H64*factors!FF$3</f>
        <v>0.47819547937500001</v>
      </c>
      <c r="FM64" s="3">
        <f>$H64*factors!FG$3</f>
        <v>0.48332733329999999</v>
      </c>
      <c r="FN64" s="3">
        <f>$H64*factors!FH$3</f>
        <v>0.452069677575</v>
      </c>
      <c r="FO64" s="3">
        <f>$H64*factors!FI$3</f>
        <v>0.48006160807499998</v>
      </c>
      <c r="FP64" s="3">
        <f>$H64*factors!FJ$3</f>
        <v>0.46653217500000005</v>
      </c>
      <c r="FQ64" s="3">
        <f>$H64*factors!FK$3</f>
        <v>0.46186685325000004</v>
      </c>
      <c r="FR64" s="3">
        <f>$H64*factors!FL$3</f>
        <v>0.47119749675</v>
      </c>
      <c r="FS64" s="3">
        <f>$H64*factors!FM$3</f>
        <v>0.46839830370000002</v>
      </c>
      <c r="FT64" s="3">
        <f>$H64*factors!FN$3</f>
        <v>0.47866201155000004</v>
      </c>
      <c r="FU64" s="3">
        <f>$H64*factors!FO$3</f>
        <v>0.46000072455000002</v>
      </c>
      <c r="FV64" s="3">
        <f>$H64*factors!FP$3</f>
        <v>0.45626846715000002</v>
      </c>
      <c r="FW64" s="3">
        <f>$H64*factors!FQ$3</f>
        <v>0.48845918722499998</v>
      </c>
      <c r="FX64" s="3">
        <f>$H64*factors!FR$3</f>
        <v>0.47959507590000011</v>
      </c>
      <c r="FY64" s="3">
        <f>$H64*factors!FS$3</f>
        <v>0.46979790022499995</v>
      </c>
      <c r="FZ64" s="3">
        <f>$H64*factors!FT$3</f>
        <v>0.44647129147500003</v>
      </c>
      <c r="GA64" s="3">
        <f>$H64*factors!FU$3</f>
        <v>0.46979790022499995</v>
      </c>
      <c r="GB64" s="3">
        <f>$H64*factors!FV$3</f>
        <v>0.4870595907000001</v>
      </c>
      <c r="GC64" s="3">
        <f>$H64*factors!FW$3</f>
        <v>0.45626846715000002</v>
      </c>
      <c r="GD64" s="3">
        <f>$H64*factors!FX$3</f>
        <v>0.46419951412499999</v>
      </c>
      <c r="GE64" s="3">
        <f>$H64*factors!FY$3</f>
        <v>0.46419951412499999</v>
      </c>
      <c r="GF64" s="3">
        <f>$H64*factors!FZ$3</f>
        <v>0.46279991760000005</v>
      </c>
      <c r="GG64" s="3">
        <f>$H64*factors!GA$3</f>
        <v>0.44460516277500001</v>
      </c>
      <c r="GH64" s="3">
        <f>$H64*factors!GB$3</f>
        <v>0.47306362545000008</v>
      </c>
      <c r="GI64" s="3">
        <f>$H64*factors!GC$3</f>
        <v>0.44367209842500005</v>
      </c>
      <c r="GJ64" s="3">
        <f>$H64*factors!GD$3</f>
        <v>0.44460516277500001</v>
      </c>
      <c r="GK64" s="3">
        <f>$H64*factors!GE$3</f>
        <v>0.45580193497499999</v>
      </c>
      <c r="GL64" s="3">
        <f>$H64*factors!GF$3</f>
        <v>0.48286080112500002</v>
      </c>
      <c r="GM64" s="3">
        <f>$H64*factors!GG$3</f>
        <v>0.45766806367500007</v>
      </c>
      <c r="GN64" s="3">
        <f>$H64*factors!GH$3</f>
        <v>0.47213056110000007</v>
      </c>
      <c r="GO64" s="3">
        <f>$H64*factors!GI$3</f>
        <v>0.4460047593</v>
      </c>
      <c r="GP64" s="3">
        <f>$H64*factors!GJ$3</f>
        <v>0.47819547937500001</v>
      </c>
      <c r="GQ64" s="3">
        <f>$H64*factors!GK$3</f>
        <v>0.48799265505000006</v>
      </c>
      <c r="GR64" s="3">
        <f>$H64*factors!GL$3</f>
        <v>0.47866201155000004</v>
      </c>
      <c r="GS64" s="3">
        <f>$H64*factors!GM$3</f>
        <v>0.45266683875900005</v>
      </c>
      <c r="GT64" s="3">
        <f>$H64*factors!GN$3</f>
        <v>0.46309476593460008</v>
      </c>
      <c r="GU64" s="3">
        <f>$H64*factors!GO$3</f>
        <v>0.47399668980000004</v>
      </c>
      <c r="GV64" s="3">
        <f>$H64*factors!GP$3</f>
        <v>0.45503682220800007</v>
      </c>
      <c r="GW64" s="3">
        <f>$H64*factors!GQ$3</f>
        <v>0.47115270966120004</v>
      </c>
      <c r="GX64" s="3">
        <f>$H64*factors!GR$3</f>
        <v>0.4635687626244</v>
      </c>
      <c r="GY64" s="3">
        <f>$H64*factors!GS$3</f>
        <v>0.46119877917540009</v>
      </c>
      <c r="GZ64" s="3">
        <f>$H64*factors!GT$3</f>
        <v>0.4782626600082</v>
      </c>
      <c r="HA64" s="3">
        <f>$H64*factors!GU$3</f>
        <v>0.4626207692448</v>
      </c>
      <c r="HB64" s="3">
        <f>$H64*factors!GV$3</f>
        <v>0.4782626600082</v>
      </c>
      <c r="HC64" s="3">
        <f>$H64*factors!GW$3</f>
        <v>0.46641274276319999</v>
      </c>
      <c r="HD64" s="3">
        <f>$H64*factors!GX$3</f>
        <v>0.48015864676739994</v>
      </c>
      <c r="HE64" s="3">
        <f>$H64*factors!GY$3</f>
        <v>0.47399668980000004</v>
      </c>
      <c r="HF64" s="3">
        <f>$H64*factors!GZ$3</f>
        <v>0.48869058718379998</v>
      </c>
      <c r="HG64" s="3">
        <f>$H64*factors!HA$3</f>
        <v>0.46973071959180002</v>
      </c>
      <c r="HH64" s="3">
        <f>$H64*factors!HB$3</f>
        <v>0.4635687626244</v>
      </c>
      <c r="HI64" s="3">
        <f>$H64*factors!HC$3</f>
        <v>0.45788080234680006</v>
      </c>
      <c r="HJ64" s="3">
        <f>$H64*factors!HD$3</f>
        <v>0.45266683875900005</v>
      </c>
      <c r="HK64" s="3">
        <f>$H64*factors!HE$3</f>
        <v>0.47873665669800003</v>
      </c>
      <c r="HL64" s="3">
        <f>$H64*factors!HF$3</f>
        <v>0.45124484868960002</v>
      </c>
      <c r="HM64" s="3">
        <f>$H64*factors!HG$3</f>
        <v>0.45598481558760007</v>
      </c>
      <c r="HN64" s="3">
        <f>$H64*factors!HH$3</f>
        <v>0.48632060373480007</v>
      </c>
      <c r="HO64" s="3">
        <f>$H64*factors!HI$3</f>
        <v>0.46641274276319999</v>
      </c>
      <c r="HP64" s="3">
        <f>$H64*factors!HJ$3</f>
        <v>0.49769652429000011</v>
      </c>
      <c r="HQ64" s="3">
        <f>$H64*factors!HK$3</f>
        <v>0.45503682220800007</v>
      </c>
      <c r="HR64" s="3">
        <f>$H64*factors!HL$3</f>
        <v>0.48252863021640008</v>
      </c>
      <c r="HS64" s="3">
        <f>$H64*factors!HM$3</f>
        <v>0.49106057063280006</v>
      </c>
      <c r="HT64" s="3">
        <f>$H64*factors!HN$3</f>
        <v>0.45788080234680006</v>
      </c>
      <c r="HU64" s="3">
        <f>$H64*factors!HO$3</f>
        <v>0.4626207692448</v>
      </c>
      <c r="HV64" s="3">
        <f>$H64*factors!HP$3</f>
        <v>0.46830872952240005</v>
      </c>
      <c r="HW64" s="3">
        <f>$H64*factors!HQ$3</f>
        <v>0.47494468317960004</v>
      </c>
      <c r="HX64" s="3">
        <f>$H64*factors!HR$3</f>
        <v>0.49437854746139998</v>
      </c>
      <c r="HY64" s="3">
        <f>$H64*factors!HS$3</f>
        <v>0.46973071959180002</v>
      </c>
      <c r="HZ64" s="3">
        <f>$H64*factors!HT$3</f>
        <v>0.48774259380419999</v>
      </c>
      <c r="IA64" s="3">
        <f>$H64*factors!HU$3</f>
        <v>0.46404275931420003</v>
      </c>
      <c r="IB64" s="3">
        <f>$H64*factors!HV$3</f>
        <v>0.48015864676739994</v>
      </c>
      <c r="IC64" s="3">
        <f>$H64*factors!HW$3</f>
        <v>0.48489861366540005</v>
      </c>
      <c r="ID64" s="3">
        <f>$H64*factors!HX$3</f>
        <v>0.45029685531000002</v>
      </c>
      <c r="IE64" s="3">
        <f>$H64*factors!HY$3</f>
        <v>0.4782626600082</v>
      </c>
      <c r="IF64" s="3">
        <f>$H64*factors!HZ$3</f>
        <v>0.47541867986940001</v>
      </c>
      <c r="IG64" s="3">
        <f>$H64*factors!IA$3</f>
        <v>0.47115270966120004</v>
      </c>
      <c r="IH64" s="3">
        <f>$H64*factors!IB$3</f>
        <v>0.48869058718379998</v>
      </c>
      <c r="II64" s="3">
        <f>$H64*factors!IC$3</f>
        <v>0.46783473283260002</v>
      </c>
      <c r="IJ64" s="3">
        <f>$H64*factors!ID$3</f>
        <v>0.47210070304080004</v>
      </c>
      <c r="IK64" s="3">
        <f>$H64*factors!IE$3</f>
        <v>0.48916458387360007</v>
      </c>
      <c r="IL64" s="3">
        <f>$H64*factors!IF$3</f>
        <v>0.46830872952240005</v>
      </c>
      <c r="IM64" s="3">
        <f>$H64*factors!IG$3</f>
        <v>0.46404275931420003</v>
      </c>
      <c r="IN64" s="3">
        <f>$H64*factors!IH$3</f>
        <v>0.46688673945300002</v>
      </c>
      <c r="IO64" s="3">
        <f>$H64*factors!II$3</f>
        <v>0.47162670635100001</v>
      </c>
      <c r="IP64" s="3">
        <f>$H64*factors!IJ$3</f>
        <v>0.45598481558760007</v>
      </c>
      <c r="IQ64" s="3">
        <f>$H64*factors!IK$3</f>
        <v>0.45456282551820004</v>
      </c>
      <c r="IR64" s="3">
        <f>$H64*factors!IL$3</f>
        <v>0.46783473283260002</v>
      </c>
      <c r="IS64" s="3">
        <f>$H64*factors!IM$3</f>
        <v>0.47162670635100001</v>
      </c>
      <c r="IT64" s="3">
        <f>$H64*factors!IN$3</f>
        <v>0.47494468317960004</v>
      </c>
      <c r="IU64" s="3">
        <f>$H64*factors!IO$3</f>
        <v>0.48537261035520007</v>
      </c>
      <c r="IV64" s="3">
        <f>$H64*factors!IP$3</f>
        <v>0.49153456732259998</v>
      </c>
      <c r="IW64" s="3">
        <f>$H64*factors!IQ$3</f>
        <v>0.464516756004</v>
      </c>
      <c r="IX64" s="3">
        <f>$H64*factors!IR$3</f>
        <v>0.48537261035520007</v>
      </c>
      <c r="IY64" s="3">
        <f>$H64*factors!IS$3</f>
        <v>0.4782626600082</v>
      </c>
      <c r="IZ64" s="3">
        <f>$H64*factors!IT$3</f>
        <v>0.48632060373480007</v>
      </c>
      <c r="JA64" s="3">
        <f>$H64*factors!IU$3</f>
        <v>0.45930279241619998</v>
      </c>
      <c r="JB64" s="3">
        <f>$H64*factors!IV$3</f>
        <v>0.46783473283260002</v>
      </c>
      <c r="JC64" s="3">
        <f>$H64*factors!IW$3</f>
        <v>0.45693280896720007</v>
      </c>
      <c r="JD64" s="3">
        <f>$H64*factors!IX$3</f>
        <v>0.49769652429000011</v>
      </c>
      <c r="JE64" s="3">
        <f>$H64*factors!IY$3</f>
        <v>0.45835479903659998</v>
      </c>
      <c r="JF64" s="3">
        <f>$H64*factors!IZ$3</f>
        <v>0.48110664014699994</v>
      </c>
      <c r="JG64" s="3">
        <f>$H64*factors!JA$3</f>
        <v>0.47257469973060001</v>
      </c>
      <c r="JH64" s="3">
        <f>$H64*factors!JB$3</f>
        <v>0.48158063683680008</v>
      </c>
      <c r="JI64" s="3">
        <f>$H64*factors!JC$3</f>
        <v>0.45077085199980005</v>
      </c>
      <c r="JJ64" s="3">
        <f>$H64*factors!JD$3</f>
        <v>0.48537261035520007</v>
      </c>
      <c r="JK64" s="3">
        <f>$H64*factors!JE$3</f>
        <v>0.46973071959180002</v>
      </c>
      <c r="JL64" s="3">
        <f>$H64*factors!JF$3</f>
        <v>0.48869058718379998</v>
      </c>
      <c r="JM64" s="3">
        <f>$H64*factors!JG$3</f>
        <v>0.45598481558760007</v>
      </c>
      <c r="JN64" s="3">
        <f>$H64*factors!JH$3</f>
        <v>0.45598481558760007</v>
      </c>
      <c r="JO64" s="3">
        <f>$H64*factors!JI$3</f>
        <v>0.45029685531000002</v>
      </c>
      <c r="JP64" s="3">
        <f>$H64*factors!JJ$3</f>
        <v>0.48679460042460004</v>
      </c>
      <c r="JQ64" s="3">
        <f>$H64*factors!JK$3</f>
        <v>0.47447068648980001</v>
      </c>
      <c r="JR64" s="3">
        <f>$H64*factors!JL$3</f>
        <v>0.49295655739200001</v>
      </c>
      <c r="JS64" s="3">
        <f>$H64*factors!JM$3</f>
        <v>0.45029685531000002</v>
      </c>
      <c r="JT64" s="3">
        <f>$H64*factors!JN$3</f>
        <v>0.47304869642040004</v>
      </c>
      <c r="JU64" s="3">
        <f>$H64*factors!JO$3</f>
        <v>0.45740680565699998</v>
      </c>
      <c r="JV64" s="3">
        <f>$H64*factors!JP$3</f>
        <v>0.46499075269380002</v>
      </c>
      <c r="JW64" s="3">
        <f>$H64*factors!JQ$3</f>
        <v>0.49674853091040011</v>
      </c>
      <c r="JX64" s="3">
        <f>$H64*factors!JR$3</f>
        <v>0.49200856401240001</v>
      </c>
      <c r="JY64" s="3">
        <f>$H64*factors!JS$3</f>
        <v>0.46309476593460008</v>
      </c>
      <c r="JZ64" s="3">
        <f>$H64*factors!JT$3</f>
        <v>0.46830872952240005</v>
      </c>
      <c r="KA64" s="3">
        <f>$H64*factors!JU$3</f>
        <v>0.47020471628160004</v>
      </c>
      <c r="KB64" s="3">
        <f>$H64*factors!JV$3</f>
        <v>0.45456282551820004</v>
      </c>
      <c r="KC64" s="3">
        <f>$H64*factors!JW$3</f>
        <v>0.45693280896720007</v>
      </c>
      <c r="KD64" s="3">
        <f>$H64*factors!JX$3</f>
        <v>0.45740680565699998</v>
      </c>
      <c r="KE64" s="3">
        <f>$H64*factors!JY$3</f>
        <v>0.48679460042460004</v>
      </c>
      <c r="KF64" s="3">
        <f>$H64*factors!JZ$3</f>
        <v>0.49248256070219998</v>
      </c>
      <c r="KG64" s="3">
        <f>$H64*factors!KA$3</f>
        <v>0.47494468317960004</v>
      </c>
      <c r="KH64" s="3">
        <f>$H64*factors!KB$3</f>
        <v>0.464516756004</v>
      </c>
      <c r="KI64" s="3">
        <f>$H64*factors!KC$3</f>
        <v>0.46025078579579998</v>
      </c>
    </row>
    <row r="65" spans="1:295" x14ac:dyDescent="0.55000000000000004">
      <c r="A65" t="s">
        <v>441</v>
      </c>
      <c r="B65">
        <v>64</v>
      </c>
      <c r="C65">
        <v>230</v>
      </c>
      <c r="D65" t="s">
        <v>377</v>
      </c>
      <c r="E65">
        <v>4.0080000000000003E-3</v>
      </c>
      <c r="F65">
        <v>64</v>
      </c>
      <c r="G65">
        <f>VLOOKUP(D65,demand_forecasted!$A$2:$G$11,2)</f>
        <v>11098</v>
      </c>
      <c r="H65" s="3">
        <f t="shared" si="1"/>
        <v>0.44480784000000001</v>
      </c>
      <c r="I65" s="3">
        <f>$H65*factors!C$3</f>
        <v>0.49240227887999999</v>
      </c>
      <c r="J65" s="3">
        <f>$H65*factors!D$3</f>
        <v>0.47462775759359999</v>
      </c>
      <c r="K65" s="3">
        <f>$H65*factors!E$3</f>
        <v>0.46646108565120004</v>
      </c>
      <c r="L65" s="3">
        <f>$H65*factors!F$3</f>
        <v>0.4650199082496001</v>
      </c>
      <c r="M65" s="3">
        <f>$H65*factors!G$3</f>
        <v>0.46453951578239999</v>
      </c>
      <c r="N65" s="3">
        <f>$H65*factors!H$3</f>
        <v>0.47799050486400002</v>
      </c>
      <c r="O65" s="3">
        <f>$H65*factors!I$3</f>
        <v>0.48855913914240001</v>
      </c>
      <c r="P65" s="3">
        <f>$H65*factors!J$3</f>
        <v>0.49432384874880003</v>
      </c>
      <c r="Q65" s="3">
        <f>$H65*factors!K$3</f>
        <v>0.4640591233152</v>
      </c>
      <c r="R65" s="3">
        <f>$H65*factors!L$3</f>
        <v>0.45637284384000004</v>
      </c>
      <c r="S65" s="3">
        <f>$H65*factors!M$3</f>
        <v>0.47510815006079998</v>
      </c>
      <c r="T65" s="3">
        <f>$H65*factors!N$3</f>
        <v>0.49144149394560005</v>
      </c>
      <c r="U65" s="3">
        <f>$H65*factors!O$3</f>
        <v>0.46550030071680004</v>
      </c>
      <c r="V65" s="3">
        <f>$H65*factors!P$3</f>
        <v>0.48423560693760004</v>
      </c>
      <c r="W65" s="3">
        <f>$H65*factors!Q$3</f>
        <v>0.48855913914240001</v>
      </c>
      <c r="X65" s="3">
        <f>$H65*factors!R$3</f>
        <v>0.46742187058560003</v>
      </c>
      <c r="Y65" s="3">
        <f>$H65*factors!S$3</f>
        <v>0.46309833838080006</v>
      </c>
      <c r="Z65" s="3">
        <f>$H65*factors!T$3</f>
        <v>0.49960816588800011</v>
      </c>
      <c r="AA65" s="3">
        <f>$H65*factors!U$3</f>
        <v>0.4717454027904</v>
      </c>
      <c r="AB65" s="3">
        <f>$H65*factors!V$3</f>
        <v>0.47222579525760006</v>
      </c>
      <c r="AC65" s="3">
        <f>$H65*factors!W$3</f>
        <v>0.47270618772480005</v>
      </c>
      <c r="AD65" s="3">
        <f>$H65*factors!X$3</f>
        <v>0.46261794591360006</v>
      </c>
      <c r="AE65" s="3">
        <f>$H65*factors!Y$3</f>
        <v>0.46646108565120004</v>
      </c>
      <c r="AF65" s="3">
        <f>$H65*factors!Z$3</f>
        <v>0.47606893499520009</v>
      </c>
      <c r="AG65" s="3">
        <f>$H65*factors!AA$3</f>
        <v>0.4640591233152</v>
      </c>
      <c r="AH65" s="3">
        <f>$H65*factors!AB$3</f>
        <v>0.46213755344640006</v>
      </c>
      <c r="AI65" s="3">
        <f>$H65*factors!AC$3</f>
        <v>0.47702971992960003</v>
      </c>
      <c r="AJ65" s="3">
        <f>$H65*factors!AD$3</f>
        <v>0.49528463368320003</v>
      </c>
      <c r="AK65" s="3">
        <f>$H65*factors!AE$3</f>
        <v>0.47654932746240003</v>
      </c>
      <c r="AL65" s="3">
        <f>$H65*factors!AF$3</f>
        <v>0.45781402124159998</v>
      </c>
      <c r="AM65" s="3">
        <f>$H65*factors!AG$3</f>
        <v>0.47078461785600001</v>
      </c>
      <c r="AN65" s="3">
        <f>$H65*factors!AH$3</f>
        <v>0.46309833838080006</v>
      </c>
      <c r="AO65" s="3">
        <f>$H65*factors!AI$3</f>
        <v>0.48519639187200003</v>
      </c>
      <c r="AP65" s="3">
        <f>$H65*factors!AJ$3</f>
        <v>0.4650199082496001</v>
      </c>
      <c r="AQ65" s="3">
        <f>$H65*factors!AK$3</f>
        <v>0.47991207473280006</v>
      </c>
      <c r="AR65" s="3">
        <f>$H65*factors!AL$3</f>
        <v>0.46934344045440007</v>
      </c>
      <c r="AS65" s="3">
        <f>$H65*factors!AM$3</f>
        <v>0.45781402124159998</v>
      </c>
      <c r="AT65" s="3">
        <f>$H65*factors!AN$3</f>
        <v>0.47222579525760006</v>
      </c>
      <c r="AU65" s="3">
        <f>$H65*factors!AO$3</f>
        <v>0.50008855835519994</v>
      </c>
      <c r="AV65" s="3">
        <f>$H65*factors!AP$3</f>
        <v>0.47270618772480005</v>
      </c>
      <c r="AW65" s="3">
        <f>$H65*factors!AQ$3</f>
        <v>0.46790226305279997</v>
      </c>
      <c r="AX65" s="3">
        <f>$H65*factors!AR$3</f>
        <v>0.49480424121600003</v>
      </c>
      <c r="AY65" s="3">
        <f>$H65*factors!AS$3</f>
        <v>0.45637284384000004</v>
      </c>
      <c r="AZ65" s="3">
        <f>$H65*factors!AT$3</f>
        <v>0.48903953160960012</v>
      </c>
      <c r="BA65" s="3">
        <f>$H65*factors!AU$3</f>
        <v>0.47847089733120002</v>
      </c>
      <c r="BB65" s="3">
        <f>$H65*factors!AV$3</f>
        <v>0.47222579525760006</v>
      </c>
      <c r="BC65" s="3">
        <f>$H65*factors!AW$3</f>
        <v>0.49960816588800011</v>
      </c>
      <c r="BD65" s="3">
        <f>$H65*factors!AX$3</f>
        <v>0.46117676851200001</v>
      </c>
      <c r="BE65" s="3">
        <f>$H65*factors!AY$3</f>
        <v>0.54219406848959995</v>
      </c>
      <c r="BF65" s="3">
        <f>$H65*factors!AZ$3</f>
        <v>0.50492806765440001</v>
      </c>
      <c r="BG65" s="3">
        <f>$H65*factors!BA$3</f>
        <v>0.51227629317119994</v>
      </c>
      <c r="BH65" s="3">
        <f>$H65*factors!BB$3</f>
        <v>0.51909964543679998</v>
      </c>
      <c r="BI65" s="3">
        <f>$H65*factors!BC$3</f>
        <v>0.53799508247999994</v>
      </c>
      <c r="BJ65" s="3">
        <f>$H65*factors!BD$3</f>
        <v>0.51385091292480001</v>
      </c>
      <c r="BK65" s="3">
        <f>$H65*factors!BE$3</f>
        <v>0.51490065942719998</v>
      </c>
      <c r="BL65" s="3">
        <f>$H65*factors!BF$3</f>
        <v>0.50912705366399991</v>
      </c>
      <c r="BM65" s="3">
        <f>$H65*factors!BG$3</f>
        <v>0.54376868824320002</v>
      </c>
      <c r="BN65" s="3">
        <f>$H65*factors!BH$3</f>
        <v>0.53694533597759997</v>
      </c>
      <c r="BO65" s="3">
        <f>$H65*factors!BI$3</f>
        <v>0.50492806765440001</v>
      </c>
      <c r="BP65" s="3">
        <f>$H65*factors!BJ$3</f>
        <v>0.50335344790079994</v>
      </c>
      <c r="BQ65" s="3">
        <f>$H65*factors!BK$3</f>
        <v>0.51175141991999995</v>
      </c>
      <c r="BR65" s="3">
        <f>$H65*factors!BL$3</f>
        <v>0.53012198371200003</v>
      </c>
      <c r="BS65" s="3">
        <f>$H65*factors!BM$3</f>
        <v>0.53851995573120004</v>
      </c>
      <c r="BT65" s="3">
        <f>$H65*factors!BN$3</f>
        <v>0.5400945754848</v>
      </c>
      <c r="BU65" s="3">
        <f>$H65*factors!BO$3</f>
        <v>0.54901742075519999</v>
      </c>
      <c r="BV65" s="3">
        <f>$H65*factors!BP$3</f>
        <v>0.51070167341759998</v>
      </c>
      <c r="BW65" s="3">
        <f>$H65*factors!BQ$3</f>
        <v>0.52224888494400001</v>
      </c>
      <c r="BX65" s="3">
        <f>$H65*factors!BR$3</f>
        <v>0.51227629317119994</v>
      </c>
      <c r="BY65" s="3">
        <f>$H65*factors!BS$3</f>
        <v>0.53589558947519988</v>
      </c>
      <c r="BZ65" s="3">
        <f>$H65*factors!BT$3</f>
        <v>0.52592299770239992</v>
      </c>
      <c r="CA65" s="3">
        <f>$H65*factors!BU$3</f>
        <v>0.51909964543679998</v>
      </c>
      <c r="CB65" s="3">
        <f>$H65*factors!BV$3</f>
        <v>0.50230370139839997</v>
      </c>
      <c r="CC65" s="3">
        <f>$H65*factors!BW$3</f>
        <v>0.51700015243199993</v>
      </c>
      <c r="CD65" s="3">
        <f>$H65*factors!BX$3</f>
        <v>0.5185747721856</v>
      </c>
      <c r="CE65" s="3">
        <f>$H65*factors!BY$3</f>
        <v>0.52592299770239992</v>
      </c>
      <c r="CF65" s="3">
        <f>$H65*factors!BZ$3</f>
        <v>0.51804989893440001</v>
      </c>
      <c r="CG65" s="3">
        <f>$H65*factors!CA$3</f>
        <v>0.5007290816447999</v>
      </c>
      <c r="CH65" s="3">
        <f>$H65*factors!CB$3</f>
        <v>0.50125395489599989</v>
      </c>
      <c r="CI65" s="3">
        <f>$H65*factors!CC$3</f>
        <v>0.49862958864000001</v>
      </c>
      <c r="CJ65" s="3">
        <f>$H65*factors!CD$3</f>
        <v>0.51909964543679998</v>
      </c>
      <c r="CK65" s="3">
        <f>$H65*factors!CE$3</f>
        <v>0.54219406848959995</v>
      </c>
      <c r="CL65" s="3">
        <f>$H65*factors!CF$3</f>
        <v>0.50807730716159993</v>
      </c>
      <c r="CM65" s="3">
        <f>$H65*factors!CG$3</f>
        <v>0.52014939193919996</v>
      </c>
      <c r="CN65" s="3">
        <f>$H65*factors!CH$3</f>
        <v>0.50282857464959996</v>
      </c>
      <c r="CO65" s="3">
        <f>$H65*factors!CI$3</f>
        <v>0.50650268740799997</v>
      </c>
      <c r="CP65" s="3">
        <f>$H65*factors!CJ$3</f>
        <v>0.53064685696319991</v>
      </c>
      <c r="CQ65" s="3">
        <f>$H65*factors!CK$3</f>
        <v>0.51490065942719998</v>
      </c>
      <c r="CR65" s="3">
        <f>$H65*factors!CL$3</f>
        <v>0.53117173021440001</v>
      </c>
      <c r="CS65" s="3">
        <f>$H65*factors!CM$3</f>
        <v>0.54796767425280002</v>
      </c>
      <c r="CT65" s="3">
        <f>$H65*factors!CN$3</f>
        <v>0.54166919523839996</v>
      </c>
      <c r="CU65" s="3">
        <f>$H65*factors!CO$3</f>
        <v>0.52959711046079994</v>
      </c>
      <c r="CV65" s="3">
        <f>$H65*factors!CP$3</f>
        <v>0.55111691375999994</v>
      </c>
      <c r="CW65" s="3">
        <f>$H65*factors!CQ$3</f>
        <v>0.52119913844160004</v>
      </c>
      <c r="CX65" s="3">
        <f>$H65*factors!CR$3</f>
        <v>0.51332603967360002</v>
      </c>
      <c r="CY65" s="3">
        <f>$H65*factors!CS$3</f>
        <v>0.50860218041279992</v>
      </c>
      <c r="CZ65" s="3">
        <f>$H65*factors!CT$3</f>
        <v>0.50125395489599989</v>
      </c>
      <c r="DA65" s="3">
        <f>$H65*factors!CU$3</f>
        <v>0.5204251728</v>
      </c>
      <c r="DB65" s="3">
        <f>$H65*factors!CV$3</f>
        <v>0.55405264550400002</v>
      </c>
      <c r="DC65" s="3">
        <f>$H65*factors!CW$3</f>
        <v>0.53056679155199993</v>
      </c>
      <c r="DD65" s="3">
        <f>$H65*factors!CX$3</f>
        <v>0.52683040569599993</v>
      </c>
      <c r="DE65" s="3">
        <f>$H65*factors!CY$3</f>
        <v>0.54230971852800003</v>
      </c>
      <c r="DF65" s="3">
        <f>$H65*factors!CZ$3</f>
        <v>0.54124217971199995</v>
      </c>
      <c r="DG65" s="3">
        <f>$H65*factors!DA$3</f>
        <v>0.53910710208000001</v>
      </c>
      <c r="DH65" s="3">
        <f>$H65*factors!DB$3</f>
        <v>0.53910710208000001</v>
      </c>
      <c r="DI65" s="3">
        <f>$H65*factors!DC$3</f>
        <v>0.51882386457599994</v>
      </c>
      <c r="DJ65" s="3">
        <f>$H65*factors!DD$3</f>
        <v>0.54978249024000003</v>
      </c>
      <c r="DK65" s="3">
        <f>$H65*factors!DE$3</f>
        <v>0.54978249024000003</v>
      </c>
      <c r="DL65" s="3">
        <f>$H65*factors!DF$3</f>
        <v>0.543377257344</v>
      </c>
      <c r="DM65" s="3">
        <f>$H65*factors!DG$3</f>
        <v>0.51188486227199992</v>
      </c>
      <c r="DN65" s="3">
        <f>$H65*factors!DH$3</f>
        <v>0.53697202444800007</v>
      </c>
      <c r="DO65" s="3">
        <f>$H65*factors!DI$3</f>
        <v>0.554586414912</v>
      </c>
      <c r="DP65" s="3">
        <f>$H65*factors!DJ$3</f>
        <v>0.54978249024000003</v>
      </c>
      <c r="DQ65" s="3">
        <f>$H65*factors!DK$3</f>
        <v>0.524161558656</v>
      </c>
      <c r="DR65" s="3">
        <f>$H65*factors!DL$3</f>
        <v>0.51829009516800006</v>
      </c>
      <c r="DS65" s="3">
        <f>$H65*factors!DM$3</f>
        <v>0.55992410899199996</v>
      </c>
      <c r="DT65" s="3">
        <f>$H65*factors!DN$3</f>
        <v>0.52629663628800005</v>
      </c>
      <c r="DU65" s="3">
        <f>$H65*factors!DO$3</f>
        <v>0.550850029056</v>
      </c>
      <c r="DV65" s="3">
        <f>$H65*factors!DP$3</f>
        <v>0.53803956326400004</v>
      </c>
      <c r="DW65" s="3">
        <f>$H65*factors!DQ$3</f>
        <v>0.51348617049599998</v>
      </c>
      <c r="DX65" s="3">
        <f>$H65*factors!DR$3</f>
        <v>0.54391102675199998</v>
      </c>
      <c r="DY65" s="3">
        <f>$H65*factors!DS$3</f>
        <v>0.5161550175359999</v>
      </c>
      <c r="DZ65" s="3">
        <f>$H65*factors!DT$3</f>
        <v>0.55191756787199997</v>
      </c>
      <c r="EA65" s="3">
        <f>$H65*factors!DU$3</f>
        <v>0.51989140339199991</v>
      </c>
      <c r="EB65" s="3">
        <f>$H65*factors!DV$3</f>
        <v>0.50708093759999995</v>
      </c>
      <c r="EC65" s="3">
        <f>$H65*factors!DW$3</f>
        <v>0.54551233497599994</v>
      </c>
      <c r="ED65" s="3">
        <f>$H65*factors!DX$3</f>
        <v>0.51188486227199992</v>
      </c>
      <c r="EE65" s="3">
        <f>$H65*factors!DY$3</f>
        <v>0.5161550175359999</v>
      </c>
      <c r="EF65" s="3">
        <f>$H65*factors!DZ$3</f>
        <v>0.55992410899199996</v>
      </c>
      <c r="EG65" s="3">
        <f>$H65*factors!EA$3</f>
        <v>0.52309401984000004</v>
      </c>
      <c r="EH65" s="3">
        <f>$H65*factors!EB$3</f>
        <v>0.52469532806399999</v>
      </c>
      <c r="EI65" s="3">
        <f>$H65*factors!EC$3</f>
        <v>0.52362778924800002</v>
      </c>
      <c r="EJ65" s="3">
        <f>$H65*factors!ED$3</f>
        <v>0.51028355404799997</v>
      </c>
      <c r="EK65" s="3">
        <f>$H65*factors!EE$3</f>
        <v>0.54551233497599994</v>
      </c>
      <c r="EL65" s="3">
        <f>$H65*factors!EF$3</f>
        <v>0.51882386457599994</v>
      </c>
      <c r="EM65" s="3">
        <f>$H65*factors!EG$3</f>
        <v>0.53964087148799988</v>
      </c>
      <c r="EN65" s="3">
        <f>$H65*factors!EH$3</f>
        <v>0.50708093759999995</v>
      </c>
      <c r="EO65" s="3">
        <f>$H65*factors!EI$3</f>
        <v>0.51455370931199995</v>
      </c>
      <c r="EP65" s="3">
        <f>$H65*factors!EJ$3</f>
        <v>0.54284348793600001</v>
      </c>
      <c r="EQ65" s="3">
        <f>$H65*factors!EK$3</f>
        <v>0.52789794451199989</v>
      </c>
      <c r="ER65" s="3">
        <f>$H65*factors!EL$3</f>
        <v>0.54978249024000003</v>
      </c>
      <c r="ES65" s="3">
        <f>$H65*factors!EM$3</f>
        <v>0.54284348793600001</v>
      </c>
      <c r="ET65" s="3">
        <f>$H65*factors!EN$3</f>
        <v>0.55512018431999999</v>
      </c>
      <c r="EU65" s="3">
        <f>$H65*factors!EO$3</f>
        <v>0.56045787840000005</v>
      </c>
      <c r="EV65" s="3">
        <f>$H65*factors!EP$3</f>
        <v>0.52522909747199997</v>
      </c>
      <c r="EW65" s="3">
        <f>$H65*factors!EQ$3</f>
        <v>0.57769418219999991</v>
      </c>
      <c r="EX65" s="3">
        <f>$H65*factors!ER$3</f>
        <v>0.57157807440000008</v>
      </c>
      <c r="EY65" s="3">
        <f>$H65*factors!ES$3</f>
        <v>0.58325428019999992</v>
      </c>
      <c r="EZ65" s="3">
        <f>$H65*factors!ET$3</f>
        <v>0.57769418219999991</v>
      </c>
      <c r="FA65" s="3">
        <f>$H65*factors!EU$3</f>
        <v>0.53098935899999999</v>
      </c>
      <c r="FB65" s="3">
        <f>$H65*factors!EV$3</f>
        <v>0.55489778040000004</v>
      </c>
      <c r="FC65" s="3">
        <f>$H65*factors!EW$3</f>
        <v>0.57046605480000001</v>
      </c>
      <c r="FD65" s="3">
        <f>$H65*factors!EX$3</f>
        <v>0.55044970199999999</v>
      </c>
      <c r="FE65" s="3">
        <f>$H65*factors!EY$3</f>
        <v>0.57991822140000004</v>
      </c>
      <c r="FF65" s="3">
        <f>$H65*factors!EZ$3</f>
        <v>0.58047423120000008</v>
      </c>
      <c r="FG65" s="3">
        <f>$H65*factors!FA$3</f>
        <v>0.53098935899999999</v>
      </c>
      <c r="FH65" s="3">
        <f>$H65*factors!FB$3</f>
        <v>0.55878984899999995</v>
      </c>
      <c r="FI65" s="3">
        <f>$H65*factors!FC$3</f>
        <v>0.58214226059999996</v>
      </c>
      <c r="FJ65" s="3">
        <f>$H65*factors!FD$3</f>
        <v>0.55878984899999995</v>
      </c>
      <c r="FK65" s="3">
        <f>$H65*factors!FE$3</f>
        <v>0.56824201560000009</v>
      </c>
      <c r="FL65" s="3">
        <f>$H65*factors!FF$3</f>
        <v>0.56991004499999998</v>
      </c>
      <c r="FM65" s="3">
        <f>$H65*factors!FG$3</f>
        <v>0.57602615280000002</v>
      </c>
      <c r="FN65" s="3">
        <f>$H65*factors!FH$3</f>
        <v>0.53877349620000003</v>
      </c>
      <c r="FO65" s="3">
        <f>$H65*factors!FI$3</f>
        <v>0.5721340842</v>
      </c>
      <c r="FP65" s="3">
        <f>$H65*factors!FJ$3</f>
        <v>0.5560098</v>
      </c>
      <c r="FQ65" s="3">
        <f>$H65*factors!FK$3</f>
        <v>0.55044970199999999</v>
      </c>
      <c r="FR65" s="3">
        <f>$H65*factors!FL$3</f>
        <v>0.56156989800000001</v>
      </c>
      <c r="FS65" s="3">
        <f>$H65*factors!FM$3</f>
        <v>0.55823383919999991</v>
      </c>
      <c r="FT65" s="3">
        <f>$H65*factors!FN$3</f>
        <v>0.57046605480000001</v>
      </c>
      <c r="FU65" s="3">
        <f>$H65*factors!FO$3</f>
        <v>0.54822566279999996</v>
      </c>
      <c r="FV65" s="3">
        <f>$H65*factors!FP$3</f>
        <v>0.54377758440000001</v>
      </c>
      <c r="FW65" s="3">
        <f>$H65*factors!FQ$3</f>
        <v>0.58214226059999996</v>
      </c>
      <c r="FX65" s="3">
        <f>$H65*factors!FR$3</f>
        <v>0.57157807440000008</v>
      </c>
      <c r="FY65" s="3">
        <f>$H65*factors!FS$3</f>
        <v>0.55990186859999991</v>
      </c>
      <c r="FZ65" s="3">
        <f>$H65*factors!FT$3</f>
        <v>0.53210137860000006</v>
      </c>
      <c r="GA65" s="3">
        <f>$H65*factors!FU$3</f>
        <v>0.55990186859999991</v>
      </c>
      <c r="GB65" s="3">
        <f>$H65*factors!FV$3</f>
        <v>0.58047423120000008</v>
      </c>
      <c r="GC65" s="3">
        <f>$H65*factors!FW$3</f>
        <v>0.54377758440000001</v>
      </c>
      <c r="GD65" s="3">
        <f>$H65*factors!FX$3</f>
        <v>0.55322975099999994</v>
      </c>
      <c r="GE65" s="3">
        <f>$H65*factors!FY$3</f>
        <v>0.55322975099999994</v>
      </c>
      <c r="GF65" s="3">
        <f>$H65*factors!FZ$3</f>
        <v>0.55156172160000005</v>
      </c>
      <c r="GG65" s="3">
        <f>$H65*factors!GA$3</f>
        <v>0.52987733939999992</v>
      </c>
      <c r="GH65" s="3">
        <f>$H65*factors!GB$3</f>
        <v>0.56379393720000004</v>
      </c>
      <c r="GI65" s="3">
        <f>$H65*factors!GC$3</f>
        <v>0.52876531979999997</v>
      </c>
      <c r="GJ65" s="3">
        <f>$H65*factors!GD$3</f>
        <v>0.52987733939999992</v>
      </c>
      <c r="GK65" s="3">
        <f>$H65*factors!GE$3</f>
        <v>0.54322157459999998</v>
      </c>
      <c r="GL65" s="3">
        <f>$H65*factors!GF$3</f>
        <v>0.57547014299999999</v>
      </c>
      <c r="GM65" s="3">
        <f>$H65*factors!GG$3</f>
        <v>0.54544561380000001</v>
      </c>
      <c r="GN65" s="3">
        <f>$H65*factors!GH$3</f>
        <v>0.56268191760000008</v>
      </c>
      <c r="GO65" s="3">
        <f>$H65*factors!GI$3</f>
        <v>0.53154536879999992</v>
      </c>
      <c r="GP65" s="3">
        <f>$H65*factors!GJ$3</f>
        <v>0.56991004499999998</v>
      </c>
      <c r="GQ65" s="3">
        <f>$H65*factors!GK$3</f>
        <v>0.58158625080000004</v>
      </c>
      <c r="GR65" s="3">
        <f>$H65*factors!GL$3</f>
        <v>0.57046605480000001</v>
      </c>
      <c r="GS65" s="3">
        <f>$H65*factors!GM$3</f>
        <v>0.53948518874399998</v>
      </c>
      <c r="GT65" s="3">
        <f>$H65*factors!GN$3</f>
        <v>0.55191311979360003</v>
      </c>
      <c r="GU65" s="3">
        <f>$H65*factors!GO$3</f>
        <v>0.5649059568</v>
      </c>
      <c r="GV65" s="3">
        <f>$H65*factors!GP$3</f>
        <v>0.54230971852800003</v>
      </c>
      <c r="GW65" s="3">
        <f>$H65*factors!GQ$3</f>
        <v>0.56151652105920002</v>
      </c>
      <c r="GX65" s="3">
        <f>$H65*factors!GR$3</f>
        <v>0.55247802575039995</v>
      </c>
      <c r="GY65" s="3">
        <f>$H65*factors!GS$3</f>
        <v>0.54965349596640001</v>
      </c>
      <c r="GZ65" s="3">
        <f>$H65*factors!GT$3</f>
        <v>0.56999011041119996</v>
      </c>
      <c r="HA65" s="3">
        <f>$H65*factors!GU$3</f>
        <v>0.55134821383679999</v>
      </c>
      <c r="HB65" s="3">
        <f>$H65*factors!GV$3</f>
        <v>0.56999011041119996</v>
      </c>
      <c r="HC65" s="3">
        <f>$H65*factors!GW$3</f>
        <v>0.55586746149119992</v>
      </c>
      <c r="HD65" s="3">
        <f>$H65*factors!GX$3</f>
        <v>0.57224973423839998</v>
      </c>
      <c r="HE65" s="3">
        <f>$H65*factors!GY$3</f>
        <v>0.5649059568</v>
      </c>
      <c r="HF65" s="3">
        <f>$H65*factors!GZ$3</f>
        <v>0.58241804146080001</v>
      </c>
      <c r="HG65" s="3">
        <f>$H65*factors!HA$3</f>
        <v>0.55982180318880004</v>
      </c>
      <c r="HH65" s="3">
        <f>$H65*factors!HB$3</f>
        <v>0.55247802575039995</v>
      </c>
      <c r="HI65" s="3">
        <f>$H65*factors!HC$3</f>
        <v>0.5456991542688</v>
      </c>
      <c r="HJ65" s="3">
        <f>$H65*factors!HD$3</f>
        <v>0.53948518874399998</v>
      </c>
      <c r="HK65" s="3">
        <f>$H65*factors!HE$3</f>
        <v>0.57055501636799999</v>
      </c>
      <c r="HL65" s="3">
        <f>$H65*factors!HF$3</f>
        <v>0.53779047087359999</v>
      </c>
      <c r="HM65" s="3">
        <f>$H65*factors!HG$3</f>
        <v>0.54343953044159998</v>
      </c>
      <c r="HN65" s="3">
        <f>$H65*factors!HH$3</f>
        <v>0.57959351167680007</v>
      </c>
      <c r="HO65" s="3">
        <f>$H65*factors!HI$3</f>
        <v>0.55586746149119992</v>
      </c>
      <c r="HP65" s="3">
        <f>$H65*factors!HJ$3</f>
        <v>0.59315125464000007</v>
      </c>
      <c r="HQ65" s="3">
        <f>$H65*factors!HK$3</f>
        <v>0.54230971852800003</v>
      </c>
      <c r="HR65" s="3">
        <f>$H65*factors!HL$3</f>
        <v>0.57507426402240003</v>
      </c>
      <c r="HS65" s="3">
        <f>$H65*factors!HM$3</f>
        <v>0.58524257124480006</v>
      </c>
      <c r="HT65" s="3">
        <f>$H65*factors!HN$3</f>
        <v>0.5456991542688</v>
      </c>
      <c r="HU65" s="3">
        <f>$H65*factors!HO$3</f>
        <v>0.55134821383679999</v>
      </c>
      <c r="HV65" s="3">
        <f>$H65*factors!HP$3</f>
        <v>0.55812708531840005</v>
      </c>
      <c r="HW65" s="3">
        <f>$H65*factors!HQ$3</f>
        <v>0.56603576871360006</v>
      </c>
      <c r="HX65" s="3">
        <f>$H65*factors!HR$3</f>
        <v>0.58919691294239995</v>
      </c>
      <c r="HY65" s="3">
        <f>$H65*factors!HS$3</f>
        <v>0.55982180318880004</v>
      </c>
      <c r="HZ65" s="3">
        <f>$H65*factors!HT$3</f>
        <v>0.58128822954719994</v>
      </c>
      <c r="IA65" s="3">
        <f>$H65*factors!HU$3</f>
        <v>0.55304293170719998</v>
      </c>
      <c r="IB65" s="3">
        <f>$H65*factors!HV$3</f>
        <v>0.57224973423839998</v>
      </c>
      <c r="IC65" s="3">
        <f>$H65*factors!HW$3</f>
        <v>0.57789879380639997</v>
      </c>
      <c r="ID65" s="3">
        <f>$H65*factors!HX$3</f>
        <v>0.53666065895999993</v>
      </c>
      <c r="IE65" s="3">
        <f>$H65*factors!HY$3</f>
        <v>0.56999011041119996</v>
      </c>
      <c r="IF65" s="3">
        <f>$H65*factors!HZ$3</f>
        <v>0.56660067467039998</v>
      </c>
      <c r="IG65" s="3">
        <f>$H65*factors!IA$3</f>
        <v>0.56151652105920002</v>
      </c>
      <c r="IH65" s="3">
        <f>$H65*factors!IB$3</f>
        <v>0.58241804146080001</v>
      </c>
      <c r="II65" s="3">
        <f>$H65*factors!IC$3</f>
        <v>0.55756217936160002</v>
      </c>
      <c r="IJ65" s="3">
        <f>$H65*factors!ID$3</f>
        <v>0.56264633297279998</v>
      </c>
      <c r="IK65" s="3">
        <f>$H65*factors!IE$3</f>
        <v>0.58298294741760004</v>
      </c>
      <c r="IL65" s="3">
        <f>$H65*factors!IF$3</f>
        <v>0.55812708531840005</v>
      </c>
      <c r="IM65" s="3">
        <f>$H65*factors!IG$3</f>
        <v>0.55304293170719998</v>
      </c>
      <c r="IN65" s="3">
        <f>$H65*factors!IH$3</f>
        <v>0.55643236744800006</v>
      </c>
      <c r="IO65" s="3">
        <f>$H65*factors!II$3</f>
        <v>0.56208142701599995</v>
      </c>
      <c r="IP65" s="3">
        <f>$H65*factors!IJ$3</f>
        <v>0.54343953044159998</v>
      </c>
      <c r="IQ65" s="3">
        <f>$H65*factors!IK$3</f>
        <v>0.5417448125712</v>
      </c>
      <c r="IR65" s="3">
        <f>$H65*factors!IL$3</f>
        <v>0.55756217936160002</v>
      </c>
      <c r="IS65" s="3">
        <f>$H65*factors!IM$3</f>
        <v>0.56208142701599995</v>
      </c>
      <c r="IT65" s="3">
        <f>$H65*factors!IN$3</f>
        <v>0.56603576871360006</v>
      </c>
      <c r="IU65" s="3">
        <f>$H65*factors!IO$3</f>
        <v>0.5784636997632</v>
      </c>
      <c r="IV65" s="3">
        <f>$H65*factors!IP$3</f>
        <v>0.58580747720159998</v>
      </c>
      <c r="IW65" s="3">
        <f>$H65*factors!IQ$3</f>
        <v>0.55360783766400001</v>
      </c>
      <c r="IX65" s="3">
        <f>$H65*factors!IR$3</f>
        <v>0.5784636997632</v>
      </c>
      <c r="IY65" s="3">
        <f>$H65*factors!IS$3</f>
        <v>0.56999011041119996</v>
      </c>
      <c r="IZ65" s="3">
        <f>$H65*factors!IT$3</f>
        <v>0.57959351167680007</v>
      </c>
      <c r="JA65" s="3">
        <f>$H65*factors!IU$3</f>
        <v>0.54739387213919999</v>
      </c>
      <c r="JB65" s="3">
        <f>$H65*factors!IV$3</f>
        <v>0.55756217936160002</v>
      </c>
      <c r="JC65" s="3">
        <f>$H65*factors!IW$3</f>
        <v>0.54456934235520005</v>
      </c>
      <c r="JD65" s="3">
        <f>$H65*factors!IX$3</f>
        <v>0.59315125464000007</v>
      </c>
      <c r="JE65" s="3">
        <f>$H65*factors!IY$3</f>
        <v>0.54626406022559992</v>
      </c>
      <c r="JF65" s="3">
        <f>$H65*factors!IZ$3</f>
        <v>0.57337954615199993</v>
      </c>
      <c r="JG65" s="3">
        <f>$H65*factors!JA$3</f>
        <v>0.56321123892960001</v>
      </c>
      <c r="JH65" s="3">
        <f>$H65*factors!JB$3</f>
        <v>0.57394445210880007</v>
      </c>
      <c r="JI65" s="3">
        <f>$H65*factors!JC$3</f>
        <v>0.53722556491680007</v>
      </c>
      <c r="JJ65" s="3">
        <f>$H65*factors!JD$3</f>
        <v>0.5784636997632</v>
      </c>
      <c r="JK65" s="3">
        <f>$H65*factors!JE$3</f>
        <v>0.55982180318880004</v>
      </c>
      <c r="JL65" s="3">
        <f>$H65*factors!JF$3</f>
        <v>0.58241804146080001</v>
      </c>
      <c r="JM65" s="3">
        <f>$H65*factors!JG$3</f>
        <v>0.54343953044159998</v>
      </c>
      <c r="JN65" s="3">
        <f>$H65*factors!JH$3</f>
        <v>0.54343953044159998</v>
      </c>
      <c r="JO65" s="3">
        <f>$H65*factors!JI$3</f>
        <v>0.53666065895999993</v>
      </c>
      <c r="JP65" s="3">
        <f>$H65*factors!JJ$3</f>
        <v>0.58015841763359999</v>
      </c>
      <c r="JQ65" s="3">
        <f>$H65*factors!JK$3</f>
        <v>0.56547086275679992</v>
      </c>
      <c r="JR65" s="3">
        <f>$H65*factors!JL$3</f>
        <v>0.58750219507199997</v>
      </c>
      <c r="JS65" s="3">
        <f>$H65*factors!JM$3</f>
        <v>0.53666065895999993</v>
      </c>
      <c r="JT65" s="3">
        <f>$H65*factors!JN$3</f>
        <v>0.56377614488640004</v>
      </c>
      <c r="JU65" s="3">
        <f>$H65*factors!JO$3</f>
        <v>0.54513424831199997</v>
      </c>
      <c r="JV65" s="3">
        <f>$H65*factors!JP$3</f>
        <v>0.55417274362080005</v>
      </c>
      <c r="JW65" s="3">
        <f>$H65*factors!JQ$3</f>
        <v>0.59202144272640012</v>
      </c>
      <c r="JX65" s="3">
        <f>$H65*factors!JR$3</f>
        <v>0.58637238315840001</v>
      </c>
      <c r="JY65" s="3">
        <f>$H65*factors!JS$3</f>
        <v>0.55191311979360003</v>
      </c>
      <c r="JZ65" s="3">
        <f>$H65*factors!JT$3</f>
        <v>0.55812708531840005</v>
      </c>
      <c r="KA65" s="3">
        <f>$H65*factors!JU$3</f>
        <v>0.56038670914560007</v>
      </c>
      <c r="KB65" s="3">
        <f>$H65*factors!JV$3</f>
        <v>0.5417448125712</v>
      </c>
      <c r="KC65" s="3">
        <f>$H65*factors!JW$3</f>
        <v>0.54456934235520005</v>
      </c>
      <c r="KD65" s="3">
        <f>$H65*factors!JX$3</f>
        <v>0.54513424831199997</v>
      </c>
      <c r="KE65" s="3">
        <f>$H65*factors!JY$3</f>
        <v>0.58015841763359999</v>
      </c>
      <c r="KF65" s="3">
        <f>$H65*factors!JZ$3</f>
        <v>0.58693728911519993</v>
      </c>
      <c r="KG65" s="3">
        <f>$H65*factors!KA$3</f>
        <v>0.56603576871360006</v>
      </c>
      <c r="KH65" s="3">
        <f>$H65*factors!KB$3</f>
        <v>0.55360783766400001</v>
      </c>
      <c r="KI65" s="3">
        <f>$H65*factors!KC$3</f>
        <v>0.54852368405279994</v>
      </c>
    </row>
    <row r="66" spans="1:295" x14ac:dyDescent="0.55000000000000004">
      <c r="A66" t="s">
        <v>442</v>
      </c>
      <c r="B66">
        <v>65</v>
      </c>
      <c r="C66">
        <v>230</v>
      </c>
      <c r="D66" t="s">
        <v>377</v>
      </c>
      <c r="E66">
        <v>3.3409999999999998E-3</v>
      </c>
      <c r="F66">
        <v>65</v>
      </c>
      <c r="G66">
        <f>VLOOKUP(D66,demand_forecasted!$A$2:$G$11,2)</f>
        <v>11098</v>
      </c>
      <c r="H66" s="3">
        <f t="shared" si="1"/>
        <v>0.37078418000000002</v>
      </c>
      <c r="I66" s="3">
        <f>$H66*factors!C$3</f>
        <v>0.41045808725999999</v>
      </c>
      <c r="J66" s="3">
        <f>$H66*factors!D$3</f>
        <v>0.39564155142720003</v>
      </c>
      <c r="K66" s="3">
        <f>$H66*factors!E$3</f>
        <v>0.38883395388240005</v>
      </c>
      <c r="L66" s="3">
        <f>$H66*factors!F$3</f>
        <v>0.38763261313920006</v>
      </c>
      <c r="M66" s="3">
        <f>$H66*factors!G$3</f>
        <v>0.3872321662248</v>
      </c>
      <c r="N66" s="3">
        <f>$H66*factors!H$3</f>
        <v>0.39844467982800003</v>
      </c>
      <c r="O66" s="3">
        <f>$H66*factors!I$3</f>
        <v>0.4072545119448</v>
      </c>
      <c r="P66" s="3">
        <f>$H66*factors!J$3</f>
        <v>0.41205987491760004</v>
      </c>
      <c r="Q66" s="3">
        <f>$H66*factors!K$3</f>
        <v>0.3868317193104</v>
      </c>
      <c r="R66" s="3">
        <f>$H66*factors!L$3</f>
        <v>0.38042456868000002</v>
      </c>
      <c r="S66" s="3">
        <f>$H66*factors!M$3</f>
        <v>0.39604199834160003</v>
      </c>
      <c r="T66" s="3">
        <f>$H66*factors!N$3</f>
        <v>0.40965719343120005</v>
      </c>
      <c r="U66" s="3">
        <f>$H66*factors!O$3</f>
        <v>0.38803306005360005</v>
      </c>
      <c r="V66" s="3">
        <f>$H66*factors!P$3</f>
        <v>0.40365048971520007</v>
      </c>
      <c r="W66" s="3">
        <f>$H66*factors!Q$3</f>
        <v>0.4072545119448</v>
      </c>
      <c r="X66" s="3">
        <f>$H66*factors!R$3</f>
        <v>0.38963484771119999</v>
      </c>
      <c r="Y66" s="3">
        <f>$H66*factors!S$3</f>
        <v>0.38603082548160006</v>
      </c>
      <c r="Z66" s="3">
        <f>$H66*factors!T$3</f>
        <v>0.41646479097600009</v>
      </c>
      <c r="AA66" s="3">
        <f>$H66*factors!U$3</f>
        <v>0.39323886994079998</v>
      </c>
      <c r="AB66" s="3">
        <f>$H66*factors!V$3</f>
        <v>0.39363931685520009</v>
      </c>
      <c r="AC66" s="3">
        <f>$H66*factors!W$3</f>
        <v>0.39403976376960004</v>
      </c>
      <c r="AD66" s="3">
        <f>$H66*factors!X$3</f>
        <v>0.38563037856720006</v>
      </c>
      <c r="AE66" s="3">
        <f>$H66*factors!Y$3</f>
        <v>0.38883395388240005</v>
      </c>
      <c r="AF66" s="3">
        <f>$H66*factors!Z$3</f>
        <v>0.39684289217040009</v>
      </c>
      <c r="AG66" s="3">
        <f>$H66*factors!AA$3</f>
        <v>0.3868317193104</v>
      </c>
      <c r="AH66" s="3">
        <f>$H66*factors!AB$3</f>
        <v>0.38522993165280006</v>
      </c>
      <c r="AI66" s="3">
        <f>$H66*factors!AC$3</f>
        <v>0.39764378599920003</v>
      </c>
      <c r="AJ66" s="3">
        <f>$H66*factors!AD$3</f>
        <v>0.41286076874640004</v>
      </c>
      <c r="AK66" s="3">
        <f>$H66*factors!AE$3</f>
        <v>0.39724333908480003</v>
      </c>
      <c r="AL66" s="3">
        <f>$H66*factors!AF$3</f>
        <v>0.38162590942320002</v>
      </c>
      <c r="AM66" s="3">
        <f>$H66*factors!AG$3</f>
        <v>0.39243797611200004</v>
      </c>
      <c r="AN66" s="3">
        <f>$H66*factors!AH$3</f>
        <v>0.38603082548160006</v>
      </c>
      <c r="AO66" s="3">
        <f>$H66*factors!AI$3</f>
        <v>0.40445138354400001</v>
      </c>
      <c r="AP66" s="3">
        <f>$H66*factors!AJ$3</f>
        <v>0.38763261313920006</v>
      </c>
      <c r="AQ66" s="3">
        <f>$H66*factors!AK$3</f>
        <v>0.40004646748560008</v>
      </c>
      <c r="AR66" s="3">
        <f>$H66*factors!AL$3</f>
        <v>0.39123663536880005</v>
      </c>
      <c r="AS66" s="3">
        <f>$H66*factors!AM$3</f>
        <v>0.38162590942320002</v>
      </c>
      <c r="AT66" s="3">
        <f>$H66*factors!AN$3</f>
        <v>0.39363931685520009</v>
      </c>
      <c r="AU66" s="3">
        <f>$H66*factors!AO$3</f>
        <v>0.41686523789039998</v>
      </c>
      <c r="AV66" s="3">
        <f>$H66*factors!AP$3</f>
        <v>0.39403976376960004</v>
      </c>
      <c r="AW66" s="3">
        <f>$H66*factors!AQ$3</f>
        <v>0.39003529462559999</v>
      </c>
      <c r="AX66" s="3">
        <f>$H66*factors!AR$3</f>
        <v>0.41246032183200004</v>
      </c>
      <c r="AY66" s="3">
        <f>$H66*factors!AS$3</f>
        <v>0.38042456868000002</v>
      </c>
      <c r="AZ66" s="3">
        <f>$H66*factors!AT$3</f>
        <v>0.40765495885920011</v>
      </c>
      <c r="BA66" s="3">
        <f>$H66*factors!AU$3</f>
        <v>0.39884512674240002</v>
      </c>
      <c r="BB66" s="3">
        <f>$H66*factors!AV$3</f>
        <v>0.39363931685520009</v>
      </c>
      <c r="BC66" s="3">
        <f>$H66*factors!AW$3</f>
        <v>0.41646479097600009</v>
      </c>
      <c r="BD66" s="3">
        <f>$H66*factors!AX$3</f>
        <v>0.38442903782400001</v>
      </c>
      <c r="BE66" s="3">
        <f>$H66*factors!AY$3</f>
        <v>0.45196366836919999</v>
      </c>
      <c r="BF66" s="3">
        <f>$H66*factors!AZ$3</f>
        <v>0.42089936976879999</v>
      </c>
      <c r="BG66" s="3">
        <f>$H66*factors!BA$3</f>
        <v>0.42702472442239997</v>
      </c>
      <c r="BH66" s="3">
        <f>$H66*factors!BB$3</f>
        <v>0.43271255374360001</v>
      </c>
      <c r="BI66" s="3">
        <f>$H66*factors!BC$3</f>
        <v>0.44846346570999995</v>
      </c>
      <c r="BJ66" s="3">
        <f>$H66*factors!BD$3</f>
        <v>0.4283373004196</v>
      </c>
      <c r="BK66" s="3">
        <f>$H66*factors!BE$3</f>
        <v>0.42921235108439998</v>
      </c>
      <c r="BL66" s="3">
        <f>$H66*factors!BF$3</f>
        <v>0.42439957242799997</v>
      </c>
      <c r="BM66" s="3">
        <f>$H66*factors!BG$3</f>
        <v>0.45327624436640002</v>
      </c>
      <c r="BN66" s="3">
        <f>$H66*factors!BH$3</f>
        <v>0.44758841504519997</v>
      </c>
      <c r="BO66" s="3">
        <f>$H66*factors!BI$3</f>
        <v>0.42089936976879999</v>
      </c>
      <c r="BP66" s="3">
        <f>$H66*factors!BJ$3</f>
        <v>0.41958679377159996</v>
      </c>
      <c r="BQ66" s="3">
        <f>$H66*factors!BK$3</f>
        <v>0.42658719908999998</v>
      </c>
      <c r="BR66" s="3">
        <f>$H66*factors!BL$3</f>
        <v>0.44190058572400004</v>
      </c>
      <c r="BS66" s="3">
        <f>$H66*factors!BM$3</f>
        <v>0.4489009910424</v>
      </c>
      <c r="BT66" s="3">
        <f>$H66*factors!BN$3</f>
        <v>0.45021356703959997</v>
      </c>
      <c r="BU66" s="3">
        <f>$H66*factors!BO$3</f>
        <v>0.45765149769040003</v>
      </c>
      <c r="BV66" s="3">
        <f>$H66*factors!BP$3</f>
        <v>0.4257121484252</v>
      </c>
      <c r="BW66" s="3">
        <f>$H66*factors!BQ$3</f>
        <v>0.43533770573800001</v>
      </c>
      <c r="BX66" s="3">
        <f>$H66*factors!BR$3</f>
        <v>0.42702472442239997</v>
      </c>
      <c r="BY66" s="3">
        <f>$H66*factors!BS$3</f>
        <v>0.44671336438039994</v>
      </c>
      <c r="BZ66" s="3">
        <f>$H66*factors!BT$3</f>
        <v>0.43840038306479995</v>
      </c>
      <c r="CA66" s="3">
        <f>$H66*factors!BU$3</f>
        <v>0.43271255374360001</v>
      </c>
      <c r="CB66" s="3">
        <f>$H66*factors!BV$3</f>
        <v>0.41871174310679998</v>
      </c>
      <c r="CC66" s="3">
        <f>$H66*factors!BW$3</f>
        <v>0.430962452414</v>
      </c>
      <c r="CD66" s="3">
        <f>$H66*factors!BX$3</f>
        <v>0.43227502841120002</v>
      </c>
      <c r="CE66" s="3">
        <f>$H66*factors!BY$3</f>
        <v>0.43840038306479995</v>
      </c>
      <c r="CF66" s="3">
        <f>$H66*factors!BZ$3</f>
        <v>0.43183750307880003</v>
      </c>
      <c r="CG66" s="3">
        <f>$H66*factors!CA$3</f>
        <v>0.41739916710959996</v>
      </c>
      <c r="CH66" s="3">
        <f>$H66*factors!CB$3</f>
        <v>0.41783669244199995</v>
      </c>
      <c r="CI66" s="3">
        <f>$H66*factors!CC$3</f>
        <v>0.41564906577999999</v>
      </c>
      <c r="CJ66" s="3">
        <f>$H66*factors!CD$3</f>
        <v>0.43271255374360001</v>
      </c>
      <c r="CK66" s="3">
        <f>$H66*factors!CE$3</f>
        <v>0.45196366836919999</v>
      </c>
      <c r="CL66" s="3">
        <f>$H66*factors!CF$3</f>
        <v>0.42352452176319999</v>
      </c>
      <c r="CM66" s="3">
        <f>$H66*factors!CG$3</f>
        <v>0.4335876044084</v>
      </c>
      <c r="CN66" s="3">
        <f>$H66*factors!CH$3</f>
        <v>0.41914926843919997</v>
      </c>
      <c r="CO66" s="3">
        <f>$H66*factors!CI$3</f>
        <v>0.42221194576599996</v>
      </c>
      <c r="CP66" s="3">
        <f>$H66*factors!CJ$3</f>
        <v>0.44233811105639992</v>
      </c>
      <c r="CQ66" s="3">
        <f>$H66*factors!CK$3</f>
        <v>0.42921235108439998</v>
      </c>
      <c r="CR66" s="3">
        <f>$H66*factors!CL$3</f>
        <v>0.44277563638879996</v>
      </c>
      <c r="CS66" s="3">
        <f>$H66*factors!CM$3</f>
        <v>0.4567764470256</v>
      </c>
      <c r="CT66" s="3">
        <f>$H66*factors!CN$3</f>
        <v>0.4515261430368</v>
      </c>
      <c r="CU66" s="3">
        <f>$H66*factors!CO$3</f>
        <v>0.44146306039159994</v>
      </c>
      <c r="CV66" s="3">
        <f>$H66*factors!CP$3</f>
        <v>0.45940159902</v>
      </c>
      <c r="CW66" s="3">
        <f>$H66*factors!CQ$3</f>
        <v>0.43446265507320003</v>
      </c>
      <c r="CX66" s="3">
        <f>$H66*factors!CR$3</f>
        <v>0.42789977508720001</v>
      </c>
      <c r="CY66" s="3">
        <f>$H66*factors!CS$3</f>
        <v>0.42396204709559998</v>
      </c>
      <c r="CZ66" s="3">
        <f>$H66*factors!CT$3</f>
        <v>0.41783669244199995</v>
      </c>
      <c r="DA66" s="3">
        <f>$H66*factors!CU$3</f>
        <v>0.43381749060000002</v>
      </c>
      <c r="DB66" s="3">
        <f>$H66*factors!CV$3</f>
        <v>0.46184877460800006</v>
      </c>
      <c r="DC66" s="3">
        <f>$H66*factors!CW$3</f>
        <v>0.44227136990399996</v>
      </c>
      <c r="DD66" s="3">
        <f>$H66*factors!CX$3</f>
        <v>0.43915678279199999</v>
      </c>
      <c r="DE66" s="3">
        <f>$H66*factors!CY$3</f>
        <v>0.45206007225600003</v>
      </c>
      <c r="DF66" s="3">
        <f>$H66*factors!CZ$3</f>
        <v>0.45117019022399996</v>
      </c>
      <c r="DG66" s="3">
        <f>$H66*factors!DA$3</f>
        <v>0.44939042616000002</v>
      </c>
      <c r="DH66" s="3">
        <f>$H66*factors!DB$3</f>
        <v>0.44939042616000002</v>
      </c>
      <c r="DI66" s="3">
        <f>$H66*factors!DC$3</f>
        <v>0.43248266755199999</v>
      </c>
      <c r="DJ66" s="3">
        <f>$H66*factors!DD$3</f>
        <v>0.45828924648000002</v>
      </c>
      <c r="DK66" s="3">
        <f>$H66*factors!DE$3</f>
        <v>0.45828924648000002</v>
      </c>
      <c r="DL66" s="3">
        <f>$H66*factors!DF$3</f>
        <v>0.45294995428800006</v>
      </c>
      <c r="DM66" s="3">
        <f>$H66*factors!DG$3</f>
        <v>0.42669843434399995</v>
      </c>
      <c r="DN66" s="3">
        <f>$H66*factors!DH$3</f>
        <v>0.44761066209600003</v>
      </c>
      <c r="DO66" s="3">
        <f>$H66*factors!DI$3</f>
        <v>0.46229371562400001</v>
      </c>
      <c r="DP66" s="3">
        <f>$H66*factors!DJ$3</f>
        <v>0.45828924648000002</v>
      </c>
      <c r="DQ66" s="3">
        <f>$H66*factors!DK$3</f>
        <v>0.43693207771199999</v>
      </c>
      <c r="DR66" s="3">
        <f>$H66*factors!DL$3</f>
        <v>0.43203772653600003</v>
      </c>
      <c r="DS66" s="3">
        <f>$H66*factors!DM$3</f>
        <v>0.46674312578400001</v>
      </c>
      <c r="DT66" s="3">
        <f>$H66*factors!DN$3</f>
        <v>0.43871184177600003</v>
      </c>
      <c r="DU66" s="3">
        <f>$H66*factors!DO$3</f>
        <v>0.45917912851199999</v>
      </c>
      <c r="DV66" s="3">
        <f>$H66*factors!DP$3</f>
        <v>0.448500544128</v>
      </c>
      <c r="DW66" s="3">
        <f>$H66*factors!DQ$3</f>
        <v>0.42803325739199999</v>
      </c>
      <c r="DX66" s="3">
        <f>$H66*factors!DR$3</f>
        <v>0.45339489530399996</v>
      </c>
      <c r="DY66" s="3">
        <f>$H66*factors!DS$3</f>
        <v>0.43025796247199999</v>
      </c>
      <c r="DZ66" s="3">
        <f>$H66*factors!DT$3</f>
        <v>0.46006901054400001</v>
      </c>
      <c r="EA66" s="3">
        <f>$H66*factors!DU$3</f>
        <v>0.43337254958399996</v>
      </c>
      <c r="EB66" s="3">
        <f>$H66*factors!DV$3</f>
        <v>0.42269396519999997</v>
      </c>
      <c r="EC66" s="3">
        <f>$H66*factors!DW$3</f>
        <v>0.45472971835199999</v>
      </c>
      <c r="ED66" s="3">
        <f>$H66*factors!DX$3</f>
        <v>0.42669843434399995</v>
      </c>
      <c r="EE66" s="3">
        <f>$H66*factors!DY$3</f>
        <v>0.43025796247199999</v>
      </c>
      <c r="EF66" s="3">
        <f>$H66*factors!DZ$3</f>
        <v>0.46674312578400001</v>
      </c>
      <c r="EG66" s="3">
        <f>$H66*factors!EA$3</f>
        <v>0.43604219568000002</v>
      </c>
      <c r="EH66" s="3">
        <f>$H66*factors!EB$3</f>
        <v>0.437377018728</v>
      </c>
      <c r="EI66" s="3">
        <f>$H66*factors!EC$3</f>
        <v>0.43648713669600003</v>
      </c>
      <c r="EJ66" s="3">
        <f>$H66*factors!ED$3</f>
        <v>0.42536361129600003</v>
      </c>
      <c r="EK66" s="3">
        <f>$H66*factors!EE$3</f>
        <v>0.45472971835199999</v>
      </c>
      <c r="EL66" s="3">
        <f>$H66*factors!EF$3</f>
        <v>0.43248266755199999</v>
      </c>
      <c r="EM66" s="3">
        <f>$H66*factors!EG$3</f>
        <v>0.44983536717599998</v>
      </c>
      <c r="EN66" s="3">
        <f>$H66*factors!EH$3</f>
        <v>0.42269396519999997</v>
      </c>
      <c r="EO66" s="3">
        <f>$H66*factors!EI$3</f>
        <v>0.42892313942399996</v>
      </c>
      <c r="EP66" s="3">
        <f>$H66*factors!EJ$3</f>
        <v>0.45250501327199999</v>
      </c>
      <c r="EQ66" s="3">
        <f>$H66*factors!EK$3</f>
        <v>0.44004666482399996</v>
      </c>
      <c r="ER66" s="3">
        <f>$H66*factors!EL$3</f>
        <v>0.45828924648000002</v>
      </c>
      <c r="ES66" s="3">
        <f>$H66*factors!EM$3</f>
        <v>0.45250501327199999</v>
      </c>
      <c r="ET66" s="3">
        <f>$H66*factors!EN$3</f>
        <v>0.46273865664000002</v>
      </c>
      <c r="EU66" s="3">
        <f>$H66*factors!EO$3</f>
        <v>0.46718806680000002</v>
      </c>
      <c r="EV66" s="3">
        <f>$H66*factors!EP$3</f>
        <v>0.43782195974399996</v>
      </c>
      <c r="EW66" s="3">
        <f>$H66*factors!EQ$3</f>
        <v>0.48155595377499999</v>
      </c>
      <c r="EX66" s="3">
        <f>$H66*factors!ER$3</f>
        <v>0.47645767130000005</v>
      </c>
      <c r="EY66" s="3">
        <f>$H66*factors!ES$3</f>
        <v>0.48619075602499995</v>
      </c>
      <c r="EZ66" s="3">
        <f>$H66*factors!ET$3</f>
        <v>0.48155595377499999</v>
      </c>
      <c r="FA66" s="3">
        <f>$H66*factors!EU$3</f>
        <v>0.44262361487499996</v>
      </c>
      <c r="FB66" s="3">
        <f>$H66*factors!EV$3</f>
        <v>0.46255326455000007</v>
      </c>
      <c r="FC66" s="3">
        <f>$H66*factors!EW$3</f>
        <v>0.47553071085000004</v>
      </c>
      <c r="FD66" s="3">
        <f>$H66*factors!EX$3</f>
        <v>0.45884542275000006</v>
      </c>
      <c r="FE66" s="3">
        <f>$H66*factors!EY$3</f>
        <v>0.48340987467500002</v>
      </c>
      <c r="FF66" s="3">
        <f>$H66*factors!EZ$3</f>
        <v>0.48387335490000011</v>
      </c>
      <c r="FG66" s="3">
        <f>$H66*factors!FA$3</f>
        <v>0.44262361487499996</v>
      </c>
      <c r="FH66" s="3">
        <f>$H66*factors!FB$3</f>
        <v>0.46579762612499997</v>
      </c>
      <c r="FI66" s="3">
        <f>$H66*factors!FC$3</f>
        <v>0.48526379557499999</v>
      </c>
      <c r="FJ66" s="3">
        <f>$H66*factors!FD$3</f>
        <v>0.46579762612499997</v>
      </c>
      <c r="FK66" s="3">
        <f>$H66*factors!FE$3</f>
        <v>0.47367678995000007</v>
      </c>
      <c r="FL66" s="3">
        <f>$H66*factors!FF$3</f>
        <v>0.475067230625</v>
      </c>
      <c r="FM66" s="3">
        <f>$H66*factors!FG$3</f>
        <v>0.4801655131</v>
      </c>
      <c r="FN66" s="3">
        <f>$H66*factors!FH$3</f>
        <v>0.449112338025</v>
      </c>
      <c r="FO66" s="3">
        <f>$H66*factors!FI$3</f>
        <v>0.47692115152499998</v>
      </c>
      <c r="FP66" s="3">
        <f>$H66*factors!FJ$3</f>
        <v>0.46348022500000002</v>
      </c>
      <c r="FQ66" s="3">
        <f>$H66*factors!FK$3</f>
        <v>0.45884542275000006</v>
      </c>
      <c r="FR66" s="3">
        <f>$H66*factors!FL$3</f>
        <v>0.46811502724999998</v>
      </c>
      <c r="FS66" s="3">
        <f>$H66*factors!FM$3</f>
        <v>0.4653341459</v>
      </c>
      <c r="FT66" s="3">
        <f>$H66*factors!FN$3</f>
        <v>0.47553071085000004</v>
      </c>
      <c r="FU66" s="3">
        <f>$H66*factors!FO$3</f>
        <v>0.45699150184999998</v>
      </c>
      <c r="FV66" s="3">
        <f>$H66*factors!FP$3</f>
        <v>0.45328366004999998</v>
      </c>
      <c r="FW66" s="3">
        <f>$H66*factors!FQ$3</f>
        <v>0.48526379557499999</v>
      </c>
      <c r="FX66" s="3">
        <f>$H66*factors!FR$3</f>
        <v>0.47645767130000005</v>
      </c>
      <c r="FY66" s="3">
        <f>$H66*factors!FS$3</f>
        <v>0.46672458657499993</v>
      </c>
      <c r="FZ66" s="3">
        <f>$H66*factors!FT$3</f>
        <v>0.44355057532500003</v>
      </c>
      <c r="GA66" s="3">
        <f>$H66*factors!FU$3</f>
        <v>0.46672458657499993</v>
      </c>
      <c r="GB66" s="3">
        <f>$H66*factors!FV$3</f>
        <v>0.48387335490000011</v>
      </c>
      <c r="GC66" s="3">
        <f>$H66*factors!FW$3</f>
        <v>0.45328366004999998</v>
      </c>
      <c r="GD66" s="3">
        <f>$H66*factors!FX$3</f>
        <v>0.46116282387500002</v>
      </c>
      <c r="GE66" s="3">
        <f>$H66*factors!FY$3</f>
        <v>0.46116282387500002</v>
      </c>
      <c r="GF66" s="3">
        <f>$H66*factors!FZ$3</f>
        <v>0.45977238320000002</v>
      </c>
      <c r="GG66" s="3">
        <f>$H66*factors!GA$3</f>
        <v>0.441696654425</v>
      </c>
      <c r="GH66" s="3">
        <f>$H66*factors!GB$3</f>
        <v>0.46996894815000007</v>
      </c>
      <c r="GI66" s="3">
        <f>$H66*factors!GC$3</f>
        <v>0.44076969397499999</v>
      </c>
      <c r="GJ66" s="3">
        <f>$H66*factors!GD$3</f>
        <v>0.441696654425</v>
      </c>
      <c r="GK66" s="3">
        <f>$H66*factors!GE$3</f>
        <v>0.452820179825</v>
      </c>
      <c r="GL66" s="3">
        <f>$H66*factors!GF$3</f>
        <v>0.47970203287500002</v>
      </c>
      <c r="GM66" s="3">
        <f>$H66*factors!GG$3</f>
        <v>0.45467410072500003</v>
      </c>
      <c r="GN66" s="3">
        <f>$H66*factors!GH$3</f>
        <v>0.46904198770000005</v>
      </c>
      <c r="GO66" s="3">
        <f>$H66*factors!GI$3</f>
        <v>0.44308709509999994</v>
      </c>
      <c r="GP66" s="3">
        <f>$H66*factors!GJ$3</f>
        <v>0.475067230625</v>
      </c>
      <c r="GQ66" s="3">
        <f>$H66*factors!GK$3</f>
        <v>0.48480031535000007</v>
      </c>
      <c r="GR66" s="3">
        <f>$H66*factors!GL$3</f>
        <v>0.47553071085000004</v>
      </c>
      <c r="GS66" s="3">
        <f>$H66*factors!GM$3</f>
        <v>0.44970559271300004</v>
      </c>
      <c r="GT66" s="3">
        <f>$H66*factors!GN$3</f>
        <v>0.46006530270220003</v>
      </c>
      <c r="GU66" s="3">
        <f>$H66*factors!GO$3</f>
        <v>0.47089590860000002</v>
      </c>
      <c r="GV66" s="3">
        <f>$H66*factors!GP$3</f>
        <v>0.45206007225600003</v>
      </c>
      <c r="GW66" s="3">
        <f>$H66*factors!GQ$3</f>
        <v>0.46807053314840003</v>
      </c>
      <c r="GX66" s="3">
        <f>$H66*factors!GR$3</f>
        <v>0.46053619861080003</v>
      </c>
      <c r="GY66" s="3">
        <f>$H66*factors!GS$3</f>
        <v>0.45818171906780003</v>
      </c>
      <c r="GZ66" s="3">
        <f>$H66*factors!GT$3</f>
        <v>0.47513397177739997</v>
      </c>
      <c r="HA66" s="3">
        <f>$H66*factors!GU$3</f>
        <v>0.45959440679360003</v>
      </c>
      <c r="HB66" s="3">
        <f>$H66*factors!GV$3</f>
        <v>0.47513397177739997</v>
      </c>
      <c r="HC66" s="3">
        <f>$H66*factors!GW$3</f>
        <v>0.46336157406239997</v>
      </c>
      <c r="HD66" s="3">
        <f>$H66*factors!GX$3</f>
        <v>0.47701755541179997</v>
      </c>
      <c r="HE66" s="3">
        <f>$H66*factors!GY$3</f>
        <v>0.47089590860000002</v>
      </c>
      <c r="HF66" s="3">
        <f>$H66*factors!GZ$3</f>
        <v>0.48549368176660002</v>
      </c>
      <c r="HG66" s="3">
        <f>$H66*factors!HA$3</f>
        <v>0.46665784542260003</v>
      </c>
      <c r="HH66" s="3">
        <f>$H66*factors!HB$3</f>
        <v>0.46053619861080003</v>
      </c>
      <c r="HI66" s="3">
        <f>$H66*factors!HC$3</f>
        <v>0.45488544770760003</v>
      </c>
      <c r="HJ66" s="3">
        <f>$H66*factors!HD$3</f>
        <v>0.44970559271300004</v>
      </c>
      <c r="HK66" s="3">
        <f>$H66*factors!HE$3</f>
        <v>0.47560486768600002</v>
      </c>
      <c r="HL66" s="3">
        <f>$H66*factors!HF$3</f>
        <v>0.44829290498719998</v>
      </c>
      <c r="HM66" s="3">
        <f>$H66*factors!HG$3</f>
        <v>0.45300186407320003</v>
      </c>
      <c r="HN66" s="3">
        <f>$H66*factors!HH$3</f>
        <v>0.48313920222360007</v>
      </c>
      <c r="HO66" s="3">
        <f>$H66*factors!HI$3</f>
        <v>0.46336157406239997</v>
      </c>
      <c r="HP66" s="3">
        <f>$H66*factors!HJ$3</f>
        <v>0.49444070403000007</v>
      </c>
      <c r="HQ66" s="3">
        <f>$H66*factors!HK$3</f>
        <v>0.45206007225600003</v>
      </c>
      <c r="HR66" s="3">
        <f>$H66*factors!HL$3</f>
        <v>0.47937203495480007</v>
      </c>
      <c r="HS66" s="3">
        <f>$H66*factors!HM$3</f>
        <v>0.48784816130960001</v>
      </c>
      <c r="HT66" s="3">
        <f>$H66*factors!HN$3</f>
        <v>0.45488544770760003</v>
      </c>
      <c r="HU66" s="3">
        <f>$H66*factors!HO$3</f>
        <v>0.45959440679360003</v>
      </c>
      <c r="HV66" s="3">
        <f>$H66*factors!HP$3</f>
        <v>0.46524515769680008</v>
      </c>
      <c r="HW66" s="3">
        <f>$H66*factors!HQ$3</f>
        <v>0.47183770041720002</v>
      </c>
      <c r="HX66" s="3">
        <f>$H66*factors!HR$3</f>
        <v>0.49114443266979996</v>
      </c>
      <c r="HY66" s="3">
        <f>$H66*factors!HS$3</f>
        <v>0.46665784542260003</v>
      </c>
      <c r="HZ66" s="3">
        <f>$H66*factors!HT$3</f>
        <v>0.48455188994940002</v>
      </c>
      <c r="IA66" s="3">
        <f>$H66*factors!HU$3</f>
        <v>0.46100709451940003</v>
      </c>
      <c r="IB66" s="3">
        <f>$H66*factors!HV$3</f>
        <v>0.47701755541179997</v>
      </c>
      <c r="IC66" s="3">
        <f>$H66*factors!HW$3</f>
        <v>0.48172651449780002</v>
      </c>
      <c r="ID66" s="3">
        <f>$H66*factors!HX$3</f>
        <v>0.44735111316999998</v>
      </c>
      <c r="IE66" s="3">
        <f>$H66*factors!HY$3</f>
        <v>0.47513397177739997</v>
      </c>
      <c r="IF66" s="3">
        <f>$H66*factors!HZ$3</f>
        <v>0.47230859632579997</v>
      </c>
      <c r="IG66" s="3">
        <f>$H66*factors!IA$3</f>
        <v>0.46807053314840003</v>
      </c>
      <c r="IH66" s="3">
        <f>$H66*factors!IB$3</f>
        <v>0.48549368176660002</v>
      </c>
      <c r="II66" s="3">
        <f>$H66*factors!IC$3</f>
        <v>0.46477426178820003</v>
      </c>
      <c r="IJ66" s="3">
        <f>$H66*factors!ID$3</f>
        <v>0.46901232496560002</v>
      </c>
      <c r="IK66" s="3">
        <f>$H66*factors!IE$3</f>
        <v>0.48596457767520002</v>
      </c>
      <c r="IL66" s="3">
        <f>$H66*factors!IF$3</f>
        <v>0.46524515769680008</v>
      </c>
      <c r="IM66" s="3">
        <f>$H66*factors!IG$3</f>
        <v>0.46100709451940003</v>
      </c>
      <c r="IN66" s="3">
        <f>$H66*factors!IH$3</f>
        <v>0.46383246997100003</v>
      </c>
      <c r="IO66" s="3">
        <f>$H66*factors!II$3</f>
        <v>0.46854142905700003</v>
      </c>
      <c r="IP66" s="3">
        <f>$H66*factors!IJ$3</f>
        <v>0.45300186407320003</v>
      </c>
      <c r="IQ66" s="3">
        <f>$H66*factors!IK$3</f>
        <v>0.45158917634740003</v>
      </c>
      <c r="IR66" s="3">
        <f>$H66*factors!IL$3</f>
        <v>0.46477426178820003</v>
      </c>
      <c r="IS66" s="3">
        <f>$H66*factors!IM$3</f>
        <v>0.46854142905700003</v>
      </c>
      <c r="IT66" s="3">
        <f>$H66*factors!IN$3</f>
        <v>0.47183770041720002</v>
      </c>
      <c r="IU66" s="3">
        <f>$H66*factors!IO$3</f>
        <v>0.48219741040640007</v>
      </c>
      <c r="IV66" s="3">
        <f>$H66*factors!IP$3</f>
        <v>0.48831905721819996</v>
      </c>
      <c r="IW66" s="3">
        <f>$H66*factors!IQ$3</f>
        <v>0.46147799042799997</v>
      </c>
      <c r="IX66" s="3">
        <f>$H66*factors!IR$3</f>
        <v>0.48219741040640007</v>
      </c>
      <c r="IY66" s="3">
        <f>$H66*factors!IS$3</f>
        <v>0.47513397177739997</v>
      </c>
      <c r="IZ66" s="3">
        <f>$H66*factors!IT$3</f>
        <v>0.48313920222360007</v>
      </c>
      <c r="JA66" s="3">
        <f>$H66*factors!IU$3</f>
        <v>0.45629813543339998</v>
      </c>
      <c r="JB66" s="3">
        <f>$H66*factors!IV$3</f>
        <v>0.46477426178820003</v>
      </c>
      <c r="JC66" s="3">
        <f>$H66*factors!IW$3</f>
        <v>0.45394365589040003</v>
      </c>
      <c r="JD66" s="3">
        <f>$H66*factors!IX$3</f>
        <v>0.49444070403000007</v>
      </c>
      <c r="JE66" s="3">
        <f>$H66*factors!IY$3</f>
        <v>0.45535634361619998</v>
      </c>
      <c r="JF66" s="3">
        <f>$H66*factors!IZ$3</f>
        <v>0.47795934722899996</v>
      </c>
      <c r="JG66" s="3">
        <f>$H66*factors!JA$3</f>
        <v>0.46948322087419997</v>
      </c>
      <c r="JH66" s="3">
        <f>$H66*factors!JB$3</f>
        <v>0.47843024313760008</v>
      </c>
      <c r="JI66" s="3">
        <f>$H66*factors!JC$3</f>
        <v>0.44782200907860004</v>
      </c>
      <c r="JJ66" s="3">
        <f>$H66*factors!JD$3</f>
        <v>0.48219741040640007</v>
      </c>
      <c r="JK66" s="3">
        <f>$H66*factors!JE$3</f>
        <v>0.46665784542260003</v>
      </c>
      <c r="JL66" s="3">
        <f>$H66*factors!JF$3</f>
        <v>0.48549368176660002</v>
      </c>
      <c r="JM66" s="3">
        <f>$H66*factors!JG$3</f>
        <v>0.45300186407320003</v>
      </c>
      <c r="JN66" s="3">
        <f>$H66*factors!JH$3</f>
        <v>0.45300186407320003</v>
      </c>
      <c r="JO66" s="3">
        <f>$H66*factors!JI$3</f>
        <v>0.44735111316999998</v>
      </c>
      <c r="JP66" s="3">
        <f>$H66*factors!JJ$3</f>
        <v>0.48361009813220002</v>
      </c>
      <c r="JQ66" s="3">
        <f>$H66*factors!JK$3</f>
        <v>0.47136680450859997</v>
      </c>
      <c r="JR66" s="3">
        <f>$H66*factors!JL$3</f>
        <v>0.48973174494400001</v>
      </c>
      <c r="JS66" s="3">
        <f>$H66*factors!JM$3</f>
        <v>0.44735111316999998</v>
      </c>
      <c r="JT66" s="3">
        <f>$H66*factors!JN$3</f>
        <v>0.46995411678280002</v>
      </c>
      <c r="JU66" s="3">
        <f>$H66*factors!JO$3</f>
        <v>0.45441455179899998</v>
      </c>
      <c r="JV66" s="3">
        <f>$H66*factors!JP$3</f>
        <v>0.46194888633660003</v>
      </c>
      <c r="JW66" s="3">
        <f>$H66*factors!JQ$3</f>
        <v>0.49349891221280007</v>
      </c>
      <c r="JX66" s="3">
        <f>$H66*factors!JR$3</f>
        <v>0.48878995312680001</v>
      </c>
      <c r="JY66" s="3">
        <f>$H66*factors!JS$3</f>
        <v>0.46006530270220003</v>
      </c>
      <c r="JZ66" s="3">
        <f>$H66*factors!JT$3</f>
        <v>0.46524515769680008</v>
      </c>
      <c r="KA66" s="3">
        <f>$H66*factors!JU$3</f>
        <v>0.46712874133120003</v>
      </c>
      <c r="KB66" s="3">
        <f>$H66*factors!JV$3</f>
        <v>0.45158917634740003</v>
      </c>
      <c r="KC66" s="3">
        <f>$H66*factors!JW$3</f>
        <v>0.45394365589040003</v>
      </c>
      <c r="KD66" s="3">
        <f>$H66*factors!JX$3</f>
        <v>0.45441455179899998</v>
      </c>
      <c r="KE66" s="3">
        <f>$H66*factors!JY$3</f>
        <v>0.48361009813220002</v>
      </c>
      <c r="KF66" s="3">
        <f>$H66*factors!JZ$3</f>
        <v>0.48926084903539996</v>
      </c>
      <c r="KG66" s="3">
        <f>$H66*factors!KA$3</f>
        <v>0.47183770041720002</v>
      </c>
      <c r="KH66" s="3">
        <f>$H66*factors!KB$3</f>
        <v>0.46147799042799997</v>
      </c>
      <c r="KI66" s="3">
        <f>$H66*factors!KC$3</f>
        <v>0.45723992725059998</v>
      </c>
    </row>
    <row r="67" spans="1:295" x14ac:dyDescent="0.55000000000000004">
      <c r="A67" t="s">
        <v>443</v>
      </c>
      <c r="B67">
        <v>66</v>
      </c>
      <c r="C67">
        <v>230</v>
      </c>
      <c r="D67" t="s">
        <v>377</v>
      </c>
      <c r="E67">
        <v>3.241E-3</v>
      </c>
      <c r="F67">
        <v>66</v>
      </c>
      <c r="G67">
        <f>VLOOKUP(D67,demand_forecasted!$A$2:$G$11,2)</f>
        <v>11098</v>
      </c>
      <c r="H67" s="3">
        <f t="shared" si="1"/>
        <v>0.35968617999999997</v>
      </c>
      <c r="I67" s="3">
        <f>$H67*factors!C$3</f>
        <v>0.39817260125999998</v>
      </c>
      <c r="J67" s="3">
        <f>$H67*factors!D$3</f>
        <v>0.38379954150719997</v>
      </c>
      <c r="K67" s="3">
        <f>$H67*factors!E$3</f>
        <v>0.37719570324239998</v>
      </c>
      <c r="L67" s="3">
        <f>$H67*factors!F$3</f>
        <v>0.3760303200192</v>
      </c>
      <c r="M67" s="3">
        <f>$H67*factors!G$3</f>
        <v>0.37564185894479996</v>
      </c>
      <c r="N67" s="3">
        <f>$H67*factors!H$3</f>
        <v>0.38651876902799998</v>
      </c>
      <c r="O67" s="3">
        <f>$H67*factors!I$3</f>
        <v>0.39506491266479998</v>
      </c>
      <c r="P67" s="3">
        <f>$H67*factors!J$3</f>
        <v>0.39972644555760001</v>
      </c>
      <c r="Q67" s="3">
        <f>$H67*factors!K$3</f>
        <v>0.37525339787039996</v>
      </c>
      <c r="R67" s="3">
        <f>$H67*factors!L$3</f>
        <v>0.36903802067999997</v>
      </c>
      <c r="S67" s="3">
        <f>$H67*factors!M$3</f>
        <v>0.38418800258159996</v>
      </c>
      <c r="T67" s="3">
        <f>$H67*factors!N$3</f>
        <v>0.3973956791112</v>
      </c>
      <c r="U67" s="3">
        <f>$H67*factors!O$3</f>
        <v>0.3764187810936</v>
      </c>
      <c r="V67" s="3">
        <f>$H67*factors!P$3</f>
        <v>0.39156876299519999</v>
      </c>
      <c r="W67" s="3">
        <f>$H67*factors!Q$3</f>
        <v>0.39506491266479998</v>
      </c>
      <c r="X67" s="3">
        <f>$H67*factors!R$3</f>
        <v>0.37797262539119997</v>
      </c>
      <c r="Y67" s="3">
        <f>$H67*factors!S$3</f>
        <v>0.37447647572159998</v>
      </c>
      <c r="Z67" s="3">
        <f>$H67*factors!T$3</f>
        <v>0.40399951737600004</v>
      </c>
      <c r="AA67" s="3">
        <f>$H67*factors!U$3</f>
        <v>0.38146877506079996</v>
      </c>
      <c r="AB67" s="3">
        <f>$H67*factors!V$3</f>
        <v>0.38185723613520001</v>
      </c>
      <c r="AC67" s="3">
        <f>$H67*factors!W$3</f>
        <v>0.3822456972096</v>
      </c>
      <c r="AD67" s="3">
        <f>$H67*factors!X$3</f>
        <v>0.37408801464719998</v>
      </c>
      <c r="AE67" s="3">
        <f>$H67*factors!Y$3</f>
        <v>0.37719570324239998</v>
      </c>
      <c r="AF67" s="3">
        <f>$H67*factors!Z$3</f>
        <v>0.3849649247304</v>
      </c>
      <c r="AG67" s="3">
        <f>$H67*factors!AA$3</f>
        <v>0.37525339787039996</v>
      </c>
      <c r="AH67" s="3">
        <f>$H67*factors!AB$3</f>
        <v>0.37369955357279999</v>
      </c>
      <c r="AI67" s="3">
        <f>$H67*factors!AC$3</f>
        <v>0.38574184687919999</v>
      </c>
      <c r="AJ67" s="3">
        <f>$H67*factors!AD$3</f>
        <v>0.40050336770639999</v>
      </c>
      <c r="AK67" s="3">
        <f>$H67*factors!AE$3</f>
        <v>0.3853533858048</v>
      </c>
      <c r="AL67" s="3">
        <f>$H67*factors!AF$3</f>
        <v>0.37020340390319995</v>
      </c>
      <c r="AM67" s="3">
        <f>$H67*factors!AG$3</f>
        <v>0.38069185291199997</v>
      </c>
      <c r="AN67" s="3">
        <f>$H67*factors!AH$3</f>
        <v>0.37447647572159998</v>
      </c>
      <c r="AO67" s="3">
        <f>$H67*factors!AI$3</f>
        <v>0.39234568514399998</v>
      </c>
      <c r="AP67" s="3">
        <f>$H67*factors!AJ$3</f>
        <v>0.3760303200192</v>
      </c>
      <c r="AQ67" s="3">
        <f>$H67*factors!AK$3</f>
        <v>0.3880726133256</v>
      </c>
      <c r="AR67" s="3">
        <f>$H67*factors!AL$3</f>
        <v>0.37952646968879999</v>
      </c>
      <c r="AS67" s="3">
        <f>$H67*factors!AM$3</f>
        <v>0.37020340390319995</v>
      </c>
      <c r="AT67" s="3">
        <f>$H67*factors!AN$3</f>
        <v>0.38185723613520001</v>
      </c>
      <c r="AU67" s="3">
        <f>$H67*factors!AO$3</f>
        <v>0.40438797845039992</v>
      </c>
      <c r="AV67" s="3">
        <f>$H67*factors!AP$3</f>
        <v>0.3822456972096</v>
      </c>
      <c r="AW67" s="3">
        <f>$H67*factors!AQ$3</f>
        <v>0.37836108646559996</v>
      </c>
      <c r="AX67" s="3">
        <f>$H67*factors!AR$3</f>
        <v>0.400114906632</v>
      </c>
      <c r="AY67" s="3">
        <f>$H67*factors!AS$3</f>
        <v>0.36903802067999997</v>
      </c>
      <c r="AZ67" s="3">
        <f>$H67*factors!AT$3</f>
        <v>0.39545337373920003</v>
      </c>
      <c r="BA67" s="3">
        <f>$H67*factors!AU$3</f>
        <v>0.38690723010239997</v>
      </c>
      <c r="BB67" s="3">
        <f>$H67*factors!AV$3</f>
        <v>0.38185723613520001</v>
      </c>
      <c r="BC67" s="3">
        <f>$H67*factors!AW$3</f>
        <v>0.40399951737600004</v>
      </c>
      <c r="BD67" s="3">
        <f>$H67*factors!AX$3</f>
        <v>0.37292263142399995</v>
      </c>
      <c r="BE67" s="3">
        <f>$H67*factors!AY$3</f>
        <v>0.43843587224919994</v>
      </c>
      <c r="BF67" s="3">
        <f>$H67*factors!AZ$3</f>
        <v>0.40830136408879997</v>
      </c>
      <c r="BG67" s="3">
        <f>$H67*factors!BA$3</f>
        <v>0.41424337978239989</v>
      </c>
      <c r="BH67" s="3">
        <f>$H67*factors!BB$3</f>
        <v>0.41976096578359995</v>
      </c>
      <c r="BI67" s="3">
        <f>$H67*factors!BC$3</f>
        <v>0.43504043470999987</v>
      </c>
      <c r="BJ67" s="3">
        <f>$H67*factors!BD$3</f>
        <v>0.41551666885959992</v>
      </c>
      <c r="BK67" s="3">
        <f>$H67*factors!BE$3</f>
        <v>0.41636552824439987</v>
      </c>
      <c r="BL67" s="3">
        <f>$H67*factors!BF$3</f>
        <v>0.41169680162799993</v>
      </c>
      <c r="BM67" s="3">
        <f>$H67*factors!BG$3</f>
        <v>0.43970916132639998</v>
      </c>
      <c r="BN67" s="3">
        <f>$H67*factors!BH$3</f>
        <v>0.43419157532519992</v>
      </c>
      <c r="BO67" s="3">
        <f>$H67*factors!BI$3</f>
        <v>0.40830136408879997</v>
      </c>
      <c r="BP67" s="3">
        <f>$H67*factors!BJ$3</f>
        <v>0.40702807501159993</v>
      </c>
      <c r="BQ67" s="3">
        <f>$H67*factors!BK$3</f>
        <v>0.41381895008999992</v>
      </c>
      <c r="BR67" s="3">
        <f>$H67*factors!BL$3</f>
        <v>0.42867398932399997</v>
      </c>
      <c r="BS67" s="3">
        <f>$H67*factors!BM$3</f>
        <v>0.43546486440239995</v>
      </c>
      <c r="BT67" s="3">
        <f>$H67*factors!BN$3</f>
        <v>0.43673815347959993</v>
      </c>
      <c r="BU67" s="3">
        <f>$H67*factors!BO$3</f>
        <v>0.4439534582504</v>
      </c>
      <c r="BV67" s="3">
        <f>$H67*factors!BP$3</f>
        <v>0.41297009070519997</v>
      </c>
      <c r="BW67" s="3">
        <f>$H67*factors!BQ$3</f>
        <v>0.42230754393799991</v>
      </c>
      <c r="BX67" s="3">
        <f>$H67*factors!BR$3</f>
        <v>0.41424337978239989</v>
      </c>
      <c r="BY67" s="3">
        <f>$H67*factors!BS$3</f>
        <v>0.43334271594039986</v>
      </c>
      <c r="BZ67" s="3">
        <f>$H67*factors!BT$3</f>
        <v>0.4252785517847999</v>
      </c>
      <c r="CA67" s="3">
        <f>$H67*factors!BU$3</f>
        <v>0.41976096578359995</v>
      </c>
      <c r="CB67" s="3">
        <f>$H67*factors!BV$3</f>
        <v>0.40617921562679993</v>
      </c>
      <c r="CC67" s="3">
        <f>$H67*factors!BW$3</f>
        <v>0.41806324701399994</v>
      </c>
      <c r="CD67" s="3">
        <f>$H67*factors!BX$3</f>
        <v>0.41933653609119997</v>
      </c>
      <c r="CE67" s="3">
        <f>$H67*factors!BY$3</f>
        <v>0.4252785517847999</v>
      </c>
      <c r="CF67" s="3">
        <f>$H67*factors!BZ$3</f>
        <v>0.41891210639879994</v>
      </c>
      <c r="CG67" s="3">
        <f>$H67*factors!CA$3</f>
        <v>0.40490592654959989</v>
      </c>
      <c r="CH67" s="3">
        <f>$H67*factors!CB$3</f>
        <v>0.40533035624199987</v>
      </c>
      <c r="CI67" s="3">
        <f>$H67*factors!CC$3</f>
        <v>0.40320820777999994</v>
      </c>
      <c r="CJ67" s="3">
        <f>$H67*factors!CD$3</f>
        <v>0.41976096578359995</v>
      </c>
      <c r="CK67" s="3">
        <f>$H67*factors!CE$3</f>
        <v>0.43843587224919994</v>
      </c>
      <c r="CL67" s="3">
        <f>$H67*factors!CF$3</f>
        <v>0.41084794224319993</v>
      </c>
      <c r="CM67" s="3">
        <f>$H67*factors!CG$3</f>
        <v>0.4206098251683999</v>
      </c>
      <c r="CN67" s="3">
        <f>$H67*factors!CH$3</f>
        <v>0.4066036453191999</v>
      </c>
      <c r="CO67" s="3">
        <f>$H67*factors!CI$3</f>
        <v>0.40957465316599989</v>
      </c>
      <c r="CP67" s="3">
        <f>$H67*factors!CJ$3</f>
        <v>0.42909841901639983</v>
      </c>
      <c r="CQ67" s="3">
        <f>$H67*factors!CK$3</f>
        <v>0.41636552824439987</v>
      </c>
      <c r="CR67" s="3">
        <f>$H67*factors!CL$3</f>
        <v>0.42952284870879992</v>
      </c>
      <c r="CS67" s="3">
        <f>$H67*factors!CM$3</f>
        <v>0.44310459886559994</v>
      </c>
      <c r="CT67" s="3">
        <f>$H67*factors!CN$3</f>
        <v>0.43801144255679997</v>
      </c>
      <c r="CU67" s="3">
        <f>$H67*factors!CO$3</f>
        <v>0.42824955963159989</v>
      </c>
      <c r="CV67" s="3">
        <f>$H67*factors!CP$3</f>
        <v>0.4456511770199999</v>
      </c>
      <c r="CW67" s="3">
        <f>$H67*factors!CQ$3</f>
        <v>0.42145868455319996</v>
      </c>
      <c r="CX67" s="3">
        <f>$H67*factors!CR$3</f>
        <v>0.41509223916719995</v>
      </c>
      <c r="CY67" s="3">
        <f>$H67*factors!CS$3</f>
        <v>0.4112723719355999</v>
      </c>
      <c r="CZ67" s="3">
        <f>$H67*factors!CT$3</f>
        <v>0.40533035624199987</v>
      </c>
      <c r="DA67" s="3">
        <f>$H67*factors!CU$3</f>
        <v>0.42083283059999993</v>
      </c>
      <c r="DB67" s="3">
        <f>$H67*factors!CV$3</f>
        <v>0.44802510580799998</v>
      </c>
      <c r="DC67" s="3">
        <f>$H67*factors!CW$3</f>
        <v>0.4290336755039999</v>
      </c>
      <c r="DD67" s="3">
        <f>$H67*factors!CX$3</f>
        <v>0.42601231159199993</v>
      </c>
      <c r="DE67" s="3">
        <f>$H67*factors!CY$3</f>
        <v>0.438529390656</v>
      </c>
      <c r="DF67" s="3">
        <f>$H67*factors!CZ$3</f>
        <v>0.43766614382399993</v>
      </c>
      <c r="DG67" s="3">
        <f>$H67*factors!DA$3</f>
        <v>0.43593965015999997</v>
      </c>
      <c r="DH67" s="3">
        <f>$H67*factors!DB$3</f>
        <v>0.43593965015999997</v>
      </c>
      <c r="DI67" s="3">
        <f>$H67*factors!DC$3</f>
        <v>0.41953796035199992</v>
      </c>
      <c r="DJ67" s="3">
        <f>$H67*factors!DD$3</f>
        <v>0.44457211847999994</v>
      </c>
      <c r="DK67" s="3">
        <f>$H67*factors!DE$3</f>
        <v>0.44457211847999994</v>
      </c>
      <c r="DL67" s="3">
        <f>$H67*factors!DF$3</f>
        <v>0.43939263748799995</v>
      </c>
      <c r="DM67" s="3">
        <f>$H67*factors!DG$3</f>
        <v>0.41392685594399992</v>
      </c>
      <c r="DN67" s="3">
        <f>$H67*factors!DH$3</f>
        <v>0.43421315649599995</v>
      </c>
      <c r="DO67" s="3">
        <f>$H67*factors!DI$3</f>
        <v>0.44845672922399993</v>
      </c>
      <c r="DP67" s="3">
        <f>$H67*factors!DJ$3</f>
        <v>0.44457211847999994</v>
      </c>
      <c r="DQ67" s="3">
        <f>$H67*factors!DK$3</f>
        <v>0.4238541945119999</v>
      </c>
      <c r="DR67" s="3">
        <f>$H67*factors!DL$3</f>
        <v>0.41910633693599997</v>
      </c>
      <c r="DS67" s="3">
        <f>$H67*factors!DM$3</f>
        <v>0.45277296338399992</v>
      </c>
      <c r="DT67" s="3">
        <f>$H67*factors!DN$3</f>
        <v>0.42558068817599998</v>
      </c>
      <c r="DU67" s="3">
        <f>$H67*factors!DO$3</f>
        <v>0.44543536531199995</v>
      </c>
      <c r="DV67" s="3">
        <f>$H67*factors!DP$3</f>
        <v>0.43507640332799996</v>
      </c>
      <c r="DW67" s="3">
        <f>$H67*factors!DQ$3</f>
        <v>0.41522172619199993</v>
      </c>
      <c r="DX67" s="3">
        <f>$H67*factors!DR$3</f>
        <v>0.4398242609039999</v>
      </c>
      <c r="DY67" s="3">
        <f>$H67*factors!DS$3</f>
        <v>0.4173798432719999</v>
      </c>
      <c r="DZ67" s="3">
        <f>$H67*factors!DT$3</f>
        <v>0.44629861214399991</v>
      </c>
      <c r="EA67" s="3">
        <f>$H67*factors!DU$3</f>
        <v>0.42040120718399993</v>
      </c>
      <c r="EB67" s="3">
        <f>$H67*factors!DV$3</f>
        <v>0.41004224519999993</v>
      </c>
      <c r="EC67" s="3">
        <f>$H67*factors!DW$3</f>
        <v>0.44111913115199991</v>
      </c>
      <c r="ED67" s="3">
        <f>$H67*factors!DX$3</f>
        <v>0.41392685594399992</v>
      </c>
      <c r="EE67" s="3">
        <f>$H67*factors!DY$3</f>
        <v>0.4173798432719999</v>
      </c>
      <c r="EF67" s="3">
        <f>$H67*factors!DZ$3</f>
        <v>0.45277296338399992</v>
      </c>
      <c r="EG67" s="3">
        <f>$H67*factors!EA$3</f>
        <v>0.42299094767999995</v>
      </c>
      <c r="EH67" s="3">
        <f>$H67*factors!EB$3</f>
        <v>0.42428581792799996</v>
      </c>
      <c r="EI67" s="3">
        <f>$H67*factors!EC$3</f>
        <v>0.42342257109599996</v>
      </c>
      <c r="EJ67" s="3">
        <f>$H67*factors!ED$3</f>
        <v>0.41263198569599996</v>
      </c>
      <c r="EK67" s="3">
        <f>$H67*factors!EE$3</f>
        <v>0.44111913115199991</v>
      </c>
      <c r="EL67" s="3">
        <f>$H67*factors!EF$3</f>
        <v>0.41953796035199992</v>
      </c>
      <c r="EM67" s="3">
        <f>$H67*factors!EG$3</f>
        <v>0.43637127357599992</v>
      </c>
      <c r="EN67" s="3">
        <f>$H67*factors!EH$3</f>
        <v>0.41004224519999993</v>
      </c>
      <c r="EO67" s="3">
        <f>$H67*factors!EI$3</f>
        <v>0.41608497302399988</v>
      </c>
      <c r="EP67" s="3">
        <f>$H67*factors!EJ$3</f>
        <v>0.43896101407199994</v>
      </c>
      <c r="EQ67" s="3">
        <f>$H67*factors!EK$3</f>
        <v>0.42687555842399993</v>
      </c>
      <c r="ER67" s="3">
        <f>$H67*factors!EL$3</f>
        <v>0.44457211847999994</v>
      </c>
      <c r="ES67" s="3">
        <f>$H67*factors!EM$3</f>
        <v>0.43896101407199994</v>
      </c>
      <c r="ET67" s="3">
        <f>$H67*factors!EN$3</f>
        <v>0.44888835263999993</v>
      </c>
      <c r="EU67" s="3">
        <f>$H67*factors!EO$3</f>
        <v>0.45320458679999998</v>
      </c>
      <c r="EV67" s="3">
        <f>$H67*factors!EP$3</f>
        <v>0.42471744134399991</v>
      </c>
      <c r="EW67" s="3">
        <f>$H67*factors!EQ$3</f>
        <v>0.46714242627499991</v>
      </c>
      <c r="EX67" s="3">
        <f>$H67*factors!ER$3</f>
        <v>0.46219674129999999</v>
      </c>
      <c r="EY67" s="3">
        <f>$H67*factors!ES$3</f>
        <v>0.47163850352499986</v>
      </c>
      <c r="EZ67" s="3">
        <f>$H67*factors!ET$3</f>
        <v>0.46714242627499991</v>
      </c>
      <c r="FA67" s="3">
        <f>$H67*factors!EU$3</f>
        <v>0.42937537737499992</v>
      </c>
      <c r="FB67" s="3">
        <f>$H67*factors!EV$3</f>
        <v>0.44870850954999997</v>
      </c>
      <c r="FC67" s="3">
        <f>$H67*factors!EW$3</f>
        <v>0.46129752584999995</v>
      </c>
      <c r="FD67" s="3">
        <f>$H67*factors!EX$3</f>
        <v>0.44511164774999995</v>
      </c>
      <c r="FE67" s="3">
        <f>$H67*factors!EY$3</f>
        <v>0.46894085717499995</v>
      </c>
      <c r="FF67" s="3">
        <f>$H67*factors!EZ$3</f>
        <v>0.46939046490000003</v>
      </c>
      <c r="FG67" s="3">
        <f>$H67*factors!FA$3</f>
        <v>0.42937537737499992</v>
      </c>
      <c r="FH67" s="3">
        <f>$H67*factors!FB$3</f>
        <v>0.45185576362499991</v>
      </c>
      <c r="FI67" s="3">
        <f>$H67*factors!FC$3</f>
        <v>0.47073928807499993</v>
      </c>
      <c r="FJ67" s="3">
        <f>$H67*factors!FD$3</f>
        <v>0.45185576362499991</v>
      </c>
      <c r="FK67" s="3">
        <f>$H67*factors!FE$3</f>
        <v>0.45949909494999996</v>
      </c>
      <c r="FL67" s="3">
        <f>$H67*factors!FF$3</f>
        <v>0.46084791812499998</v>
      </c>
      <c r="FM67" s="3">
        <f>$H67*factors!FG$3</f>
        <v>0.46579360309999995</v>
      </c>
      <c r="FN67" s="3">
        <f>$H67*factors!FH$3</f>
        <v>0.43566988552499991</v>
      </c>
      <c r="FO67" s="3">
        <f>$H67*factors!FI$3</f>
        <v>0.4626463490249999</v>
      </c>
      <c r="FP67" s="3">
        <f>$H67*factors!FJ$3</f>
        <v>0.44960772499999996</v>
      </c>
      <c r="FQ67" s="3">
        <f>$H67*factors!FK$3</f>
        <v>0.44511164774999995</v>
      </c>
      <c r="FR67" s="3">
        <f>$H67*factors!FL$3</f>
        <v>0.45410380224999997</v>
      </c>
      <c r="FS67" s="3">
        <f>$H67*factors!FM$3</f>
        <v>0.45140615589999994</v>
      </c>
      <c r="FT67" s="3">
        <f>$H67*factors!FN$3</f>
        <v>0.46129752584999995</v>
      </c>
      <c r="FU67" s="3">
        <f>$H67*factors!FO$3</f>
        <v>0.44331321684999991</v>
      </c>
      <c r="FV67" s="3">
        <f>$H67*factors!FP$3</f>
        <v>0.43971635504999995</v>
      </c>
      <c r="FW67" s="3">
        <f>$H67*factors!FQ$3</f>
        <v>0.47073928807499993</v>
      </c>
      <c r="FX67" s="3">
        <f>$H67*factors!FR$3</f>
        <v>0.46219674129999999</v>
      </c>
      <c r="FY67" s="3">
        <f>$H67*factors!FS$3</f>
        <v>0.4527549790749999</v>
      </c>
      <c r="FZ67" s="3">
        <f>$H67*factors!FT$3</f>
        <v>0.43027459282499997</v>
      </c>
      <c r="GA67" s="3">
        <f>$H67*factors!FU$3</f>
        <v>0.4527549790749999</v>
      </c>
      <c r="GB67" s="3">
        <f>$H67*factors!FV$3</f>
        <v>0.46939046490000003</v>
      </c>
      <c r="GC67" s="3">
        <f>$H67*factors!FW$3</f>
        <v>0.43971635504999995</v>
      </c>
      <c r="GD67" s="3">
        <f>$H67*factors!FX$3</f>
        <v>0.4473596863749999</v>
      </c>
      <c r="GE67" s="3">
        <f>$H67*factors!FY$3</f>
        <v>0.4473596863749999</v>
      </c>
      <c r="GF67" s="3">
        <f>$H67*factors!FZ$3</f>
        <v>0.44601086319999994</v>
      </c>
      <c r="GG67" s="3">
        <f>$H67*factors!GA$3</f>
        <v>0.42847616192499993</v>
      </c>
      <c r="GH67" s="3">
        <f>$H67*factors!GB$3</f>
        <v>0.45590223315</v>
      </c>
      <c r="GI67" s="3">
        <f>$H67*factors!GC$3</f>
        <v>0.42757694647499994</v>
      </c>
      <c r="GJ67" s="3">
        <f>$H67*factors!GD$3</f>
        <v>0.42847616192499993</v>
      </c>
      <c r="GK67" s="3">
        <f>$H67*factors!GE$3</f>
        <v>0.43926674732499993</v>
      </c>
      <c r="GL67" s="3">
        <f>$H67*factors!GF$3</f>
        <v>0.46534399537499993</v>
      </c>
      <c r="GM67" s="3">
        <f>$H67*factors!GG$3</f>
        <v>0.44106517822499997</v>
      </c>
      <c r="GN67" s="3">
        <f>$H67*factors!GH$3</f>
        <v>0.45500301770000001</v>
      </c>
      <c r="GO67" s="3">
        <f>$H67*factors!GI$3</f>
        <v>0.42982498509999989</v>
      </c>
      <c r="GP67" s="3">
        <f>$H67*factors!GJ$3</f>
        <v>0.46084791812499998</v>
      </c>
      <c r="GQ67" s="3">
        <f>$H67*factors!GK$3</f>
        <v>0.47028968035000002</v>
      </c>
      <c r="GR67" s="3">
        <f>$H67*factors!GL$3</f>
        <v>0.46129752584999995</v>
      </c>
      <c r="GS67" s="3">
        <f>$H67*factors!GM$3</f>
        <v>0.43624538341299995</v>
      </c>
      <c r="GT67" s="3">
        <f>$H67*factors!GN$3</f>
        <v>0.4462950152822</v>
      </c>
      <c r="GU67" s="3">
        <f>$H67*factors!GO$3</f>
        <v>0.45680144859999994</v>
      </c>
      <c r="GV67" s="3">
        <f>$H67*factors!GP$3</f>
        <v>0.438529390656</v>
      </c>
      <c r="GW67" s="3">
        <f>$H67*factors!GQ$3</f>
        <v>0.45406063990839995</v>
      </c>
      <c r="GX67" s="3">
        <f>$H67*factors!GR$3</f>
        <v>0.44675181673079994</v>
      </c>
      <c r="GY67" s="3">
        <f>$H67*factors!GS$3</f>
        <v>0.44446780948780001</v>
      </c>
      <c r="GZ67" s="3">
        <f>$H67*factors!GT$3</f>
        <v>0.46091266163739991</v>
      </c>
      <c r="HA67" s="3">
        <f>$H67*factors!GU$3</f>
        <v>0.44583821383359995</v>
      </c>
      <c r="HB67" s="3">
        <f>$H67*factors!GV$3</f>
        <v>0.46091266163739991</v>
      </c>
      <c r="HC67" s="3">
        <f>$H67*factors!GW$3</f>
        <v>0.44949262542239993</v>
      </c>
      <c r="HD67" s="3">
        <f>$H67*factors!GX$3</f>
        <v>0.4627398674317999</v>
      </c>
      <c r="HE67" s="3">
        <f>$H67*factors!GY$3</f>
        <v>0.45680144859999994</v>
      </c>
      <c r="HF67" s="3">
        <f>$H67*factors!GZ$3</f>
        <v>0.4709622935065999</v>
      </c>
      <c r="HG67" s="3">
        <f>$H67*factors!HA$3</f>
        <v>0.45269023556259996</v>
      </c>
      <c r="HH67" s="3">
        <f>$H67*factors!HB$3</f>
        <v>0.44675181673079994</v>
      </c>
      <c r="HI67" s="3">
        <f>$H67*factors!HC$3</f>
        <v>0.44127019934759998</v>
      </c>
      <c r="HJ67" s="3">
        <f>$H67*factors!HD$3</f>
        <v>0.43624538341299995</v>
      </c>
      <c r="HK67" s="3">
        <f>$H67*factors!HE$3</f>
        <v>0.46136946308599996</v>
      </c>
      <c r="HL67" s="3">
        <f>$H67*factors!HF$3</f>
        <v>0.43487497906719991</v>
      </c>
      <c r="HM67" s="3">
        <f>$H67*factors!HG$3</f>
        <v>0.43944299355319999</v>
      </c>
      <c r="HN67" s="3">
        <f>$H67*factors!HH$3</f>
        <v>0.46867828626359997</v>
      </c>
      <c r="HO67" s="3">
        <f>$H67*factors!HI$3</f>
        <v>0.44949262542239993</v>
      </c>
      <c r="HP67" s="3">
        <f>$H67*factors!HJ$3</f>
        <v>0.47964152103000002</v>
      </c>
      <c r="HQ67" s="3">
        <f>$H67*factors!HK$3</f>
        <v>0.438529390656</v>
      </c>
      <c r="HR67" s="3">
        <f>$H67*factors!HL$3</f>
        <v>0.4650238746748</v>
      </c>
      <c r="HS67" s="3">
        <f>$H67*factors!HM$3</f>
        <v>0.47324630074959995</v>
      </c>
      <c r="HT67" s="3">
        <f>$H67*factors!HN$3</f>
        <v>0.44127019934759998</v>
      </c>
      <c r="HU67" s="3">
        <f>$H67*factors!HO$3</f>
        <v>0.44583821383359995</v>
      </c>
      <c r="HV67" s="3">
        <f>$H67*factors!HP$3</f>
        <v>0.45131983121679997</v>
      </c>
      <c r="HW67" s="3">
        <f>$H67*factors!HQ$3</f>
        <v>0.45771505149719993</v>
      </c>
      <c r="HX67" s="3">
        <f>$H67*factors!HR$3</f>
        <v>0.47644391088979993</v>
      </c>
      <c r="HY67" s="3">
        <f>$H67*factors!HS$3</f>
        <v>0.45269023556259996</v>
      </c>
      <c r="HZ67" s="3">
        <f>$H67*factors!HT$3</f>
        <v>0.47004869060939991</v>
      </c>
      <c r="IA67" s="3">
        <f>$H67*factors!HU$3</f>
        <v>0.4472086181794</v>
      </c>
      <c r="IB67" s="3">
        <f>$H67*factors!HV$3</f>
        <v>0.4627398674317999</v>
      </c>
      <c r="IC67" s="3">
        <f>$H67*factors!HW$3</f>
        <v>0.46730788191779993</v>
      </c>
      <c r="ID67" s="3">
        <f>$H67*factors!HX$3</f>
        <v>0.43396137616999991</v>
      </c>
      <c r="IE67" s="3">
        <f>$H67*factors!HY$3</f>
        <v>0.46091266163739991</v>
      </c>
      <c r="IF67" s="3">
        <f>$H67*factors!HZ$3</f>
        <v>0.45817185294579993</v>
      </c>
      <c r="IG67" s="3">
        <f>$H67*factors!IA$3</f>
        <v>0.45406063990839995</v>
      </c>
      <c r="IH67" s="3">
        <f>$H67*factors!IB$3</f>
        <v>0.4709622935065999</v>
      </c>
      <c r="II67" s="3">
        <f>$H67*factors!IC$3</f>
        <v>0.45086302976819997</v>
      </c>
      <c r="IJ67" s="3">
        <f>$H67*factors!ID$3</f>
        <v>0.45497424280559995</v>
      </c>
      <c r="IK67" s="3">
        <f>$H67*factors!IE$3</f>
        <v>0.47141909495519996</v>
      </c>
      <c r="IL67" s="3">
        <f>$H67*factors!IF$3</f>
        <v>0.45131983121679997</v>
      </c>
      <c r="IM67" s="3">
        <f>$H67*factors!IG$3</f>
        <v>0.4472086181794</v>
      </c>
      <c r="IN67" s="3">
        <f>$H67*factors!IH$3</f>
        <v>0.44994942687099998</v>
      </c>
      <c r="IO67" s="3">
        <f>$H67*factors!II$3</f>
        <v>0.45451744135699995</v>
      </c>
      <c r="IP67" s="3">
        <f>$H67*factors!IJ$3</f>
        <v>0.43944299355319999</v>
      </c>
      <c r="IQ67" s="3">
        <f>$H67*factors!IK$3</f>
        <v>0.43807258920739994</v>
      </c>
      <c r="IR67" s="3">
        <f>$H67*factors!IL$3</f>
        <v>0.45086302976819997</v>
      </c>
      <c r="IS67" s="3">
        <f>$H67*factors!IM$3</f>
        <v>0.45451744135699995</v>
      </c>
      <c r="IT67" s="3">
        <f>$H67*factors!IN$3</f>
        <v>0.45771505149719993</v>
      </c>
      <c r="IU67" s="3">
        <f>$H67*factors!IO$3</f>
        <v>0.46776468336639998</v>
      </c>
      <c r="IV67" s="3">
        <f>$H67*factors!IP$3</f>
        <v>0.47370310219819989</v>
      </c>
      <c r="IW67" s="3">
        <f>$H67*factors!IQ$3</f>
        <v>0.44766541962799994</v>
      </c>
      <c r="IX67" s="3">
        <f>$H67*factors!IR$3</f>
        <v>0.46776468336639998</v>
      </c>
      <c r="IY67" s="3">
        <f>$H67*factors!IS$3</f>
        <v>0.46091266163739991</v>
      </c>
      <c r="IZ67" s="3">
        <f>$H67*factors!IT$3</f>
        <v>0.46867828626359997</v>
      </c>
      <c r="JA67" s="3">
        <f>$H67*factors!IU$3</f>
        <v>0.44264060369339991</v>
      </c>
      <c r="JB67" s="3">
        <f>$H67*factors!IV$3</f>
        <v>0.45086302976819997</v>
      </c>
      <c r="JC67" s="3">
        <f>$H67*factors!IW$3</f>
        <v>0.44035659645039998</v>
      </c>
      <c r="JD67" s="3">
        <f>$H67*factors!IX$3</f>
        <v>0.47964152103000002</v>
      </c>
      <c r="JE67" s="3">
        <f>$H67*factors!IY$3</f>
        <v>0.44172700079619992</v>
      </c>
      <c r="JF67" s="3">
        <f>$H67*factors!IZ$3</f>
        <v>0.46365347032899989</v>
      </c>
      <c r="JG67" s="3">
        <f>$H67*factors!JA$3</f>
        <v>0.45543104425419995</v>
      </c>
      <c r="JH67" s="3">
        <f>$H67*factors!JB$3</f>
        <v>0.4641102717776</v>
      </c>
      <c r="JI67" s="3">
        <f>$H67*factors!JC$3</f>
        <v>0.43441817761859997</v>
      </c>
      <c r="JJ67" s="3">
        <f>$H67*factors!JD$3</f>
        <v>0.46776468336639998</v>
      </c>
      <c r="JK67" s="3">
        <f>$H67*factors!JE$3</f>
        <v>0.45269023556259996</v>
      </c>
      <c r="JL67" s="3">
        <f>$H67*factors!JF$3</f>
        <v>0.4709622935065999</v>
      </c>
      <c r="JM67" s="3">
        <f>$H67*factors!JG$3</f>
        <v>0.43944299355319999</v>
      </c>
      <c r="JN67" s="3">
        <f>$H67*factors!JH$3</f>
        <v>0.43944299355319999</v>
      </c>
      <c r="JO67" s="3">
        <f>$H67*factors!JI$3</f>
        <v>0.43396137616999991</v>
      </c>
      <c r="JP67" s="3">
        <f>$H67*factors!JJ$3</f>
        <v>0.46913508771219992</v>
      </c>
      <c r="JQ67" s="3">
        <f>$H67*factors!JK$3</f>
        <v>0.45725825004859993</v>
      </c>
      <c r="JR67" s="3">
        <f>$H67*factors!JL$3</f>
        <v>0.47507350654399993</v>
      </c>
      <c r="JS67" s="3">
        <f>$H67*factors!JM$3</f>
        <v>0.43396137616999991</v>
      </c>
      <c r="JT67" s="3">
        <f>$H67*factors!JN$3</f>
        <v>0.45588784570279994</v>
      </c>
      <c r="JU67" s="3">
        <f>$H67*factors!JO$3</f>
        <v>0.44081339789899993</v>
      </c>
      <c r="JV67" s="3">
        <f>$H67*factors!JP$3</f>
        <v>0.44812222107659999</v>
      </c>
      <c r="JW67" s="3">
        <f>$H67*factors!JQ$3</f>
        <v>0.47872791813280002</v>
      </c>
      <c r="JX67" s="3">
        <f>$H67*factors!JR$3</f>
        <v>0.47415990364679994</v>
      </c>
      <c r="JY67" s="3">
        <f>$H67*factors!JS$3</f>
        <v>0.4462950152822</v>
      </c>
      <c r="JZ67" s="3">
        <f>$H67*factors!JT$3</f>
        <v>0.45131983121679997</v>
      </c>
      <c r="KA67" s="3">
        <f>$H67*factors!JU$3</f>
        <v>0.45314703701119996</v>
      </c>
      <c r="KB67" s="3">
        <f>$H67*factors!JV$3</f>
        <v>0.43807258920739994</v>
      </c>
      <c r="KC67" s="3">
        <f>$H67*factors!JW$3</f>
        <v>0.44035659645039998</v>
      </c>
      <c r="KD67" s="3">
        <f>$H67*factors!JX$3</f>
        <v>0.44081339789899993</v>
      </c>
      <c r="KE67" s="3">
        <f>$H67*factors!JY$3</f>
        <v>0.46913508771219992</v>
      </c>
      <c r="KF67" s="3">
        <f>$H67*factors!JZ$3</f>
        <v>0.47461670509539988</v>
      </c>
      <c r="KG67" s="3">
        <f>$H67*factors!KA$3</f>
        <v>0.45771505149719993</v>
      </c>
      <c r="KH67" s="3">
        <f>$H67*factors!KB$3</f>
        <v>0.44766541962799994</v>
      </c>
      <c r="KI67" s="3">
        <f>$H67*factors!KC$3</f>
        <v>0.44355420659059991</v>
      </c>
    </row>
    <row r="68" spans="1:295" x14ac:dyDescent="0.55000000000000004">
      <c r="A68" t="s">
        <v>444</v>
      </c>
      <c r="B68">
        <v>67</v>
      </c>
      <c r="C68">
        <v>230</v>
      </c>
      <c r="D68" t="s">
        <v>377</v>
      </c>
      <c r="E68">
        <v>1.5035E-2</v>
      </c>
      <c r="F68">
        <v>67</v>
      </c>
      <c r="G68">
        <f>VLOOKUP(D68,demand_forecasted!$A$2:$G$11,2)</f>
        <v>11098</v>
      </c>
      <c r="H68" s="3">
        <f t="shared" si="1"/>
        <v>1.6685843</v>
      </c>
      <c r="I68" s="3">
        <f>$H68*factors!C$3</f>
        <v>1.8471228201000001</v>
      </c>
      <c r="J68" s="3">
        <f>$H68*factors!D$3</f>
        <v>1.780446191472</v>
      </c>
      <c r="K68" s="3">
        <f>$H68*factors!E$3</f>
        <v>1.7498109837240001</v>
      </c>
      <c r="L68" s="3">
        <f>$H68*factors!F$3</f>
        <v>1.7444047705920003</v>
      </c>
      <c r="M68" s="3">
        <f>$H68*factors!G$3</f>
        <v>1.742602699548</v>
      </c>
      <c r="N68" s="3">
        <f>$H68*factors!H$3</f>
        <v>1.79306068878</v>
      </c>
      <c r="O68" s="3">
        <f>$H68*factors!I$3</f>
        <v>1.8327062517479999</v>
      </c>
      <c r="P68" s="3">
        <f>$H68*factors!J$3</f>
        <v>1.8543311042760002</v>
      </c>
      <c r="Q68" s="3">
        <f>$H68*factors!K$3</f>
        <v>1.7408006285040001</v>
      </c>
      <c r="R68" s="3">
        <f>$H68*factors!L$3</f>
        <v>1.7119674918000001</v>
      </c>
      <c r="S68" s="3">
        <f>$H68*factors!M$3</f>
        <v>1.7822482625159999</v>
      </c>
      <c r="T68" s="3">
        <f>$H68*factors!N$3</f>
        <v>1.8435186780120001</v>
      </c>
      <c r="U68" s="3">
        <f>$H68*factors!O$3</f>
        <v>1.7462068416360002</v>
      </c>
      <c r="V68" s="3">
        <f>$H68*factors!P$3</f>
        <v>1.8164876123520002</v>
      </c>
      <c r="W68" s="3">
        <f>$H68*factors!Q$3</f>
        <v>1.8327062517479999</v>
      </c>
      <c r="X68" s="3">
        <f>$H68*factors!R$3</f>
        <v>1.7534151258120001</v>
      </c>
      <c r="Y68" s="3">
        <f>$H68*factors!S$3</f>
        <v>1.7371964864160001</v>
      </c>
      <c r="Z68" s="3">
        <f>$H68*factors!T$3</f>
        <v>1.8741538857600004</v>
      </c>
      <c r="AA68" s="3">
        <f>$H68*factors!U$3</f>
        <v>1.7696337652079999</v>
      </c>
      <c r="AB68" s="3">
        <f>$H68*factors!V$3</f>
        <v>1.7714358362520002</v>
      </c>
      <c r="AC68" s="3">
        <f>$H68*factors!W$3</f>
        <v>1.7732379072960003</v>
      </c>
      <c r="AD68" s="3">
        <f>$H68*factors!X$3</f>
        <v>1.7353944153720002</v>
      </c>
      <c r="AE68" s="3">
        <f>$H68*factors!Y$3</f>
        <v>1.7498109837240001</v>
      </c>
      <c r="AF68" s="3">
        <f>$H68*factors!Z$3</f>
        <v>1.7858524046040003</v>
      </c>
      <c r="AG68" s="3">
        <f>$H68*factors!AA$3</f>
        <v>1.7408006285040001</v>
      </c>
      <c r="AH68" s="3">
        <f>$H68*factors!AB$3</f>
        <v>1.7335923443280001</v>
      </c>
      <c r="AI68" s="3">
        <f>$H68*factors!AC$3</f>
        <v>1.789456546692</v>
      </c>
      <c r="AJ68" s="3">
        <f>$H68*factors!AD$3</f>
        <v>1.857935246364</v>
      </c>
      <c r="AK68" s="3">
        <f>$H68*factors!AE$3</f>
        <v>1.7876544756480002</v>
      </c>
      <c r="AL68" s="3">
        <f>$H68*factors!AF$3</f>
        <v>1.7173737049319999</v>
      </c>
      <c r="AM68" s="3">
        <f>$H68*factors!AG$3</f>
        <v>1.7660296231200001</v>
      </c>
      <c r="AN68" s="3">
        <f>$H68*factors!AH$3</f>
        <v>1.7371964864160001</v>
      </c>
      <c r="AO68" s="3">
        <f>$H68*factors!AI$3</f>
        <v>1.8200917544399999</v>
      </c>
      <c r="AP68" s="3">
        <f>$H68*factors!AJ$3</f>
        <v>1.7444047705920003</v>
      </c>
      <c r="AQ68" s="3">
        <f>$H68*factors!AK$3</f>
        <v>1.8002689729560002</v>
      </c>
      <c r="AR68" s="3">
        <f>$H68*factors!AL$3</f>
        <v>1.7606234099880003</v>
      </c>
      <c r="AS68" s="3">
        <f>$H68*factors!AM$3</f>
        <v>1.7173737049319999</v>
      </c>
      <c r="AT68" s="3">
        <f>$H68*factors!AN$3</f>
        <v>1.7714358362520002</v>
      </c>
      <c r="AU68" s="3">
        <f>$H68*factors!AO$3</f>
        <v>1.8759559568039998</v>
      </c>
      <c r="AV68" s="3">
        <f>$H68*factors!AP$3</f>
        <v>1.7732379072960003</v>
      </c>
      <c r="AW68" s="3">
        <f>$H68*factors!AQ$3</f>
        <v>1.755217196856</v>
      </c>
      <c r="AX68" s="3">
        <f>$H68*factors!AR$3</f>
        <v>1.8561331753200001</v>
      </c>
      <c r="AY68" s="3">
        <f>$H68*factors!AS$3</f>
        <v>1.7119674918000001</v>
      </c>
      <c r="AZ68" s="3">
        <f>$H68*factors!AT$3</f>
        <v>1.8345083227920003</v>
      </c>
      <c r="BA68" s="3">
        <f>$H68*factors!AU$3</f>
        <v>1.7948627598239999</v>
      </c>
      <c r="BB68" s="3">
        <f>$H68*factors!AV$3</f>
        <v>1.7714358362520002</v>
      </c>
      <c r="BC68" s="3">
        <f>$H68*factors!AW$3</f>
        <v>1.8741538857600004</v>
      </c>
      <c r="BD68" s="3">
        <f>$H68*factors!AX$3</f>
        <v>1.7299882022399999</v>
      </c>
      <c r="BE68" s="3">
        <f>$H68*factors!AY$3</f>
        <v>2.033904146642</v>
      </c>
      <c r="BF68" s="3">
        <f>$H68*factors!AZ$3</f>
        <v>1.8941101539879999</v>
      </c>
      <c r="BG68" s="3">
        <f>$H68*factors!BA$3</f>
        <v>1.9216751666239997</v>
      </c>
      <c r="BH68" s="3">
        <f>$H68*factors!BB$3</f>
        <v>1.9472712497859999</v>
      </c>
      <c r="BI68" s="3">
        <f>$H68*factors!BC$3</f>
        <v>2.0181527108499995</v>
      </c>
      <c r="BJ68" s="3">
        <f>$H68*factors!BD$3</f>
        <v>1.9275819550459998</v>
      </c>
      <c r="BK68" s="3">
        <f>$H68*factors!BE$3</f>
        <v>1.9315198139939997</v>
      </c>
      <c r="BL68" s="3">
        <f>$H68*factors!BF$3</f>
        <v>1.9098615897799998</v>
      </c>
      <c r="BM68" s="3">
        <f>$H68*factors!BG$3</f>
        <v>2.0398109350640001</v>
      </c>
      <c r="BN68" s="3">
        <f>$H68*factors!BH$3</f>
        <v>2.014214851902</v>
      </c>
      <c r="BO68" s="3">
        <f>$H68*factors!BI$3</f>
        <v>1.8941101539879999</v>
      </c>
      <c r="BP68" s="3">
        <f>$H68*factors!BJ$3</f>
        <v>1.8882033655659998</v>
      </c>
      <c r="BQ68" s="3">
        <f>$H68*factors!BK$3</f>
        <v>1.9197062371499998</v>
      </c>
      <c r="BR68" s="3">
        <f>$H68*factors!BL$3</f>
        <v>1.9886187687399999</v>
      </c>
      <c r="BS68" s="3">
        <f>$H68*factors!BM$3</f>
        <v>2.0201216403240001</v>
      </c>
      <c r="BT68" s="3">
        <f>$H68*factors!BN$3</f>
        <v>2.0260284287459998</v>
      </c>
      <c r="BU68" s="3">
        <f>$H68*factors!BO$3</f>
        <v>2.0595002298040002</v>
      </c>
      <c r="BV68" s="3">
        <f>$H68*factors!BP$3</f>
        <v>1.9157683782019999</v>
      </c>
      <c r="BW68" s="3">
        <f>$H68*factors!BQ$3</f>
        <v>1.9590848266299998</v>
      </c>
      <c r="BX68" s="3">
        <f>$H68*factors!BR$3</f>
        <v>1.9216751666239997</v>
      </c>
      <c r="BY68" s="3">
        <f>$H68*factors!BS$3</f>
        <v>2.0102769929539996</v>
      </c>
      <c r="BZ68" s="3">
        <f>$H68*factors!BT$3</f>
        <v>1.9728673329479998</v>
      </c>
      <c r="CA68" s="3">
        <f>$H68*factors!BU$3</f>
        <v>1.9472712497859999</v>
      </c>
      <c r="CB68" s="3">
        <f>$H68*factors!BV$3</f>
        <v>1.8842655066179999</v>
      </c>
      <c r="CC68" s="3">
        <f>$H68*factors!BW$3</f>
        <v>1.9393955318899998</v>
      </c>
      <c r="CD68" s="3">
        <f>$H68*factors!BX$3</f>
        <v>1.9453023203119999</v>
      </c>
      <c r="CE68" s="3">
        <f>$H68*factors!BY$3</f>
        <v>1.9728673329479998</v>
      </c>
      <c r="CF68" s="3">
        <f>$H68*factors!BZ$3</f>
        <v>1.9433333908380002</v>
      </c>
      <c r="CG68" s="3">
        <f>$H68*factors!CA$3</f>
        <v>1.8783587181959998</v>
      </c>
      <c r="CH68" s="3">
        <f>$H68*factors!CB$3</f>
        <v>1.8803276476699997</v>
      </c>
      <c r="CI68" s="3">
        <f>$H68*factors!CC$3</f>
        <v>1.8704830002999999</v>
      </c>
      <c r="CJ68" s="3">
        <f>$H68*factors!CD$3</f>
        <v>1.9472712497859999</v>
      </c>
      <c r="CK68" s="3">
        <f>$H68*factors!CE$3</f>
        <v>2.033904146642</v>
      </c>
      <c r="CL68" s="3">
        <f>$H68*factors!CF$3</f>
        <v>1.9059237308319998</v>
      </c>
      <c r="CM68" s="3">
        <f>$H68*factors!CG$3</f>
        <v>1.9512091087339998</v>
      </c>
      <c r="CN68" s="3">
        <f>$H68*factors!CH$3</f>
        <v>1.8862344360919998</v>
      </c>
      <c r="CO68" s="3">
        <f>$H68*factors!CI$3</f>
        <v>1.9000169424099997</v>
      </c>
      <c r="CP68" s="3">
        <f>$H68*factors!CJ$3</f>
        <v>1.9905876982139996</v>
      </c>
      <c r="CQ68" s="3">
        <f>$H68*factors!CK$3</f>
        <v>1.9315198139939997</v>
      </c>
      <c r="CR68" s="3">
        <f>$H68*factors!CL$3</f>
        <v>1.9925566276879998</v>
      </c>
      <c r="CS68" s="3">
        <f>$H68*factors!CM$3</f>
        <v>2.0555623708559998</v>
      </c>
      <c r="CT68" s="3">
        <f>$H68*factors!CN$3</f>
        <v>2.0319352171679999</v>
      </c>
      <c r="CU68" s="3">
        <f>$H68*factors!CO$3</f>
        <v>1.9866498392659997</v>
      </c>
      <c r="CV68" s="3">
        <f>$H68*factors!CP$3</f>
        <v>2.0673759477</v>
      </c>
      <c r="CW68" s="3">
        <f>$H68*factors!CQ$3</f>
        <v>1.9551469676820001</v>
      </c>
      <c r="CX68" s="3">
        <f>$H68*factors!CR$3</f>
        <v>1.9256130255719999</v>
      </c>
      <c r="CY68" s="3">
        <f>$H68*factors!CS$3</f>
        <v>1.9078926603059998</v>
      </c>
      <c r="CZ68" s="3">
        <f>$H68*factors!CT$3</f>
        <v>1.8803276476699997</v>
      </c>
      <c r="DA68" s="3">
        <f>$H68*factors!CU$3</f>
        <v>1.952243631</v>
      </c>
      <c r="DB68" s="3">
        <f>$H68*factors!CV$3</f>
        <v>2.0783886040800001</v>
      </c>
      <c r="DC68" s="3">
        <f>$H68*factors!CW$3</f>
        <v>1.9902873530399998</v>
      </c>
      <c r="DD68" s="3">
        <f>$H68*factors!CX$3</f>
        <v>1.9762712449199999</v>
      </c>
      <c r="DE68" s="3">
        <f>$H68*factors!CY$3</f>
        <v>2.03433797856</v>
      </c>
      <c r="DF68" s="3">
        <f>$H68*factors!CZ$3</f>
        <v>2.0303333762399998</v>
      </c>
      <c r="DG68" s="3">
        <f>$H68*factors!DA$3</f>
        <v>2.0223241715999998</v>
      </c>
      <c r="DH68" s="3">
        <f>$H68*factors!DB$3</f>
        <v>2.0223241715999998</v>
      </c>
      <c r="DI68" s="3">
        <f>$H68*factors!DC$3</f>
        <v>1.9462367275199999</v>
      </c>
      <c r="DJ68" s="3">
        <f>$H68*factors!DD$3</f>
        <v>2.0623701948000002</v>
      </c>
      <c r="DK68" s="3">
        <f>$H68*factors!DE$3</f>
        <v>2.0623701948000002</v>
      </c>
      <c r="DL68" s="3">
        <f>$H68*factors!DF$3</f>
        <v>2.0383425808800002</v>
      </c>
      <c r="DM68" s="3">
        <f>$H68*factors!DG$3</f>
        <v>1.9202068124399998</v>
      </c>
      <c r="DN68" s="3">
        <f>$H68*factors!DH$3</f>
        <v>2.0143149669600002</v>
      </c>
      <c r="DO68" s="3">
        <f>$H68*factors!DI$3</f>
        <v>2.0803909052399998</v>
      </c>
      <c r="DP68" s="3">
        <f>$H68*factors!DJ$3</f>
        <v>2.0623701948000002</v>
      </c>
      <c r="DQ68" s="3">
        <f>$H68*factors!DK$3</f>
        <v>1.9662597391199998</v>
      </c>
      <c r="DR68" s="3">
        <f>$H68*factors!DL$3</f>
        <v>1.94423442636</v>
      </c>
      <c r="DS68" s="3">
        <f>$H68*factors!DM$3</f>
        <v>2.10041391684</v>
      </c>
      <c r="DT68" s="3">
        <f>$H68*factors!DN$3</f>
        <v>1.9742689437600001</v>
      </c>
      <c r="DU68" s="3">
        <f>$H68*factors!DO$3</f>
        <v>2.0663747971199999</v>
      </c>
      <c r="DV68" s="3">
        <f>$H68*factors!DP$3</f>
        <v>2.01831956928</v>
      </c>
      <c r="DW68" s="3">
        <f>$H68*factors!DQ$3</f>
        <v>1.9262137159199999</v>
      </c>
      <c r="DX68" s="3">
        <f>$H68*factors!DR$3</f>
        <v>2.0403448820399999</v>
      </c>
      <c r="DY68" s="3">
        <f>$H68*factors!DS$3</f>
        <v>1.9362252217199998</v>
      </c>
      <c r="DZ68" s="3">
        <f>$H68*factors!DT$3</f>
        <v>2.0703793994399997</v>
      </c>
      <c r="EA68" s="3">
        <f>$H68*factors!DU$3</f>
        <v>1.9502413298399996</v>
      </c>
      <c r="EB68" s="3">
        <f>$H68*factors!DV$3</f>
        <v>1.9021861019999999</v>
      </c>
      <c r="EC68" s="3">
        <f>$H68*factors!DW$3</f>
        <v>2.0463517855199997</v>
      </c>
      <c r="ED68" s="3">
        <f>$H68*factors!DX$3</f>
        <v>1.9202068124399998</v>
      </c>
      <c r="EE68" s="3">
        <f>$H68*factors!DY$3</f>
        <v>1.9362252217199998</v>
      </c>
      <c r="EF68" s="3">
        <f>$H68*factors!DZ$3</f>
        <v>2.10041391684</v>
      </c>
      <c r="EG68" s="3">
        <f>$H68*factors!EA$3</f>
        <v>1.9622551367999999</v>
      </c>
      <c r="EH68" s="3">
        <f>$H68*factors!EB$3</f>
        <v>1.96826204028</v>
      </c>
      <c r="EI68" s="3">
        <f>$H68*factors!EC$3</f>
        <v>1.96425743796</v>
      </c>
      <c r="EJ68" s="3">
        <f>$H68*factors!ED$3</f>
        <v>1.9141999089599999</v>
      </c>
      <c r="EK68" s="3">
        <f>$H68*factors!EE$3</f>
        <v>2.0463517855199997</v>
      </c>
      <c r="EL68" s="3">
        <f>$H68*factors!EF$3</f>
        <v>1.9462367275199999</v>
      </c>
      <c r="EM68" s="3">
        <f>$H68*factors!EG$3</f>
        <v>2.0243264727599999</v>
      </c>
      <c r="EN68" s="3">
        <f>$H68*factors!EH$3</f>
        <v>1.9021861019999999</v>
      </c>
      <c r="EO68" s="3">
        <f>$H68*factors!EI$3</f>
        <v>1.9302183182399997</v>
      </c>
      <c r="EP68" s="3">
        <f>$H68*factors!EJ$3</f>
        <v>2.0363402797200001</v>
      </c>
      <c r="EQ68" s="3">
        <f>$H68*factors!EK$3</f>
        <v>1.9802758472399997</v>
      </c>
      <c r="ER68" s="3">
        <f>$H68*factors!EL$3</f>
        <v>2.0623701948000002</v>
      </c>
      <c r="ES68" s="3">
        <f>$H68*factors!EM$3</f>
        <v>2.0363402797200001</v>
      </c>
      <c r="ET68" s="3">
        <f>$H68*factors!EN$3</f>
        <v>2.0823932063999999</v>
      </c>
      <c r="EU68" s="3">
        <f>$H68*factors!EO$3</f>
        <v>2.1024162180000001</v>
      </c>
      <c r="EV68" s="3">
        <f>$H68*factors!EP$3</f>
        <v>1.9702643414399998</v>
      </c>
      <c r="EW68" s="3">
        <f>$H68*factors!EQ$3</f>
        <v>2.1670738596249999</v>
      </c>
      <c r="EX68" s="3">
        <f>$H68*factors!ER$3</f>
        <v>2.1441308255000004</v>
      </c>
      <c r="EY68" s="3">
        <f>$H68*factors!ES$3</f>
        <v>2.1879311633749996</v>
      </c>
      <c r="EZ68" s="3">
        <f>$H68*factors!ET$3</f>
        <v>2.1670738596249999</v>
      </c>
      <c r="FA68" s="3">
        <f>$H68*factors!EU$3</f>
        <v>1.9918725081249997</v>
      </c>
      <c r="FB68" s="3">
        <f>$H68*factors!EV$3</f>
        <v>2.0815589142499999</v>
      </c>
      <c r="FC68" s="3">
        <f>$H68*factors!EW$3</f>
        <v>2.1399593647500001</v>
      </c>
      <c r="FD68" s="3">
        <f>$H68*factors!EX$3</f>
        <v>2.0648730712500001</v>
      </c>
      <c r="FE68" s="3">
        <f>$H68*factors!EY$3</f>
        <v>2.175416781125</v>
      </c>
      <c r="FF68" s="3">
        <f>$H68*factors!EZ$3</f>
        <v>2.1775025115000002</v>
      </c>
      <c r="FG68" s="3">
        <f>$H68*factors!FA$3</f>
        <v>1.9918725081249997</v>
      </c>
      <c r="FH68" s="3">
        <f>$H68*factors!FB$3</f>
        <v>2.0961590268749997</v>
      </c>
      <c r="FI68" s="3">
        <f>$H68*factors!FC$3</f>
        <v>2.1837597026249997</v>
      </c>
      <c r="FJ68" s="3">
        <f>$H68*factors!FD$3</f>
        <v>2.0961590268749997</v>
      </c>
      <c r="FK68" s="3">
        <f>$H68*factors!FE$3</f>
        <v>2.13161644325</v>
      </c>
      <c r="FL68" s="3">
        <f>$H68*factors!FF$3</f>
        <v>2.137873634375</v>
      </c>
      <c r="FM68" s="3">
        <f>$H68*factors!FG$3</f>
        <v>2.1608166684999999</v>
      </c>
      <c r="FN68" s="3">
        <f>$H68*factors!FH$3</f>
        <v>2.021072733375</v>
      </c>
      <c r="FO68" s="3">
        <f>$H68*factors!FI$3</f>
        <v>2.1462165558749997</v>
      </c>
      <c r="FP68" s="3">
        <f>$H68*factors!FJ$3</f>
        <v>2.0857303749999998</v>
      </c>
      <c r="FQ68" s="3">
        <f>$H68*factors!FK$3</f>
        <v>2.0648730712500001</v>
      </c>
      <c r="FR68" s="3">
        <f>$H68*factors!FL$3</f>
        <v>2.10658767875</v>
      </c>
      <c r="FS68" s="3">
        <f>$H68*factors!FM$3</f>
        <v>2.0940732965</v>
      </c>
      <c r="FT68" s="3">
        <f>$H68*factors!FN$3</f>
        <v>2.1399593647500001</v>
      </c>
      <c r="FU68" s="3">
        <f>$H68*factors!FO$3</f>
        <v>2.0565301497499999</v>
      </c>
      <c r="FV68" s="3">
        <f>$H68*factors!FP$3</f>
        <v>2.0398443067500001</v>
      </c>
      <c r="FW68" s="3">
        <f>$H68*factors!FQ$3</f>
        <v>2.1837597026249997</v>
      </c>
      <c r="FX68" s="3">
        <f>$H68*factors!FR$3</f>
        <v>2.1441308255000004</v>
      </c>
      <c r="FY68" s="3">
        <f>$H68*factors!FS$3</f>
        <v>2.1003304876249995</v>
      </c>
      <c r="FZ68" s="3">
        <f>$H68*factors!FT$3</f>
        <v>1.996043968875</v>
      </c>
      <c r="GA68" s="3">
        <f>$H68*factors!FU$3</f>
        <v>2.1003304876249995</v>
      </c>
      <c r="GB68" s="3">
        <f>$H68*factors!FV$3</f>
        <v>2.1775025115000002</v>
      </c>
      <c r="GC68" s="3">
        <f>$H68*factors!FW$3</f>
        <v>2.0398443067500001</v>
      </c>
      <c r="GD68" s="3">
        <f>$H68*factors!FX$3</f>
        <v>2.0753017231249999</v>
      </c>
      <c r="GE68" s="3">
        <f>$H68*factors!FY$3</f>
        <v>2.0753017231249999</v>
      </c>
      <c r="GF68" s="3">
        <f>$H68*factors!FZ$3</f>
        <v>2.0690445319999999</v>
      </c>
      <c r="GG68" s="3">
        <f>$H68*factors!GA$3</f>
        <v>1.9877010473749999</v>
      </c>
      <c r="GH68" s="3">
        <f>$H68*factors!GB$3</f>
        <v>2.1149306002500001</v>
      </c>
      <c r="GI68" s="3">
        <f>$H68*factors!GC$3</f>
        <v>1.983529586625</v>
      </c>
      <c r="GJ68" s="3">
        <f>$H68*factors!GD$3</f>
        <v>1.9877010473749999</v>
      </c>
      <c r="GK68" s="3">
        <f>$H68*factors!GE$3</f>
        <v>2.0377585763749999</v>
      </c>
      <c r="GL68" s="3">
        <f>$H68*factors!GF$3</f>
        <v>2.1587309381250002</v>
      </c>
      <c r="GM68" s="3">
        <f>$H68*factors!GG$3</f>
        <v>2.0461014978750001</v>
      </c>
      <c r="GN68" s="3">
        <f>$H68*factors!GH$3</f>
        <v>2.1107591395000003</v>
      </c>
      <c r="GO68" s="3">
        <f>$H68*factors!GI$3</f>
        <v>1.9939582384999996</v>
      </c>
      <c r="GP68" s="3">
        <f>$H68*factors!GJ$3</f>
        <v>2.137873634375</v>
      </c>
      <c r="GQ68" s="3">
        <f>$H68*factors!GK$3</f>
        <v>2.18167397225</v>
      </c>
      <c r="GR68" s="3">
        <f>$H68*factors!GL$3</f>
        <v>2.1399593647500001</v>
      </c>
      <c r="GS68" s="3">
        <f>$H68*factors!GM$3</f>
        <v>2.023742468255</v>
      </c>
      <c r="GT68" s="3">
        <f>$H68*factors!GN$3</f>
        <v>2.070362713597</v>
      </c>
      <c r="GU68" s="3">
        <f>$H68*factors!GO$3</f>
        <v>2.119102061</v>
      </c>
      <c r="GV68" s="3">
        <f>$H68*factors!GP$3</f>
        <v>2.03433797856</v>
      </c>
      <c r="GW68" s="3">
        <f>$H68*factors!GQ$3</f>
        <v>2.106387448634</v>
      </c>
      <c r="GX68" s="3">
        <f>$H68*factors!GR$3</f>
        <v>2.072481815658</v>
      </c>
      <c r="GY68" s="3">
        <f>$H68*factors!GS$3</f>
        <v>2.0618863053530001</v>
      </c>
      <c r="GZ68" s="3">
        <f>$H68*factors!GT$3</f>
        <v>2.1381739795489998</v>
      </c>
      <c r="HA68" s="3">
        <f>$H68*factors!GU$3</f>
        <v>2.0682436115359999</v>
      </c>
      <c r="HB68" s="3">
        <f>$H68*factors!GV$3</f>
        <v>2.1381739795489998</v>
      </c>
      <c r="HC68" s="3">
        <f>$H68*factors!GW$3</f>
        <v>2.0851964280240001</v>
      </c>
      <c r="HD68" s="3">
        <f>$H68*factors!GX$3</f>
        <v>2.1466503877929997</v>
      </c>
      <c r="HE68" s="3">
        <f>$H68*factors!GY$3</f>
        <v>2.119102061</v>
      </c>
      <c r="HF68" s="3">
        <f>$H68*factors!GZ$3</f>
        <v>2.1847942248909997</v>
      </c>
      <c r="HG68" s="3">
        <f>$H68*factors!HA$3</f>
        <v>2.1000301424510002</v>
      </c>
      <c r="HH68" s="3">
        <f>$H68*factors!HB$3</f>
        <v>2.072481815658</v>
      </c>
      <c r="HI68" s="3">
        <f>$H68*factors!HC$3</f>
        <v>2.047052590926</v>
      </c>
      <c r="HJ68" s="3">
        <f>$H68*factors!HD$3</f>
        <v>2.023742468255</v>
      </c>
      <c r="HK68" s="3">
        <f>$H68*factors!HE$3</f>
        <v>2.1402930816099999</v>
      </c>
      <c r="HL68" s="3">
        <f>$H68*factors!HF$3</f>
        <v>2.0173851620719998</v>
      </c>
      <c r="HM68" s="3">
        <f>$H68*factors!HG$3</f>
        <v>2.0385761826820001</v>
      </c>
      <c r="HN68" s="3">
        <f>$H68*factors!HH$3</f>
        <v>2.1741987145860002</v>
      </c>
      <c r="HO68" s="3">
        <f>$H68*factors!HI$3</f>
        <v>2.0851964280240001</v>
      </c>
      <c r="HP68" s="3">
        <f>$H68*factors!HJ$3</f>
        <v>2.2250571640500003</v>
      </c>
      <c r="HQ68" s="3">
        <f>$H68*factors!HK$3</f>
        <v>2.03433797856</v>
      </c>
      <c r="HR68" s="3">
        <f>$H68*factors!HL$3</f>
        <v>2.157245898098</v>
      </c>
      <c r="HS68" s="3">
        <f>$H68*factors!HM$3</f>
        <v>2.1953897351960001</v>
      </c>
      <c r="HT68" s="3">
        <f>$H68*factors!HN$3</f>
        <v>2.047052590926</v>
      </c>
      <c r="HU68" s="3">
        <f>$H68*factors!HO$3</f>
        <v>2.0682436115359999</v>
      </c>
      <c r="HV68" s="3">
        <f>$H68*factors!HP$3</f>
        <v>2.0936728362680004</v>
      </c>
      <c r="HW68" s="3">
        <f>$H68*factors!HQ$3</f>
        <v>2.1233402651220001</v>
      </c>
      <c r="HX68" s="3">
        <f>$H68*factors!HR$3</f>
        <v>2.2102234496229998</v>
      </c>
      <c r="HY68" s="3">
        <f>$H68*factors!HS$3</f>
        <v>2.1000301424510002</v>
      </c>
      <c r="HZ68" s="3">
        <f>$H68*factors!HT$3</f>
        <v>2.180556020769</v>
      </c>
      <c r="IA68" s="3">
        <f>$H68*factors!HU$3</f>
        <v>2.0746009177190001</v>
      </c>
      <c r="IB68" s="3">
        <f>$H68*factors!HV$3</f>
        <v>2.1466503877929997</v>
      </c>
      <c r="IC68" s="3">
        <f>$H68*factors!HW$3</f>
        <v>2.167841408403</v>
      </c>
      <c r="ID68" s="3">
        <f>$H68*factors!HX$3</f>
        <v>2.0131469579499996</v>
      </c>
      <c r="IE68" s="3">
        <f>$H68*factors!HY$3</f>
        <v>2.1381739795489998</v>
      </c>
      <c r="IF68" s="3">
        <f>$H68*factors!HZ$3</f>
        <v>2.1254593671829998</v>
      </c>
      <c r="IG68" s="3">
        <f>$H68*factors!IA$3</f>
        <v>2.106387448634</v>
      </c>
      <c r="IH68" s="3">
        <f>$H68*factors!IB$3</f>
        <v>2.1847942248909997</v>
      </c>
      <c r="II68" s="3">
        <f>$H68*factors!IC$3</f>
        <v>2.0915537342069999</v>
      </c>
      <c r="IJ68" s="3">
        <f>$H68*factors!ID$3</f>
        <v>2.1106256527560001</v>
      </c>
      <c r="IK68" s="3">
        <f>$H68*factors!IE$3</f>
        <v>2.1869133269520002</v>
      </c>
      <c r="IL68" s="3">
        <f>$H68*factors!IF$3</f>
        <v>2.0936728362680004</v>
      </c>
      <c r="IM68" s="3">
        <f>$H68*factors!IG$3</f>
        <v>2.0746009177190001</v>
      </c>
      <c r="IN68" s="3">
        <f>$H68*factors!IH$3</f>
        <v>2.0873155300850001</v>
      </c>
      <c r="IO68" s="3">
        <f>$H68*factors!II$3</f>
        <v>2.108506550695</v>
      </c>
      <c r="IP68" s="3">
        <f>$H68*factors!IJ$3</f>
        <v>2.0385761826820001</v>
      </c>
      <c r="IQ68" s="3">
        <f>$H68*factors!IK$3</f>
        <v>2.0322188764989999</v>
      </c>
      <c r="IR68" s="3">
        <f>$H68*factors!IL$3</f>
        <v>2.0915537342069999</v>
      </c>
      <c r="IS68" s="3">
        <f>$H68*factors!IM$3</f>
        <v>2.108506550695</v>
      </c>
      <c r="IT68" s="3">
        <f>$H68*factors!IN$3</f>
        <v>2.1233402651220001</v>
      </c>
      <c r="IU68" s="3">
        <f>$H68*factors!IO$3</f>
        <v>2.1699605104640001</v>
      </c>
      <c r="IV68" s="3">
        <f>$H68*factors!IP$3</f>
        <v>2.1975088372569997</v>
      </c>
      <c r="IW68" s="3">
        <f>$H68*factors!IQ$3</f>
        <v>2.0767200197799998</v>
      </c>
      <c r="IX68" s="3">
        <f>$H68*factors!IR$3</f>
        <v>2.1699605104640001</v>
      </c>
      <c r="IY68" s="3">
        <f>$H68*factors!IS$3</f>
        <v>2.1381739795489998</v>
      </c>
      <c r="IZ68" s="3">
        <f>$H68*factors!IT$3</f>
        <v>2.1741987145860002</v>
      </c>
      <c r="JA68" s="3">
        <f>$H68*factors!IU$3</f>
        <v>2.0534098971089998</v>
      </c>
      <c r="JB68" s="3">
        <f>$H68*factors!IV$3</f>
        <v>2.0915537342069999</v>
      </c>
      <c r="JC68" s="3">
        <f>$H68*factors!IW$3</f>
        <v>2.0428143868040003</v>
      </c>
      <c r="JD68" s="3">
        <f>$H68*factors!IX$3</f>
        <v>2.2250571640500003</v>
      </c>
      <c r="JE68" s="3">
        <f>$H68*factors!IY$3</f>
        <v>2.0491716929870001</v>
      </c>
      <c r="JF68" s="3">
        <f>$H68*factors!IZ$3</f>
        <v>2.1508885919149998</v>
      </c>
      <c r="JG68" s="3">
        <f>$H68*factors!JA$3</f>
        <v>2.1127447548169997</v>
      </c>
      <c r="JH68" s="3">
        <f>$H68*factors!JB$3</f>
        <v>2.1530076939760003</v>
      </c>
      <c r="JI68" s="3">
        <f>$H68*factors!JC$3</f>
        <v>2.0152660600110002</v>
      </c>
      <c r="JJ68" s="3">
        <f>$H68*factors!JD$3</f>
        <v>2.1699605104640001</v>
      </c>
      <c r="JK68" s="3">
        <f>$H68*factors!JE$3</f>
        <v>2.1000301424510002</v>
      </c>
      <c r="JL68" s="3">
        <f>$H68*factors!JF$3</f>
        <v>2.1847942248909997</v>
      </c>
      <c r="JM68" s="3">
        <f>$H68*factors!JG$3</f>
        <v>2.0385761826820001</v>
      </c>
      <c r="JN68" s="3">
        <f>$H68*factors!JH$3</f>
        <v>2.0385761826820001</v>
      </c>
      <c r="JO68" s="3">
        <f>$H68*factors!JI$3</f>
        <v>2.0131469579499996</v>
      </c>
      <c r="JP68" s="3">
        <f>$H68*factors!JJ$3</f>
        <v>2.1763178166469999</v>
      </c>
      <c r="JQ68" s="3">
        <f>$H68*factors!JK$3</f>
        <v>2.1212211630610001</v>
      </c>
      <c r="JR68" s="3">
        <f>$H68*factors!JL$3</f>
        <v>2.20386614344</v>
      </c>
      <c r="JS68" s="3">
        <f>$H68*factors!JM$3</f>
        <v>2.0131469579499996</v>
      </c>
      <c r="JT68" s="3">
        <f>$H68*factors!JN$3</f>
        <v>2.1148638568780003</v>
      </c>
      <c r="JU68" s="3">
        <f>$H68*factors!JO$3</f>
        <v>2.0449334888649999</v>
      </c>
      <c r="JV68" s="3">
        <f>$H68*factors!JP$3</f>
        <v>2.0788391218410003</v>
      </c>
      <c r="JW68" s="3">
        <f>$H68*factors!JQ$3</f>
        <v>2.2208189599280002</v>
      </c>
      <c r="JX68" s="3">
        <f>$H68*factors!JR$3</f>
        <v>2.1996279393179998</v>
      </c>
      <c r="JY68" s="3">
        <f>$H68*factors!JS$3</f>
        <v>2.070362713597</v>
      </c>
      <c r="JZ68" s="3">
        <f>$H68*factors!JT$3</f>
        <v>2.0936728362680004</v>
      </c>
      <c r="KA68" s="3">
        <f>$H68*factors!JU$3</f>
        <v>2.1021492445120002</v>
      </c>
      <c r="KB68" s="3">
        <f>$H68*factors!JV$3</f>
        <v>2.0322188764989999</v>
      </c>
      <c r="KC68" s="3">
        <f>$H68*factors!JW$3</f>
        <v>2.0428143868040003</v>
      </c>
      <c r="KD68" s="3">
        <f>$H68*factors!JX$3</f>
        <v>2.0449334888649999</v>
      </c>
      <c r="KE68" s="3">
        <f>$H68*factors!JY$3</f>
        <v>2.1763178166469999</v>
      </c>
      <c r="KF68" s="3">
        <f>$H68*factors!JZ$3</f>
        <v>2.2017470413789999</v>
      </c>
      <c r="KG68" s="3">
        <f>$H68*factors!KA$3</f>
        <v>2.1233402651220001</v>
      </c>
      <c r="KH68" s="3">
        <f>$H68*factors!KB$3</f>
        <v>2.0767200197799998</v>
      </c>
      <c r="KI68" s="3">
        <f>$H68*factors!KC$3</f>
        <v>2.0576481012309999</v>
      </c>
    </row>
    <row r="69" spans="1:295" x14ac:dyDescent="0.55000000000000004">
      <c r="A69" t="s">
        <v>445</v>
      </c>
      <c r="B69">
        <v>68</v>
      </c>
      <c r="C69">
        <v>230</v>
      </c>
      <c r="D69" t="s">
        <v>377</v>
      </c>
      <c r="E69">
        <v>1.5035E-2</v>
      </c>
      <c r="F69">
        <v>68</v>
      </c>
      <c r="G69">
        <f>VLOOKUP(D69,demand_forecasted!$A$2:$G$11,2)</f>
        <v>11098</v>
      </c>
      <c r="H69" s="3">
        <f t="shared" si="1"/>
        <v>1.6685843</v>
      </c>
      <c r="I69" s="3">
        <f>$H69*factors!C$3</f>
        <v>1.8471228201000001</v>
      </c>
      <c r="J69" s="3">
        <f>$H69*factors!D$3</f>
        <v>1.780446191472</v>
      </c>
      <c r="K69" s="3">
        <f>$H69*factors!E$3</f>
        <v>1.7498109837240001</v>
      </c>
      <c r="L69" s="3">
        <f>$H69*factors!F$3</f>
        <v>1.7444047705920003</v>
      </c>
      <c r="M69" s="3">
        <f>$H69*factors!G$3</f>
        <v>1.742602699548</v>
      </c>
      <c r="N69" s="3">
        <f>$H69*factors!H$3</f>
        <v>1.79306068878</v>
      </c>
      <c r="O69" s="3">
        <f>$H69*factors!I$3</f>
        <v>1.8327062517479999</v>
      </c>
      <c r="P69" s="3">
        <f>$H69*factors!J$3</f>
        <v>1.8543311042760002</v>
      </c>
      <c r="Q69" s="3">
        <f>$H69*factors!K$3</f>
        <v>1.7408006285040001</v>
      </c>
      <c r="R69" s="3">
        <f>$H69*factors!L$3</f>
        <v>1.7119674918000001</v>
      </c>
      <c r="S69" s="3">
        <f>$H69*factors!M$3</f>
        <v>1.7822482625159999</v>
      </c>
      <c r="T69" s="3">
        <f>$H69*factors!N$3</f>
        <v>1.8435186780120001</v>
      </c>
      <c r="U69" s="3">
        <f>$H69*factors!O$3</f>
        <v>1.7462068416360002</v>
      </c>
      <c r="V69" s="3">
        <f>$H69*factors!P$3</f>
        <v>1.8164876123520002</v>
      </c>
      <c r="W69" s="3">
        <f>$H69*factors!Q$3</f>
        <v>1.8327062517479999</v>
      </c>
      <c r="X69" s="3">
        <f>$H69*factors!R$3</f>
        <v>1.7534151258120001</v>
      </c>
      <c r="Y69" s="3">
        <f>$H69*factors!S$3</f>
        <v>1.7371964864160001</v>
      </c>
      <c r="Z69" s="3">
        <f>$H69*factors!T$3</f>
        <v>1.8741538857600004</v>
      </c>
      <c r="AA69" s="3">
        <f>$H69*factors!U$3</f>
        <v>1.7696337652079999</v>
      </c>
      <c r="AB69" s="3">
        <f>$H69*factors!V$3</f>
        <v>1.7714358362520002</v>
      </c>
      <c r="AC69" s="3">
        <f>$H69*factors!W$3</f>
        <v>1.7732379072960003</v>
      </c>
      <c r="AD69" s="3">
        <f>$H69*factors!X$3</f>
        <v>1.7353944153720002</v>
      </c>
      <c r="AE69" s="3">
        <f>$H69*factors!Y$3</f>
        <v>1.7498109837240001</v>
      </c>
      <c r="AF69" s="3">
        <f>$H69*factors!Z$3</f>
        <v>1.7858524046040003</v>
      </c>
      <c r="AG69" s="3">
        <f>$H69*factors!AA$3</f>
        <v>1.7408006285040001</v>
      </c>
      <c r="AH69" s="3">
        <f>$H69*factors!AB$3</f>
        <v>1.7335923443280001</v>
      </c>
      <c r="AI69" s="3">
        <f>$H69*factors!AC$3</f>
        <v>1.789456546692</v>
      </c>
      <c r="AJ69" s="3">
        <f>$H69*factors!AD$3</f>
        <v>1.857935246364</v>
      </c>
      <c r="AK69" s="3">
        <f>$H69*factors!AE$3</f>
        <v>1.7876544756480002</v>
      </c>
      <c r="AL69" s="3">
        <f>$H69*factors!AF$3</f>
        <v>1.7173737049319999</v>
      </c>
      <c r="AM69" s="3">
        <f>$H69*factors!AG$3</f>
        <v>1.7660296231200001</v>
      </c>
      <c r="AN69" s="3">
        <f>$H69*factors!AH$3</f>
        <v>1.7371964864160001</v>
      </c>
      <c r="AO69" s="3">
        <f>$H69*factors!AI$3</f>
        <v>1.8200917544399999</v>
      </c>
      <c r="AP69" s="3">
        <f>$H69*factors!AJ$3</f>
        <v>1.7444047705920003</v>
      </c>
      <c r="AQ69" s="3">
        <f>$H69*factors!AK$3</f>
        <v>1.8002689729560002</v>
      </c>
      <c r="AR69" s="3">
        <f>$H69*factors!AL$3</f>
        <v>1.7606234099880003</v>
      </c>
      <c r="AS69" s="3">
        <f>$H69*factors!AM$3</f>
        <v>1.7173737049319999</v>
      </c>
      <c r="AT69" s="3">
        <f>$H69*factors!AN$3</f>
        <v>1.7714358362520002</v>
      </c>
      <c r="AU69" s="3">
        <f>$H69*factors!AO$3</f>
        <v>1.8759559568039998</v>
      </c>
      <c r="AV69" s="3">
        <f>$H69*factors!AP$3</f>
        <v>1.7732379072960003</v>
      </c>
      <c r="AW69" s="3">
        <f>$H69*factors!AQ$3</f>
        <v>1.755217196856</v>
      </c>
      <c r="AX69" s="3">
        <f>$H69*factors!AR$3</f>
        <v>1.8561331753200001</v>
      </c>
      <c r="AY69" s="3">
        <f>$H69*factors!AS$3</f>
        <v>1.7119674918000001</v>
      </c>
      <c r="AZ69" s="3">
        <f>$H69*factors!AT$3</f>
        <v>1.8345083227920003</v>
      </c>
      <c r="BA69" s="3">
        <f>$H69*factors!AU$3</f>
        <v>1.7948627598239999</v>
      </c>
      <c r="BB69" s="3">
        <f>$H69*factors!AV$3</f>
        <v>1.7714358362520002</v>
      </c>
      <c r="BC69" s="3">
        <f>$H69*factors!AW$3</f>
        <v>1.8741538857600004</v>
      </c>
      <c r="BD69" s="3">
        <f>$H69*factors!AX$3</f>
        <v>1.7299882022399999</v>
      </c>
      <c r="BE69" s="3">
        <f>$H69*factors!AY$3</f>
        <v>2.033904146642</v>
      </c>
      <c r="BF69" s="3">
        <f>$H69*factors!AZ$3</f>
        <v>1.8941101539879999</v>
      </c>
      <c r="BG69" s="3">
        <f>$H69*factors!BA$3</f>
        <v>1.9216751666239997</v>
      </c>
      <c r="BH69" s="3">
        <f>$H69*factors!BB$3</f>
        <v>1.9472712497859999</v>
      </c>
      <c r="BI69" s="3">
        <f>$H69*factors!BC$3</f>
        <v>2.0181527108499995</v>
      </c>
      <c r="BJ69" s="3">
        <f>$H69*factors!BD$3</f>
        <v>1.9275819550459998</v>
      </c>
      <c r="BK69" s="3">
        <f>$H69*factors!BE$3</f>
        <v>1.9315198139939997</v>
      </c>
      <c r="BL69" s="3">
        <f>$H69*factors!BF$3</f>
        <v>1.9098615897799998</v>
      </c>
      <c r="BM69" s="3">
        <f>$H69*factors!BG$3</f>
        <v>2.0398109350640001</v>
      </c>
      <c r="BN69" s="3">
        <f>$H69*factors!BH$3</f>
        <v>2.014214851902</v>
      </c>
      <c r="BO69" s="3">
        <f>$H69*factors!BI$3</f>
        <v>1.8941101539879999</v>
      </c>
      <c r="BP69" s="3">
        <f>$H69*factors!BJ$3</f>
        <v>1.8882033655659998</v>
      </c>
      <c r="BQ69" s="3">
        <f>$H69*factors!BK$3</f>
        <v>1.9197062371499998</v>
      </c>
      <c r="BR69" s="3">
        <f>$H69*factors!BL$3</f>
        <v>1.9886187687399999</v>
      </c>
      <c r="BS69" s="3">
        <f>$H69*factors!BM$3</f>
        <v>2.0201216403240001</v>
      </c>
      <c r="BT69" s="3">
        <f>$H69*factors!BN$3</f>
        <v>2.0260284287459998</v>
      </c>
      <c r="BU69" s="3">
        <f>$H69*factors!BO$3</f>
        <v>2.0595002298040002</v>
      </c>
      <c r="BV69" s="3">
        <f>$H69*factors!BP$3</f>
        <v>1.9157683782019999</v>
      </c>
      <c r="BW69" s="3">
        <f>$H69*factors!BQ$3</f>
        <v>1.9590848266299998</v>
      </c>
      <c r="BX69" s="3">
        <f>$H69*factors!BR$3</f>
        <v>1.9216751666239997</v>
      </c>
      <c r="BY69" s="3">
        <f>$H69*factors!BS$3</f>
        <v>2.0102769929539996</v>
      </c>
      <c r="BZ69" s="3">
        <f>$H69*factors!BT$3</f>
        <v>1.9728673329479998</v>
      </c>
      <c r="CA69" s="3">
        <f>$H69*factors!BU$3</f>
        <v>1.9472712497859999</v>
      </c>
      <c r="CB69" s="3">
        <f>$H69*factors!BV$3</f>
        <v>1.8842655066179999</v>
      </c>
      <c r="CC69" s="3">
        <f>$H69*factors!BW$3</f>
        <v>1.9393955318899998</v>
      </c>
      <c r="CD69" s="3">
        <f>$H69*factors!BX$3</f>
        <v>1.9453023203119999</v>
      </c>
      <c r="CE69" s="3">
        <f>$H69*factors!BY$3</f>
        <v>1.9728673329479998</v>
      </c>
      <c r="CF69" s="3">
        <f>$H69*factors!BZ$3</f>
        <v>1.9433333908380002</v>
      </c>
      <c r="CG69" s="3">
        <f>$H69*factors!CA$3</f>
        <v>1.8783587181959998</v>
      </c>
      <c r="CH69" s="3">
        <f>$H69*factors!CB$3</f>
        <v>1.8803276476699997</v>
      </c>
      <c r="CI69" s="3">
        <f>$H69*factors!CC$3</f>
        <v>1.8704830002999999</v>
      </c>
      <c r="CJ69" s="3">
        <f>$H69*factors!CD$3</f>
        <v>1.9472712497859999</v>
      </c>
      <c r="CK69" s="3">
        <f>$H69*factors!CE$3</f>
        <v>2.033904146642</v>
      </c>
      <c r="CL69" s="3">
        <f>$H69*factors!CF$3</f>
        <v>1.9059237308319998</v>
      </c>
      <c r="CM69" s="3">
        <f>$H69*factors!CG$3</f>
        <v>1.9512091087339998</v>
      </c>
      <c r="CN69" s="3">
        <f>$H69*factors!CH$3</f>
        <v>1.8862344360919998</v>
      </c>
      <c r="CO69" s="3">
        <f>$H69*factors!CI$3</f>
        <v>1.9000169424099997</v>
      </c>
      <c r="CP69" s="3">
        <f>$H69*factors!CJ$3</f>
        <v>1.9905876982139996</v>
      </c>
      <c r="CQ69" s="3">
        <f>$H69*factors!CK$3</f>
        <v>1.9315198139939997</v>
      </c>
      <c r="CR69" s="3">
        <f>$H69*factors!CL$3</f>
        <v>1.9925566276879998</v>
      </c>
      <c r="CS69" s="3">
        <f>$H69*factors!CM$3</f>
        <v>2.0555623708559998</v>
      </c>
      <c r="CT69" s="3">
        <f>$H69*factors!CN$3</f>
        <v>2.0319352171679999</v>
      </c>
      <c r="CU69" s="3">
        <f>$H69*factors!CO$3</f>
        <v>1.9866498392659997</v>
      </c>
      <c r="CV69" s="3">
        <f>$H69*factors!CP$3</f>
        <v>2.0673759477</v>
      </c>
      <c r="CW69" s="3">
        <f>$H69*factors!CQ$3</f>
        <v>1.9551469676820001</v>
      </c>
      <c r="CX69" s="3">
        <f>$H69*factors!CR$3</f>
        <v>1.9256130255719999</v>
      </c>
      <c r="CY69" s="3">
        <f>$H69*factors!CS$3</f>
        <v>1.9078926603059998</v>
      </c>
      <c r="CZ69" s="3">
        <f>$H69*factors!CT$3</f>
        <v>1.8803276476699997</v>
      </c>
      <c r="DA69" s="3">
        <f>$H69*factors!CU$3</f>
        <v>1.952243631</v>
      </c>
      <c r="DB69" s="3">
        <f>$H69*factors!CV$3</f>
        <v>2.0783886040800001</v>
      </c>
      <c r="DC69" s="3">
        <f>$H69*factors!CW$3</f>
        <v>1.9902873530399998</v>
      </c>
      <c r="DD69" s="3">
        <f>$H69*factors!CX$3</f>
        <v>1.9762712449199999</v>
      </c>
      <c r="DE69" s="3">
        <f>$H69*factors!CY$3</f>
        <v>2.03433797856</v>
      </c>
      <c r="DF69" s="3">
        <f>$H69*factors!CZ$3</f>
        <v>2.0303333762399998</v>
      </c>
      <c r="DG69" s="3">
        <f>$H69*factors!DA$3</f>
        <v>2.0223241715999998</v>
      </c>
      <c r="DH69" s="3">
        <f>$H69*factors!DB$3</f>
        <v>2.0223241715999998</v>
      </c>
      <c r="DI69" s="3">
        <f>$H69*factors!DC$3</f>
        <v>1.9462367275199999</v>
      </c>
      <c r="DJ69" s="3">
        <f>$H69*factors!DD$3</f>
        <v>2.0623701948000002</v>
      </c>
      <c r="DK69" s="3">
        <f>$H69*factors!DE$3</f>
        <v>2.0623701948000002</v>
      </c>
      <c r="DL69" s="3">
        <f>$H69*factors!DF$3</f>
        <v>2.0383425808800002</v>
      </c>
      <c r="DM69" s="3">
        <f>$H69*factors!DG$3</f>
        <v>1.9202068124399998</v>
      </c>
      <c r="DN69" s="3">
        <f>$H69*factors!DH$3</f>
        <v>2.0143149669600002</v>
      </c>
      <c r="DO69" s="3">
        <f>$H69*factors!DI$3</f>
        <v>2.0803909052399998</v>
      </c>
      <c r="DP69" s="3">
        <f>$H69*factors!DJ$3</f>
        <v>2.0623701948000002</v>
      </c>
      <c r="DQ69" s="3">
        <f>$H69*factors!DK$3</f>
        <v>1.9662597391199998</v>
      </c>
      <c r="DR69" s="3">
        <f>$H69*factors!DL$3</f>
        <v>1.94423442636</v>
      </c>
      <c r="DS69" s="3">
        <f>$H69*factors!DM$3</f>
        <v>2.10041391684</v>
      </c>
      <c r="DT69" s="3">
        <f>$H69*factors!DN$3</f>
        <v>1.9742689437600001</v>
      </c>
      <c r="DU69" s="3">
        <f>$H69*factors!DO$3</f>
        <v>2.0663747971199999</v>
      </c>
      <c r="DV69" s="3">
        <f>$H69*factors!DP$3</f>
        <v>2.01831956928</v>
      </c>
      <c r="DW69" s="3">
        <f>$H69*factors!DQ$3</f>
        <v>1.9262137159199999</v>
      </c>
      <c r="DX69" s="3">
        <f>$H69*factors!DR$3</f>
        <v>2.0403448820399999</v>
      </c>
      <c r="DY69" s="3">
        <f>$H69*factors!DS$3</f>
        <v>1.9362252217199998</v>
      </c>
      <c r="DZ69" s="3">
        <f>$H69*factors!DT$3</f>
        <v>2.0703793994399997</v>
      </c>
      <c r="EA69" s="3">
        <f>$H69*factors!DU$3</f>
        <v>1.9502413298399996</v>
      </c>
      <c r="EB69" s="3">
        <f>$H69*factors!DV$3</f>
        <v>1.9021861019999999</v>
      </c>
      <c r="EC69" s="3">
        <f>$H69*factors!DW$3</f>
        <v>2.0463517855199997</v>
      </c>
      <c r="ED69" s="3">
        <f>$H69*factors!DX$3</f>
        <v>1.9202068124399998</v>
      </c>
      <c r="EE69" s="3">
        <f>$H69*factors!DY$3</f>
        <v>1.9362252217199998</v>
      </c>
      <c r="EF69" s="3">
        <f>$H69*factors!DZ$3</f>
        <v>2.10041391684</v>
      </c>
      <c r="EG69" s="3">
        <f>$H69*factors!EA$3</f>
        <v>1.9622551367999999</v>
      </c>
      <c r="EH69" s="3">
        <f>$H69*factors!EB$3</f>
        <v>1.96826204028</v>
      </c>
      <c r="EI69" s="3">
        <f>$H69*factors!EC$3</f>
        <v>1.96425743796</v>
      </c>
      <c r="EJ69" s="3">
        <f>$H69*factors!ED$3</f>
        <v>1.9141999089599999</v>
      </c>
      <c r="EK69" s="3">
        <f>$H69*factors!EE$3</f>
        <v>2.0463517855199997</v>
      </c>
      <c r="EL69" s="3">
        <f>$H69*factors!EF$3</f>
        <v>1.9462367275199999</v>
      </c>
      <c r="EM69" s="3">
        <f>$H69*factors!EG$3</f>
        <v>2.0243264727599999</v>
      </c>
      <c r="EN69" s="3">
        <f>$H69*factors!EH$3</f>
        <v>1.9021861019999999</v>
      </c>
      <c r="EO69" s="3">
        <f>$H69*factors!EI$3</f>
        <v>1.9302183182399997</v>
      </c>
      <c r="EP69" s="3">
        <f>$H69*factors!EJ$3</f>
        <v>2.0363402797200001</v>
      </c>
      <c r="EQ69" s="3">
        <f>$H69*factors!EK$3</f>
        <v>1.9802758472399997</v>
      </c>
      <c r="ER69" s="3">
        <f>$H69*factors!EL$3</f>
        <v>2.0623701948000002</v>
      </c>
      <c r="ES69" s="3">
        <f>$H69*factors!EM$3</f>
        <v>2.0363402797200001</v>
      </c>
      <c r="ET69" s="3">
        <f>$H69*factors!EN$3</f>
        <v>2.0823932063999999</v>
      </c>
      <c r="EU69" s="3">
        <f>$H69*factors!EO$3</f>
        <v>2.1024162180000001</v>
      </c>
      <c r="EV69" s="3">
        <f>$H69*factors!EP$3</f>
        <v>1.9702643414399998</v>
      </c>
      <c r="EW69" s="3">
        <f>$H69*factors!EQ$3</f>
        <v>2.1670738596249999</v>
      </c>
      <c r="EX69" s="3">
        <f>$H69*factors!ER$3</f>
        <v>2.1441308255000004</v>
      </c>
      <c r="EY69" s="3">
        <f>$H69*factors!ES$3</f>
        <v>2.1879311633749996</v>
      </c>
      <c r="EZ69" s="3">
        <f>$H69*factors!ET$3</f>
        <v>2.1670738596249999</v>
      </c>
      <c r="FA69" s="3">
        <f>$H69*factors!EU$3</f>
        <v>1.9918725081249997</v>
      </c>
      <c r="FB69" s="3">
        <f>$H69*factors!EV$3</f>
        <v>2.0815589142499999</v>
      </c>
      <c r="FC69" s="3">
        <f>$H69*factors!EW$3</f>
        <v>2.1399593647500001</v>
      </c>
      <c r="FD69" s="3">
        <f>$H69*factors!EX$3</f>
        <v>2.0648730712500001</v>
      </c>
      <c r="FE69" s="3">
        <f>$H69*factors!EY$3</f>
        <v>2.175416781125</v>
      </c>
      <c r="FF69" s="3">
        <f>$H69*factors!EZ$3</f>
        <v>2.1775025115000002</v>
      </c>
      <c r="FG69" s="3">
        <f>$H69*factors!FA$3</f>
        <v>1.9918725081249997</v>
      </c>
      <c r="FH69" s="3">
        <f>$H69*factors!FB$3</f>
        <v>2.0961590268749997</v>
      </c>
      <c r="FI69" s="3">
        <f>$H69*factors!FC$3</f>
        <v>2.1837597026249997</v>
      </c>
      <c r="FJ69" s="3">
        <f>$H69*factors!FD$3</f>
        <v>2.0961590268749997</v>
      </c>
      <c r="FK69" s="3">
        <f>$H69*factors!FE$3</f>
        <v>2.13161644325</v>
      </c>
      <c r="FL69" s="3">
        <f>$H69*factors!FF$3</f>
        <v>2.137873634375</v>
      </c>
      <c r="FM69" s="3">
        <f>$H69*factors!FG$3</f>
        <v>2.1608166684999999</v>
      </c>
      <c r="FN69" s="3">
        <f>$H69*factors!FH$3</f>
        <v>2.021072733375</v>
      </c>
      <c r="FO69" s="3">
        <f>$H69*factors!FI$3</f>
        <v>2.1462165558749997</v>
      </c>
      <c r="FP69" s="3">
        <f>$H69*factors!FJ$3</f>
        <v>2.0857303749999998</v>
      </c>
      <c r="FQ69" s="3">
        <f>$H69*factors!FK$3</f>
        <v>2.0648730712500001</v>
      </c>
      <c r="FR69" s="3">
        <f>$H69*factors!FL$3</f>
        <v>2.10658767875</v>
      </c>
      <c r="FS69" s="3">
        <f>$H69*factors!FM$3</f>
        <v>2.0940732965</v>
      </c>
      <c r="FT69" s="3">
        <f>$H69*factors!FN$3</f>
        <v>2.1399593647500001</v>
      </c>
      <c r="FU69" s="3">
        <f>$H69*factors!FO$3</f>
        <v>2.0565301497499999</v>
      </c>
      <c r="FV69" s="3">
        <f>$H69*factors!FP$3</f>
        <v>2.0398443067500001</v>
      </c>
      <c r="FW69" s="3">
        <f>$H69*factors!FQ$3</f>
        <v>2.1837597026249997</v>
      </c>
      <c r="FX69" s="3">
        <f>$H69*factors!FR$3</f>
        <v>2.1441308255000004</v>
      </c>
      <c r="FY69" s="3">
        <f>$H69*factors!FS$3</f>
        <v>2.1003304876249995</v>
      </c>
      <c r="FZ69" s="3">
        <f>$H69*factors!FT$3</f>
        <v>1.996043968875</v>
      </c>
      <c r="GA69" s="3">
        <f>$H69*factors!FU$3</f>
        <v>2.1003304876249995</v>
      </c>
      <c r="GB69" s="3">
        <f>$H69*factors!FV$3</f>
        <v>2.1775025115000002</v>
      </c>
      <c r="GC69" s="3">
        <f>$H69*factors!FW$3</f>
        <v>2.0398443067500001</v>
      </c>
      <c r="GD69" s="3">
        <f>$H69*factors!FX$3</f>
        <v>2.0753017231249999</v>
      </c>
      <c r="GE69" s="3">
        <f>$H69*factors!FY$3</f>
        <v>2.0753017231249999</v>
      </c>
      <c r="GF69" s="3">
        <f>$H69*factors!FZ$3</f>
        <v>2.0690445319999999</v>
      </c>
      <c r="GG69" s="3">
        <f>$H69*factors!GA$3</f>
        <v>1.9877010473749999</v>
      </c>
      <c r="GH69" s="3">
        <f>$H69*factors!GB$3</f>
        <v>2.1149306002500001</v>
      </c>
      <c r="GI69" s="3">
        <f>$H69*factors!GC$3</f>
        <v>1.983529586625</v>
      </c>
      <c r="GJ69" s="3">
        <f>$H69*factors!GD$3</f>
        <v>1.9877010473749999</v>
      </c>
      <c r="GK69" s="3">
        <f>$H69*factors!GE$3</f>
        <v>2.0377585763749999</v>
      </c>
      <c r="GL69" s="3">
        <f>$H69*factors!GF$3</f>
        <v>2.1587309381250002</v>
      </c>
      <c r="GM69" s="3">
        <f>$H69*factors!GG$3</f>
        <v>2.0461014978750001</v>
      </c>
      <c r="GN69" s="3">
        <f>$H69*factors!GH$3</f>
        <v>2.1107591395000003</v>
      </c>
      <c r="GO69" s="3">
        <f>$H69*factors!GI$3</f>
        <v>1.9939582384999996</v>
      </c>
      <c r="GP69" s="3">
        <f>$H69*factors!GJ$3</f>
        <v>2.137873634375</v>
      </c>
      <c r="GQ69" s="3">
        <f>$H69*factors!GK$3</f>
        <v>2.18167397225</v>
      </c>
      <c r="GR69" s="3">
        <f>$H69*factors!GL$3</f>
        <v>2.1399593647500001</v>
      </c>
      <c r="GS69" s="3">
        <f>$H69*factors!GM$3</f>
        <v>2.023742468255</v>
      </c>
      <c r="GT69" s="3">
        <f>$H69*factors!GN$3</f>
        <v>2.070362713597</v>
      </c>
      <c r="GU69" s="3">
        <f>$H69*factors!GO$3</f>
        <v>2.119102061</v>
      </c>
      <c r="GV69" s="3">
        <f>$H69*factors!GP$3</f>
        <v>2.03433797856</v>
      </c>
      <c r="GW69" s="3">
        <f>$H69*factors!GQ$3</f>
        <v>2.106387448634</v>
      </c>
      <c r="GX69" s="3">
        <f>$H69*factors!GR$3</f>
        <v>2.072481815658</v>
      </c>
      <c r="GY69" s="3">
        <f>$H69*factors!GS$3</f>
        <v>2.0618863053530001</v>
      </c>
      <c r="GZ69" s="3">
        <f>$H69*factors!GT$3</f>
        <v>2.1381739795489998</v>
      </c>
      <c r="HA69" s="3">
        <f>$H69*factors!GU$3</f>
        <v>2.0682436115359999</v>
      </c>
      <c r="HB69" s="3">
        <f>$H69*factors!GV$3</f>
        <v>2.1381739795489998</v>
      </c>
      <c r="HC69" s="3">
        <f>$H69*factors!GW$3</f>
        <v>2.0851964280240001</v>
      </c>
      <c r="HD69" s="3">
        <f>$H69*factors!GX$3</f>
        <v>2.1466503877929997</v>
      </c>
      <c r="HE69" s="3">
        <f>$H69*factors!GY$3</f>
        <v>2.119102061</v>
      </c>
      <c r="HF69" s="3">
        <f>$H69*factors!GZ$3</f>
        <v>2.1847942248909997</v>
      </c>
      <c r="HG69" s="3">
        <f>$H69*factors!HA$3</f>
        <v>2.1000301424510002</v>
      </c>
      <c r="HH69" s="3">
        <f>$H69*factors!HB$3</f>
        <v>2.072481815658</v>
      </c>
      <c r="HI69" s="3">
        <f>$H69*factors!HC$3</f>
        <v>2.047052590926</v>
      </c>
      <c r="HJ69" s="3">
        <f>$H69*factors!HD$3</f>
        <v>2.023742468255</v>
      </c>
      <c r="HK69" s="3">
        <f>$H69*factors!HE$3</f>
        <v>2.1402930816099999</v>
      </c>
      <c r="HL69" s="3">
        <f>$H69*factors!HF$3</f>
        <v>2.0173851620719998</v>
      </c>
      <c r="HM69" s="3">
        <f>$H69*factors!HG$3</f>
        <v>2.0385761826820001</v>
      </c>
      <c r="HN69" s="3">
        <f>$H69*factors!HH$3</f>
        <v>2.1741987145860002</v>
      </c>
      <c r="HO69" s="3">
        <f>$H69*factors!HI$3</f>
        <v>2.0851964280240001</v>
      </c>
      <c r="HP69" s="3">
        <f>$H69*factors!HJ$3</f>
        <v>2.2250571640500003</v>
      </c>
      <c r="HQ69" s="3">
        <f>$H69*factors!HK$3</f>
        <v>2.03433797856</v>
      </c>
      <c r="HR69" s="3">
        <f>$H69*factors!HL$3</f>
        <v>2.157245898098</v>
      </c>
      <c r="HS69" s="3">
        <f>$H69*factors!HM$3</f>
        <v>2.1953897351960001</v>
      </c>
      <c r="HT69" s="3">
        <f>$H69*factors!HN$3</f>
        <v>2.047052590926</v>
      </c>
      <c r="HU69" s="3">
        <f>$H69*factors!HO$3</f>
        <v>2.0682436115359999</v>
      </c>
      <c r="HV69" s="3">
        <f>$H69*factors!HP$3</f>
        <v>2.0936728362680004</v>
      </c>
      <c r="HW69" s="3">
        <f>$H69*factors!HQ$3</f>
        <v>2.1233402651220001</v>
      </c>
      <c r="HX69" s="3">
        <f>$H69*factors!HR$3</f>
        <v>2.2102234496229998</v>
      </c>
      <c r="HY69" s="3">
        <f>$H69*factors!HS$3</f>
        <v>2.1000301424510002</v>
      </c>
      <c r="HZ69" s="3">
        <f>$H69*factors!HT$3</f>
        <v>2.180556020769</v>
      </c>
      <c r="IA69" s="3">
        <f>$H69*factors!HU$3</f>
        <v>2.0746009177190001</v>
      </c>
      <c r="IB69" s="3">
        <f>$H69*factors!HV$3</f>
        <v>2.1466503877929997</v>
      </c>
      <c r="IC69" s="3">
        <f>$H69*factors!HW$3</f>
        <v>2.167841408403</v>
      </c>
      <c r="ID69" s="3">
        <f>$H69*factors!HX$3</f>
        <v>2.0131469579499996</v>
      </c>
      <c r="IE69" s="3">
        <f>$H69*factors!HY$3</f>
        <v>2.1381739795489998</v>
      </c>
      <c r="IF69" s="3">
        <f>$H69*factors!HZ$3</f>
        <v>2.1254593671829998</v>
      </c>
      <c r="IG69" s="3">
        <f>$H69*factors!IA$3</f>
        <v>2.106387448634</v>
      </c>
      <c r="IH69" s="3">
        <f>$H69*factors!IB$3</f>
        <v>2.1847942248909997</v>
      </c>
      <c r="II69" s="3">
        <f>$H69*factors!IC$3</f>
        <v>2.0915537342069999</v>
      </c>
      <c r="IJ69" s="3">
        <f>$H69*factors!ID$3</f>
        <v>2.1106256527560001</v>
      </c>
      <c r="IK69" s="3">
        <f>$H69*factors!IE$3</f>
        <v>2.1869133269520002</v>
      </c>
      <c r="IL69" s="3">
        <f>$H69*factors!IF$3</f>
        <v>2.0936728362680004</v>
      </c>
      <c r="IM69" s="3">
        <f>$H69*factors!IG$3</f>
        <v>2.0746009177190001</v>
      </c>
      <c r="IN69" s="3">
        <f>$H69*factors!IH$3</f>
        <v>2.0873155300850001</v>
      </c>
      <c r="IO69" s="3">
        <f>$H69*factors!II$3</f>
        <v>2.108506550695</v>
      </c>
      <c r="IP69" s="3">
        <f>$H69*factors!IJ$3</f>
        <v>2.0385761826820001</v>
      </c>
      <c r="IQ69" s="3">
        <f>$H69*factors!IK$3</f>
        <v>2.0322188764989999</v>
      </c>
      <c r="IR69" s="3">
        <f>$H69*factors!IL$3</f>
        <v>2.0915537342069999</v>
      </c>
      <c r="IS69" s="3">
        <f>$H69*factors!IM$3</f>
        <v>2.108506550695</v>
      </c>
      <c r="IT69" s="3">
        <f>$H69*factors!IN$3</f>
        <v>2.1233402651220001</v>
      </c>
      <c r="IU69" s="3">
        <f>$H69*factors!IO$3</f>
        <v>2.1699605104640001</v>
      </c>
      <c r="IV69" s="3">
        <f>$H69*factors!IP$3</f>
        <v>2.1975088372569997</v>
      </c>
      <c r="IW69" s="3">
        <f>$H69*factors!IQ$3</f>
        <v>2.0767200197799998</v>
      </c>
      <c r="IX69" s="3">
        <f>$H69*factors!IR$3</f>
        <v>2.1699605104640001</v>
      </c>
      <c r="IY69" s="3">
        <f>$H69*factors!IS$3</f>
        <v>2.1381739795489998</v>
      </c>
      <c r="IZ69" s="3">
        <f>$H69*factors!IT$3</f>
        <v>2.1741987145860002</v>
      </c>
      <c r="JA69" s="3">
        <f>$H69*factors!IU$3</f>
        <v>2.0534098971089998</v>
      </c>
      <c r="JB69" s="3">
        <f>$H69*factors!IV$3</f>
        <v>2.0915537342069999</v>
      </c>
      <c r="JC69" s="3">
        <f>$H69*factors!IW$3</f>
        <v>2.0428143868040003</v>
      </c>
      <c r="JD69" s="3">
        <f>$H69*factors!IX$3</f>
        <v>2.2250571640500003</v>
      </c>
      <c r="JE69" s="3">
        <f>$H69*factors!IY$3</f>
        <v>2.0491716929870001</v>
      </c>
      <c r="JF69" s="3">
        <f>$H69*factors!IZ$3</f>
        <v>2.1508885919149998</v>
      </c>
      <c r="JG69" s="3">
        <f>$H69*factors!JA$3</f>
        <v>2.1127447548169997</v>
      </c>
      <c r="JH69" s="3">
        <f>$H69*factors!JB$3</f>
        <v>2.1530076939760003</v>
      </c>
      <c r="JI69" s="3">
        <f>$H69*factors!JC$3</f>
        <v>2.0152660600110002</v>
      </c>
      <c r="JJ69" s="3">
        <f>$H69*factors!JD$3</f>
        <v>2.1699605104640001</v>
      </c>
      <c r="JK69" s="3">
        <f>$H69*factors!JE$3</f>
        <v>2.1000301424510002</v>
      </c>
      <c r="JL69" s="3">
        <f>$H69*factors!JF$3</f>
        <v>2.1847942248909997</v>
      </c>
      <c r="JM69" s="3">
        <f>$H69*factors!JG$3</f>
        <v>2.0385761826820001</v>
      </c>
      <c r="JN69" s="3">
        <f>$H69*factors!JH$3</f>
        <v>2.0385761826820001</v>
      </c>
      <c r="JO69" s="3">
        <f>$H69*factors!JI$3</f>
        <v>2.0131469579499996</v>
      </c>
      <c r="JP69" s="3">
        <f>$H69*factors!JJ$3</f>
        <v>2.1763178166469999</v>
      </c>
      <c r="JQ69" s="3">
        <f>$H69*factors!JK$3</f>
        <v>2.1212211630610001</v>
      </c>
      <c r="JR69" s="3">
        <f>$H69*factors!JL$3</f>
        <v>2.20386614344</v>
      </c>
      <c r="JS69" s="3">
        <f>$H69*factors!JM$3</f>
        <v>2.0131469579499996</v>
      </c>
      <c r="JT69" s="3">
        <f>$H69*factors!JN$3</f>
        <v>2.1148638568780003</v>
      </c>
      <c r="JU69" s="3">
        <f>$H69*factors!JO$3</f>
        <v>2.0449334888649999</v>
      </c>
      <c r="JV69" s="3">
        <f>$H69*factors!JP$3</f>
        <v>2.0788391218410003</v>
      </c>
      <c r="JW69" s="3">
        <f>$H69*factors!JQ$3</f>
        <v>2.2208189599280002</v>
      </c>
      <c r="JX69" s="3">
        <f>$H69*factors!JR$3</f>
        <v>2.1996279393179998</v>
      </c>
      <c r="JY69" s="3">
        <f>$H69*factors!JS$3</f>
        <v>2.070362713597</v>
      </c>
      <c r="JZ69" s="3">
        <f>$H69*factors!JT$3</f>
        <v>2.0936728362680004</v>
      </c>
      <c r="KA69" s="3">
        <f>$H69*factors!JU$3</f>
        <v>2.1021492445120002</v>
      </c>
      <c r="KB69" s="3">
        <f>$H69*factors!JV$3</f>
        <v>2.0322188764989999</v>
      </c>
      <c r="KC69" s="3">
        <f>$H69*factors!JW$3</f>
        <v>2.0428143868040003</v>
      </c>
      <c r="KD69" s="3">
        <f>$H69*factors!JX$3</f>
        <v>2.0449334888649999</v>
      </c>
      <c r="KE69" s="3">
        <f>$H69*factors!JY$3</f>
        <v>2.1763178166469999</v>
      </c>
      <c r="KF69" s="3">
        <f>$H69*factors!JZ$3</f>
        <v>2.2017470413789999</v>
      </c>
      <c r="KG69" s="3">
        <f>$H69*factors!KA$3</f>
        <v>2.1233402651220001</v>
      </c>
      <c r="KH69" s="3">
        <f>$H69*factors!KB$3</f>
        <v>2.0767200197799998</v>
      </c>
      <c r="KI69" s="3">
        <f>$H69*factors!KC$3</f>
        <v>2.0576481012309999</v>
      </c>
    </row>
    <row r="70" spans="1:295" x14ac:dyDescent="0.55000000000000004">
      <c r="A70" t="s">
        <v>446</v>
      </c>
      <c r="B70">
        <v>69</v>
      </c>
      <c r="C70">
        <v>287</v>
      </c>
      <c r="D70" t="s">
        <v>377</v>
      </c>
      <c r="E70">
        <v>3.431E-3</v>
      </c>
      <c r="F70">
        <v>69</v>
      </c>
      <c r="G70">
        <f>VLOOKUP(D70,demand_forecasted!$A$2:$G$11,2)</f>
        <v>11098</v>
      </c>
      <c r="H70" s="3">
        <f t="shared" si="1"/>
        <v>0.38077238000000002</v>
      </c>
      <c r="I70" s="3">
        <f>$H70*factors!C$3</f>
        <v>0.42151502466000002</v>
      </c>
      <c r="J70" s="3">
        <f>$H70*factors!D$3</f>
        <v>0.40629936035520003</v>
      </c>
      <c r="K70" s="3">
        <f>$H70*factors!E$3</f>
        <v>0.39930837945840003</v>
      </c>
      <c r="L70" s="3">
        <f>$H70*factors!F$3</f>
        <v>0.39807467694720006</v>
      </c>
      <c r="M70" s="3">
        <f>$H70*factors!G$3</f>
        <v>0.39766344277679999</v>
      </c>
      <c r="N70" s="3">
        <f>$H70*factors!H$3</f>
        <v>0.40917799954800005</v>
      </c>
      <c r="O70" s="3">
        <f>$H70*factors!I$3</f>
        <v>0.41822515129680005</v>
      </c>
      <c r="P70" s="3">
        <f>$H70*factors!J$3</f>
        <v>0.42315996134160005</v>
      </c>
      <c r="Q70" s="3">
        <f>$H70*factors!K$3</f>
        <v>0.39725220860640004</v>
      </c>
      <c r="R70" s="3">
        <f>$H70*factors!L$3</f>
        <v>0.39067246188000004</v>
      </c>
      <c r="S70" s="3">
        <f>$H70*factors!M$3</f>
        <v>0.40671059452559999</v>
      </c>
      <c r="T70" s="3">
        <f>$H70*factors!N$3</f>
        <v>0.42069255631920005</v>
      </c>
      <c r="U70" s="3">
        <f>$H70*factors!O$3</f>
        <v>0.39848591111760007</v>
      </c>
      <c r="V70" s="3">
        <f>$H70*factors!P$3</f>
        <v>0.41452404376320007</v>
      </c>
      <c r="W70" s="3">
        <f>$H70*factors!Q$3</f>
        <v>0.41822515129680005</v>
      </c>
      <c r="X70" s="3">
        <f>$H70*factors!R$3</f>
        <v>0.4001308477992</v>
      </c>
      <c r="Y70" s="3">
        <f>$H70*factors!S$3</f>
        <v>0.39642974026560002</v>
      </c>
      <c r="Z70" s="3">
        <f>$H70*factors!T$3</f>
        <v>0.42768353721600011</v>
      </c>
      <c r="AA70" s="3">
        <f>$H70*factors!U$3</f>
        <v>0.40383195533280003</v>
      </c>
      <c r="AB70" s="3">
        <f>$H70*factors!V$3</f>
        <v>0.4042431895032001</v>
      </c>
      <c r="AC70" s="3">
        <f>$H70*factors!W$3</f>
        <v>0.40465442367360005</v>
      </c>
      <c r="AD70" s="3">
        <f>$H70*factors!X$3</f>
        <v>0.39601850609520006</v>
      </c>
      <c r="AE70" s="3">
        <f>$H70*factors!Y$3</f>
        <v>0.39930837945840003</v>
      </c>
      <c r="AF70" s="3">
        <f>$H70*factors!Z$3</f>
        <v>0.40753306286640006</v>
      </c>
      <c r="AG70" s="3">
        <f>$H70*factors!AA$3</f>
        <v>0.39725220860640004</v>
      </c>
      <c r="AH70" s="3">
        <f>$H70*factors!AB$3</f>
        <v>0.39560727192480005</v>
      </c>
      <c r="AI70" s="3">
        <f>$H70*factors!AC$3</f>
        <v>0.40835553120720003</v>
      </c>
      <c r="AJ70" s="3">
        <f>$H70*factors!AD$3</f>
        <v>0.42398242968240002</v>
      </c>
      <c r="AK70" s="3">
        <f>$H70*factors!AE$3</f>
        <v>0.40794429703680007</v>
      </c>
      <c r="AL70" s="3">
        <f>$H70*factors!AF$3</f>
        <v>0.39190616439120002</v>
      </c>
      <c r="AM70" s="3">
        <f>$H70*factors!AG$3</f>
        <v>0.40300948699200001</v>
      </c>
      <c r="AN70" s="3">
        <f>$H70*factors!AH$3</f>
        <v>0.39642974026560002</v>
      </c>
      <c r="AO70" s="3">
        <f>$H70*factors!AI$3</f>
        <v>0.41534651210400003</v>
      </c>
      <c r="AP70" s="3">
        <f>$H70*factors!AJ$3</f>
        <v>0.39807467694720006</v>
      </c>
      <c r="AQ70" s="3">
        <f>$H70*factors!AK$3</f>
        <v>0.41082293622960009</v>
      </c>
      <c r="AR70" s="3">
        <f>$H70*factors!AL$3</f>
        <v>0.40177578448080004</v>
      </c>
      <c r="AS70" s="3">
        <f>$H70*factors!AM$3</f>
        <v>0.39190616439120002</v>
      </c>
      <c r="AT70" s="3">
        <f>$H70*factors!AN$3</f>
        <v>0.4042431895032001</v>
      </c>
      <c r="AU70" s="3">
        <f>$H70*factors!AO$3</f>
        <v>0.42809477138640001</v>
      </c>
      <c r="AV70" s="3">
        <f>$H70*factors!AP$3</f>
        <v>0.40465442367360005</v>
      </c>
      <c r="AW70" s="3">
        <f>$H70*factors!AQ$3</f>
        <v>0.40054208196960001</v>
      </c>
      <c r="AX70" s="3">
        <f>$H70*factors!AR$3</f>
        <v>0.42357119551200006</v>
      </c>
      <c r="AY70" s="3">
        <f>$H70*factors!AS$3</f>
        <v>0.39067246188000004</v>
      </c>
      <c r="AZ70" s="3">
        <f>$H70*factors!AT$3</f>
        <v>0.41863638546720011</v>
      </c>
      <c r="BA70" s="3">
        <f>$H70*factors!AU$3</f>
        <v>0.4095892337184</v>
      </c>
      <c r="BB70" s="3">
        <f>$H70*factors!AV$3</f>
        <v>0.4042431895032001</v>
      </c>
      <c r="BC70" s="3">
        <f>$H70*factors!AW$3</f>
        <v>0.42768353721600011</v>
      </c>
      <c r="BD70" s="3">
        <f>$H70*factors!AX$3</f>
        <v>0.39478480358399998</v>
      </c>
      <c r="BE70" s="3">
        <f>$H70*factors!AY$3</f>
        <v>0.4641386848772</v>
      </c>
      <c r="BF70" s="3">
        <f>$H70*factors!AZ$3</f>
        <v>0.4322375748808</v>
      </c>
      <c r="BG70" s="3">
        <f>$H70*factors!BA$3</f>
        <v>0.43852793459839995</v>
      </c>
      <c r="BH70" s="3">
        <f>$H70*factors!BB$3</f>
        <v>0.44436898290760002</v>
      </c>
      <c r="BI70" s="3">
        <f>$H70*factors!BC$3</f>
        <v>0.46054419360999993</v>
      </c>
      <c r="BJ70" s="3">
        <f>$H70*factors!BD$3</f>
        <v>0.43987586882359997</v>
      </c>
      <c r="BK70" s="3">
        <f>$H70*factors!BE$3</f>
        <v>0.44077449164039995</v>
      </c>
      <c r="BL70" s="3">
        <f>$H70*factors!BF$3</f>
        <v>0.43583206614799996</v>
      </c>
      <c r="BM70" s="3">
        <f>$H70*factors!BG$3</f>
        <v>0.46548661910240002</v>
      </c>
      <c r="BN70" s="3">
        <f>$H70*factors!BH$3</f>
        <v>0.45964557079319995</v>
      </c>
      <c r="BO70" s="3">
        <f>$H70*factors!BI$3</f>
        <v>0.4322375748808</v>
      </c>
      <c r="BP70" s="3">
        <f>$H70*factors!BJ$3</f>
        <v>0.43088964065559998</v>
      </c>
      <c r="BQ70" s="3">
        <f>$H70*factors!BK$3</f>
        <v>0.43807862318999996</v>
      </c>
      <c r="BR70" s="3">
        <f>$H70*factors!BL$3</f>
        <v>0.45380452248399999</v>
      </c>
      <c r="BS70" s="3">
        <f>$H70*factors!BM$3</f>
        <v>0.46099350501840003</v>
      </c>
      <c r="BT70" s="3">
        <f>$H70*factors!BN$3</f>
        <v>0.46234143924359999</v>
      </c>
      <c r="BU70" s="3">
        <f>$H70*factors!BO$3</f>
        <v>0.46997973318640002</v>
      </c>
      <c r="BV70" s="3">
        <f>$H70*factors!BP$3</f>
        <v>0.43718000037319998</v>
      </c>
      <c r="BW70" s="3">
        <f>$H70*factors!BQ$3</f>
        <v>0.447064851358</v>
      </c>
      <c r="BX70" s="3">
        <f>$H70*factors!BR$3</f>
        <v>0.43852793459839995</v>
      </c>
      <c r="BY70" s="3">
        <f>$H70*factors!BS$3</f>
        <v>0.45874694797639992</v>
      </c>
      <c r="BZ70" s="3">
        <f>$H70*factors!BT$3</f>
        <v>0.45021003121679998</v>
      </c>
      <c r="CA70" s="3">
        <f>$H70*factors!BU$3</f>
        <v>0.44436898290760002</v>
      </c>
      <c r="CB70" s="3">
        <f>$H70*factors!BV$3</f>
        <v>0.4299910178388</v>
      </c>
      <c r="CC70" s="3">
        <f>$H70*factors!BW$3</f>
        <v>0.44257173727400001</v>
      </c>
      <c r="CD70" s="3">
        <f>$H70*factors!BX$3</f>
        <v>0.44391967149920003</v>
      </c>
      <c r="CE70" s="3">
        <f>$H70*factors!BY$3</f>
        <v>0.45021003121679998</v>
      </c>
      <c r="CF70" s="3">
        <f>$H70*factors!BZ$3</f>
        <v>0.44347036009080004</v>
      </c>
      <c r="CG70" s="3">
        <f>$H70*factors!CA$3</f>
        <v>0.42864308361359998</v>
      </c>
      <c r="CH70" s="3">
        <f>$H70*factors!CB$3</f>
        <v>0.42909239502199992</v>
      </c>
      <c r="CI70" s="3">
        <f>$H70*factors!CC$3</f>
        <v>0.42684583798000003</v>
      </c>
      <c r="CJ70" s="3">
        <f>$H70*factors!CD$3</f>
        <v>0.44436898290760002</v>
      </c>
      <c r="CK70" s="3">
        <f>$H70*factors!CE$3</f>
        <v>0.4641386848772</v>
      </c>
      <c r="CL70" s="3">
        <f>$H70*factors!CF$3</f>
        <v>0.43493344333119999</v>
      </c>
      <c r="CM70" s="3">
        <f>$H70*factors!CG$3</f>
        <v>0.4452676057244</v>
      </c>
      <c r="CN70" s="3">
        <f>$H70*factors!CH$3</f>
        <v>0.43044032924719999</v>
      </c>
      <c r="CO70" s="3">
        <f>$H70*factors!CI$3</f>
        <v>0.43358550910599997</v>
      </c>
      <c r="CP70" s="3">
        <f>$H70*factors!CJ$3</f>
        <v>0.45425383389239993</v>
      </c>
      <c r="CQ70" s="3">
        <f>$H70*factors!CK$3</f>
        <v>0.44077449164039995</v>
      </c>
      <c r="CR70" s="3">
        <f>$H70*factors!CL$3</f>
        <v>0.45470314530079997</v>
      </c>
      <c r="CS70" s="3">
        <f>$H70*factors!CM$3</f>
        <v>0.46908111036959999</v>
      </c>
      <c r="CT70" s="3">
        <f>$H70*factors!CN$3</f>
        <v>0.46368937346880001</v>
      </c>
      <c r="CU70" s="3">
        <f>$H70*factors!CO$3</f>
        <v>0.45335521107559995</v>
      </c>
      <c r="CV70" s="3">
        <f>$H70*factors!CP$3</f>
        <v>0.47177697881999997</v>
      </c>
      <c r="CW70" s="3">
        <f>$H70*factors!CQ$3</f>
        <v>0.44616622854120003</v>
      </c>
      <c r="CX70" s="3">
        <f>$H70*factors!CR$3</f>
        <v>0.43942655741519998</v>
      </c>
      <c r="CY70" s="3">
        <f>$H70*factors!CS$3</f>
        <v>0.43538275473959998</v>
      </c>
      <c r="CZ70" s="3">
        <f>$H70*factors!CT$3</f>
        <v>0.42909239502199992</v>
      </c>
      <c r="DA70" s="3">
        <f>$H70*factors!CU$3</f>
        <v>0.44550368460000001</v>
      </c>
      <c r="DB70" s="3">
        <f>$H70*factors!CV$3</f>
        <v>0.47429007652800004</v>
      </c>
      <c r="DC70" s="3">
        <f>$H70*factors!CW$3</f>
        <v>0.454185294864</v>
      </c>
      <c r="DD70" s="3">
        <f>$H70*factors!CX$3</f>
        <v>0.45098680687199999</v>
      </c>
      <c r="DE70" s="3">
        <f>$H70*factors!CY$3</f>
        <v>0.46423768569600005</v>
      </c>
      <c r="DF70" s="3">
        <f>$H70*factors!CZ$3</f>
        <v>0.46332383198399996</v>
      </c>
      <c r="DG70" s="3">
        <f>$H70*factors!DA$3</f>
        <v>0.46149612456</v>
      </c>
      <c r="DH70" s="3">
        <f>$H70*factors!DB$3</f>
        <v>0.46149612456</v>
      </c>
      <c r="DI70" s="3">
        <f>$H70*factors!DC$3</f>
        <v>0.44413290403199995</v>
      </c>
      <c r="DJ70" s="3">
        <f>$H70*factors!DD$3</f>
        <v>0.47063466168000001</v>
      </c>
      <c r="DK70" s="3">
        <f>$H70*factors!DE$3</f>
        <v>0.47063466168000001</v>
      </c>
      <c r="DL70" s="3">
        <f>$H70*factors!DF$3</f>
        <v>0.46515153940800003</v>
      </c>
      <c r="DM70" s="3">
        <f>$H70*factors!DG$3</f>
        <v>0.43819285490399995</v>
      </c>
      <c r="DN70" s="3">
        <f>$H70*factors!DH$3</f>
        <v>0.45966841713600004</v>
      </c>
      <c r="DO70" s="3">
        <f>$H70*factors!DI$3</f>
        <v>0.474747003384</v>
      </c>
      <c r="DP70" s="3">
        <f>$H70*factors!DJ$3</f>
        <v>0.47063466168000001</v>
      </c>
      <c r="DQ70" s="3">
        <f>$H70*factors!DK$3</f>
        <v>0.44870217259199996</v>
      </c>
      <c r="DR70" s="3">
        <f>$H70*factors!DL$3</f>
        <v>0.44367597717600005</v>
      </c>
      <c r="DS70" s="3">
        <f>$H70*factors!DM$3</f>
        <v>0.47931627194400001</v>
      </c>
      <c r="DT70" s="3">
        <f>$H70*factors!DN$3</f>
        <v>0.45052988001600003</v>
      </c>
      <c r="DU70" s="3">
        <f>$H70*factors!DO$3</f>
        <v>0.47154851539199999</v>
      </c>
      <c r="DV70" s="3">
        <f>$H70*factors!DP$3</f>
        <v>0.46058227084800002</v>
      </c>
      <c r="DW70" s="3">
        <f>$H70*factors!DQ$3</f>
        <v>0.439563635472</v>
      </c>
      <c r="DX70" s="3">
        <f>$H70*factors!DR$3</f>
        <v>0.46560846626399999</v>
      </c>
      <c r="DY70" s="3">
        <f>$H70*factors!DS$3</f>
        <v>0.44184826975199998</v>
      </c>
      <c r="DZ70" s="3">
        <f>$H70*factors!DT$3</f>
        <v>0.47246236910399997</v>
      </c>
      <c r="EA70" s="3">
        <f>$H70*factors!DU$3</f>
        <v>0.44504675774399999</v>
      </c>
      <c r="EB70" s="3">
        <f>$H70*factors!DV$3</f>
        <v>0.43408051319999996</v>
      </c>
      <c r="EC70" s="3">
        <f>$H70*factors!DW$3</f>
        <v>0.46697924683199998</v>
      </c>
      <c r="ED70" s="3">
        <f>$H70*factors!DX$3</f>
        <v>0.43819285490399995</v>
      </c>
      <c r="EE70" s="3">
        <f>$H70*factors!DY$3</f>
        <v>0.44184826975199998</v>
      </c>
      <c r="EF70" s="3">
        <f>$H70*factors!DZ$3</f>
        <v>0.47931627194400001</v>
      </c>
      <c r="EG70" s="3">
        <f>$H70*factors!EA$3</f>
        <v>0.44778831887999998</v>
      </c>
      <c r="EH70" s="3">
        <f>$H70*factors!EB$3</f>
        <v>0.44915909944800003</v>
      </c>
      <c r="EI70" s="3">
        <f>$H70*factors!EC$3</f>
        <v>0.44824524573600005</v>
      </c>
      <c r="EJ70" s="3">
        <f>$H70*factors!ED$3</f>
        <v>0.43682207433600001</v>
      </c>
      <c r="EK70" s="3">
        <f>$H70*factors!EE$3</f>
        <v>0.46697924683199998</v>
      </c>
      <c r="EL70" s="3">
        <f>$H70*factors!EF$3</f>
        <v>0.44413290403199995</v>
      </c>
      <c r="EM70" s="3">
        <f>$H70*factors!EG$3</f>
        <v>0.46195305141599996</v>
      </c>
      <c r="EN70" s="3">
        <f>$H70*factors!EH$3</f>
        <v>0.43408051319999996</v>
      </c>
      <c r="EO70" s="3">
        <f>$H70*factors!EI$3</f>
        <v>0.44047748918399998</v>
      </c>
      <c r="EP70" s="3">
        <f>$H70*factors!EJ$3</f>
        <v>0.46469461255200001</v>
      </c>
      <c r="EQ70" s="3">
        <f>$H70*factors!EK$3</f>
        <v>0.45190066058399997</v>
      </c>
      <c r="ER70" s="3">
        <f>$H70*factors!EL$3</f>
        <v>0.47063466168000001</v>
      </c>
      <c r="ES70" s="3">
        <f>$H70*factors!EM$3</f>
        <v>0.46469461255200001</v>
      </c>
      <c r="ET70" s="3">
        <f>$H70*factors!EN$3</f>
        <v>0.47520393024000002</v>
      </c>
      <c r="EU70" s="3">
        <f>$H70*factors!EO$3</f>
        <v>0.47977319880000002</v>
      </c>
      <c r="EV70" s="3">
        <f>$H70*factors!EP$3</f>
        <v>0.44961602630399999</v>
      </c>
      <c r="EW70" s="3">
        <f>$H70*factors!EQ$3</f>
        <v>0.49452812852499994</v>
      </c>
      <c r="EX70" s="3">
        <f>$H70*factors!ER$3</f>
        <v>0.4892925083000001</v>
      </c>
      <c r="EY70" s="3">
        <f>$H70*factors!ES$3</f>
        <v>0.49928778327499995</v>
      </c>
      <c r="EZ70" s="3">
        <f>$H70*factors!ET$3</f>
        <v>0.49452812852499994</v>
      </c>
      <c r="FA70" s="3">
        <f>$H70*factors!EU$3</f>
        <v>0.45454702862499996</v>
      </c>
      <c r="FB70" s="3">
        <f>$H70*factors!EV$3</f>
        <v>0.47501354405000007</v>
      </c>
      <c r="FC70" s="3">
        <f>$H70*factors!EW$3</f>
        <v>0.48834057735000003</v>
      </c>
      <c r="FD70" s="3">
        <f>$H70*factors!EX$3</f>
        <v>0.47120582025000002</v>
      </c>
      <c r="FE70" s="3">
        <f>$H70*factors!EY$3</f>
        <v>0.49643199042500002</v>
      </c>
      <c r="FF70" s="3">
        <f>$H70*factors!EZ$3</f>
        <v>0.49690795590000009</v>
      </c>
      <c r="FG70" s="3">
        <f>$H70*factors!FA$3</f>
        <v>0.45454702862499996</v>
      </c>
      <c r="FH70" s="3">
        <f>$H70*factors!FB$3</f>
        <v>0.478345302375</v>
      </c>
      <c r="FI70" s="3">
        <f>$H70*factors!FC$3</f>
        <v>0.49833585232499999</v>
      </c>
      <c r="FJ70" s="3">
        <f>$H70*factors!FD$3</f>
        <v>0.478345302375</v>
      </c>
      <c r="FK70" s="3">
        <f>$H70*factors!FE$3</f>
        <v>0.48643671545000006</v>
      </c>
      <c r="FL70" s="3">
        <f>$H70*factors!FF$3</f>
        <v>0.48786461187500002</v>
      </c>
      <c r="FM70" s="3">
        <f>$H70*factors!FG$3</f>
        <v>0.49310023209999998</v>
      </c>
      <c r="FN70" s="3">
        <f>$H70*factors!FH$3</f>
        <v>0.46121054527499999</v>
      </c>
      <c r="FO70" s="3">
        <f>$H70*factors!FI$3</f>
        <v>0.48976847377499999</v>
      </c>
      <c r="FP70" s="3">
        <f>$H70*factors!FJ$3</f>
        <v>0.47596547500000003</v>
      </c>
      <c r="FQ70" s="3">
        <f>$H70*factors!FK$3</f>
        <v>0.47120582025000002</v>
      </c>
      <c r="FR70" s="3">
        <f>$H70*factors!FL$3</f>
        <v>0.48072512975000004</v>
      </c>
      <c r="FS70" s="3">
        <f>$H70*factors!FM$3</f>
        <v>0.4778693369</v>
      </c>
      <c r="FT70" s="3">
        <f>$H70*factors!FN$3</f>
        <v>0.48834057735000003</v>
      </c>
      <c r="FU70" s="3">
        <f>$H70*factors!FO$3</f>
        <v>0.46930195834999999</v>
      </c>
      <c r="FV70" s="3">
        <f>$H70*factors!FP$3</f>
        <v>0.46549423455</v>
      </c>
      <c r="FW70" s="3">
        <f>$H70*factors!FQ$3</f>
        <v>0.49833585232499999</v>
      </c>
      <c r="FX70" s="3">
        <f>$H70*factors!FR$3</f>
        <v>0.4892925083000001</v>
      </c>
      <c r="FY70" s="3">
        <f>$H70*factors!FS$3</f>
        <v>0.47929723332499996</v>
      </c>
      <c r="FZ70" s="3">
        <f>$H70*factors!FT$3</f>
        <v>0.45549895957500003</v>
      </c>
      <c r="GA70" s="3">
        <f>$H70*factors!FU$3</f>
        <v>0.47929723332499996</v>
      </c>
      <c r="GB70" s="3">
        <f>$H70*factors!FV$3</f>
        <v>0.49690795590000009</v>
      </c>
      <c r="GC70" s="3">
        <f>$H70*factors!FW$3</f>
        <v>0.46549423455</v>
      </c>
      <c r="GD70" s="3">
        <f>$H70*factors!FX$3</f>
        <v>0.47358564762499999</v>
      </c>
      <c r="GE70" s="3">
        <f>$H70*factors!FY$3</f>
        <v>0.47358564762499999</v>
      </c>
      <c r="GF70" s="3">
        <f>$H70*factors!FZ$3</f>
        <v>0.47215775120000003</v>
      </c>
      <c r="GG70" s="3">
        <f>$H70*factors!GA$3</f>
        <v>0.453595097675</v>
      </c>
      <c r="GH70" s="3">
        <f>$H70*factors!GB$3</f>
        <v>0.48262899165000006</v>
      </c>
      <c r="GI70" s="3">
        <f>$H70*factors!GC$3</f>
        <v>0.45264316672499999</v>
      </c>
      <c r="GJ70" s="3">
        <f>$H70*factors!GD$3</f>
        <v>0.453595097675</v>
      </c>
      <c r="GK70" s="3">
        <f>$H70*factors!GE$3</f>
        <v>0.46501826907499999</v>
      </c>
      <c r="GL70" s="3">
        <f>$H70*factors!GF$3</f>
        <v>0.49262426662500003</v>
      </c>
      <c r="GM70" s="3">
        <f>$H70*factors!GG$3</f>
        <v>0.46692213097500007</v>
      </c>
      <c r="GN70" s="3">
        <f>$H70*factors!GH$3</f>
        <v>0.48167706070000005</v>
      </c>
      <c r="GO70" s="3">
        <f>$H70*factors!GI$3</f>
        <v>0.45502299409999997</v>
      </c>
      <c r="GP70" s="3">
        <f>$H70*factors!GJ$3</f>
        <v>0.48786461187500002</v>
      </c>
      <c r="GQ70" s="3">
        <f>$H70*factors!GK$3</f>
        <v>0.49785988685000004</v>
      </c>
      <c r="GR70" s="3">
        <f>$H70*factors!GL$3</f>
        <v>0.48834057735000003</v>
      </c>
      <c r="GS70" s="3">
        <f>$H70*factors!GM$3</f>
        <v>0.46181978108300004</v>
      </c>
      <c r="GT70" s="3">
        <f>$H70*factors!GN$3</f>
        <v>0.47245856138020004</v>
      </c>
      <c r="GU70" s="3">
        <f>$H70*factors!GO$3</f>
        <v>0.48358092260000002</v>
      </c>
      <c r="GV70" s="3">
        <f>$H70*factors!GP$3</f>
        <v>0.46423768569600005</v>
      </c>
      <c r="GW70" s="3">
        <f>$H70*factors!GQ$3</f>
        <v>0.48067943706440003</v>
      </c>
      <c r="GX70" s="3">
        <f>$H70*factors!GR$3</f>
        <v>0.47294214230280002</v>
      </c>
      <c r="GY70" s="3">
        <f>$H70*factors!GS$3</f>
        <v>0.47052423768980006</v>
      </c>
      <c r="GZ70" s="3">
        <f>$H70*factors!GT$3</f>
        <v>0.48793315090339995</v>
      </c>
      <c r="HA70" s="3">
        <f>$H70*factors!GU$3</f>
        <v>0.4719749804576</v>
      </c>
      <c r="HB70" s="3">
        <f>$H70*factors!GV$3</f>
        <v>0.48793315090339995</v>
      </c>
      <c r="HC70" s="3">
        <f>$H70*factors!GW$3</f>
        <v>0.47584362783840001</v>
      </c>
      <c r="HD70" s="3">
        <f>$H70*factors!GX$3</f>
        <v>0.48986747459379998</v>
      </c>
      <c r="HE70" s="3">
        <f>$H70*factors!GY$3</f>
        <v>0.48358092260000002</v>
      </c>
      <c r="HF70" s="3">
        <f>$H70*factors!GZ$3</f>
        <v>0.4985719312006</v>
      </c>
      <c r="HG70" s="3">
        <f>$H70*factors!HA$3</f>
        <v>0.47922869429660003</v>
      </c>
      <c r="HH70" s="3">
        <f>$H70*factors!HB$3</f>
        <v>0.47294214230280002</v>
      </c>
      <c r="HI70" s="3">
        <f>$H70*factors!HC$3</f>
        <v>0.46713917123160004</v>
      </c>
      <c r="HJ70" s="3">
        <f>$H70*factors!HD$3</f>
        <v>0.46181978108300004</v>
      </c>
      <c r="HK70" s="3">
        <f>$H70*factors!HE$3</f>
        <v>0.48841673182599998</v>
      </c>
      <c r="HL70" s="3">
        <f>$H70*factors!HF$3</f>
        <v>0.46036903831519999</v>
      </c>
      <c r="HM70" s="3">
        <f>$H70*factors!HG$3</f>
        <v>0.46520484754120006</v>
      </c>
      <c r="HN70" s="3">
        <f>$H70*factors!HH$3</f>
        <v>0.49615402658760005</v>
      </c>
      <c r="HO70" s="3">
        <f>$H70*factors!HI$3</f>
        <v>0.47584362783840001</v>
      </c>
      <c r="HP70" s="3">
        <f>$H70*factors!HJ$3</f>
        <v>0.50775996873000007</v>
      </c>
      <c r="HQ70" s="3">
        <f>$H70*factors!HK$3</f>
        <v>0.46423768569600005</v>
      </c>
      <c r="HR70" s="3">
        <f>$H70*factors!HL$3</f>
        <v>0.4922853792068001</v>
      </c>
      <c r="HS70" s="3">
        <f>$H70*factors!HM$3</f>
        <v>0.50098983581360002</v>
      </c>
      <c r="HT70" s="3">
        <f>$H70*factors!HN$3</f>
        <v>0.46713917123160004</v>
      </c>
      <c r="HU70" s="3">
        <f>$H70*factors!HO$3</f>
        <v>0.4719749804576</v>
      </c>
      <c r="HV70" s="3">
        <f>$H70*factors!HP$3</f>
        <v>0.47777795152880004</v>
      </c>
      <c r="HW70" s="3">
        <f>$H70*factors!HQ$3</f>
        <v>0.48454808444520003</v>
      </c>
      <c r="HX70" s="3">
        <f>$H70*factors!HR$3</f>
        <v>0.50437490227179993</v>
      </c>
      <c r="HY70" s="3">
        <f>$H70*factors!HS$3</f>
        <v>0.47922869429660003</v>
      </c>
      <c r="HZ70" s="3">
        <f>$H70*factors!HT$3</f>
        <v>0.49760476935539999</v>
      </c>
      <c r="IA70" s="3">
        <f>$H70*factors!HU$3</f>
        <v>0.47342572322540005</v>
      </c>
      <c r="IB70" s="3">
        <f>$H70*factors!HV$3</f>
        <v>0.48986747459379998</v>
      </c>
      <c r="IC70" s="3">
        <f>$H70*factors!HW$3</f>
        <v>0.4947032838198</v>
      </c>
      <c r="ID70" s="3">
        <f>$H70*factors!HX$3</f>
        <v>0.45940187646999997</v>
      </c>
      <c r="IE70" s="3">
        <f>$H70*factors!HY$3</f>
        <v>0.48793315090339995</v>
      </c>
      <c r="IF70" s="3">
        <f>$H70*factors!HZ$3</f>
        <v>0.48503166536779996</v>
      </c>
      <c r="IG70" s="3">
        <f>$H70*factors!IA$3</f>
        <v>0.48067943706440003</v>
      </c>
      <c r="IH70" s="3">
        <f>$H70*factors!IB$3</f>
        <v>0.4985719312006</v>
      </c>
      <c r="II70" s="3">
        <f>$H70*factors!IC$3</f>
        <v>0.4772943706062</v>
      </c>
      <c r="IJ70" s="3">
        <f>$H70*factors!ID$3</f>
        <v>0.48164659890960004</v>
      </c>
      <c r="IK70" s="3">
        <f>$H70*factors!IE$3</f>
        <v>0.49905551212320004</v>
      </c>
      <c r="IL70" s="3">
        <f>$H70*factors!IF$3</f>
        <v>0.47777795152880004</v>
      </c>
      <c r="IM70" s="3">
        <f>$H70*factors!IG$3</f>
        <v>0.47342572322540005</v>
      </c>
      <c r="IN70" s="3">
        <f>$H70*factors!IH$3</f>
        <v>0.47632720876100004</v>
      </c>
      <c r="IO70" s="3">
        <f>$H70*factors!II$3</f>
        <v>0.48116301798700001</v>
      </c>
      <c r="IP70" s="3">
        <f>$H70*factors!IJ$3</f>
        <v>0.46520484754120006</v>
      </c>
      <c r="IQ70" s="3">
        <f>$H70*factors!IK$3</f>
        <v>0.46375410477340001</v>
      </c>
      <c r="IR70" s="3">
        <f>$H70*factors!IL$3</f>
        <v>0.4772943706062</v>
      </c>
      <c r="IS70" s="3">
        <f>$H70*factors!IM$3</f>
        <v>0.48116301798700001</v>
      </c>
      <c r="IT70" s="3">
        <f>$H70*factors!IN$3</f>
        <v>0.48454808444520003</v>
      </c>
      <c r="IU70" s="3">
        <f>$H70*factors!IO$3</f>
        <v>0.49518686474240003</v>
      </c>
      <c r="IV70" s="3">
        <f>$H70*factors!IP$3</f>
        <v>0.50147341673619994</v>
      </c>
      <c r="IW70" s="3">
        <f>$H70*factors!IQ$3</f>
        <v>0.47390930414799998</v>
      </c>
      <c r="IX70" s="3">
        <f>$H70*factors!IR$3</f>
        <v>0.49518686474240003</v>
      </c>
      <c r="IY70" s="3">
        <f>$H70*factors!IS$3</f>
        <v>0.48793315090339995</v>
      </c>
      <c r="IZ70" s="3">
        <f>$H70*factors!IT$3</f>
        <v>0.49615402658760005</v>
      </c>
      <c r="JA70" s="3">
        <f>$H70*factors!IU$3</f>
        <v>0.46858991399939998</v>
      </c>
      <c r="JB70" s="3">
        <f>$H70*factors!IV$3</f>
        <v>0.4772943706062</v>
      </c>
      <c r="JC70" s="3">
        <f>$H70*factors!IW$3</f>
        <v>0.46617200938640002</v>
      </c>
      <c r="JD70" s="3">
        <f>$H70*factors!IX$3</f>
        <v>0.50775996873000007</v>
      </c>
      <c r="JE70" s="3">
        <f>$H70*factors!IY$3</f>
        <v>0.46762275215420002</v>
      </c>
      <c r="JF70" s="3">
        <f>$H70*factors!IZ$3</f>
        <v>0.49083463643899994</v>
      </c>
      <c r="JG70" s="3">
        <f>$H70*factors!JA$3</f>
        <v>0.48213017983220002</v>
      </c>
      <c r="JH70" s="3">
        <f>$H70*factors!JB$3</f>
        <v>0.49131821736160008</v>
      </c>
      <c r="JI70" s="3">
        <f>$H70*factors!JC$3</f>
        <v>0.45988545739260001</v>
      </c>
      <c r="JJ70" s="3">
        <f>$H70*factors!JD$3</f>
        <v>0.49518686474240003</v>
      </c>
      <c r="JK70" s="3">
        <f>$H70*factors!JE$3</f>
        <v>0.47922869429660003</v>
      </c>
      <c r="JL70" s="3">
        <f>$H70*factors!JF$3</f>
        <v>0.4985719312006</v>
      </c>
      <c r="JM70" s="3">
        <f>$H70*factors!JG$3</f>
        <v>0.46520484754120006</v>
      </c>
      <c r="JN70" s="3">
        <f>$H70*factors!JH$3</f>
        <v>0.46520484754120006</v>
      </c>
      <c r="JO70" s="3">
        <f>$H70*factors!JI$3</f>
        <v>0.45940187646999997</v>
      </c>
      <c r="JP70" s="3">
        <f>$H70*factors!JJ$3</f>
        <v>0.49663760751020003</v>
      </c>
      <c r="JQ70" s="3">
        <f>$H70*factors!JK$3</f>
        <v>0.4840645035226</v>
      </c>
      <c r="JR70" s="3">
        <f>$H70*factors!JL$3</f>
        <v>0.50292415950400005</v>
      </c>
      <c r="JS70" s="3">
        <f>$H70*factors!JM$3</f>
        <v>0.45940187646999997</v>
      </c>
      <c r="JT70" s="3">
        <f>$H70*factors!JN$3</f>
        <v>0.48261376075480006</v>
      </c>
      <c r="JU70" s="3">
        <f>$H70*factors!JO$3</f>
        <v>0.466655590309</v>
      </c>
      <c r="JV70" s="3">
        <f>$H70*factors!JP$3</f>
        <v>0.47439288507060001</v>
      </c>
      <c r="JW70" s="3">
        <f>$H70*factors!JQ$3</f>
        <v>0.50679280688480011</v>
      </c>
      <c r="JX70" s="3">
        <f>$H70*factors!JR$3</f>
        <v>0.50195699765879997</v>
      </c>
      <c r="JY70" s="3">
        <f>$H70*factors!JS$3</f>
        <v>0.47245856138020004</v>
      </c>
      <c r="JZ70" s="3">
        <f>$H70*factors!JT$3</f>
        <v>0.47777795152880004</v>
      </c>
      <c r="KA70" s="3">
        <f>$H70*factors!JU$3</f>
        <v>0.47971227521920007</v>
      </c>
      <c r="KB70" s="3">
        <f>$H70*factors!JV$3</f>
        <v>0.46375410477340001</v>
      </c>
      <c r="KC70" s="3">
        <f>$H70*factors!JW$3</f>
        <v>0.46617200938640002</v>
      </c>
      <c r="KD70" s="3">
        <f>$H70*factors!JX$3</f>
        <v>0.466655590309</v>
      </c>
      <c r="KE70" s="3">
        <f>$H70*factors!JY$3</f>
        <v>0.49663760751020003</v>
      </c>
      <c r="KF70" s="3">
        <f>$H70*factors!JZ$3</f>
        <v>0.50244057858140001</v>
      </c>
      <c r="KG70" s="3">
        <f>$H70*factors!KA$3</f>
        <v>0.48454808444520003</v>
      </c>
      <c r="KH70" s="3">
        <f>$H70*factors!KB$3</f>
        <v>0.47390930414799998</v>
      </c>
      <c r="KI70" s="3">
        <f>$H70*factors!KC$3</f>
        <v>0.46955707584459999</v>
      </c>
    </row>
    <row r="71" spans="1:295" x14ac:dyDescent="0.55000000000000004">
      <c r="A71" t="s">
        <v>447</v>
      </c>
      <c r="B71">
        <v>70</v>
      </c>
      <c r="C71">
        <v>230</v>
      </c>
      <c r="D71" t="s">
        <v>377</v>
      </c>
      <c r="E71">
        <v>4.6909999999999999E-3</v>
      </c>
      <c r="F71">
        <v>70</v>
      </c>
      <c r="G71">
        <f>VLOOKUP(D71,demand_forecasted!$A$2:$G$11,2)</f>
        <v>11098</v>
      </c>
      <c r="H71" s="3">
        <f t="shared" si="1"/>
        <v>0.52060718000000006</v>
      </c>
      <c r="I71" s="3">
        <f>$H71*factors!C$3</f>
        <v>0.5763121482600001</v>
      </c>
      <c r="J71" s="3">
        <f>$H71*factors!D$3</f>
        <v>0.5555086853472001</v>
      </c>
      <c r="K71" s="3">
        <f>$H71*factors!E$3</f>
        <v>0.54595033752240008</v>
      </c>
      <c r="L71" s="3">
        <f>$H71*factors!F$3</f>
        <v>0.54426357025920014</v>
      </c>
      <c r="M71" s="3">
        <f>$H71*factors!G$3</f>
        <v>0.54370131450480008</v>
      </c>
      <c r="N71" s="3">
        <f>$H71*factors!H$3</f>
        <v>0.55944447562800004</v>
      </c>
      <c r="O71" s="3">
        <f>$H71*factors!I$3</f>
        <v>0.57181410222480011</v>
      </c>
      <c r="P71" s="3">
        <f>$H71*factors!J$3</f>
        <v>0.57856117127760009</v>
      </c>
      <c r="Q71" s="3">
        <f>$H71*factors!K$3</f>
        <v>0.54313905875040003</v>
      </c>
      <c r="R71" s="3">
        <f>$H71*factors!L$3</f>
        <v>0.53414296668000005</v>
      </c>
      <c r="S71" s="3">
        <f>$H71*factors!M$3</f>
        <v>0.55607094110160005</v>
      </c>
      <c r="T71" s="3">
        <f>$H71*factors!N$3</f>
        <v>0.5751876367512001</v>
      </c>
      <c r="U71" s="3">
        <f>$H71*factors!O$3</f>
        <v>0.54482582601360008</v>
      </c>
      <c r="V71" s="3">
        <f>$H71*factors!P$3</f>
        <v>0.56675380043520007</v>
      </c>
      <c r="W71" s="3">
        <f>$H71*factors!Q$3</f>
        <v>0.57181410222480011</v>
      </c>
      <c r="X71" s="3">
        <f>$H71*factors!R$3</f>
        <v>0.54707484903120007</v>
      </c>
      <c r="Y71" s="3">
        <f>$H71*factors!S$3</f>
        <v>0.54201454724160003</v>
      </c>
      <c r="Z71" s="3">
        <f>$H71*factors!T$3</f>
        <v>0.58474598457600013</v>
      </c>
      <c r="AA71" s="3">
        <f>$H71*factors!U$3</f>
        <v>0.5521351508208</v>
      </c>
      <c r="AB71" s="3">
        <f>$H71*factors!V$3</f>
        <v>0.55269740657520017</v>
      </c>
      <c r="AC71" s="3">
        <f>$H71*factors!W$3</f>
        <v>0.55325966232960011</v>
      </c>
      <c r="AD71" s="3">
        <f>$H71*factors!X$3</f>
        <v>0.54145229148720009</v>
      </c>
      <c r="AE71" s="3">
        <f>$H71*factors!Y$3</f>
        <v>0.54595033752240008</v>
      </c>
      <c r="AF71" s="3">
        <f>$H71*factors!Z$3</f>
        <v>0.55719545261040015</v>
      </c>
      <c r="AG71" s="3">
        <f>$H71*factors!AA$3</f>
        <v>0.54313905875040003</v>
      </c>
      <c r="AH71" s="3">
        <f>$H71*factors!AB$3</f>
        <v>0.54089003573280015</v>
      </c>
      <c r="AI71" s="3">
        <f>$H71*factors!AC$3</f>
        <v>0.55831996411920004</v>
      </c>
      <c r="AJ71" s="3">
        <f>$H71*factors!AD$3</f>
        <v>0.57968568278640009</v>
      </c>
      <c r="AK71" s="3">
        <f>$H71*factors!AE$3</f>
        <v>0.5577577083648001</v>
      </c>
      <c r="AL71" s="3">
        <f>$H71*factors!AF$3</f>
        <v>0.53582973394319999</v>
      </c>
      <c r="AM71" s="3">
        <f>$H71*factors!AG$3</f>
        <v>0.55101063931200012</v>
      </c>
      <c r="AN71" s="3">
        <f>$H71*factors!AH$3</f>
        <v>0.54201454724160003</v>
      </c>
      <c r="AO71" s="3">
        <f>$H71*factors!AI$3</f>
        <v>0.56787831194400007</v>
      </c>
      <c r="AP71" s="3">
        <f>$H71*factors!AJ$3</f>
        <v>0.54426357025920014</v>
      </c>
      <c r="AQ71" s="3">
        <f>$H71*factors!AK$3</f>
        <v>0.56169349864560014</v>
      </c>
      <c r="AR71" s="3">
        <f>$H71*factors!AL$3</f>
        <v>0.54932387204880007</v>
      </c>
      <c r="AS71" s="3">
        <f>$H71*factors!AM$3</f>
        <v>0.53582973394319999</v>
      </c>
      <c r="AT71" s="3">
        <f>$H71*factors!AN$3</f>
        <v>0.55269740657520017</v>
      </c>
      <c r="AU71" s="3">
        <f>$H71*factors!AO$3</f>
        <v>0.58530824033040008</v>
      </c>
      <c r="AV71" s="3">
        <f>$H71*factors!AP$3</f>
        <v>0.55325966232960011</v>
      </c>
      <c r="AW71" s="3">
        <f>$H71*factors!AQ$3</f>
        <v>0.54763710478560002</v>
      </c>
      <c r="AX71" s="3">
        <f>$H71*factors!AR$3</f>
        <v>0.57912342703200015</v>
      </c>
      <c r="AY71" s="3">
        <f>$H71*factors!AS$3</f>
        <v>0.53414296668000005</v>
      </c>
      <c r="AZ71" s="3">
        <f>$H71*factors!AT$3</f>
        <v>0.57237635797920017</v>
      </c>
      <c r="BA71" s="3">
        <f>$H71*factors!AU$3</f>
        <v>0.56000673138240009</v>
      </c>
      <c r="BB71" s="3">
        <f>$H71*factors!AV$3</f>
        <v>0.55269740657520017</v>
      </c>
      <c r="BC71" s="3">
        <f>$H71*factors!AW$3</f>
        <v>0.58474598457600013</v>
      </c>
      <c r="BD71" s="3">
        <f>$H71*factors!AX$3</f>
        <v>0.53976552422400004</v>
      </c>
      <c r="BE71" s="3">
        <f>$H71*factors!AY$3</f>
        <v>0.63458891598919998</v>
      </c>
      <c r="BF71" s="3">
        <f>$H71*factors!AZ$3</f>
        <v>0.59097244644880009</v>
      </c>
      <c r="BG71" s="3">
        <f>$H71*factors!BA$3</f>
        <v>0.59957287706239992</v>
      </c>
      <c r="BH71" s="3">
        <f>$H71*factors!BB$3</f>
        <v>0.60755899120360002</v>
      </c>
      <c r="BI71" s="3">
        <f>$H71*factors!BC$3</f>
        <v>0.62967438420999999</v>
      </c>
      <c r="BJ71" s="3">
        <f>$H71*factors!BD$3</f>
        <v>0.60141582647960001</v>
      </c>
      <c r="BK71" s="3">
        <f>$H71*factors!BE$3</f>
        <v>0.60264445942439993</v>
      </c>
      <c r="BL71" s="3">
        <f>$H71*factors!BF$3</f>
        <v>0.59588697822799996</v>
      </c>
      <c r="BM71" s="3">
        <f>$H71*factors!BG$3</f>
        <v>0.63643186540640007</v>
      </c>
      <c r="BN71" s="3">
        <f>$H71*factors!BH$3</f>
        <v>0.62844575126519997</v>
      </c>
      <c r="BO71" s="3">
        <f>$H71*factors!BI$3</f>
        <v>0.59097244644880009</v>
      </c>
      <c r="BP71" s="3">
        <f>$H71*factors!BJ$3</f>
        <v>0.5891294970316</v>
      </c>
      <c r="BQ71" s="3">
        <f>$H71*factors!BK$3</f>
        <v>0.59895856058999997</v>
      </c>
      <c r="BR71" s="3">
        <f>$H71*factors!BL$3</f>
        <v>0.6204596371240001</v>
      </c>
      <c r="BS71" s="3">
        <f>$H71*factors!BM$3</f>
        <v>0.63028870068240006</v>
      </c>
      <c r="BT71" s="3">
        <f>$H71*factors!BN$3</f>
        <v>0.63213165009960004</v>
      </c>
      <c r="BU71" s="3">
        <f>$H71*factors!BO$3</f>
        <v>0.64257503013040007</v>
      </c>
      <c r="BV71" s="3">
        <f>$H71*factors!BP$3</f>
        <v>0.59772992764520005</v>
      </c>
      <c r="BW71" s="3">
        <f>$H71*factors!BQ$3</f>
        <v>0.61124489003799998</v>
      </c>
      <c r="BX71" s="3">
        <f>$H71*factors!BR$3</f>
        <v>0.59957287706239992</v>
      </c>
      <c r="BY71" s="3">
        <f>$H71*factors!BS$3</f>
        <v>0.62721711832039995</v>
      </c>
      <c r="BZ71" s="3">
        <f>$H71*factors!BT$3</f>
        <v>0.6155451053448</v>
      </c>
      <c r="CA71" s="3">
        <f>$H71*factors!BU$3</f>
        <v>0.60755899120360002</v>
      </c>
      <c r="CB71" s="3">
        <f>$H71*factors!BV$3</f>
        <v>0.58790086408679998</v>
      </c>
      <c r="CC71" s="3">
        <f>$H71*factors!BW$3</f>
        <v>0.60510172531399997</v>
      </c>
      <c r="CD71" s="3">
        <f>$H71*factors!BX$3</f>
        <v>0.60694467473120006</v>
      </c>
      <c r="CE71" s="3">
        <f>$H71*factors!BY$3</f>
        <v>0.6155451053448</v>
      </c>
      <c r="CF71" s="3">
        <f>$H71*factors!BZ$3</f>
        <v>0.60633035825880011</v>
      </c>
      <c r="CG71" s="3">
        <f>$H71*factors!CA$3</f>
        <v>0.5860579146696</v>
      </c>
      <c r="CH71" s="3">
        <f>$H71*factors!CB$3</f>
        <v>0.58667223114199996</v>
      </c>
      <c r="CI71" s="3">
        <f>$H71*factors!CC$3</f>
        <v>0.58360064878000006</v>
      </c>
      <c r="CJ71" s="3">
        <f>$H71*factors!CD$3</f>
        <v>0.60755899120360002</v>
      </c>
      <c r="CK71" s="3">
        <f>$H71*factors!CE$3</f>
        <v>0.63458891598919998</v>
      </c>
      <c r="CL71" s="3">
        <f>$H71*factors!CF$3</f>
        <v>0.59465834528320005</v>
      </c>
      <c r="CM71" s="3">
        <f>$H71*factors!CG$3</f>
        <v>0.60878762414840004</v>
      </c>
      <c r="CN71" s="3">
        <f>$H71*factors!CH$3</f>
        <v>0.58851518055920005</v>
      </c>
      <c r="CO71" s="3">
        <f>$H71*factors!CI$3</f>
        <v>0.59281539586599996</v>
      </c>
      <c r="CP71" s="3">
        <f>$H71*factors!CJ$3</f>
        <v>0.62107395359639994</v>
      </c>
      <c r="CQ71" s="3">
        <f>$H71*factors!CK$3</f>
        <v>0.60264445942439993</v>
      </c>
      <c r="CR71" s="3">
        <f>$H71*factors!CL$3</f>
        <v>0.62168827006880001</v>
      </c>
      <c r="CS71" s="3">
        <f>$H71*factors!CM$3</f>
        <v>0.64134639718560005</v>
      </c>
      <c r="CT71" s="3">
        <f>$H71*factors!CN$3</f>
        <v>0.63397459951680002</v>
      </c>
      <c r="CU71" s="3">
        <f>$H71*factors!CO$3</f>
        <v>0.61984532065159992</v>
      </c>
      <c r="CV71" s="3">
        <f>$H71*factors!CP$3</f>
        <v>0.64503229602000001</v>
      </c>
      <c r="CW71" s="3">
        <f>$H71*factors!CQ$3</f>
        <v>0.61001625709320006</v>
      </c>
      <c r="CX71" s="3">
        <f>$H71*factors!CR$3</f>
        <v>0.60080151000720006</v>
      </c>
      <c r="CY71" s="3">
        <f>$H71*factors!CS$3</f>
        <v>0.59527266175560001</v>
      </c>
      <c r="CZ71" s="3">
        <f>$H71*factors!CT$3</f>
        <v>0.58667223114199996</v>
      </c>
      <c r="DA71" s="3">
        <f>$H71*factors!CU$3</f>
        <v>0.60911040059999999</v>
      </c>
      <c r="DB71" s="3">
        <f>$H71*factors!CV$3</f>
        <v>0.6484683034080001</v>
      </c>
      <c r="DC71" s="3">
        <f>$H71*factors!CW$3</f>
        <v>0.62098024430400001</v>
      </c>
      <c r="DD71" s="3">
        <f>$H71*factors!CX$3</f>
        <v>0.61660714399200001</v>
      </c>
      <c r="DE71" s="3">
        <f>$H71*factors!CY$3</f>
        <v>0.63472427385600005</v>
      </c>
      <c r="DF71" s="3">
        <f>$H71*factors!CZ$3</f>
        <v>0.63347481662399996</v>
      </c>
      <c r="DG71" s="3">
        <f>$H71*factors!DA$3</f>
        <v>0.6309759021600001</v>
      </c>
      <c r="DH71" s="3">
        <f>$H71*factors!DB$3</f>
        <v>0.6309759021600001</v>
      </c>
      <c r="DI71" s="3">
        <f>$H71*factors!DC$3</f>
        <v>0.60723621475199996</v>
      </c>
      <c r="DJ71" s="3">
        <f>$H71*factors!DD$3</f>
        <v>0.64347047448000005</v>
      </c>
      <c r="DK71" s="3">
        <f>$H71*factors!DE$3</f>
        <v>0.64347047448000005</v>
      </c>
      <c r="DL71" s="3">
        <f>$H71*factors!DF$3</f>
        <v>0.63597373108800004</v>
      </c>
      <c r="DM71" s="3">
        <f>$H71*factors!DG$3</f>
        <v>0.59911474274400001</v>
      </c>
      <c r="DN71" s="3">
        <f>$H71*factors!DH$3</f>
        <v>0.62847698769600013</v>
      </c>
      <c r="DO71" s="3">
        <f>$H71*factors!DI$3</f>
        <v>0.64909303202400004</v>
      </c>
      <c r="DP71" s="3">
        <f>$H71*factors!DJ$3</f>
        <v>0.64347047448000005</v>
      </c>
      <c r="DQ71" s="3">
        <f>$H71*factors!DK$3</f>
        <v>0.61348350091199999</v>
      </c>
      <c r="DR71" s="3">
        <f>$H71*factors!DL$3</f>
        <v>0.60661148613600002</v>
      </c>
      <c r="DS71" s="3">
        <f>$H71*factors!DM$3</f>
        <v>0.65534031818400007</v>
      </c>
      <c r="DT71" s="3">
        <f>$H71*factors!DN$3</f>
        <v>0.61598241537600007</v>
      </c>
      <c r="DU71" s="3">
        <f>$H71*factors!DO$3</f>
        <v>0.64471993171200004</v>
      </c>
      <c r="DV71" s="3">
        <f>$H71*factors!DP$3</f>
        <v>0.62972644492800012</v>
      </c>
      <c r="DW71" s="3">
        <f>$H71*factors!DQ$3</f>
        <v>0.60098892859200004</v>
      </c>
      <c r="DX71" s="3">
        <f>$H71*factors!DR$3</f>
        <v>0.63659845970399997</v>
      </c>
      <c r="DY71" s="3">
        <f>$H71*factors!DS$3</f>
        <v>0.60411257167200005</v>
      </c>
      <c r="DZ71" s="3">
        <f>$H71*factors!DT$3</f>
        <v>0.64596938894400002</v>
      </c>
      <c r="EA71" s="3">
        <f>$H71*factors!DU$3</f>
        <v>0.60848567198399994</v>
      </c>
      <c r="EB71" s="3">
        <f>$H71*factors!DV$3</f>
        <v>0.59349218520000002</v>
      </c>
      <c r="EC71" s="3">
        <f>$H71*factors!DW$3</f>
        <v>0.63847264555200001</v>
      </c>
      <c r="ED71" s="3">
        <f>$H71*factors!DX$3</f>
        <v>0.59911474274400001</v>
      </c>
      <c r="EE71" s="3">
        <f>$H71*factors!DY$3</f>
        <v>0.60411257167200005</v>
      </c>
      <c r="EF71" s="3">
        <f>$H71*factors!DZ$3</f>
        <v>0.65534031818400007</v>
      </c>
      <c r="EG71" s="3">
        <f>$H71*factors!EA$3</f>
        <v>0.61223404368000001</v>
      </c>
      <c r="EH71" s="3">
        <f>$H71*factors!EB$3</f>
        <v>0.61410822952800004</v>
      </c>
      <c r="EI71" s="3">
        <f>$H71*factors!EC$3</f>
        <v>0.61285877229600005</v>
      </c>
      <c r="EJ71" s="3">
        <f>$H71*factors!ED$3</f>
        <v>0.59724055689600009</v>
      </c>
      <c r="EK71" s="3">
        <f>$H71*factors!EE$3</f>
        <v>0.63847264555200001</v>
      </c>
      <c r="EL71" s="3">
        <f>$H71*factors!EF$3</f>
        <v>0.60723621475199996</v>
      </c>
      <c r="EM71" s="3">
        <f>$H71*factors!EG$3</f>
        <v>0.63160063077600004</v>
      </c>
      <c r="EN71" s="3">
        <f>$H71*factors!EH$3</f>
        <v>0.59349218520000002</v>
      </c>
      <c r="EO71" s="3">
        <f>$H71*factors!EI$3</f>
        <v>0.60223838582400002</v>
      </c>
      <c r="EP71" s="3">
        <f>$H71*factors!EJ$3</f>
        <v>0.63534900247199999</v>
      </c>
      <c r="EQ71" s="3">
        <f>$H71*factors!EK$3</f>
        <v>0.61785660122399999</v>
      </c>
      <c r="ER71" s="3">
        <f>$H71*factors!EL$3</f>
        <v>0.64347047448000005</v>
      </c>
      <c r="ES71" s="3">
        <f>$H71*factors!EM$3</f>
        <v>0.63534900247199999</v>
      </c>
      <c r="ET71" s="3">
        <f>$H71*factors!EN$3</f>
        <v>0.64971776064000009</v>
      </c>
      <c r="EU71" s="3">
        <f>$H71*factors!EO$3</f>
        <v>0.65596504680000012</v>
      </c>
      <c r="EV71" s="3">
        <f>$H71*factors!EP$3</f>
        <v>0.61473295814399997</v>
      </c>
      <c r="EW71" s="3">
        <f>$H71*factors!EQ$3</f>
        <v>0.67613857502499997</v>
      </c>
      <c r="EX71" s="3">
        <f>$H71*factors!ER$3</f>
        <v>0.6689802263000002</v>
      </c>
      <c r="EY71" s="3">
        <f>$H71*factors!ES$3</f>
        <v>0.68264616477499995</v>
      </c>
      <c r="EZ71" s="3">
        <f>$H71*factors!ET$3</f>
        <v>0.67613857502499997</v>
      </c>
      <c r="FA71" s="3">
        <f>$H71*factors!EU$3</f>
        <v>0.62147482112499997</v>
      </c>
      <c r="FB71" s="3">
        <f>$H71*factors!EV$3</f>
        <v>0.64945745705000013</v>
      </c>
      <c r="FC71" s="3">
        <f>$H71*factors!EW$3</f>
        <v>0.66767870835000009</v>
      </c>
      <c r="FD71" s="3">
        <f>$H71*factors!EX$3</f>
        <v>0.64425138525000014</v>
      </c>
      <c r="FE71" s="3">
        <f>$H71*factors!EY$3</f>
        <v>0.67874161092500007</v>
      </c>
      <c r="FF71" s="3">
        <f>$H71*factors!EZ$3</f>
        <v>0.67939236990000018</v>
      </c>
      <c r="FG71" s="3">
        <f>$H71*factors!FA$3</f>
        <v>0.62147482112499997</v>
      </c>
      <c r="FH71" s="3">
        <f>$H71*factors!FB$3</f>
        <v>0.65401276987500001</v>
      </c>
      <c r="FI71" s="3">
        <f>$H71*factors!FC$3</f>
        <v>0.68134464682499996</v>
      </c>
      <c r="FJ71" s="3">
        <f>$H71*factors!FD$3</f>
        <v>0.65401276987500001</v>
      </c>
      <c r="FK71" s="3">
        <f>$H71*factors!FE$3</f>
        <v>0.6650756724500001</v>
      </c>
      <c r="FL71" s="3">
        <f>$H71*factors!FF$3</f>
        <v>0.6670279493750001</v>
      </c>
      <c r="FM71" s="3">
        <f>$H71*factors!FG$3</f>
        <v>0.67418629810000008</v>
      </c>
      <c r="FN71" s="3">
        <f>$H71*factors!FH$3</f>
        <v>0.63058544677500006</v>
      </c>
      <c r="FO71" s="3">
        <f>$H71*factors!FI$3</f>
        <v>0.66963098527499998</v>
      </c>
      <c r="FP71" s="3">
        <f>$H71*factors!FJ$3</f>
        <v>0.65075897500000002</v>
      </c>
      <c r="FQ71" s="3">
        <f>$H71*factors!FK$3</f>
        <v>0.64425138525000014</v>
      </c>
      <c r="FR71" s="3">
        <f>$H71*factors!FL$3</f>
        <v>0.65726656475</v>
      </c>
      <c r="FS71" s="3">
        <f>$H71*factors!FM$3</f>
        <v>0.65336201090000001</v>
      </c>
      <c r="FT71" s="3">
        <f>$H71*factors!FN$3</f>
        <v>0.66767870835000009</v>
      </c>
      <c r="FU71" s="3">
        <f>$H71*factors!FO$3</f>
        <v>0.64164834935000004</v>
      </c>
      <c r="FV71" s="3">
        <f>$H71*factors!FP$3</f>
        <v>0.63644227755000005</v>
      </c>
      <c r="FW71" s="3">
        <f>$H71*factors!FQ$3</f>
        <v>0.68134464682499996</v>
      </c>
      <c r="FX71" s="3">
        <f>$H71*factors!FR$3</f>
        <v>0.6689802263000002</v>
      </c>
      <c r="FY71" s="3">
        <f>$H71*factors!FS$3</f>
        <v>0.65531428782500001</v>
      </c>
      <c r="FZ71" s="3">
        <f>$H71*factors!FT$3</f>
        <v>0.62277633907500007</v>
      </c>
      <c r="GA71" s="3">
        <f>$H71*factors!FU$3</f>
        <v>0.65531428782500001</v>
      </c>
      <c r="GB71" s="3">
        <f>$H71*factors!FV$3</f>
        <v>0.67939236990000018</v>
      </c>
      <c r="GC71" s="3">
        <f>$H71*factors!FW$3</f>
        <v>0.63644227755000005</v>
      </c>
      <c r="GD71" s="3">
        <f>$H71*factors!FX$3</f>
        <v>0.64750518012500002</v>
      </c>
      <c r="GE71" s="3">
        <f>$H71*factors!FY$3</f>
        <v>0.64750518012500002</v>
      </c>
      <c r="GF71" s="3">
        <f>$H71*factors!FZ$3</f>
        <v>0.64555290320000003</v>
      </c>
      <c r="GG71" s="3">
        <f>$H71*factors!GA$3</f>
        <v>0.62017330317500008</v>
      </c>
      <c r="GH71" s="3">
        <f>$H71*factors!GB$3</f>
        <v>0.65986960065000011</v>
      </c>
      <c r="GI71" s="3">
        <f>$H71*factors!GC$3</f>
        <v>0.61887178522500008</v>
      </c>
      <c r="GJ71" s="3">
        <f>$H71*factors!GD$3</f>
        <v>0.62017330317500008</v>
      </c>
      <c r="GK71" s="3">
        <f>$H71*factors!GE$3</f>
        <v>0.63579151857500005</v>
      </c>
      <c r="GL71" s="3">
        <f>$H71*factors!GF$3</f>
        <v>0.67353553912500008</v>
      </c>
      <c r="GM71" s="3">
        <f>$H71*factors!GG$3</f>
        <v>0.63839455447500015</v>
      </c>
      <c r="GN71" s="3">
        <f>$H71*factors!GH$3</f>
        <v>0.65856808270000011</v>
      </c>
      <c r="GO71" s="3">
        <f>$H71*factors!GI$3</f>
        <v>0.62212558009999996</v>
      </c>
      <c r="GP71" s="3">
        <f>$H71*factors!GJ$3</f>
        <v>0.6670279493750001</v>
      </c>
      <c r="GQ71" s="3">
        <f>$H71*factors!GK$3</f>
        <v>0.68069388785000018</v>
      </c>
      <c r="GR71" s="3">
        <f>$H71*factors!GL$3</f>
        <v>0.66767870835000009</v>
      </c>
      <c r="GS71" s="3">
        <f>$H71*factors!GM$3</f>
        <v>0.63141841826300005</v>
      </c>
      <c r="GT71" s="3">
        <f>$H71*factors!GN$3</f>
        <v>0.64596418287220014</v>
      </c>
      <c r="GU71" s="3">
        <f>$H71*factors!GO$3</f>
        <v>0.66117111860000011</v>
      </c>
      <c r="GV71" s="3">
        <f>$H71*factors!GP$3</f>
        <v>0.63472427385600005</v>
      </c>
      <c r="GW71" s="3">
        <f>$H71*factors!GQ$3</f>
        <v>0.65720409188840012</v>
      </c>
      <c r="GX71" s="3">
        <f>$H71*factors!GR$3</f>
        <v>0.64662535399080001</v>
      </c>
      <c r="GY71" s="3">
        <f>$H71*factors!GS$3</f>
        <v>0.64331949839780012</v>
      </c>
      <c r="GZ71" s="3">
        <f>$H71*factors!GT$3</f>
        <v>0.66712165866740003</v>
      </c>
      <c r="HA71" s="3">
        <f>$H71*factors!GU$3</f>
        <v>0.64530301175360005</v>
      </c>
      <c r="HB71" s="3">
        <f>$H71*factors!GV$3</f>
        <v>0.66712165866740003</v>
      </c>
      <c r="HC71" s="3">
        <f>$H71*factors!GW$3</f>
        <v>0.6505923807024</v>
      </c>
      <c r="HD71" s="3">
        <f>$H71*factors!GX$3</f>
        <v>0.66976634314179995</v>
      </c>
      <c r="HE71" s="3">
        <f>$H71*factors!GY$3</f>
        <v>0.66117111860000011</v>
      </c>
      <c r="HF71" s="3">
        <f>$H71*factors!GZ$3</f>
        <v>0.68166742327660002</v>
      </c>
      <c r="HG71" s="3">
        <f>$H71*factors!HA$3</f>
        <v>0.65522057853260007</v>
      </c>
      <c r="HH71" s="3">
        <f>$H71*factors!HB$3</f>
        <v>0.64662535399080001</v>
      </c>
      <c r="HI71" s="3">
        <f>$H71*factors!HC$3</f>
        <v>0.63869130056760004</v>
      </c>
      <c r="HJ71" s="3">
        <f>$H71*factors!HD$3</f>
        <v>0.63141841826300005</v>
      </c>
      <c r="HK71" s="3">
        <f>$H71*factors!HE$3</f>
        <v>0.66778282978600001</v>
      </c>
      <c r="HL71" s="3">
        <f>$H71*factors!HF$3</f>
        <v>0.6294349049072</v>
      </c>
      <c r="HM71" s="3">
        <f>$H71*factors!HG$3</f>
        <v>0.63604661609320012</v>
      </c>
      <c r="HN71" s="3">
        <f>$H71*factors!HH$3</f>
        <v>0.67836156768360012</v>
      </c>
      <c r="HO71" s="3">
        <f>$H71*factors!HI$3</f>
        <v>0.6505923807024</v>
      </c>
      <c r="HP71" s="3">
        <f>$H71*factors!HJ$3</f>
        <v>0.69422967453000017</v>
      </c>
      <c r="HQ71" s="3">
        <f>$H71*factors!HK$3</f>
        <v>0.63472427385600005</v>
      </c>
      <c r="HR71" s="3">
        <f>$H71*factors!HL$3</f>
        <v>0.67307219873480018</v>
      </c>
      <c r="HS71" s="3">
        <f>$H71*factors!HM$3</f>
        <v>0.68497327886960002</v>
      </c>
      <c r="HT71" s="3">
        <f>$H71*factors!HN$3</f>
        <v>0.63869130056760004</v>
      </c>
      <c r="HU71" s="3">
        <f>$H71*factors!HO$3</f>
        <v>0.64530301175360005</v>
      </c>
      <c r="HV71" s="3">
        <f>$H71*factors!HP$3</f>
        <v>0.65323706517680014</v>
      </c>
      <c r="HW71" s="3">
        <f>$H71*factors!HQ$3</f>
        <v>0.66249346083720007</v>
      </c>
      <c r="HX71" s="3">
        <f>$H71*factors!HR$3</f>
        <v>0.68960147669979999</v>
      </c>
      <c r="HY71" s="3">
        <f>$H71*factors!HS$3</f>
        <v>0.65522057853260007</v>
      </c>
      <c r="HZ71" s="3">
        <f>$H71*factors!HT$3</f>
        <v>0.68034508103940006</v>
      </c>
      <c r="IA71" s="3">
        <f>$H71*factors!HU$3</f>
        <v>0.6472865251094001</v>
      </c>
      <c r="IB71" s="3">
        <f>$H71*factors!HV$3</f>
        <v>0.66976634314179995</v>
      </c>
      <c r="IC71" s="3">
        <f>$H71*factors!HW$3</f>
        <v>0.67637805432780007</v>
      </c>
      <c r="ID71" s="3">
        <f>$H71*factors!HX$3</f>
        <v>0.62811256267000004</v>
      </c>
      <c r="IE71" s="3">
        <f>$H71*factors!HY$3</f>
        <v>0.66712165866740003</v>
      </c>
      <c r="IF71" s="3">
        <f>$H71*factors!HZ$3</f>
        <v>0.66315463195580004</v>
      </c>
      <c r="IG71" s="3">
        <f>$H71*factors!IA$3</f>
        <v>0.65720409188840012</v>
      </c>
      <c r="IH71" s="3">
        <f>$H71*factors!IB$3</f>
        <v>0.68166742327660002</v>
      </c>
      <c r="II71" s="3">
        <f>$H71*factors!IC$3</f>
        <v>0.65257589405820005</v>
      </c>
      <c r="IJ71" s="3">
        <f>$H71*factors!ID$3</f>
        <v>0.65852643412560008</v>
      </c>
      <c r="IK71" s="3">
        <f>$H71*factors!IE$3</f>
        <v>0.68232859439520011</v>
      </c>
      <c r="IL71" s="3">
        <f>$H71*factors!IF$3</f>
        <v>0.65323706517680014</v>
      </c>
      <c r="IM71" s="3">
        <f>$H71*factors!IG$3</f>
        <v>0.6472865251094001</v>
      </c>
      <c r="IN71" s="3">
        <f>$H71*factors!IH$3</f>
        <v>0.65125355182100009</v>
      </c>
      <c r="IO71" s="3">
        <f>$H71*factors!II$3</f>
        <v>0.65786526300699999</v>
      </c>
      <c r="IP71" s="3">
        <f>$H71*factors!IJ$3</f>
        <v>0.63604661609320012</v>
      </c>
      <c r="IQ71" s="3">
        <f>$H71*factors!IK$3</f>
        <v>0.63406310273740007</v>
      </c>
      <c r="IR71" s="3">
        <f>$H71*factors!IL$3</f>
        <v>0.65257589405820005</v>
      </c>
      <c r="IS71" s="3">
        <f>$H71*factors!IM$3</f>
        <v>0.65786526300699999</v>
      </c>
      <c r="IT71" s="3">
        <f>$H71*factors!IN$3</f>
        <v>0.66249346083720007</v>
      </c>
      <c r="IU71" s="3">
        <f>$H71*factors!IO$3</f>
        <v>0.67703922544640016</v>
      </c>
      <c r="IV71" s="3">
        <f>$H71*factors!IP$3</f>
        <v>0.6856344499882</v>
      </c>
      <c r="IW71" s="3">
        <f>$H71*factors!IQ$3</f>
        <v>0.64794769622800008</v>
      </c>
      <c r="IX71" s="3">
        <f>$H71*factors!IR$3</f>
        <v>0.67703922544640016</v>
      </c>
      <c r="IY71" s="3">
        <f>$H71*factors!IS$3</f>
        <v>0.66712165866740003</v>
      </c>
      <c r="IZ71" s="3">
        <f>$H71*factors!IT$3</f>
        <v>0.67836156768360012</v>
      </c>
      <c r="JA71" s="3">
        <f>$H71*factors!IU$3</f>
        <v>0.64067481392339998</v>
      </c>
      <c r="JB71" s="3">
        <f>$H71*factors!IV$3</f>
        <v>0.65257589405820005</v>
      </c>
      <c r="JC71" s="3">
        <f>$H71*factors!IW$3</f>
        <v>0.63736895833040008</v>
      </c>
      <c r="JD71" s="3">
        <f>$H71*factors!IX$3</f>
        <v>0.69422967453000017</v>
      </c>
      <c r="JE71" s="3">
        <f>$H71*factors!IY$3</f>
        <v>0.63935247168620002</v>
      </c>
      <c r="JF71" s="3">
        <f>$H71*factors!IZ$3</f>
        <v>0.67108868537900002</v>
      </c>
      <c r="JG71" s="3">
        <f>$H71*factors!JA$3</f>
        <v>0.65918760524420006</v>
      </c>
      <c r="JH71" s="3">
        <f>$H71*factors!JB$3</f>
        <v>0.67174985649760011</v>
      </c>
      <c r="JI71" s="3">
        <f>$H71*factors!JC$3</f>
        <v>0.62877373378860013</v>
      </c>
      <c r="JJ71" s="3">
        <f>$H71*factors!JD$3</f>
        <v>0.67703922544640016</v>
      </c>
      <c r="JK71" s="3">
        <f>$H71*factors!JE$3</f>
        <v>0.65522057853260007</v>
      </c>
      <c r="JL71" s="3">
        <f>$H71*factors!JF$3</f>
        <v>0.68166742327660002</v>
      </c>
      <c r="JM71" s="3">
        <f>$H71*factors!JG$3</f>
        <v>0.63604661609320012</v>
      </c>
      <c r="JN71" s="3">
        <f>$H71*factors!JH$3</f>
        <v>0.63604661609320012</v>
      </c>
      <c r="JO71" s="3">
        <f>$H71*factors!JI$3</f>
        <v>0.62811256267000004</v>
      </c>
      <c r="JP71" s="3">
        <f>$H71*factors!JJ$3</f>
        <v>0.6790227388022001</v>
      </c>
      <c r="JQ71" s="3">
        <f>$H71*factors!JK$3</f>
        <v>0.66183228971859998</v>
      </c>
      <c r="JR71" s="3">
        <f>$H71*factors!JL$3</f>
        <v>0.68761796334400005</v>
      </c>
      <c r="JS71" s="3">
        <f>$H71*factors!JM$3</f>
        <v>0.62811256267000004</v>
      </c>
      <c r="JT71" s="3">
        <f>$H71*factors!JN$3</f>
        <v>0.65984877636280004</v>
      </c>
      <c r="JU71" s="3">
        <f>$H71*factors!JO$3</f>
        <v>0.63803012944900006</v>
      </c>
      <c r="JV71" s="3">
        <f>$H71*factors!JP$3</f>
        <v>0.64860886734660006</v>
      </c>
      <c r="JW71" s="3">
        <f>$H71*factors!JQ$3</f>
        <v>0.6929073322928001</v>
      </c>
      <c r="JX71" s="3">
        <f>$H71*factors!JR$3</f>
        <v>0.68629562110680009</v>
      </c>
      <c r="JY71" s="3">
        <f>$H71*factors!JS$3</f>
        <v>0.64596418287220014</v>
      </c>
      <c r="JZ71" s="3">
        <f>$H71*factors!JT$3</f>
        <v>0.65323706517680014</v>
      </c>
      <c r="KA71" s="3">
        <f>$H71*factors!JU$3</f>
        <v>0.65588174965120016</v>
      </c>
      <c r="KB71" s="3">
        <f>$H71*factors!JV$3</f>
        <v>0.63406310273740007</v>
      </c>
      <c r="KC71" s="3">
        <f>$H71*factors!JW$3</f>
        <v>0.63736895833040008</v>
      </c>
      <c r="KD71" s="3">
        <f>$H71*factors!JX$3</f>
        <v>0.63803012944900006</v>
      </c>
      <c r="KE71" s="3">
        <f>$H71*factors!JY$3</f>
        <v>0.6790227388022001</v>
      </c>
      <c r="KF71" s="3">
        <f>$H71*factors!JZ$3</f>
        <v>0.68695679222539996</v>
      </c>
      <c r="KG71" s="3">
        <f>$H71*factors!KA$3</f>
        <v>0.66249346083720007</v>
      </c>
      <c r="KH71" s="3">
        <f>$H71*factors!KB$3</f>
        <v>0.64794769622800008</v>
      </c>
      <c r="KI71" s="3">
        <f>$H71*factors!KC$3</f>
        <v>0.64199715616060005</v>
      </c>
    </row>
    <row r="72" spans="1:295" x14ac:dyDescent="0.55000000000000004">
      <c r="A72" t="s">
        <v>448</v>
      </c>
      <c r="B72">
        <v>71</v>
      </c>
      <c r="C72">
        <v>230</v>
      </c>
      <c r="D72" t="s">
        <v>377</v>
      </c>
      <c r="E72">
        <v>3.3409999999999998E-3</v>
      </c>
      <c r="F72">
        <v>71</v>
      </c>
      <c r="G72">
        <f>VLOOKUP(D72,demand_forecasted!$A$2:$G$11,2)</f>
        <v>11098</v>
      </c>
      <c r="H72" s="3">
        <f t="shared" si="1"/>
        <v>0.37078418000000002</v>
      </c>
      <c r="I72" s="3">
        <f>$H72*factors!C$3</f>
        <v>0.41045808725999999</v>
      </c>
      <c r="J72" s="3">
        <f>$H72*factors!D$3</f>
        <v>0.39564155142720003</v>
      </c>
      <c r="K72" s="3">
        <f>$H72*factors!E$3</f>
        <v>0.38883395388240005</v>
      </c>
      <c r="L72" s="3">
        <f>$H72*factors!F$3</f>
        <v>0.38763261313920006</v>
      </c>
      <c r="M72" s="3">
        <f>$H72*factors!G$3</f>
        <v>0.3872321662248</v>
      </c>
      <c r="N72" s="3">
        <f>$H72*factors!H$3</f>
        <v>0.39844467982800003</v>
      </c>
      <c r="O72" s="3">
        <f>$H72*factors!I$3</f>
        <v>0.4072545119448</v>
      </c>
      <c r="P72" s="3">
        <f>$H72*factors!J$3</f>
        <v>0.41205987491760004</v>
      </c>
      <c r="Q72" s="3">
        <f>$H72*factors!K$3</f>
        <v>0.3868317193104</v>
      </c>
      <c r="R72" s="3">
        <f>$H72*factors!L$3</f>
        <v>0.38042456868000002</v>
      </c>
      <c r="S72" s="3">
        <f>$H72*factors!M$3</f>
        <v>0.39604199834160003</v>
      </c>
      <c r="T72" s="3">
        <f>$H72*factors!N$3</f>
        <v>0.40965719343120005</v>
      </c>
      <c r="U72" s="3">
        <f>$H72*factors!O$3</f>
        <v>0.38803306005360005</v>
      </c>
      <c r="V72" s="3">
        <f>$H72*factors!P$3</f>
        <v>0.40365048971520007</v>
      </c>
      <c r="W72" s="3">
        <f>$H72*factors!Q$3</f>
        <v>0.4072545119448</v>
      </c>
      <c r="X72" s="3">
        <f>$H72*factors!R$3</f>
        <v>0.38963484771119999</v>
      </c>
      <c r="Y72" s="3">
        <f>$H72*factors!S$3</f>
        <v>0.38603082548160006</v>
      </c>
      <c r="Z72" s="3">
        <f>$H72*factors!T$3</f>
        <v>0.41646479097600009</v>
      </c>
      <c r="AA72" s="3">
        <f>$H72*factors!U$3</f>
        <v>0.39323886994079998</v>
      </c>
      <c r="AB72" s="3">
        <f>$H72*factors!V$3</f>
        <v>0.39363931685520009</v>
      </c>
      <c r="AC72" s="3">
        <f>$H72*factors!W$3</f>
        <v>0.39403976376960004</v>
      </c>
      <c r="AD72" s="3">
        <f>$H72*factors!X$3</f>
        <v>0.38563037856720006</v>
      </c>
      <c r="AE72" s="3">
        <f>$H72*factors!Y$3</f>
        <v>0.38883395388240005</v>
      </c>
      <c r="AF72" s="3">
        <f>$H72*factors!Z$3</f>
        <v>0.39684289217040009</v>
      </c>
      <c r="AG72" s="3">
        <f>$H72*factors!AA$3</f>
        <v>0.3868317193104</v>
      </c>
      <c r="AH72" s="3">
        <f>$H72*factors!AB$3</f>
        <v>0.38522993165280006</v>
      </c>
      <c r="AI72" s="3">
        <f>$H72*factors!AC$3</f>
        <v>0.39764378599920003</v>
      </c>
      <c r="AJ72" s="3">
        <f>$H72*factors!AD$3</f>
        <v>0.41286076874640004</v>
      </c>
      <c r="AK72" s="3">
        <f>$H72*factors!AE$3</f>
        <v>0.39724333908480003</v>
      </c>
      <c r="AL72" s="3">
        <f>$H72*factors!AF$3</f>
        <v>0.38162590942320002</v>
      </c>
      <c r="AM72" s="3">
        <f>$H72*factors!AG$3</f>
        <v>0.39243797611200004</v>
      </c>
      <c r="AN72" s="3">
        <f>$H72*factors!AH$3</f>
        <v>0.38603082548160006</v>
      </c>
      <c r="AO72" s="3">
        <f>$H72*factors!AI$3</f>
        <v>0.40445138354400001</v>
      </c>
      <c r="AP72" s="3">
        <f>$H72*factors!AJ$3</f>
        <v>0.38763261313920006</v>
      </c>
      <c r="AQ72" s="3">
        <f>$H72*factors!AK$3</f>
        <v>0.40004646748560008</v>
      </c>
      <c r="AR72" s="3">
        <f>$H72*factors!AL$3</f>
        <v>0.39123663536880005</v>
      </c>
      <c r="AS72" s="3">
        <f>$H72*factors!AM$3</f>
        <v>0.38162590942320002</v>
      </c>
      <c r="AT72" s="3">
        <f>$H72*factors!AN$3</f>
        <v>0.39363931685520009</v>
      </c>
      <c r="AU72" s="3">
        <f>$H72*factors!AO$3</f>
        <v>0.41686523789039998</v>
      </c>
      <c r="AV72" s="3">
        <f>$H72*factors!AP$3</f>
        <v>0.39403976376960004</v>
      </c>
      <c r="AW72" s="3">
        <f>$H72*factors!AQ$3</f>
        <v>0.39003529462559999</v>
      </c>
      <c r="AX72" s="3">
        <f>$H72*factors!AR$3</f>
        <v>0.41246032183200004</v>
      </c>
      <c r="AY72" s="3">
        <f>$H72*factors!AS$3</f>
        <v>0.38042456868000002</v>
      </c>
      <c r="AZ72" s="3">
        <f>$H72*factors!AT$3</f>
        <v>0.40765495885920011</v>
      </c>
      <c r="BA72" s="3">
        <f>$H72*factors!AU$3</f>
        <v>0.39884512674240002</v>
      </c>
      <c r="BB72" s="3">
        <f>$H72*factors!AV$3</f>
        <v>0.39363931685520009</v>
      </c>
      <c r="BC72" s="3">
        <f>$H72*factors!AW$3</f>
        <v>0.41646479097600009</v>
      </c>
      <c r="BD72" s="3">
        <f>$H72*factors!AX$3</f>
        <v>0.38442903782400001</v>
      </c>
      <c r="BE72" s="3">
        <f>$H72*factors!AY$3</f>
        <v>0.45196366836919999</v>
      </c>
      <c r="BF72" s="3">
        <f>$H72*factors!AZ$3</f>
        <v>0.42089936976879999</v>
      </c>
      <c r="BG72" s="3">
        <f>$H72*factors!BA$3</f>
        <v>0.42702472442239997</v>
      </c>
      <c r="BH72" s="3">
        <f>$H72*factors!BB$3</f>
        <v>0.43271255374360001</v>
      </c>
      <c r="BI72" s="3">
        <f>$H72*factors!BC$3</f>
        <v>0.44846346570999995</v>
      </c>
      <c r="BJ72" s="3">
        <f>$H72*factors!BD$3</f>
        <v>0.4283373004196</v>
      </c>
      <c r="BK72" s="3">
        <f>$H72*factors!BE$3</f>
        <v>0.42921235108439998</v>
      </c>
      <c r="BL72" s="3">
        <f>$H72*factors!BF$3</f>
        <v>0.42439957242799997</v>
      </c>
      <c r="BM72" s="3">
        <f>$H72*factors!BG$3</f>
        <v>0.45327624436640002</v>
      </c>
      <c r="BN72" s="3">
        <f>$H72*factors!BH$3</f>
        <v>0.44758841504519997</v>
      </c>
      <c r="BO72" s="3">
        <f>$H72*factors!BI$3</f>
        <v>0.42089936976879999</v>
      </c>
      <c r="BP72" s="3">
        <f>$H72*factors!BJ$3</f>
        <v>0.41958679377159996</v>
      </c>
      <c r="BQ72" s="3">
        <f>$H72*factors!BK$3</f>
        <v>0.42658719908999998</v>
      </c>
      <c r="BR72" s="3">
        <f>$H72*factors!BL$3</f>
        <v>0.44190058572400004</v>
      </c>
      <c r="BS72" s="3">
        <f>$H72*factors!BM$3</f>
        <v>0.4489009910424</v>
      </c>
      <c r="BT72" s="3">
        <f>$H72*factors!BN$3</f>
        <v>0.45021356703959997</v>
      </c>
      <c r="BU72" s="3">
        <f>$H72*factors!BO$3</f>
        <v>0.45765149769040003</v>
      </c>
      <c r="BV72" s="3">
        <f>$H72*factors!BP$3</f>
        <v>0.4257121484252</v>
      </c>
      <c r="BW72" s="3">
        <f>$H72*factors!BQ$3</f>
        <v>0.43533770573800001</v>
      </c>
      <c r="BX72" s="3">
        <f>$H72*factors!BR$3</f>
        <v>0.42702472442239997</v>
      </c>
      <c r="BY72" s="3">
        <f>$H72*factors!BS$3</f>
        <v>0.44671336438039994</v>
      </c>
      <c r="BZ72" s="3">
        <f>$H72*factors!BT$3</f>
        <v>0.43840038306479995</v>
      </c>
      <c r="CA72" s="3">
        <f>$H72*factors!BU$3</f>
        <v>0.43271255374360001</v>
      </c>
      <c r="CB72" s="3">
        <f>$H72*factors!BV$3</f>
        <v>0.41871174310679998</v>
      </c>
      <c r="CC72" s="3">
        <f>$H72*factors!BW$3</f>
        <v>0.430962452414</v>
      </c>
      <c r="CD72" s="3">
        <f>$H72*factors!BX$3</f>
        <v>0.43227502841120002</v>
      </c>
      <c r="CE72" s="3">
        <f>$H72*factors!BY$3</f>
        <v>0.43840038306479995</v>
      </c>
      <c r="CF72" s="3">
        <f>$H72*factors!BZ$3</f>
        <v>0.43183750307880003</v>
      </c>
      <c r="CG72" s="3">
        <f>$H72*factors!CA$3</f>
        <v>0.41739916710959996</v>
      </c>
      <c r="CH72" s="3">
        <f>$H72*factors!CB$3</f>
        <v>0.41783669244199995</v>
      </c>
      <c r="CI72" s="3">
        <f>$H72*factors!CC$3</f>
        <v>0.41564906577999999</v>
      </c>
      <c r="CJ72" s="3">
        <f>$H72*factors!CD$3</f>
        <v>0.43271255374360001</v>
      </c>
      <c r="CK72" s="3">
        <f>$H72*factors!CE$3</f>
        <v>0.45196366836919999</v>
      </c>
      <c r="CL72" s="3">
        <f>$H72*factors!CF$3</f>
        <v>0.42352452176319999</v>
      </c>
      <c r="CM72" s="3">
        <f>$H72*factors!CG$3</f>
        <v>0.4335876044084</v>
      </c>
      <c r="CN72" s="3">
        <f>$H72*factors!CH$3</f>
        <v>0.41914926843919997</v>
      </c>
      <c r="CO72" s="3">
        <f>$H72*factors!CI$3</f>
        <v>0.42221194576599996</v>
      </c>
      <c r="CP72" s="3">
        <f>$H72*factors!CJ$3</f>
        <v>0.44233811105639992</v>
      </c>
      <c r="CQ72" s="3">
        <f>$H72*factors!CK$3</f>
        <v>0.42921235108439998</v>
      </c>
      <c r="CR72" s="3">
        <f>$H72*factors!CL$3</f>
        <v>0.44277563638879996</v>
      </c>
      <c r="CS72" s="3">
        <f>$H72*factors!CM$3</f>
        <v>0.4567764470256</v>
      </c>
      <c r="CT72" s="3">
        <f>$H72*factors!CN$3</f>
        <v>0.4515261430368</v>
      </c>
      <c r="CU72" s="3">
        <f>$H72*factors!CO$3</f>
        <v>0.44146306039159994</v>
      </c>
      <c r="CV72" s="3">
        <f>$H72*factors!CP$3</f>
        <v>0.45940159902</v>
      </c>
      <c r="CW72" s="3">
        <f>$H72*factors!CQ$3</f>
        <v>0.43446265507320003</v>
      </c>
      <c r="CX72" s="3">
        <f>$H72*factors!CR$3</f>
        <v>0.42789977508720001</v>
      </c>
      <c r="CY72" s="3">
        <f>$H72*factors!CS$3</f>
        <v>0.42396204709559998</v>
      </c>
      <c r="CZ72" s="3">
        <f>$H72*factors!CT$3</f>
        <v>0.41783669244199995</v>
      </c>
      <c r="DA72" s="3">
        <f>$H72*factors!CU$3</f>
        <v>0.43381749060000002</v>
      </c>
      <c r="DB72" s="3">
        <f>$H72*factors!CV$3</f>
        <v>0.46184877460800006</v>
      </c>
      <c r="DC72" s="3">
        <f>$H72*factors!CW$3</f>
        <v>0.44227136990399996</v>
      </c>
      <c r="DD72" s="3">
        <f>$H72*factors!CX$3</f>
        <v>0.43915678279199999</v>
      </c>
      <c r="DE72" s="3">
        <f>$H72*factors!CY$3</f>
        <v>0.45206007225600003</v>
      </c>
      <c r="DF72" s="3">
        <f>$H72*factors!CZ$3</f>
        <v>0.45117019022399996</v>
      </c>
      <c r="DG72" s="3">
        <f>$H72*factors!DA$3</f>
        <v>0.44939042616000002</v>
      </c>
      <c r="DH72" s="3">
        <f>$H72*factors!DB$3</f>
        <v>0.44939042616000002</v>
      </c>
      <c r="DI72" s="3">
        <f>$H72*factors!DC$3</f>
        <v>0.43248266755199999</v>
      </c>
      <c r="DJ72" s="3">
        <f>$H72*factors!DD$3</f>
        <v>0.45828924648000002</v>
      </c>
      <c r="DK72" s="3">
        <f>$H72*factors!DE$3</f>
        <v>0.45828924648000002</v>
      </c>
      <c r="DL72" s="3">
        <f>$H72*factors!DF$3</f>
        <v>0.45294995428800006</v>
      </c>
      <c r="DM72" s="3">
        <f>$H72*factors!DG$3</f>
        <v>0.42669843434399995</v>
      </c>
      <c r="DN72" s="3">
        <f>$H72*factors!DH$3</f>
        <v>0.44761066209600003</v>
      </c>
      <c r="DO72" s="3">
        <f>$H72*factors!DI$3</f>
        <v>0.46229371562400001</v>
      </c>
      <c r="DP72" s="3">
        <f>$H72*factors!DJ$3</f>
        <v>0.45828924648000002</v>
      </c>
      <c r="DQ72" s="3">
        <f>$H72*factors!DK$3</f>
        <v>0.43693207771199999</v>
      </c>
      <c r="DR72" s="3">
        <f>$H72*factors!DL$3</f>
        <v>0.43203772653600003</v>
      </c>
      <c r="DS72" s="3">
        <f>$H72*factors!DM$3</f>
        <v>0.46674312578400001</v>
      </c>
      <c r="DT72" s="3">
        <f>$H72*factors!DN$3</f>
        <v>0.43871184177600003</v>
      </c>
      <c r="DU72" s="3">
        <f>$H72*factors!DO$3</f>
        <v>0.45917912851199999</v>
      </c>
      <c r="DV72" s="3">
        <f>$H72*factors!DP$3</f>
        <v>0.448500544128</v>
      </c>
      <c r="DW72" s="3">
        <f>$H72*factors!DQ$3</f>
        <v>0.42803325739199999</v>
      </c>
      <c r="DX72" s="3">
        <f>$H72*factors!DR$3</f>
        <v>0.45339489530399996</v>
      </c>
      <c r="DY72" s="3">
        <f>$H72*factors!DS$3</f>
        <v>0.43025796247199999</v>
      </c>
      <c r="DZ72" s="3">
        <f>$H72*factors!DT$3</f>
        <v>0.46006901054400001</v>
      </c>
      <c r="EA72" s="3">
        <f>$H72*factors!DU$3</f>
        <v>0.43337254958399996</v>
      </c>
      <c r="EB72" s="3">
        <f>$H72*factors!DV$3</f>
        <v>0.42269396519999997</v>
      </c>
      <c r="EC72" s="3">
        <f>$H72*factors!DW$3</f>
        <v>0.45472971835199999</v>
      </c>
      <c r="ED72" s="3">
        <f>$H72*factors!DX$3</f>
        <v>0.42669843434399995</v>
      </c>
      <c r="EE72" s="3">
        <f>$H72*factors!DY$3</f>
        <v>0.43025796247199999</v>
      </c>
      <c r="EF72" s="3">
        <f>$H72*factors!DZ$3</f>
        <v>0.46674312578400001</v>
      </c>
      <c r="EG72" s="3">
        <f>$H72*factors!EA$3</f>
        <v>0.43604219568000002</v>
      </c>
      <c r="EH72" s="3">
        <f>$H72*factors!EB$3</f>
        <v>0.437377018728</v>
      </c>
      <c r="EI72" s="3">
        <f>$H72*factors!EC$3</f>
        <v>0.43648713669600003</v>
      </c>
      <c r="EJ72" s="3">
        <f>$H72*factors!ED$3</f>
        <v>0.42536361129600003</v>
      </c>
      <c r="EK72" s="3">
        <f>$H72*factors!EE$3</f>
        <v>0.45472971835199999</v>
      </c>
      <c r="EL72" s="3">
        <f>$H72*factors!EF$3</f>
        <v>0.43248266755199999</v>
      </c>
      <c r="EM72" s="3">
        <f>$H72*factors!EG$3</f>
        <v>0.44983536717599998</v>
      </c>
      <c r="EN72" s="3">
        <f>$H72*factors!EH$3</f>
        <v>0.42269396519999997</v>
      </c>
      <c r="EO72" s="3">
        <f>$H72*factors!EI$3</f>
        <v>0.42892313942399996</v>
      </c>
      <c r="EP72" s="3">
        <f>$H72*factors!EJ$3</f>
        <v>0.45250501327199999</v>
      </c>
      <c r="EQ72" s="3">
        <f>$H72*factors!EK$3</f>
        <v>0.44004666482399996</v>
      </c>
      <c r="ER72" s="3">
        <f>$H72*factors!EL$3</f>
        <v>0.45828924648000002</v>
      </c>
      <c r="ES72" s="3">
        <f>$H72*factors!EM$3</f>
        <v>0.45250501327199999</v>
      </c>
      <c r="ET72" s="3">
        <f>$H72*factors!EN$3</f>
        <v>0.46273865664000002</v>
      </c>
      <c r="EU72" s="3">
        <f>$H72*factors!EO$3</f>
        <v>0.46718806680000002</v>
      </c>
      <c r="EV72" s="3">
        <f>$H72*factors!EP$3</f>
        <v>0.43782195974399996</v>
      </c>
      <c r="EW72" s="3">
        <f>$H72*factors!EQ$3</f>
        <v>0.48155595377499999</v>
      </c>
      <c r="EX72" s="3">
        <f>$H72*factors!ER$3</f>
        <v>0.47645767130000005</v>
      </c>
      <c r="EY72" s="3">
        <f>$H72*factors!ES$3</f>
        <v>0.48619075602499995</v>
      </c>
      <c r="EZ72" s="3">
        <f>$H72*factors!ET$3</f>
        <v>0.48155595377499999</v>
      </c>
      <c r="FA72" s="3">
        <f>$H72*factors!EU$3</f>
        <v>0.44262361487499996</v>
      </c>
      <c r="FB72" s="3">
        <f>$H72*factors!EV$3</f>
        <v>0.46255326455000007</v>
      </c>
      <c r="FC72" s="3">
        <f>$H72*factors!EW$3</f>
        <v>0.47553071085000004</v>
      </c>
      <c r="FD72" s="3">
        <f>$H72*factors!EX$3</f>
        <v>0.45884542275000006</v>
      </c>
      <c r="FE72" s="3">
        <f>$H72*factors!EY$3</f>
        <v>0.48340987467500002</v>
      </c>
      <c r="FF72" s="3">
        <f>$H72*factors!EZ$3</f>
        <v>0.48387335490000011</v>
      </c>
      <c r="FG72" s="3">
        <f>$H72*factors!FA$3</f>
        <v>0.44262361487499996</v>
      </c>
      <c r="FH72" s="3">
        <f>$H72*factors!FB$3</f>
        <v>0.46579762612499997</v>
      </c>
      <c r="FI72" s="3">
        <f>$H72*factors!FC$3</f>
        <v>0.48526379557499999</v>
      </c>
      <c r="FJ72" s="3">
        <f>$H72*factors!FD$3</f>
        <v>0.46579762612499997</v>
      </c>
      <c r="FK72" s="3">
        <f>$H72*factors!FE$3</f>
        <v>0.47367678995000007</v>
      </c>
      <c r="FL72" s="3">
        <f>$H72*factors!FF$3</f>
        <v>0.475067230625</v>
      </c>
      <c r="FM72" s="3">
        <f>$H72*factors!FG$3</f>
        <v>0.4801655131</v>
      </c>
      <c r="FN72" s="3">
        <f>$H72*factors!FH$3</f>
        <v>0.449112338025</v>
      </c>
      <c r="FO72" s="3">
        <f>$H72*factors!FI$3</f>
        <v>0.47692115152499998</v>
      </c>
      <c r="FP72" s="3">
        <f>$H72*factors!FJ$3</f>
        <v>0.46348022500000002</v>
      </c>
      <c r="FQ72" s="3">
        <f>$H72*factors!FK$3</f>
        <v>0.45884542275000006</v>
      </c>
      <c r="FR72" s="3">
        <f>$H72*factors!FL$3</f>
        <v>0.46811502724999998</v>
      </c>
      <c r="FS72" s="3">
        <f>$H72*factors!FM$3</f>
        <v>0.4653341459</v>
      </c>
      <c r="FT72" s="3">
        <f>$H72*factors!FN$3</f>
        <v>0.47553071085000004</v>
      </c>
      <c r="FU72" s="3">
        <f>$H72*factors!FO$3</f>
        <v>0.45699150184999998</v>
      </c>
      <c r="FV72" s="3">
        <f>$H72*factors!FP$3</f>
        <v>0.45328366004999998</v>
      </c>
      <c r="FW72" s="3">
        <f>$H72*factors!FQ$3</f>
        <v>0.48526379557499999</v>
      </c>
      <c r="FX72" s="3">
        <f>$H72*factors!FR$3</f>
        <v>0.47645767130000005</v>
      </c>
      <c r="FY72" s="3">
        <f>$H72*factors!FS$3</f>
        <v>0.46672458657499993</v>
      </c>
      <c r="FZ72" s="3">
        <f>$H72*factors!FT$3</f>
        <v>0.44355057532500003</v>
      </c>
      <c r="GA72" s="3">
        <f>$H72*factors!FU$3</f>
        <v>0.46672458657499993</v>
      </c>
      <c r="GB72" s="3">
        <f>$H72*factors!FV$3</f>
        <v>0.48387335490000011</v>
      </c>
      <c r="GC72" s="3">
        <f>$H72*factors!FW$3</f>
        <v>0.45328366004999998</v>
      </c>
      <c r="GD72" s="3">
        <f>$H72*factors!FX$3</f>
        <v>0.46116282387500002</v>
      </c>
      <c r="GE72" s="3">
        <f>$H72*factors!FY$3</f>
        <v>0.46116282387500002</v>
      </c>
      <c r="GF72" s="3">
        <f>$H72*factors!FZ$3</f>
        <v>0.45977238320000002</v>
      </c>
      <c r="GG72" s="3">
        <f>$H72*factors!GA$3</f>
        <v>0.441696654425</v>
      </c>
      <c r="GH72" s="3">
        <f>$H72*factors!GB$3</f>
        <v>0.46996894815000007</v>
      </c>
      <c r="GI72" s="3">
        <f>$H72*factors!GC$3</f>
        <v>0.44076969397499999</v>
      </c>
      <c r="GJ72" s="3">
        <f>$H72*factors!GD$3</f>
        <v>0.441696654425</v>
      </c>
      <c r="GK72" s="3">
        <f>$H72*factors!GE$3</f>
        <v>0.452820179825</v>
      </c>
      <c r="GL72" s="3">
        <f>$H72*factors!GF$3</f>
        <v>0.47970203287500002</v>
      </c>
      <c r="GM72" s="3">
        <f>$H72*factors!GG$3</f>
        <v>0.45467410072500003</v>
      </c>
      <c r="GN72" s="3">
        <f>$H72*factors!GH$3</f>
        <v>0.46904198770000005</v>
      </c>
      <c r="GO72" s="3">
        <f>$H72*factors!GI$3</f>
        <v>0.44308709509999994</v>
      </c>
      <c r="GP72" s="3">
        <f>$H72*factors!GJ$3</f>
        <v>0.475067230625</v>
      </c>
      <c r="GQ72" s="3">
        <f>$H72*factors!GK$3</f>
        <v>0.48480031535000007</v>
      </c>
      <c r="GR72" s="3">
        <f>$H72*factors!GL$3</f>
        <v>0.47553071085000004</v>
      </c>
      <c r="GS72" s="3">
        <f>$H72*factors!GM$3</f>
        <v>0.44970559271300004</v>
      </c>
      <c r="GT72" s="3">
        <f>$H72*factors!GN$3</f>
        <v>0.46006530270220003</v>
      </c>
      <c r="GU72" s="3">
        <f>$H72*factors!GO$3</f>
        <v>0.47089590860000002</v>
      </c>
      <c r="GV72" s="3">
        <f>$H72*factors!GP$3</f>
        <v>0.45206007225600003</v>
      </c>
      <c r="GW72" s="3">
        <f>$H72*factors!GQ$3</f>
        <v>0.46807053314840003</v>
      </c>
      <c r="GX72" s="3">
        <f>$H72*factors!GR$3</f>
        <v>0.46053619861080003</v>
      </c>
      <c r="GY72" s="3">
        <f>$H72*factors!GS$3</f>
        <v>0.45818171906780003</v>
      </c>
      <c r="GZ72" s="3">
        <f>$H72*factors!GT$3</f>
        <v>0.47513397177739997</v>
      </c>
      <c r="HA72" s="3">
        <f>$H72*factors!GU$3</f>
        <v>0.45959440679360003</v>
      </c>
      <c r="HB72" s="3">
        <f>$H72*factors!GV$3</f>
        <v>0.47513397177739997</v>
      </c>
      <c r="HC72" s="3">
        <f>$H72*factors!GW$3</f>
        <v>0.46336157406239997</v>
      </c>
      <c r="HD72" s="3">
        <f>$H72*factors!GX$3</f>
        <v>0.47701755541179997</v>
      </c>
      <c r="HE72" s="3">
        <f>$H72*factors!GY$3</f>
        <v>0.47089590860000002</v>
      </c>
      <c r="HF72" s="3">
        <f>$H72*factors!GZ$3</f>
        <v>0.48549368176660002</v>
      </c>
      <c r="HG72" s="3">
        <f>$H72*factors!HA$3</f>
        <v>0.46665784542260003</v>
      </c>
      <c r="HH72" s="3">
        <f>$H72*factors!HB$3</f>
        <v>0.46053619861080003</v>
      </c>
      <c r="HI72" s="3">
        <f>$H72*factors!HC$3</f>
        <v>0.45488544770760003</v>
      </c>
      <c r="HJ72" s="3">
        <f>$H72*factors!HD$3</f>
        <v>0.44970559271300004</v>
      </c>
      <c r="HK72" s="3">
        <f>$H72*factors!HE$3</f>
        <v>0.47560486768600002</v>
      </c>
      <c r="HL72" s="3">
        <f>$H72*factors!HF$3</f>
        <v>0.44829290498719998</v>
      </c>
      <c r="HM72" s="3">
        <f>$H72*factors!HG$3</f>
        <v>0.45300186407320003</v>
      </c>
      <c r="HN72" s="3">
        <f>$H72*factors!HH$3</f>
        <v>0.48313920222360007</v>
      </c>
      <c r="HO72" s="3">
        <f>$H72*factors!HI$3</f>
        <v>0.46336157406239997</v>
      </c>
      <c r="HP72" s="3">
        <f>$H72*factors!HJ$3</f>
        <v>0.49444070403000007</v>
      </c>
      <c r="HQ72" s="3">
        <f>$H72*factors!HK$3</f>
        <v>0.45206007225600003</v>
      </c>
      <c r="HR72" s="3">
        <f>$H72*factors!HL$3</f>
        <v>0.47937203495480007</v>
      </c>
      <c r="HS72" s="3">
        <f>$H72*factors!HM$3</f>
        <v>0.48784816130960001</v>
      </c>
      <c r="HT72" s="3">
        <f>$H72*factors!HN$3</f>
        <v>0.45488544770760003</v>
      </c>
      <c r="HU72" s="3">
        <f>$H72*factors!HO$3</f>
        <v>0.45959440679360003</v>
      </c>
      <c r="HV72" s="3">
        <f>$H72*factors!HP$3</f>
        <v>0.46524515769680008</v>
      </c>
      <c r="HW72" s="3">
        <f>$H72*factors!HQ$3</f>
        <v>0.47183770041720002</v>
      </c>
      <c r="HX72" s="3">
        <f>$H72*factors!HR$3</f>
        <v>0.49114443266979996</v>
      </c>
      <c r="HY72" s="3">
        <f>$H72*factors!HS$3</f>
        <v>0.46665784542260003</v>
      </c>
      <c r="HZ72" s="3">
        <f>$H72*factors!HT$3</f>
        <v>0.48455188994940002</v>
      </c>
      <c r="IA72" s="3">
        <f>$H72*factors!HU$3</f>
        <v>0.46100709451940003</v>
      </c>
      <c r="IB72" s="3">
        <f>$H72*factors!HV$3</f>
        <v>0.47701755541179997</v>
      </c>
      <c r="IC72" s="3">
        <f>$H72*factors!HW$3</f>
        <v>0.48172651449780002</v>
      </c>
      <c r="ID72" s="3">
        <f>$H72*factors!HX$3</f>
        <v>0.44735111316999998</v>
      </c>
      <c r="IE72" s="3">
        <f>$H72*factors!HY$3</f>
        <v>0.47513397177739997</v>
      </c>
      <c r="IF72" s="3">
        <f>$H72*factors!HZ$3</f>
        <v>0.47230859632579997</v>
      </c>
      <c r="IG72" s="3">
        <f>$H72*factors!IA$3</f>
        <v>0.46807053314840003</v>
      </c>
      <c r="IH72" s="3">
        <f>$H72*factors!IB$3</f>
        <v>0.48549368176660002</v>
      </c>
      <c r="II72" s="3">
        <f>$H72*factors!IC$3</f>
        <v>0.46477426178820003</v>
      </c>
      <c r="IJ72" s="3">
        <f>$H72*factors!ID$3</f>
        <v>0.46901232496560002</v>
      </c>
      <c r="IK72" s="3">
        <f>$H72*factors!IE$3</f>
        <v>0.48596457767520002</v>
      </c>
      <c r="IL72" s="3">
        <f>$H72*factors!IF$3</f>
        <v>0.46524515769680008</v>
      </c>
      <c r="IM72" s="3">
        <f>$H72*factors!IG$3</f>
        <v>0.46100709451940003</v>
      </c>
      <c r="IN72" s="3">
        <f>$H72*factors!IH$3</f>
        <v>0.46383246997100003</v>
      </c>
      <c r="IO72" s="3">
        <f>$H72*factors!II$3</f>
        <v>0.46854142905700003</v>
      </c>
      <c r="IP72" s="3">
        <f>$H72*factors!IJ$3</f>
        <v>0.45300186407320003</v>
      </c>
      <c r="IQ72" s="3">
        <f>$H72*factors!IK$3</f>
        <v>0.45158917634740003</v>
      </c>
      <c r="IR72" s="3">
        <f>$H72*factors!IL$3</f>
        <v>0.46477426178820003</v>
      </c>
      <c r="IS72" s="3">
        <f>$H72*factors!IM$3</f>
        <v>0.46854142905700003</v>
      </c>
      <c r="IT72" s="3">
        <f>$H72*factors!IN$3</f>
        <v>0.47183770041720002</v>
      </c>
      <c r="IU72" s="3">
        <f>$H72*factors!IO$3</f>
        <v>0.48219741040640007</v>
      </c>
      <c r="IV72" s="3">
        <f>$H72*factors!IP$3</f>
        <v>0.48831905721819996</v>
      </c>
      <c r="IW72" s="3">
        <f>$H72*factors!IQ$3</f>
        <v>0.46147799042799997</v>
      </c>
      <c r="IX72" s="3">
        <f>$H72*factors!IR$3</f>
        <v>0.48219741040640007</v>
      </c>
      <c r="IY72" s="3">
        <f>$H72*factors!IS$3</f>
        <v>0.47513397177739997</v>
      </c>
      <c r="IZ72" s="3">
        <f>$H72*factors!IT$3</f>
        <v>0.48313920222360007</v>
      </c>
      <c r="JA72" s="3">
        <f>$H72*factors!IU$3</f>
        <v>0.45629813543339998</v>
      </c>
      <c r="JB72" s="3">
        <f>$H72*factors!IV$3</f>
        <v>0.46477426178820003</v>
      </c>
      <c r="JC72" s="3">
        <f>$H72*factors!IW$3</f>
        <v>0.45394365589040003</v>
      </c>
      <c r="JD72" s="3">
        <f>$H72*factors!IX$3</f>
        <v>0.49444070403000007</v>
      </c>
      <c r="JE72" s="3">
        <f>$H72*factors!IY$3</f>
        <v>0.45535634361619998</v>
      </c>
      <c r="JF72" s="3">
        <f>$H72*factors!IZ$3</f>
        <v>0.47795934722899996</v>
      </c>
      <c r="JG72" s="3">
        <f>$H72*factors!JA$3</f>
        <v>0.46948322087419997</v>
      </c>
      <c r="JH72" s="3">
        <f>$H72*factors!JB$3</f>
        <v>0.47843024313760008</v>
      </c>
      <c r="JI72" s="3">
        <f>$H72*factors!JC$3</f>
        <v>0.44782200907860004</v>
      </c>
      <c r="JJ72" s="3">
        <f>$H72*factors!JD$3</f>
        <v>0.48219741040640007</v>
      </c>
      <c r="JK72" s="3">
        <f>$H72*factors!JE$3</f>
        <v>0.46665784542260003</v>
      </c>
      <c r="JL72" s="3">
        <f>$H72*factors!JF$3</f>
        <v>0.48549368176660002</v>
      </c>
      <c r="JM72" s="3">
        <f>$H72*factors!JG$3</f>
        <v>0.45300186407320003</v>
      </c>
      <c r="JN72" s="3">
        <f>$H72*factors!JH$3</f>
        <v>0.45300186407320003</v>
      </c>
      <c r="JO72" s="3">
        <f>$H72*factors!JI$3</f>
        <v>0.44735111316999998</v>
      </c>
      <c r="JP72" s="3">
        <f>$H72*factors!JJ$3</f>
        <v>0.48361009813220002</v>
      </c>
      <c r="JQ72" s="3">
        <f>$H72*factors!JK$3</f>
        <v>0.47136680450859997</v>
      </c>
      <c r="JR72" s="3">
        <f>$H72*factors!JL$3</f>
        <v>0.48973174494400001</v>
      </c>
      <c r="JS72" s="3">
        <f>$H72*factors!JM$3</f>
        <v>0.44735111316999998</v>
      </c>
      <c r="JT72" s="3">
        <f>$H72*factors!JN$3</f>
        <v>0.46995411678280002</v>
      </c>
      <c r="JU72" s="3">
        <f>$H72*factors!JO$3</f>
        <v>0.45441455179899998</v>
      </c>
      <c r="JV72" s="3">
        <f>$H72*factors!JP$3</f>
        <v>0.46194888633660003</v>
      </c>
      <c r="JW72" s="3">
        <f>$H72*factors!JQ$3</f>
        <v>0.49349891221280007</v>
      </c>
      <c r="JX72" s="3">
        <f>$H72*factors!JR$3</f>
        <v>0.48878995312680001</v>
      </c>
      <c r="JY72" s="3">
        <f>$H72*factors!JS$3</f>
        <v>0.46006530270220003</v>
      </c>
      <c r="JZ72" s="3">
        <f>$H72*factors!JT$3</f>
        <v>0.46524515769680008</v>
      </c>
      <c r="KA72" s="3">
        <f>$H72*factors!JU$3</f>
        <v>0.46712874133120003</v>
      </c>
      <c r="KB72" s="3">
        <f>$H72*factors!JV$3</f>
        <v>0.45158917634740003</v>
      </c>
      <c r="KC72" s="3">
        <f>$H72*factors!JW$3</f>
        <v>0.45394365589040003</v>
      </c>
      <c r="KD72" s="3">
        <f>$H72*factors!JX$3</f>
        <v>0.45441455179899998</v>
      </c>
      <c r="KE72" s="3">
        <f>$H72*factors!JY$3</f>
        <v>0.48361009813220002</v>
      </c>
      <c r="KF72" s="3">
        <f>$H72*factors!JZ$3</f>
        <v>0.48926084903539996</v>
      </c>
      <c r="KG72" s="3">
        <f>$H72*factors!KA$3</f>
        <v>0.47183770041720002</v>
      </c>
      <c r="KH72" s="3">
        <f>$H72*factors!KB$3</f>
        <v>0.46147799042799997</v>
      </c>
      <c r="KI72" s="3">
        <f>$H72*factors!KC$3</f>
        <v>0.45723992725059998</v>
      </c>
    </row>
    <row r="73" spans="1:295" x14ac:dyDescent="0.55000000000000004">
      <c r="A73" t="s">
        <v>449</v>
      </c>
      <c r="B73">
        <v>72</v>
      </c>
      <c r="C73">
        <v>287</v>
      </c>
      <c r="D73" t="s">
        <v>377</v>
      </c>
      <c r="E73">
        <v>3.431E-3</v>
      </c>
      <c r="F73">
        <v>72</v>
      </c>
      <c r="G73">
        <f>VLOOKUP(D73,demand_forecasted!$A$2:$G$11,2)</f>
        <v>11098</v>
      </c>
      <c r="H73" s="3">
        <f t="shared" si="1"/>
        <v>0.38077238000000002</v>
      </c>
      <c r="I73" s="3">
        <f>$H73*factors!C$3</f>
        <v>0.42151502466000002</v>
      </c>
      <c r="J73" s="3">
        <f>$H73*factors!D$3</f>
        <v>0.40629936035520003</v>
      </c>
      <c r="K73" s="3">
        <f>$H73*factors!E$3</f>
        <v>0.39930837945840003</v>
      </c>
      <c r="L73" s="3">
        <f>$H73*factors!F$3</f>
        <v>0.39807467694720006</v>
      </c>
      <c r="M73" s="3">
        <f>$H73*factors!G$3</f>
        <v>0.39766344277679999</v>
      </c>
      <c r="N73" s="3">
        <f>$H73*factors!H$3</f>
        <v>0.40917799954800005</v>
      </c>
      <c r="O73" s="3">
        <f>$H73*factors!I$3</f>
        <v>0.41822515129680005</v>
      </c>
      <c r="P73" s="3">
        <f>$H73*factors!J$3</f>
        <v>0.42315996134160005</v>
      </c>
      <c r="Q73" s="3">
        <f>$H73*factors!K$3</f>
        <v>0.39725220860640004</v>
      </c>
      <c r="R73" s="3">
        <f>$H73*factors!L$3</f>
        <v>0.39067246188000004</v>
      </c>
      <c r="S73" s="3">
        <f>$H73*factors!M$3</f>
        <v>0.40671059452559999</v>
      </c>
      <c r="T73" s="3">
        <f>$H73*factors!N$3</f>
        <v>0.42069255631920005</v>
      </c>
      <c r="U73" s="3">
        <f>$H73*factors!O$3</f>
        <v>0.39848591111760007</v>
      </c>
      <c r="V73" s="3">
        <f>$H73*factors!P$3</f>
        <v>0.41452404376320007</v>
      </c>
      <c r="W73" s="3">
        <f>$H73*factors!Q$3</f>
        <v>0.41822515129680005</v>
      </c>
      <c r="X73" s="3">
        <f>$H73*factors!R$3</f>
        <v>0.4001308477992</v>
      </c>
      <c r="Y73" s="3">
        <f>$H73*factors!S$3</f>
        <v>0.39642974026560002</v>
      </c>
      <c r="Z73" s="3">
        <f>$H73*factors!T$3</f>
        <v>0.42768353721600011</v>
      </c>
      <c r="AA73" s="3">
        <f>$H73*factors!U$3</f>
        <v>0.40383195533280003</v>
      </c>
      <c r="AB73" s="3">
        <f>$H73*factors!V$3</f>
        <v>0.4042431895032001</v>
      </c>
      <c r="AC73" s="3">
        <f>$H73*factors!W$3</f>
        <v>0.40465442367360005</v>
      </c>
      <c r="AD73" s="3">
        <f>$H73*factors!X$3</f>
        <v>0.39601850609520006</v>
      </c>
      <c r="AE73" s="3">
        <f>$H73*factors!Y$3</f>
        <v>0.39930837945840003</v>
      </c>
      <c r="AF73" s="3">
        <f>$H73*factors!Z$3</f>
        <v>0.40753306286640006</v>
      </c>
      <c r="AG73" s="3">
        <f>$H73*factors!AA$3</f>
        <v>0.39725220860640004</v>
      </c>
      <c r="AH73" s="3">
        <f>$H73*factors!AB$3</f>
        <v>0.39560727192480005</v>
      </c>
      <c r="AI73" s="3">
        <f>$H73*factors!AC$3</f>
        <v>0.40835553120720003</v>
      </c>
      <c r="AJ73" s="3">
        <f>$H73*factors!AD$3</f>
        <v>0.42398242968240002</v>
      </c>
      <c r="AK73" s="3">
        <f>$H73*factors!AE$3</f>
        <v>0.40794429703680007</v>
      </c>
      <c r="AL73" s="3">
        <f>$H73*factors!AF$3</f>
        <v>0.39190616439120002</v>
      </c>
      <c r="AM73" s="3">
        <f>$H73*factors!AG$3</f>
        <v>0.40300948699200001</v>
      </c>
      <c r="AN73" s="3">
        <f>$H73*factors!AH$3</f>
        <v>0.39642974026560002</v>
      </c>
      <c r="AO73" s="3">
        <f>$H73*factors!AI$3</f>
        <v>0.41534651210400003</v>
      </c>
      <c r="AP73" s="3">
        <f>$H73*factors!AJ$3</f>
        <v>0.39807467694720006</v>
      </c>
      <c r="AQ73" s="3">
        <f>$H73*factors!AK$3</f>
        <v>0.41082293622960009</v>
      </c>
      <c r="AR73" s="3">
        <f>$H73*factors!AL$3</f>
        <v>0.40177578448080004</v>
      </c>
      <c r="AS73" s="3">
        <f>$H73*factors!AM$3</f>
        <v>0.39190616439120002</v>
      </c>
      <c r="AT73" s="3">
        <f>$H73*factors!AN$3</f>
        <v>0.4042431895032001</v>
      </c>
      <c r="AU73" s="3">
        <f>$H73*factors!AO$3</f>
        <v>0.42809477138640001</v>
      </c>
      <c r="AV73" s="3">
        <f>$H73*factors!AP$3</f>
        <v>0.40465442367360005</v>
      </c>
      <c r="AW73" s="3">
        <f>$H73*factors!AQ$3</f>
        <v>0.40054208196960001</v>
      </c>
      <c r="AX73" s="3">
        <f>$H73*factors!AR$3</f>
        <v>0.42357119551200006</v>
      </c>
      <c r="AY73" s="3">
        <f>$H73*factors!AS$3</f>
        <v>0.39067246188000004</v>
      </c>
      <c r="AZ73" s="3">
        <f>$H73*factors!AT$3</f>
        <v>0.41863638546720011</v>
      </c>
      <c r="BA73" s="3">
        <f>$H73*factors!AU$3</f>
        <v>0.4095892337184</v>
      </c>
      <c r="BB73" s="3">
        <f>$H73*factors!AV$3</f>
        <v>0.4042431895032001</v>
      </c>
      <c r="BC73" s="3">
        <f>$H73*factors!AW$3</f>
        <v>0.42768353721600011</v>
      </c>
      <c r="BD73" s="3">
        <f>$H73*factors!AX$3</f>
        <v>0.39478480358399998</v>
      </c>
      <c r="BE73" s="3">
        <f>$H73*factors!AY$3</f>
        <v>0.4641386848772</v>
      </c>
      <c r="BF73" s="3">
        <f>$H73*factors!AZ$3</f>
        <v>0.4322375748808</v>
      </c>
      <c r="BG73" s="3">
        <f>$H73*factors!BA$3</f>
        <v>0.43852793459839995</v>
      </c>
      <c r="BH73" s="3">
        <f>$H73*factors!BB$3</f>
        <v>0.44436898290760002</v>
      </c>
      <c r="BI73" s="3">
        <f>$H73*factors!BC$3</f>
        <v>0.46054419360999993</v>
      </c>
      <c r="BJ73" s="3">
        <f>$H73*factors!BD$3</f>
        <v>0.43987586882359997</v>
      </c>
      <c r="BK73" s="3">
        <f>$H73*factors!BE$3</f>
        <v>0.44077449164039995</v>
      </c>
      <c r="BL73" s="3">
        <f>$H73*factors!BF$3</f>
        <v>0.43583206614799996</v>
      </c>
      <c r="BM73" s="3">
        <f>$H73*factors!BG$3</f>
        <v>0.46548661910240002</v>
      </c>
      <c r="BN73" s="3">
        <f>$H73*factors!BH$3</f>
        <v>0.45964557079319995</v>
      </c>
      <c r="BO73" s="3">
        <f>$H73*factors!BI$3</f>
        <v>0.4322375748808</v>
      </c>
      <c r="BP73" s="3">
        <f>$H73*factors!BJ$3</f>
        <v>0.43088964065559998</v>
      </c>
      <c r="BQ73" s="3">
        <f>$H73*factors!BK$3</f>
        <v>0.43807862318999996</v>
      </c>
      <c r="BR73" s="3">
        <f>$H73*factors!BL$3</f>
        <v>0.45380452248399999</v>
      </c>
      <c r="BS73" s="3">
        <f>$H73*factors!BM$3</f>
        <v>0.46099350501840003</v>
      </c>
      <c r="BT73" s="3">
        <f>$H73*factors!BN$3</f>
        <v>0.46234143924359999</v>
      </c>
      <c r="BU73" s="3">
        <f>$H73*factors!BO$3</f>
        <v>0.46997973318640002</v>
      </c>
      <c r="BV73" s="3">
        <f>$H73*factors!BP$3</f>
        <v>0.43718000037319998</v>
      </c>
      <c r="BW73" s="3">
        <f>$H73*factors!BQ$3</f>
        <v>0.447064851358</v>
      </c>
      <c r="BX73" s="3">
        <f>$H73*factors!BR$3</f>
        <v>0.43852793459839995</v>
      </c>
      <c r="BY73" s="3">
        <f>$H73*factors!BS$3</f>
        <v>0.45874694797639992</v>
      </c>
      <c r="BZ73" s="3">
        <f>$H73*factors!BT$3</f>
        <v>0.45021003121679998</v>
      </c>
      <c r="CA73" s="3">
        <f>$H73*factors!BU$3</f>
        <v>0.44436898290760002</v>
      </c>
      <c r="CB73" s="3">
        <f>$H73*factors!BV$3</f>
        <v>0.4299910178388</v>
      </c>
      <c r="CC73" s="3">
        <f>$H73*factors!BW$3</f>
        <v>0.44257173727400001</v>
      </c>
      <c r="CD73" s="3">
        <f>$H73*factors!BX$3</f>
        <v>0.44391967149920003</v>
      </c>
      <c r="CE73" s="3">
        <f>$H73*factors!BY$3</f>
        <v>0.45021003121679998</v>
      </c>
      <c r="CF73" s="3">
        <f>$H73*factors!BZ$3</f>
        <v>0.44347036009080004</v>
      </c>
      <c r="CG73" s="3">
        <f>$H73*factors!CA$3</f>
        <v>0.42864308361359998</v>
      </c>
      <c r="CH73" s="3">
        <f>$H73*factors!CB$3</f>
        <v>0.42909239502199992</v>
      </c>
      <c r="CI73" s="3">
        <f>$H73*factors!CC$3</f>
        <v>0.42684583798000003</v>
      </c>
      <c r="CJ73" s="3">
        <f>$H73*factors!CD$3</f>
        <v>0.44436898290760002</v>
      </c>
      <c r="CK73" s="3">
        <f>$H73*factors!CE$3</f>
        <v>0.4641386848772</v>
      </c>
      <c r="CL73" s="3">
        <f>$H73*factors!CF$3</f>
        <v>0.43493344333119999</v>
      </c>
      <c r="CM73" s="3">
        <f>$H73*factors!CG$3</f>
        <v>0.4452676057244</v>
      </c>
      <c r="CN73" s="3">
        <f>$H73*factors!CH$3</f>
        <v>0.43044032924719999</v>
      </c>
      <c r="CO73" s="3">
        <f>$H73*factors!CI$3</f>
        <v>0.43358550910599997</v>
      </c>
      <c r="CP73" s="3">
        <f>$H73*factors!CJ$3</f>
        <v>0.45425383389239993</v>
      </c>
      <c r="CQ73" s="3">
        <f>$H73*factors!CK$3</f>
        <v>0.44077449164039995</v>
      </c>
      <c r="CR73" s="3">
        <f>$H73*factors!CL$3</f>
        <v>0.45470314530079997</v>
      </c>
      <c r="CS73" s="3">
        <f>$H73*factors!CM$3</f>
        <v>0.46908111036959999</v>
      </c>
      <c r="CT73" s="3">
        <f>$H73*factors!CN$3</f>
        <v>0.46368937346880001</v>
      </c>
      <c r="CU73" s="3">
        <f>$H73*factors!CO$3</f>
        <v>0.45335521107559995</v>
      </c>
      <c r="CV73" s="3">
        <f>$H73*factors!CP$3</f>
        <v>0.47177697881999997</v>
      </c>
      <c r="CW73" s="3">
        <f>$H73*factors!CQ$3</f>
        <v>0.44616622854120003</v>
      </c>
      <c r="CX73" s="3">
        <f>$H73*factors!CR$3</f>
        <v>0.43942655741519998</v>
      </c>
      <c r="CY73" s="3">
        <f>$H73*factors!CS$3</f>
        <v>0.43538275473959998</v>
      </c>
      <c r="CZ73" s="3">
        <f>$H73*factors!CT$3</f>
        <v>0.42909239502199992</v>
      </c>
      <c r="DA73" s="3">
        <f>$H73*factors!CU$3</f>
        <v>0.44550368460000001</v>
      </c>
      <c r="DB73" s="3">
        <f>$H73*factors!CV$3</f>
        <v>0.47429007652800004</v>
      </c>
      <c r="DC73" s="3">
        <f>$H73*factors!CW$3</f>
        <v>0.454185294864</v>
      </c>
      <c r="DD73" s="3">
        <f>$H73*factors!CX$3</f>
        <v>0.45098680687199999</v>
      </c>
      <c r="DE73" s="3">
        <f>$H73*factors!CY$3</f>
        <v>0.46423768569600005</v>
      </c>
      <c r="DF73" s="3">
        <f>$H73*factors!CZ$3</f>
        <v>0.46332383198399996</v>
      </c>
      <c r="DG73" s="3">
        <f>$H73*factors!DA$3</f>
        <v>0.46149612456</v>
      </c>
      <c r="DH73" s="3">
        <f>$H73*factors!DB$3</f>
        <v>0.46149612456</v>
      </c>
      <c r="DI73" s="3">
        <f>$H73*factors!DC$3</f>
        <v>0.44413290403199995</v>
      </c>
      <c r="DJ73" s="3">
        <f>$H73*factors!DD$3</f>
        <v>0.47063466168000001</v>
      </c>
      <c r="DK73" s="3">
        <f>$H73*factors!DE$3</f>
        <v>0.47063466168000001</v>
      </c>
      <c r="DL73" s="3">
        <f>$H73*factors!DF$3</f>
        <v>0.46515153940800003</v>
      </c>
      <c r="DM73" s="3">
        <f>$H73*factors!DG$3</f>
        <v>0.43819285490399995</v>
      </c>
      <c r="DN73" s="3">
        <f>$H73*factors!DH$3</f>
        <v>0.45966841713600004</v>
      </c>
      <c r="DO73" s="3">
        <f>$H73*factors!DI$3</f>
        <v>0.474747003384</v>
      </c>
      <c r="DP73" s="3">
        <f>$H73*factors!DJ$3</f>
        <v>0.47063466168000001</v>
      </c>
      <c r="DQ73" s="3">
        <f>$H73*factors!DK$3</f>
        <v>0.44870217259199996</v>
      </c>
      <c r="DR73" s="3">
        <f>$H73*factors!DL$3</f>
        <v>0.44367597717600005</v>
      </c>
      <c r="DS73" s="3">
        <f>$H73*factors!DM$3</f>
        <v>0.47931627194400001</v>
      </c>
      <c r="DT73" s="3">
        <f>$H73*factors!DN$3</f>
        <v>0.45052988001600003</v>
      </c>
      <c r="DU73" s="3">
        <f>$H73*factors!DO$3</f>
        <v>0.47154851539199999</v>
      </c>
      <c r="DV73" s="3">
        <f>$H73*factors!DP$3</f>
        <v>0.46058227084800002</v>
      </c>
      <c r="DW73" s="3">
        <f>$H73*factors!DQ$3</f>
        <v>0.439563635472</v>
      </c>
      <c r="DX73" s="3">
        <f>$H73*factors!DR$3</f>
        <v>0.46560846626399999</v>
      </c>
      <c r="DY73" s="3">
        <f>$H73*factors!DS$3</f>
        <v>0.44184826975199998</v>
      </c>
      <c r="DZ73" s="3">
        <f>$H73*factors!DT$3</f>
        <v>0.47246236910399997</v>
      </c>
      <c r="EA73" s="3">
        <f>$H73*factors!DU$3</f>
        <v>0.44504675774399999</v>
      </c>
      <c r="EB73" s="3">
        <f>$H73*factors!DV$3</f>
        <v>0.43408051319999996</v>
      </c>
      <c r="EC73" s="3">
        <f>$H73*factors!DW$3</f>
        <v>0.46697924683199998</v>
      </c>
      <c r="ED73" s="3">
        <f>$H73*factors!DX$3</f>
        <v>0.43819285490399995</v>
      </c>
      <c r="EE73" s="3">
        <f>$H73*factors!DY$3</f>
        <v>0.44184826975199998</v>
      </c>
      <c r="EF73" s="3">
        <f>$H73*factors!DZ$3</f>
        <v>0.47931627194400001</v>
      </c>
      <c r="EG73" s="3">
        <f>$H73*factors!EA$3</f>
        <v>0.44778831887999998</v>
      </c>
      <c r="EH73" s="3">
        <f>$H73*factors!EB$3</f>
        <v>0.44915909944800003</v>
      </c>
      <c r="EI73" s="3">
        <f>$H73*factors!EC$3</f>
        <v>0.44824524573600005</v>
      </c>
      <c r="EJ73" s="3">
        <f>$H73*factors!ED$3</f>
        <v>0.43682207433600001</v>
      </c>
      <c r="EK73" s="3">
        <f>$H73*factors!EE$3</f>
        <v>0.46697924683199998</v>
      </c>
      <c r="EL73" s="3">
        <f>$H73*factors!EF$3</f>
        <v>0.44413290403199995</v>
      </c>
      <c r="EM73" s="3">
        <f>$H73*factors!EG$3</f>
        <v>0.46195305141599996</v>
      </c>
      <c r="EN73" s="3">
        <f>$H73*factors!EH$3</f>
        <v>0.43408051319999996</v>
      </c>
      <c r="EO73" s="3">
        <f>$H73*factors!EI$3</f>
        <v>0.44047748918399998</v>
      </c>
      <c r="EP73" s="3">
        <f>$H73*factors!EJ$3</f>
        <v>0.46469461255200001</v>
      </c>
      <c r="EQ73" s="3">
        <f>$H73*factors!EK$3</f>
        <v>0.45190066058399997</v>
      </c>
      <c r="ER73" s="3">
        <f>$H73*factors!EL$3</f>
        <v>0.47063466168000001</v>
      </c>
      <c r="ES73" s="3">
        <f>$H73*factors!EM$3</f>
        <v>0.46469461255200001</v>
      </c>
      <c r="ET73" s="3">
        <f>$H73*factors!EN$3</f>
        <v>0.47520393024000002</v>
      </c>
      <c r="EU73" s="3">
        <f>$H73*factors!EO$3</f>
        <v>0.47977319880000002</v>
      </c>
      <c r="EV73" s="3">
        <f>$H73*factors!EP$3</f>
        <v>0.44961602630399999</v>
      </c>
      <c r="EW73" s="3">
        <f>$H73*factors!EQ$3</f>
        <v>0.49452812852499994</v>
      </c>
      <c r="EX73" s="3">
        <f>$H73*factors!ER$3</f>
        <v>0.4892925083000001</v>
      </c>
      <c r="EY73" s="3">
        <f>$H73*factors!ES$3</f>
        <v>0.49928778327499995</v>
      </c>
      <c r="EZ73" s="3">
        <f>$H73*factors!ET$3</f>
        <v>0.49452812852499994</v>
      </c>
      <c r="FA73" s="3">
        <f>$H73*factors!EU$3</f>
        <v>0.45454702862499996</v>
      </c>
      <c r="FB73" s="3">
        <f>$H73*factors!EV$3</f>
        <v>0.47501354405000007</v>
      </c>
      <c r="FC73" s="3">
        <f>$H73*factors!EW$3</f>
        <v>0.48834057735000003</v>
      </c>
      <c r="FD73" s="3">
        <f>$H73*factors!EX$3</f>
        <v>0.47120582025000002</v>
      </c>
      <c r="FE73" s="3">
        <f>$H73*factors!EY$3</f>
        <v>0.49643199042500002</v>
      </c>
      <c r="FF73" s="3">
        <f>$H73*factors!EZ$3</f>
        <v>0.49690795590000009</v>
      </c>
      <c r="FG73" s="3">
        <f>$H73*factors!FA$3</f>
        <v>0.45454702862499996</v>
      </c>
      <c r="FH73" s="3">
        <f>$H73*factors!FB$3</f>
        <v>0.478345302375</v>
      </c>
      <c r="FI73" s="3">
        <f>$H73*factors!FC$3</f>
        <v>0.49833585232499999</v>
      </c>
      <c r="FJ73" s="3">
        <f>$H73*factors!FD$3</f>
        <v>0.478345302375</v>
      </c>
      <c r="FK73" s="3">
        <f>$H73*factors!FE$3</f>
        <v>0.48643671545000006</v>
      </c>
      <c r="FL73" s="3">
        <f>$H73*factors!FF$3</f>
        <v>0.48786461187500002</v>
      </c>
      <c r="FM73" s="3">
        <f>$H73*factors!FG$3</f>
        <v>0.49310023209999998</v>
      </c>
      <c r="FN73" s="3">
        <f>$H73*factors!FH$3</f>
        <v>0.46121054527499999</v>
      </c>
      <c r="FO73" s="3">
        <f>$H73*factors!FI$3</f>
        <v>0.48976847377499999</v>
      </c>
      <c r="FP73" s="3">
        <f>$H73*factors!FJ$3</f>
        <v>0.47596547500000003</v>
      </c>
      <c r="FQ73" s="3">
        <f>$H73*factors!FK$3</f>
        <v>0.47120582025000002</v>
      </c>
      <c r="FR73" s="3">
        <f>$H73*factors!FL$3</f>
        <v>0.48072512975000004</v>
      </c>
      <c r="FS73" s="3">
        <f>$H73*factors!FM$3</f>
        <v>0.4778693369</v>
      </c>
      <c r="FT73" s="3">
        <f>$H73*factors!FN$3</f>
        <v>0.48834057735000003</v>
      </c>
      <c r="FU73" s="3">
        <f>$H73*factors!FO$3</f>
        <v>0.46930195834999999</v>
      </c>
      <c r="FV73" s="3">
        <f>$H73*factors!FP$3</f>
        <v>0.46549423455</v>
      </c>
      <c r="FW73" s="3">
        <f>$H73*factors!FQ$3</f>
        <v>0.49833585232499999</v>
      </c>
      <c r="FX73" s="3">
        <f>$H73*factors!FR$3</f>
        <v>0.4892925083000001</v>
      </c>
      <c r="FY73" s="3">
        <f>$H73*factors!FS$3</f>
        <v>0.47929723332499996</v>
      </c>
      <c r="FZ73" s="3">
        <f>$H73*factors!FT$3</f>
        <v>0.45549895957500003</v>
      </c>
      <c r="GA73" s="3">
        <f>$H73*factors!FU$3</f>
        <v>0.47929723332499996</v>
      </c>
      <c r="GB73" s="3">
        <f>$H73*factors!FV$3</f>
        <v>0.49690795590000009</v>
      </c>
      <c r="GC73" s="3">
        <f>$H73*factors!FW$3</f>
        <v>0.46549423455</v>
      </c>
      <c r="GD73" s="3">
        <f>$H73*factors!FX$3</f>
        <v>0.47358564762499999</v>
      </c>
      <c r="GE73" s="3">
        <f>$H73*factors!FY$3</f>
        <v>0.47358564762499999</v>
      </c>
      <c r="GF73" s="3">
        <f>$H73*factors!FZ$3</f>
        <v>0.47215775120000003</v>
      </c>
      <c r="GG73" s="3">
        <f>$H73*factors!GA$3</f>
        <v>0.453595097675</v>
      </c>
      <c r="GH73" s="3">
        <f>$H73*factors!GB$3</f>
        <v>0.48262899165000006</v>
      </c>
      <c r="GI73" s="3">
        <f>$H73*factors!GC$3</f>
        <v>0.45264316672499999</v>
      </c>
      <c r="GJ73" s="3">
        <f>$H73*factors!GD$3</f>
        <v>0.453595097675</v>
      </c>
      <c r="GK73" s="3">
        <f>$H73*factors!GE$3</f>
        <v>0.46501826907499999</v>
      </c>
      <c r="GL73" s="3">
        <f>$H73*factors!GF$3</f>
        <v>0.49262426662500003</v>
      </c>
      <c r="GM73" s="3">
        <f>$H73*factors!GG$3</f>
        <v>0.46692213097500007</v>
      </c>
      <c r="GN73" s="3">
        <f>$H73*factors!GH$3</f>
        <v>0.48167706070000005</v>
      </c>
      <c r="GO73" s="3">
        <f>$H73*factors!GI$3</f>
        <v>0.45502299409999997</v>
      </c>
      <c r="GP73" s="3">
        <f>$H73*factors!GJ$3</f>
        <v>0.48786461187500002</v>
      </c>
      <c r="GQ73" s="3">
        <f>$H73*factors!GK$3</f>
        <v>0.49785988685000004</v>
      </c>
      <c r="GR73" s="3">
        <f>$H73*factors!GL$3</f>
        <v>0.48834057735000003</v>
      </c>
      <c r="GS73" s="3">
        <f>$H73*factors!GM$3</f>
        <v>0.46181978108300004</v>
      </c>
      <c r="GT73" s="3">
        <f>$H73*factors!GN$3</f>
        <v>0.47245856138020004</v>
      </c>
      <c r="GU73" s="3">
        <f>$H73*factors!GO$3</f>
        <v>0.48358092260000002</v>
      </c>
      <c r="GV73" s="3">
        <f>$H73*factors!GP$3</f>
        <v>0.46423768569600005</v>
      </c>
      <c r="GW73" s="3">
        <f>$H73*factors!GQ$3</f>
        <v>0.48067943706440003</v>
      </c>
      <c r="GX73" s="3">
        <f>$H73*factors!GR$3</f>
        <v>0.47294214230280002</v>
      </c>
      <c r="GY73" s="3">
        <f>$H73*factors!GS$3</f>
        <v>0.47052423768980006</v>
      </c>
      <c r="GZ73" s="3">
        <f>$H73*factors!GT$3</f>
        <v>0.48793315090339995</v>
      </c>
      <c r="HA73" s="3">
        <f>$H73*factors!GU$3</f>
        <v>0.4719749804576</v>
      </c>
      <c r="HB73" s="3">
        <f>$H73*factors!GV$3</f>
        <v>0.48793315090339995</v>
      </c>
      <c r="HC73" s="3">
        <f>$H73*factors!GW$3</f>
        <v>0.47584362783840001</v>
      </c>
      <c r="HD73" s="3">
        <f>$H73*factors!GX$3</f>
        <v>0.48986747459379998</v>
      </c>
      <c r="HE73" s="3">
        <f>$H73*factors!GY$3</f>
        <v>0.48358092260000002</v>
      </c>
      <c r="HF73" s="3">
        <f>$H73*factors!GZ$3</f>
        <v>0.4985719312006</v>
      </c>
      <c r="HG73" s="3">
        <f>$H73*factors!HA$3</f>
        <v>0.47922869429660003</v>
      </c>
      <c r="HH73" s="3">
        <f>$H73*factors!HB$3</f>
        <v>0.47294214230280002</v>
      </c>
      <c r="HI73" s="3">
        <f>$H73*factors!HC$3</f>
        <v>0.46713917123160004</v>
      </c>
      <c r="HJ73" s="3">
        <f>$H73*factors!HD$3</f>
        <v>0.46181978108300004</v>
      </c>
      <c r="HK73" s="3">
        <f>$H73*factors!HE$3</f>
        <v>0.48841673182599998</v>
      </c>
      <c r="HL73" s="3">
        <f>$H73*factors!HF$3</f>
        <v>0.46036903831519999</v>
      </c>
      <c r="HM73" s="3">
        <f>$H73*factors!HG$3</f>
        <v>0.46520484754120006</v>
      </c>
      <c r="HN73" s="3">
        <f>$H73*factors!HH$3</f>
        <v>0.49615402658760005</v>
      </c>
      <c r="HO73" s="3">
        <f>$H73*factors!HI$3</f>
        <v>0.47584362783840001</v>
      </c>
      <c r="HP73" s="3">
        <f>$H73*factors!HJ$3</f>
        <v>0.50775996873000007</v>
      </c>
      <c r="HQ73" s="3">
        <f>$H73*factors!HK$3</f>
        <v>0.46423768569600005</v>
      </c>
      <c r="HR73" s="3">
        <f>$H73*factors!HL$3</f>
        <v>0.4922853792068001</v>
      </c>
      <c r="HS73" s="3">
        <f>$H73*factors!HM$3</f>
        <v>0.50098983581360002</v>
      </c>
      <c r="HT73" s="3">
        <f>$H73*factors!HN$3</f>
        <v>0.46713917123160004</v>
      </c>
      <c r="HU73" s="3">
        <f>$H73*factors!HO$3</f>
        <v>0.4719749804576</v>
      </c>
      <c r="HV73" s="3">
        <f>$H73*factors!HP$3</f>
        <v>0.47777795152880004</v>
      </c>
      <c r="HW73" s="3">
        <f>$H73*factors!HQ$3</f>
        <v>0.48454808444520003</v>
      </c>
      <c r="HX73" s="3">
        <f>$H73*factors!HR$3</f>
        <v>0.50437490227179993</v>
      </c>
      <c r="HY73" s="3">
        <f>$H73*factors!HS$3</f>
        <v>0.47922869429660003</v>
      </c>
      <c r="HZ73" s="3">
        <f>$H73*factors!HT$3</f>
        <v>0.49760476935539999</v>
      </c>
      <c r="IA73" s="3">
        <f>$H73*factors!HU$3</f>
        <v>0.47342572322540005</v>
      </c>
      <c r="IB73" s="3">
        <f>$H73*factors!HV$3</f>
        <v>0.48986747459379998</v>
      </c>
      <c r="IC73" s="3">
        <f>$H73*factors!HW$3</f>
        <v>0.4947032838198</v>
      </c>
      <c r="ID73" s="3">
        <f>$H73*factors!HX$3</f>
        <v>0.45940187646999997</v>
      </c>
      <c r="IE73" s="3">
        <f>$H73*factors!HY$3</f>
        <v>0.48793315090339995</v>
      </c>
      <c r="IF73" s="3">
        <f>$H73*factors!HZ$3</f>
        <v>0.48503166536779996</v>
      </c>
      <c r="IG73" s="3">
        <f>$H73*factors!IA$3</f>
        <v>0.48067943706440003</v>
      </c>
      <c r="IH73" s="3">
        <f>$H73*factors!IB$3</f>
        <v>0.4985719312006</v>
      </c>
      <c r="II73" s="3">
        <f>$H73*factors!IC$3</f>
        <v>0.4772943706062</v>
      </c>
      <c r="IJ73" s="3">
        <f>$H73*factors!ID$3</f>
        <v>0.48164659890960004</v>
      </c>
      <c r="IK73" s="3">
        <f>$H73*factors!IE$3</f>
        <v>0.49905551212320004</v>
      </c>
      <c r="IL73" s="3">
        <f>$H73*factors!IF$3</f>
        <v>0.47777795152880004</v>
      </c>
      <c r="IM73" s="3">
        <f>$H73*factors!IG$3</f>
        <v>0.47342572322540005</v>
      </c>
      <c r="IN73" s="3">
        <f>$H73*factors!IH$3</f>
        <v>0.47632720876100004</v>
      </c>
      <c r="IO73" s="3">
        <f>$H73*factors!II$3</f>
        <v>0.48116301798700001</v>
      </c>
      <c r="IP73" s="3">
        <f>$H73*factors!IJ$3</f>
        <v>0.46520484754120006</v>
      </c>
      <c r="IQ73" s="3">
        <f>$H73*factors!IK$3</f>
        <v>0.46375410477340001</v>
      </c>
      <c r="IR73" s="3">
        <f>$H73*factors!IL$3</f>
        <v>0.4772943706062</v>
      </c>
      <c r="IS73" s="3">
        <f>$H73*factors!IM$3</f>
        <v>0.48116301798700001</v>
      </c>
      <c r="IT73" s="3">
        <f>$H73*factors!IN$3</f>
        <v>0.48454808444520003</v>
      </c>
      <c r="IU73" s="3">
        <f>$H73*factors!IO$3</f>
        <v>0.49518686474240003</v>
      </c>
      <c r="IV73" s="3">
        <f>$H73*factors!IP$3</f>
        <v>0.50147341673619994</v>
      </c>
      <c r="IW73" s="3">
        <f>$H73*factors!IQ$3</f>
        <v>0.47390930414799998</v>
      </c>
      <c r="IX73" s="3">
        <f>$H73*factors!IR$3</f>
        <v>0.49518686474240003</v>
      </c>
      <c r="IY73" s="3">
        <f>$H73*factors!IS$3</f>
        <v>0.48793315090339995</v>
      </c>
      <c r="IZ73" s="3">
        <f>$H73*factors!IT$3</f>
        <v>0.49615402658760005</v>
      </c>
      <c r="JA73" s="3">
        <f>$H73*factors!IU$3</f>
        <v>0.46858991399939998</v>
      </c>
      <c r="JB73" s="3">
        <f>$H73*factors!IV$3</f>
        <v>0.4772943706062</v>
      </c>
      <c r="JC73" s="3">
        <f>$H73*factors!IW$3</f>
        <v>0.46617200938640002</v>
      </c>
      <c r="JD73" s="3">
        <f>$H73*factors!IX$3</f>
        <v>0.50775996873000007</v>
      </c>
      <c r="JE73" s="3">
        <f>$H73*factors!IY$3</f>
        <v>0.46762275215420002</v>
      </c>
      <c r="JF73" s="3">
        <f>$H73*factors!IZ$3</f>
        <v>0.49083463643899994</v>
      </c>
      <c r="JG73" s="3">
        <f>$H73*factors!JA$3</f>
        <v>0.48213017983220002</v>
      </c>
      <c r="JH73" s="3">
        <f>$H73*factors!JB$3</f>
        <v>0.49131821736160008</v>
      </c>
      <c r="JI73" s="3">
        <f>$H73*factors!JC$3</f>
        <v>0.45988545739260001</v>
      </c>
      <c r="JJ73" s="3">
        <f>$H73*factors!JD$3</f>
        <v>0.49518686474240003</v>
      </c>
      <c r="JK73" s="3">
        <f>$H73*factors!JE$3</f>
        <v>0.47922869429660003</v>
      </c>
      <c r="JL73" s="3">
        <f>$H73*factors!JF$3</f>
        <v>0.4985719312006</v>
      </c>
      <c r="JM73" s="3">
        <f>$H73*factors!JG$3</f>
        <v>0.46520484754120006</v>
      </c>
      <c r="JN73" s="3">
        <f>$H73*factors!JH$3</f>
        <v>0.46520484754120006</v>
      </c>
      <c r="JO73" s="3">
        <f>$H73*factors!JI$3</f>
        <v>0.45940187646999997</v>
      </c>
      <c r="JP73" s="3">
        <f>$H73*factors!JJ$3</f>
        <v>0.49663760751020003</v>
      </c>
      <c r="JQ73" s="3">
        <f>$H73*factors!JK$3</f>
        <v>0.4840645035226</v>
      </c>
      <c r="JR73" s="3">
        <f>$H73*factors!JL$3</f>
        <v>0.50292415950400005</v>
      </c>
      <c r="JS73" s="3">
        <f>$H73*factors!JM$3</f>
        <v>0.45940187646999997</v>
      </c>
      <c r="JT73" s="3">
        <f>$H73*factors!JN$3</f>
        <v>0.48261376075480006</v>
      </c>
      <c r="JU73" s="3">
        <f>$H73*factors!JO$3</f>
        <v>0.466655590309</v>
      </c>
      <c r="JV73" s="3">
        <f>$H73*factors!JP$3</f>
        <v>0.47439288507060001</v>
      </c>
      <c r="JW73" s="3">
        <f>$H73*factors!JQ$3</f>
        <v>0.50679280688480011</v>
      </c>
      <c r="JX73" s="3">
        <f>$H73*factors!JR$3</f>
        <v>0.50195699765879997</v>
      </c>
      <c r="JY73" s="3">
        <f>$H73*factors!JS$3</f>
        <v>0.47245856138020004</v>
      </c>
      <c r="JZ73" s="3">
        <f>$H73*factors!JT$3</f>
        <v>0.47777795152880004</v>
      </c>
      <c r="KA73" s="3">
        <f>$H73*factors!JU$3</f>
        <v>0.47971227521920007</v>
      </c>
      <c r="KB73" s="3">
        <f>$H73*factors!JV$3</f>
        <v>0.46375410477340001</v>
      </c>
      <c r="KC73" s="3">
        <f>$H73*factors!JW$3</f>
        <v>0.46617200938640002</v>
      </c>
      <c r="KD73" s="3">
        <f>$H73*factors!JX$3</f>
        <v>0.466655590309</v>
      </c>
      <c r="KE73" s="3">
        <f>$H73*factors!JY$3</f>
        <v>0.49663760751020003</v>
      </c>
      <c r="KF73" s="3">
        <f>$H73*factors!JZ$3</f>
        <v>0.50244057858140001</v>
      </c>
      <c r="KG73" s="3">
        <f>$H73*factors!KA$3</f>
        <v>0.48454808444520003</v>
      </c>
      <c r="KH73" s="3">
        <f>$H73*factors!KB$3</f>
        <v>0.47390930414799998</v>
      </c>
      <c r="KI73" s="3">
        <f>$H73*factors!KC$3</f>
        <v>0.46955707584459999</v>
      </c>
    </row>
    <row r="74" spans="1:295" x14ac:dyDescent="0.55000000000000004">
      <c r="A74" t="s">
        <v>450</v>
      </c>
      <c r="B74">
        <v>73</v>
      </c>
      <c r="C74">
        <v>287</v>
      </c>
      <c r="D74" t="s">
        <v>377</v>
      </c>
      <c r="E74">
        <v>3.431E-3</v>
      </c>
      <c r="F74">
        <v>73</v>
      </c>
      <c r="G74">
        <f>VLOOKUP(D74,demand_forecasted!$A$2:$G$11,2)</f>
        <v>11098</v>
      </c>
      <c r="H74" s="3">
        <f t="shared" si="1"/>
        <v>0.38077238000000002</v>
      </c>
      <c r="I74" s="3">
        <f>$H74*factors!C$3</f>
        <v>0.42151502466000002</v>
      </c>
      <c r="J74" s="3">
        <f>$H74*factors!D$3</f>
        <v>0.40629936035520003</v>
      </c>
      <c r="K74" s="3">
        <f>$H74*factors!E$3</f>
        <v>0.39930837945840003</v>
      </c>
      <c r="L74" s="3">
        <f>$H74*factors!F$3</f>
        <v>0.39807467694720006</v>
      </c>
      <c r="M74" s="3">
        <f>$H74*factors!G$3</f>
        <v>0.39766344277679999</v>
      </c>
      <c r="N74" s="3">
        <f>$H74*factors!H$3</f>
        <v>0.40917799954800005</v>
      </c>
      <c r="O74" s="3">
        <f>$H74*factors!I$3</f>
        <v>0.41822515129680005</v>
      </c>
      <c r="P74" s="3">
        <f>$H74*factors!J$3</f>
        <v>0.42315996134160005</v>
      </c>
      <c r="Q74" s="3">
        <f>$H74*factors!K$3</f>
        <v>0.39725220860640004</v>
      </c>
      <c r="R74" s="3">
        <f>$H74*factors!L$3</f>
        <v>0.39067246188000004</v>
      </c>
      <c r="S74" s="3">
        <f>$H74*factors!M$3</f>
        <v>0.40671059452559999</v>
      </c>
      <c r="T74" s="3">
        <f>$H74*factors!N$3</f>
        <v>0.42069255631920005</v>
      </c>
      <c r="U74" s="3">
        <f>$H74*factors!O$3</f>
        <v>0.39848591111760007</v>
      </c>
      <c r="V74" s="3">
        <f>$H74*factors!P$3</f>
        <v>0.41452404376320007</v>
      </c>
      <c r="W74" s="3">
        <f>$H74*factors!Q$3</f>
        <v>0.41822515129680005</v>
      </c>
      <c r="X74" s="3">
        <f>$H74*factors!R$3</f>
        <v>0.4001308477992</v>
      </c>
      <c r="Y74" s="3">
        <f>$H74*factors!S$3</f>
        <v>0.39642974026560002</v>
      </c>
      <c r="Z74" s="3">
        <f>$H74*factors!T$3</f>
        <v>0.42768353721600011</v>
      </c>
      <c r="AA74" s="3">
        <f>$H74*factors!U$3</f>
        <v>0.40383195533280003</v>
      </c>
      <c r="AB74" s="3">
        <f>$H74*factors!V$3</f>
        <v>0.4042431895032001</v>
      </c>
      <c r="AC74" s="3">
        <f>$H74*factors!W$3</f>
        <v>0.40465442367360005</v>
      </c>
      <c r="AD74" s="3">
        <f>$H74*factors!X$3</f>
        <v>0.39601850609520006</v>
      </c>
      <c r="AE74" s="3">
        <f>$H74*factors!Y$3</f>
        <v>0.39930837945840003</v>
      </c>
      <c r="AF74" s="3">
        <f>$H74*factors!Z$3</f>
        <v>0.40753306286640006</v>
      </c>
      <c r="AG74" s="3">
        <f>$H74*factors!AA$3</f>
        <v>0.39725220860640004</v>
      </c>
      <c r="AH74" s="3">
        <f>$H74*factors!AB$3</f>
        <v>0.39560727192480005</v>
      </c>
      <c r="AI74" s="3">
        <f>$H74*factors!AC$3</f>
        <v>0.40835553120720003</v>
      </c>
      <c r="AJ74" s="3">
        <f>$H74*factors!AD$3</f>
        <v>0.42398242968240002</v>
      </c>
      <c r="AK74" s="3">
        <f>$H74*factors!AE$3</f>
        <v>0.40794429703680007</v>
      </c>
      <c r="AL74" s="3">
        <f>$H74*factors!AF$3</f>
        <v>0.39190616439120002</v>
      </c>
      <c r="AM74" s="3">
        <f>$H74*factors!AG$3</f>
        <v>0.40300948699200001</v>
      </c>
      <c r="AN74" s="3">
        <f>$H74*factors!AH$3</f>
        <v>0.39642974026560002</v>
      </c>
      <c r="AO74" s="3">
        <f>$H74*factors!AI$3</f>
        <v>0.41534651210400003</v>
      </c>
      <c r="AP74" s="3">
        <f>$H74*factors!AJ$3</f>
        <v>0.39807467694720006</v>
      </c>
      <c r="AQ74" s="3">
        <f>$H74*factors!AK$3</f>
        <v>0.41082293622960009</v>
      </c>
      <c r="AR74" s="3">
        <f>$H74*factors!AL$3</f>
        <v>0.40177578448080004</v>
      </c>
      <c r="AS74" s="3">
        <f>$H74*factors!AM$3</f>
        <v>0.39190616439120002</v>
      </c>
      <c r="AT74" s="3">
        <f>$H74*factors!AN$3</f>
        <v>0.4042431895032001</v>
      </c>
      <c r="AU74" s="3">
        <f>$H74*factors!AO$3</f>
        <v>0.42809477138640001</v>
      </c>
      <c r="AV74" s="3">
        <f>$H74*factors!AP$3</f>
        <v>0.40465442367360005</v>
      </c>
      <c r="AW74" s="3">
        <f>$H74*factors!AQ$3</f>
        <v>0.40054208196960001</v>
      </c>
      <c r="AX74" s="3">
        <f>$H74*factors!AR$3</f>
        <v>0.42357119551200006</v>
      </c>
      <c r="AY74" s="3">
        <f>$H74*factors!AS$3</f>
        <v>0.39067246188000004</v>
      </c>
      <c r="AZ74" s="3">
        <f>$H74*factors!AT$3</f>
        <v>0.41863638546720011</v>
      </c>
      <c r="BA74" s="3">
        <f>$H74*factors!AU$3</f>
        <v>0.4095892337184</v>
      </c>
      <c r="BB74" s="3">
        <f>$H74*factors!AV$3</f>
        <v>0.4042431895032001</v>
      </c>
      <c r="BC74" s="3">
        <f>$H74*factors!AW$3</f>
        <v>0.42768353721600011</v>
      </c>
      <c r="BD74" s="3">
        <f>$H74*factors!AX$3</f>
        <v>0.39478480358399998</v>
      </c>
      <c r="BE74" s="3">
        <f>$H74*factors!AY$3</f>
        <v>0.4641386848772</v>
      </c>
      <c r="BF74" s="3">
        <f>$H74*factors!AZ$3</f>
        <v>0.4322375748808</v>
      </c>
      <c r="BG74" s="3">
        <f>$H74*factors!BA$3</f>
        <v>0.43852793459839995</v>
      </c>
      <c r="BH74" s="3">
        <f>$H74*factors!BB$3</f>
        <v>0.44436898290760002</v>
      </c>
      <c r="BI74" s="3">
        <f>$H74*factors!BC$3</f>
        <v>0.46054419360999993</v>
      </c>
      <c r="BJ74" s="3">
        <f>$H74*factors!BD$3</f>
        <v>0.43987586882359997</v>
      </c>
      <c r="BK74" s="3">
        <f>$H74*factors!BE$3</f>
        <v>0.44077449164039995</v>
      </c>
      <c r="BL74" s="3">
        <f>$H74*factors!BF$3</f>
        <v>0.43583206614799996</v>
      </c>
      <c r="BM74" s="3">
        <f>$H74*factors!BG$3</f>
        <v>0.46548661910240002</v>
      </c>
      <c r="BN74" s="3">
        <f>$H74*factors!BH$3</f>
        <v>0.45964557079319995</v>
      </c>
      <c r="BO74" s="3">
        <f>$H74*factors!BI$3</f>
        <v>0.4322375748808</v>
      </c>
      <c r="BP74" s="3">
        <f>$H74*factors!BJ$3</f>
        <v>0.43088964065559998</v>
      </c>
      <c r="BQ74" s="3">
        <f>$H74*factors!BK$3</f>
        <v>0.43807862318999996</v>
      </c>
      <c r="BR74" s="3">
        <f>$H74*factors!BL$3</f>
        <v>0.45380452248399999</v>
      </c>
      <c r="BS74" s="3">
        <f>$H74*factors!BM$3</f>
        <v>0.46099350501840003</v>
      </c>
      <c r="BT74" s="3">
        <f>$H74*factors!BN$3</f>
        <v>0.46234143924359999</v>
      </c>
      <c r="BU74" s="3">
        <f>$H74*factors!BO$3</f>
        <v>0.46997973318640002</v>
      </c>
      <c r="BV74" s="3">
        <f>$H74*factors!BP$3</f>
        <v>0.43718000037319998</v>
      </c>
      <c r="BW74" s="3">
        <f>$H74*factors!BQ$3</f>
        <v>0.447064851358</v>
      </c>
      <c r="BX74" s="3">
        <f>$H74*factors!BR$3</f>
        <v>0.43852793459839995</v>
      </c>
      <c r="BY74" s="3">
        <f>$H74*factors!BS$3</f>
        <v>0.45874694797639992</v>
      </c>
      <c r="BZ74" s="3">
        <f>$H74*factors!BT$3</f>
        <v>0.45021003121679998</v>
      </c>
      <c r="CA74" s="3">
        <f>$H74*factors!BU$3</f>
        <v>0.44436898290760002</v>
      </c>
      <c r="CB74" s="3">
        <f>$H74*factors!BV$3</f>
        <v>0.4299910178388</v>
      </c>
      <c r="CC74" s="3">
        <f>$H74*factors!BW$3</f>
        <v>0.44257173727400001</v>
      </c>
      <c r="CD74" s="3">
        <f>$H74*factors!BX$3</f>
        <v>0.44391967149920003</v>
      </c>
      <c r="CE74" s="3">
        <f>$H74*factors!BY$3</f>
        <v>0.45021003121679998</v>
      </c>
      <c r="CF74" s="3">
        <f>$H74*factors!BZ$3</f>
        <v>0.44347036009080004</v>
      </c>
      <c r="CG74" s="3">
        <f>$H74*factors!CA$3</f>
        <v>0.42864308361359998</v>
      </c>
      <c r="CH74" s="3">
        <f>$H74*factors!CB$3</f>
        <v>0.42909239502199992</v>
      </c>
      <c r="CI74" s="3">
        <f>$H74*factors!CC$3</f>
        <v>0.42684583798000003</v>
      </c>
      <c r="CJ74" s="3">
        <f>$H74*factors!CD$3</f>
        <v>0.44436898290760002</v>
      </c>
      <c r="CK74" s="3">
        <f>$H74*factors!CE$3</f>
        <v>0.4641386848772</v>
      </c>
      <c r="CL74" s="3">
        <f>$H74*factors!CF$3</f>
        <v>0.43493344333119999</v>
      </c>
      <c r="CM74" s="3">
        <f>$H74*factors!CG$3</f>
        <v>0.4452676057244</v>
      </c>
      <c r="CN74" s="3">
        <f>$H74*factors!CH$3</f>
        <v>0.43044032924719999</v>
      </c>
      <c r="CO74" s="3">
        <f>$H74*factors!CI$3</f>
        <v>0.43358550910599997</v>
      </c>
      <c r="CP74" s="3">
        <f>$H74*factors!CJ$3</f>
        <v>0.45425383389239993</v>
      </c>
      <c r="CQ74" s="3">
        <f>$H74*factors!CK$3</f>
        <v>0.44077449164039995</v>
      </c>
      <c r="CR74" s="3">
        <f>$H74*factors!CL$3</f>
        <v>0.45470314530079997</v>
      </c>
      <c r="CS74" s="3">
        <f>$H74*factors!CM$3</f>
        <v>0.46908111036959999</v>
      </c>
      <c r="CT74" s="3">
        <f>$H74*factors!CN$3</f>
        <v>0.46368937346880001</v>
      </c>
      <c r="CU74" s="3">
        <f>$H74*factors!CO$3</f>
        <v>0.45335521107559995</v>
      </c>
      <c r="CV74" s="3">
        <f>$H74*factors!CP$3</f>
        <v>0.47177697881999997</v>
      </c>
      <c r="CW74" s="3">
        <f>$H74*factors!CQ$3</f>
        <v>0.44616622854120003</v>
      </c>
      <c r="CX74" s="3">
        <f>$H74*factors!CR$3</f>
        <v>0.43942655741519998</v>
      </c>
      <c r="CY74" s="3">
        <f>$H74*factors!CS$3</f>
        <v>0.43538275473959998</v>
      </c>
      <c r="CZ74" s="3">
        <f>$H74*factors!CT$3</f>
        <v>0.42909239502199992</v>
      </c>
      <c r="DA74" s="3">
        <f>$H74*factors!CU$3</f>
        <v>0.44550368460000001</v>
      </c>
      <c r="DB74" s="3">
        <f>$H74*factors!CV$3</f>
        <v>0.47429007652800004</v>
      </c>
      <c r="DC74" s="3">
        <f>$H74*factors!CW$3</f>
        <v>0.454185294864</v>
      </c>
      <c r="DD74" s="3">
        <f>$H74*factors!CX$3</f>
        <v>0.45098680687199999</v>
      </c>
      <c r="DE74" s="3">
        <f>$H74*factors!CY$3</f>
        <v>0.46423768569600005</v>
      </c>
      <c r="DF74" s="3">
        <f>$H74*factors!CZ$3</f>
        <v>0.46332383198399996</v>
      </c>
      <c r="DG74" s="3">
        <f>$H74*factors!DA$3</f>
        <v>0.46149612456</v>
      </c>
      <c r="DH74" s="3">
        <f>$H74*factors!DB$3</f>
        <v>0.46149612456</v>
      </c>
      <c r="DI74" s="3">
        <f>$H74*factors!DC$3</f>
        <v>0.44413290403199995</v>
      </c>
      <c r="DJ74" s="3">
        <f>$H74*factors!DD$3</f>
        <v>0.47063466168000001</v>
      </c>
      <c r="DK74" s="3">
        <f>$H74*factors!DE$3</f>
        <v>0.47063466168000001</v>
      </c>
      <c r="DL74" s="3">
        <f>$H74*factors!DF$3</f>
        <v>0.46515153940800003</v>
      </c>
      <c r="DM74" s="3">
        <f>$H74*factors!DG$3</f>
        <v>0.43819285490399995</v>
      </c>
      <c r="DN74" s="3">
        <f>$H74*factors!DH$3</f>
        <v>0.45966841713600004</v>
      </c>
      <c r="DO74" s="3">
        <f>$H74*factors!DI$3</f>
        <v>0.474747003384</v>
      </c>
      <c r="DP74" s="3">
        <f>$H74*factors!DJ$3</f>
        <v>0.47063466168000001</v>
      </c>
      <c r="DQ74" s="3">
        <f>$H74*factors!DK$3</f>
        <v>0.44870217259199996</v>
      </c>
      <c r="DR74" s="3">
        <f>$H74*factors!DL$3</f>
        <v>0.44367597717600005</v>
      </c>
      <c r="DS74" s="3">
        <f>$H74*factors!DM$3</f>
        <v>0.47931627194400001</v>
      </c>
      <c r="DT74" s="3">
        <f>$H74*factors!DN$3</f>
        <v>0.45052988001600003</v>
      </c>
      <c r="DU74" s="3">
        <f>$H74*factors!DO$3</f>
        <v>0.47154851539199999</v>
      </c>
      <c r="DV74" s="3">
        <f>$H74*factors!DP$3</f>
        <v>0.46058227084800002</v>
      </c>
      <c r="DW74" s="3">
        <f>$H74*factors!DQ$3</f>
        <v>0.439563635472</v>
      </c>
      <c r="DX74" s="3">
        <f>$H74*factors!DR$3</f>
        <v>0.46560846626399999</v>
      </c>
      <c r="DY74" s="3">
        <f>$H74*factors!DS$3</f>
        <v>0.44184826975199998</v>
      </c>
      <c r="DZ74" s="3">
        <f>$H74*factors!DT$3</f>
        <v>0.47246236910399997</v>
      </c>
      <c r="EA74" s="3">
        <f>$H74*factors!DU$3</f>
        <v>0.44504675774399999</v>
      </c>
      <c r="EB74" s="3">
        <f>$H74*factors!DV$3</f>
        <v>0.43408051319999996</v>
      </c>
      <c r="EC74" s="3">
        <f>$H74*factors!DW$3</f>
        <v>0.46697924683199998</v>
      </c>
      <c r="ED74" s="3">
        <f>$H74*factors!DX$3</f>
        <v>0.43819285490399995</v>
      </c>
      <c r="EE74" s="3">
        <f>$H74*factors!DY$3</f>
        <v>0.44184826975199998</v>
      </c>
      <c r="EF74" s="3">
        <f>$H74*factors!DZ$3</f>
        <v>0.47931627194400001</v>
      </c>
      <c r="EG74" s="3">
        <f>$H74*factors!EA$3</f>
        <v>0.44778831887999998</v>
      </c>
      <c r="EH74" s="3">
        <f>$H74*factors!EB$3</f>
        <v>0.44915909944800003</v>
      </c>
      <c r="EI74" s="3">
        <f>$H74*factors!EC$3</f>
        <v>0.44824524573600005</v>
      </c>
      <c r="EJ74" s="3">
        <f>$H74*factors!ED$3</f>
        <v>0.43682207433600001</v>
      </c>
      <c r="EK74" s="3">
        <f>$H74*factors!EE$3</f>
        <v>0.46697924683199998</v>
      </c>
      <c r="EL74" s="3">
        <f>$H74*factors!EF$3</f>
        <v>0.44413290403199995</v>
      </c>
      <c r="EM74" s="3">
        <f>$H74*factors!EG$3</f>
        <v>0.46195305141599996</v>
      </c>
      <c r="EN74" s="3">
        <f>$H74*factors!EH$3</f>
        <v>0.43408051319999996</v>
      </c>
      <c r="EO74" s="3">
        <f>$H74*factors!EI$3</f>
        <v>0.44047748918399998</v>
      </c>
      <c r="EP74" s="3">
        <f>$H74*factors!EJ$3</f>
        <v>0.46469461255200001</v>
      </c>
      <c r="EQ74" s="3">
        <f>$H74*factors!EK$3</f>
        <v>0.45190066058399997</v>
      </c>
      <c r="ER74" s="3">
        <f>$H74*factors!EL$3</f>
        <v>0.47063466168000001</v>
      </c>
      <c r="ES74" s="3">
        <f>$H74*factors!EM$3</f>
        <v>0.46469461255200001</v>
      </c>
      <c r="ET74" s="3">
        <f>$H74*factors!EN$3</f>
        <v>0.47520393024000002</v>
      </c>
      <c r="EU74" s="3">
        <f>$H74*factors!EO$3</f>
        <v>0.47977319880000002</v>
      </c>
      <c r="EV74" s="3">
        <f>$H74*factors!EP$3</f>
        <v>0.44961602630399999</v>
      </c>
      <c r="EW74" s="3">
        <f>$H74*factors!EQ$3</f>
        <v>0.49452812852499994</v>
      </c>
      <c r="EX74" s="3">
        <f>$H74*factors!ER$3</f>
        <v>0.4892925083000001</v>
      </c>
      <c r="EY74" s="3">
        <f>$H74*factors!ES$3</f>
        <v>0.49928778327499995</v>
      </c>
      <c r="EZ74" s="3">
        <f>$H74*factors!ET$3</f>
        <v>0.49452812852499994</v>
      </c>
      <c r="FA74" s="3">
        <f>$H74*factors!EU$3</f>
        <v>0.45454702862499996</v>
      </c>
      <c r="FB74" s="3">
        <f>$H74*factors!EV$3</f>
        <v>0.47501354405000007</v>
      </c>
      <c r="FC74" s="3">
        <f>$H74*factors!EW$3</f>
        <v>0.48834057735000003</v>
      </c>
      <c r="FD74" s="3">
        <f>$H74*factors!EX$3</f>
        <v>0.47120582025000002</v>
      </c>
      <c r="FE74" s="3">
        <f>$H74*factors!EY$3</f>
        <v>0.49643199042500002</v>
      </c>
      <c r="FF74" s="3">
        <f>$H74*factors!EZ$3</f>
        <v>0.49690795590000009</v>
      </c>
      <c r="FG74" s="3">
        <f>$H74*factors!FA$3</f>
        <v>0.45454702862499996</v>
      </c>
      <c r="FH74" s="3">
        <f>$H74*factors!FB$3</f>
        <v>0.478345302375</v>
      </c>
      <c r="FI74" s="3">
        <f>$H74*factors!FC$3</f>
        <v>0.49833585232499999</v>
      </c>
      <c r="FJ74" s="3">
        <f>$H74*factors!FD$3</f>
        <v>0.478345302375</v>
      </c>
      <c r="FK74" s="3">
        <f>$H74*factors!FE$3</f>
        <v>0.48643671545000006</v>
      </c>
      <c r="FL74" s="3">
        <f>$H74*factors!FF$3</f>
        <v>0.48786461187500002</v>
      </c>
      <c r="FM74" s="3">
        <f>$H74*factors!FG$3</f>
        <v>0.49310023209999998</v>
      </c>
      <c r="FN74" s="3">
        <f>$H74*factors!FH$3</f>
        <v>0.46121054527499999</v>
      </c>
      <c r="FO74" s="3">
        <f>$H74*factors!FI$3</f>
        <v>0.48976847377499999</v>
      </c>
      <c r="FP74" s="3">
        <f>$H74*factors!FJ$3</f>
        <v>0.47596547500000003</v>
      </c>
      <c r="FQ74" s="3">
        <f>$H74*factors!FK$3</f>
        <v>0.47120582025000002</v>
      </c>
      <c r="FR74" s="3">
        <f>$H74*factors!FL$3</f>
        <v>0.48072512975000004</v>
      </c>
      <c r="FS74" s="3">
        <f>$H74*factors!FM$3</f>
        <v>0.4778693369</v>
      </c>
      <c r="FT74" s="3">
        <f>$H74*factors!FN$3</f>
        <v>0.48834057735000003</v>
      </c>
      <c r="FU74" s="3">
        <f>$H74*factors!FO$3</f>
        <v>0.46930195834999999</v>
      </c>
      <c r="FV74" s="3">
        <f>$H74*factors!FP$3</f>
        <v>0.46549423455</v>
      </c>
      <c r="FW74" s="3">
        <f>$H74*factors!FQ$3</f>
        <v>0.49833585232499999</v>
      </c>
      <c r="FX74" s="3">
        <f>$H74*factors!FR$3</f>
        <v>0.4892925083000001</v>
      </c>
      <c r="FY74" s="3">
        <f>$H74*factors!FS$3</f>
        <v>0.47929723332499996</v>
      </c>
      <c r="FZ74" s="3">
        <f>$H74*factors!FT$3</f>
        <v>0.45549895957500003</v>
      </c>
      <c r="GA74" s="3">
        <f>$H74*factors!FU$3</f>
        <v>0.47929723332499996</v>
      </c>
      <c r="GB74" s="3">
        <f>$H74*factors!FV$3</f>
        <v>0.49690795590000009</v>
      </c>
      <c r="GC74" s="3">
        <f>$H74*factors!FW$3</f>
        <v>0.46549423455</v>
      </c>
      <c r="GD74" s="3">
        <f>$H74*factors!FX$3</f>
        <v>0.47358564762499999</v>
      </c>
      <c r="GE74" s="3">
        <f>$H74*factors!FY$3</f>
        <v>0.47358564762499999</v>
      </c>
      <c r="GF74" s="3">
        <f>$H74*factors!FZ$3</f>
        <v>0.47215775120000003</v>
      </c>
      <c r="GG74" s="3">
        <f>$H74*factors!GA$3</f>
        <v>0.453595097675</v>
      </c>
      <c r="GH74" s="3">
        <f>$H74*factors!GB$3</f>
        <v>0.48262899165000006</v>
      </c>
      <c r="GI74" s="3">
        <f>$H74*factors!GC$3</f>
        <v>0.45264316672499999</v>
      </c>
      <c r="GJ74" s="3">
        <f>$H74*factors!GD$3</f>
        <v>0.453595097675</v>
      </c>
      <c r="GK74" s="3">
        <f>$H74*factors!GE$3</f>
        <v>0.46501826907499999</v>
      </c>
      <c r="GL74" s="3">
        <f>$H74*factors!GF$3</f>
        <v>0.49262426662500003</v>
      </c>
      <c r="GM74" s="3">
        <f>$H74*factors!GG$3</f>
        <v>0.46692213097500007</v>
      </c>
      <c r="GN74" s="3">
        <f>$H74*factors!GH$3</f>
        <v>0.48167706070000005</v>
      </c>
      <c r="GO74" s="3">
        <f>$H74*factors!GI$3</f>
        <v>0.45502299409999997</v>
      </c>
      <c r="GP74" s="3">
        <f>$H74*factors!GJ$3</f>
        <v>0.48786461187500002</v>
      </c>
      <c r="GQ74" s="3">
        <f>$H74*factors!GK$3</f>
        <v>0.49785988685000004</v>
      </c>
      <c r="GR74" s="3">
        <f>$H74*factors!GL$3</f>
        <v>0.48834057735000003</v>
      </c>
      <c r="GS74" s="3">
        <f>$H74*factors!GM$3</f>
        <v>0.46181978108300004</v>
      </c>
      <c r="GT74" s="3">
        <f>$H74*factors!GN$3</f>
        <v>0.47245856138020004</v>
      </c>
      <c r="GU74" s="3">
        <f>$H74*factors!GO$3</f>
        <v>0.48358092260000002</v>
      </c>
      <c r="GV74" s="3">
        <f>$H74*factors!GP$3</f>
        <v>0.46423768569600005</v>
      </c>
      <c r="GW74" s="3">
        <f>$H74*factors!GQ$3</f>
        <v>0.48067943706440003</v>
      </c>
      <c r="GX74" s="3">
        <f>$H74*factors!GR$3</f>
        <v>0.47294214230280002</v>
      </c>
      <c r="GY74" s="3">
        <f>$H74*factors!GS$3</f>
        <v>0.47052423768980006</v>
      </c>
      <c r="GZ74" s="3">
        <f>$H74*factors!GT$3</f>
        <v>0.48793315090339995</v>
      </c>
      <c r="HA74" s="3">
        <f>$H74*factors!GU$3</f>
        <v>0.4719749804576</v>
      </c>
      <c r="HB74" s="3">
        <f>$H74*factors!GV$3</f>
        <v>0.48793315090339995</v>
      </c>
      <c r="HC74" s="3">
        <f>$H74*factors!GW$3</f>
        <v>0.47584362783840001</v>
      </c>
      <c r="HD74" s="3">
        <f>$H74*factors!GX$3</f>
        <v>0.48986747459379998</v>
      </c>
      <c r="HE74" s="3">
        <f>$H74*factors!GY$3</f>
        <v>0.48358092260000002</v>
      </c>
      <c r="HF74" s="3">
        <f>$H74*factors!GZ$3</f>
        <v>0.4985719312006</v>
      </c>
      <c r="HG74" s="3">
        <f>$H74*factors!HA$3</f>
        <v>0.47922869429660003</v>
      </c>
      <c r="HH74" s="3">
        <f>$H74*factors!HB$3</f>
        <v>0.47294214230280002</v>
      </c>
      <c r="HI74" s="3">
        <f>$H74*factors!HC$3</f>
        <v>0.46713917123160004</v>
      </c>
      <c r="HJ74" s="3">
        <f>$H74*factors!HD$3</f>
        <v>0.46181978108300004</v>
      </c>
      <c r="HK74" s="3">
        <f>$H74*factors!HE$3</f>
        <v>0.48841673182599998</v>
      </c>
      <c r="HL74" s="3">
        <f>$H74*factors!HF$3</f>
        <v>0.46036903831519999</v>
      </c>
      <c r="HM74" s="3">
        <f>$H74*factors!HG$3</f>
        <v>0.46520484754120006</v>
      </c>
      <c r="HN74" s="3">
        <f>$H74*factors!HH$3</f>
        <v>0.49615402658760005</v>
      </c>
      <c r="HO74" s="3">
        <f>$H74*factors!HI$3</f>
        <v>0.47584362783840001</v>
      </c>
      <c r="HP74" s="3">
        <f>$H74*factors!HJ$3</f>
        <v>0.50775996873000007</v>
      </c>
      <c r="HQ74" s="3">
        <f>$H74*factors!HK$3</f>
        <v>0.46423768569600005</v>
      </c>
      <c r="HR74" s="3">
        <f>$H74*factors!HL$3</f>
        <v>0.4922853792068001</v>
      </c>
      <c r="HS74" s="3">
        <f>$H74*factors!HM$3</f>
        <v>0.50098983581360002</v>
      </c>
      <c r="HT74" s="3">
        <f>$H74*factors!HN$3</f>
        <v>0.46713917123160004</v>
      </c>
      <c r="HU74" s="3">
        <f>$H74*factors!HO$3</f>
        <v>0.4719749804576</v>
      </c>
      <c r="HV74" s="3">
        <f>$H74*factors!HP$3</f>
        <v>0.47777795152880004</v>
      </c>
      <c r="HW74" s="3">
        <f>$H74*factors!HQ$3</f>
        <v>0.48454808444520003</v>
      </c>
      <c r="HX74" s="3">
        <f>$H74*factors!HR$3</f>
        <v>0.50437490227179993</v>
      </c>
      <c r="HY74" s="3">
        <f>$H74*factors!HS$3</f>
        <v>0.47922869429660003</v>
      </c>
      <c r="HZ74" s="3">
        <f>$H74*factors!HT$3</f>
        <v>0.49760476935539999</v>
      </c>
      <c r="IA74" s="3">
        <f>$H74*factors!HU$3</f>
        <v>0.47342572322540005</v>
      </c>
      <c r="IB74" s="3">
        <f>$H74*factors!HV$3</f>
        <v>0.48986747459379998</v>
      </c>
      <c r="IC74" s="3">
        <f>$H74*factors!HW$3</f>
        <v>0.4947032838198</v>
      </c>
      <c r="ID74" s="3">
        <f>$H74*factors!HX$3</f>
        <v>0.45940187646999997</v>
      </c>
      <c r="IE74" s="3">
        <f>$H74*factors!HY$3</f>
        <v>0.48793315090339995</v>
      </c>
      <c r="IF74" s="3">
        <f>$H74*factors!HZ$3</f>
        <v>0.48503166536779996</v>
      </c>
      <c r="IG74" s="3">
        <f>$H74*factors!IA$3</f>
        <v>0.48067943706440003</v>
      </c>
      <c r="IH74" s="3">
        <f>$H74*factors!IB$3</f>
        <v>0.4985719312006</v>
      </c>
      <c r="II74" s="3">
        <f>$H74*factors!IC$3</f>
        <v>0.4772943706062</v>
      </c>
      <c r="IJ74" s="3">
        <f>$H74*factors!ID$3</f>
        <v>0.48164659890960004</v>
      </c>
      <c r="IK74" s="3">
        <f>$H74*factors!IE$3</f>
        <v>0.49905551212320004</v>
      </c>
      <c r="IL74" s="3">
        <f>$H74*factors!IF$3</f>
        <v>0.47777795152880004</v>
      </c>
      <c r="IM74" s="3">
        <f>$H74*factors!IG$3</f>
        <v>0.47342572322540005</v>
      </c>
      <c r="IN74" s="3">
        <f>$H74*factors!IH$3</f>
        <v>0.47632720876100004</v>
      </c>
      <c r="IO74" s="3">
        <f>$H74*factors!II$3</f>
        <v>0.48116301798700001</v>
      </c>
      <c r="IP74" s="3">
        <f>$H74*factors!IJ$3</f>
        <v>0.46520484754120006</v>
      </c>
      <c r="IQ74" s="3">
        <f>$H74*factors!IK$3</f>
        <v>0.46375410477340001</v>
      </c>
      <c r="IR74" s="3">
        <f>$H74*factors!IL$3</f>
        <v>0.4772943706062</v>
      </c>
      <c r="IS74" s="3">
        <f>$H74*factors!IM$3</f>
        <v>0.48116301798700001</v>
      </c>
      <c r="IT74" s="3">
        <f>$H74*factors!IN$3</f>
        <v>0.48454808444520003</v>
      </c>
      <c r="IU74" s="3">
        <f>$H74*factors!IO$3</f>
        <v>0.49518686474240003</v>
      </c>
      <c r="IV74" s="3">
        <f>$H74*factors!IP$3</f>
        <v>0.50147341673619994</v>
      </c>
      <c r="IW74" s="3">
        <f>$H74*factors!IQ$3</f>
        <v>0.47390930414799998</v>
      </c>
      <c r="IX74" s="3">
        <f>$H74*factors!IR$3</f>
        <v>0.49518686474240003</v>
      </c>
      <c r="IY74" s="3">
        <f>$H74*factors!IS$3</f>
        <v>0.48793315090339995</v>
      </c>
      <c r="IZ74" s="3">
        <f>$H74*factors!IT$3</f>
        <v>0.49615402658760005</v>
      </c>
      <c r="JA74" s="3">
        <f>$H74*factors!IU$3</f>
        <v>0.46858991399939998</v>
      </c>
      <c r="JB74" s="3">
        <f>$H74*factors!IV$3</f>
        <v>0.4772943706062</v>
      </c>
      <c r="JC74" s="3">
        <f>$H74*factors!IW$3</f>
        <v>0.46617200938640002</v>
      </c>
      <c r="JD74" s="3">
        <f>$H74*factors!IX$3</f>
        <v>0.50775996873000007</v>
      </c>
      <c r="JE74" s="3">
        <f>$H74*factors!IY$3</f>
        <v>0.46762275215420002</v>
      </c>
      <c r="JF74" s="3">
        <f>$H74*factors!IZ$3</f>
        <v>0.49083463643899994</v>
      </c>
      <c r="JG74" s="3">
        <f>$H74*factors!JA$3</f>
        <v>0.48213017983220002</v>
      </c>
      <c r="JH74" s="3">
        <f>$H74*factors!JB$3</f>
        <v>0.49131821736160008</v>
      </c>
      <c r="JI74" s="3">
        <f>$H74*factors!JC$3</f>
        <v>0.45988545739260001</v>
      </c>
      <c r="JJ74" s="3">
        <f>$H74*factors!JD$3</f>
        <v>0.49518686474240003</v>
      </c>
      <c r="JK74" s="3">
        <f>$H74*factors!JE$3</f>
        <v>0.47922869429660003</v>
      </c>
      <c r="JL74" s="3">
        <f>$H74*factors!JF$3</f>
        <v>0.4985719312006</v>
      </c>
      <c r="JM74" s="3">
        <f>$H74*factors!JG$3</f>
        <v>0.46520484754120006</v>
      </c>
      <c r="JN74" s="3">
        <f>$H74*factors!JH$3</f>
        <v>0.46520484754120006</v>
      </c>
      <c r="JO74" s="3">
        <f>$H74*factors!JI$3</f>
        <v>0.45940187646999997</v>
      </c>
      <c r="JP74" s="3">
        <f>$H74*factors!JJ$3</f>
        <v>0.49663760751020003</v>
      </c>
      <c r="JQ74" s="3">
        <f>$H74*factors!JK$3</f>
        <v>0.4840645035226</v>
      </c>
      <c r="JR74" s="3">
        <f>$H74*factors!JL$3</f>
        <v>0.50292415950400005</v>
      </c>
      <c r="JS74" s="3">
        <f>$H74*factors!JM$3</f>
        <v>0.45940187646999997</v>
      </c>
      <c r="JT74" s="3">
        <f>$H74*factors!JN$3</f>
        <v>0.48261376075480006</v>
      </c>
      <c r="JU74" s="3">
        <f>$H74*factors!JO$3</f>
        <v>0.466655590309</v>
      </c>
      <c r="JV74" s="3">
        <f>$H74*factors!JP$3</f>
        <v>0.47439288507060001</v>
      </c>
      <c r="JW74" s="3">
        <f>$H74*factors!JQ$3</f>
        <v>0.50679280688480011</v>
      </c>
      <c r="JX74" s="3">
        <f>$H74*factors!JR$3</f>
        <v>0.50195699765879997</v>
      </c>
      <c r="JY74" s="3">
        <f>$H74*factors!JS$3</f>
        <v>0.47245856138020004</v>
      </c>
      <c r="JZ74" s="3">
        <f>$H74*factors!JT$3</f>
        <v>0.47777795152880004</v>
      </c>
      <c r="KA74" s="3">
        <f>$H74*factors!JU$3</f>
        <v>0.47971227521920007</v>
      </c>
      <c r="KB74" s="3">
        <f>$H74*factors!JV$3</f>
        <v>0.46375410477340001</v>
      </c>
      <c r="KC74" s="3">
        <f>$H74*factors!JW$3</f>
        <v>0.46617200938640002</v>
      </c>
      <c r="KD74" s="3">
        <f>$H74*factors!JX$3</f>
        <v>0.466655590309</v>
      </c>
      <c r="KE74" s="3">
        <f>$H74*factors!JY$3</f>
        <v>0.49663760751020003</v>
      </c>
      <c r="KF74" s="3">
        <f>$H74*factors!JZ$3</f>
        <v>0.50244057858140001</v>
      </c>
      <c r="KG74" s="3">
        <f>$H74*factors!KA$3</f>
        <v>0.48454808444520003</v>
      </c>
      <c r="KH74" s="3">
        <f>$H74*factors!KB$3</f>
        <v>0.47390930414799998</v>
      </c>
      <c r="KI74" s="3">
        <f>$H74*factors!KC$3</f>
        <v>0.46955707584459999</v>
      </c>
    </row>
    <row r="75" spans="1:295" x14ac:dyDescent="0.55000000000000004">
      <c r="A75" t="s">
        <v>451</v>
      </c>
      <c r="B75">
        <v>74</v>
      </c>
      <c r="C75">
        <v>230</v>
      </c>
      <c r="D75" t="s">
        <v>377</v>
      </c>
      <c r="E75">
        <v>7.1729999999999997E-3</v>
      </c>
      <c r="F75">
        <v>74</v>
      </c>
      <c r="G75">
        <f>VLOOKUP(D75,demand_forecasted!$A$2:$G$11,2)</f>
        <v>11098</v>
      </c>
      <c r="H75" s="3">
        <f t="shared" si="1"/>
        <v>0.79605954000000001</v>
      </c>
      <c r="I75" s="3">
        <f>$H75*factors!C$3</f>
        <v>0.88123791078000002</v>
      </c>
      <c r="J75" s="3">
        <f>$H75*factors!D$3</f>
        <v>0.84942737156159998</v>
      </c>
      <c r="K75" s="3">
        <f>$H75*factors!E$3</f>
        <v>0.83481171840720003</v>
      </c>
      <c r="L75" s="3">
        <f>$H75*factors!F$3</f>
        <v>0.83223248549760009</v>
      </c>
      <c r="M75" s="3">
        <f>$H75*factors!G$3</f>
        <v>0.83137274119439997</v>
      </c>
      <c r="N75" s="3">
        <f>$H75*factors!H$3</f>
        <v>0.85544558168399998</v>
      </c>
      <c r="O75" s="3">
        <f>$H75*factors!I$3</f>
        <v>0.8743599563544</v>
      </c>
      <c r="P75" s="3">
        <f>$H75*factors!J$3</f>
        <v>0.88467688799280009</v>
      </c>
      <c r="Q75" s="3">
        <f>$H75*factors!K$3</f>
        <v>0.83051299689119995</v>
      </c>
      <c r="R75" s="3">
        <f>$H75*factors!L$3</f>
        <v>0.81675708804000002</v>
      </c>
      <c r="S75" s="3">
        <f>$H75*factors!M$3</f>
        <v>0.85028711586479999</v>
      </c>
      <c r="T75" s="3">
        <f>$H75*factors!N$3</f>
        <v>0.8795184221736001</v>
      </c>
      <c r="U75" s="3">
        <f>$H75*factors!O$3</f>
        <v>0.83309222980080011</v>
      </c>
      <c r="V75" s="3">
        <f>$H75*factors!P$3</f>
        <v>0.86662225762560008</v>
      </c>
      <c r="W75" s="3">
        <f>$H75*factors!Q$3</f>
        <v>0.8743599563544</v>
      </c>
      <c r="X75" s="3">
        <f>$H75*factors!R$3</f>
        <v>0.83653120701359995</v>
      </c>
      <c r="Y75" s="3">
        <f>$H75*factors!S$3</f>
        <v>0.82879350828480003</v>
      </c>
      <c r="Z75" s="3">
        <f>$H75*factors!T$3</f>
        <v>0.89413407532800016</v>
      </c>
      <c r="AA75" s="3">
        <f>$H75*factors!U$3</f>
        <v>0.84426890574239999</v>
      </c>
      <c r="AB75" s="3">
        <f>$H75*factors!V$3</f>
        <v>0.84512865004560012</v>
      </c>
      <c r="AC75" s="3">
        <f>$H75*factors!W$3</f>
        <v>0.84598839434880013</v>
      </c>
      <c r="AD75" s="3">
        <f>$H75*factors!X$3</f>
        <v>0.82793376398160012</v>
      </c>
      <c r="AE75" s="3">
        <f>$H75*factors!Y$3</f>
        <v>0.83481171840720003</v>
      </c>
      <c r="AF75" s="3">
        <f>$H75*factors!Z$3</f>
        <v>0.85200660447120014</v>
      </c>
      <c r="AG75" s="3">
        <f>$H75*factors!AA$3</f>
        <v>0.83051299689119995</v>
      </c>
      <c r="AH75" s="3">
        <f>$H75*factors!AB$3</f>
        <v>0.82707401967840011</v>
      </c>
      <c r="AI75" s="3">
        <f>$H75*factors!AC$3</f>
        <v>0.85372609307760006</v>
      </c>
      <c r="AJ75" s="3">
        <f>$H75*factors!AD$3</f>
        <v>0.88639637659920001</v>
      </c>
      <c r="AK75" s="3">
        <f>$H75*factors!AE$3</f>
        <v>0.85286634877440004</v>
      </c>
      <c r="AL75" s="3">
        <f>$H75*factors!AF$3</f>
        <v>0.81933632094959996</v>
      </c>
      <c r="AM75" s="3">
        <f>$H75*factors!AG$3</f>
        <v>0.84254941713600007</v>
      </c>
      <c r="AN75" s="3">
        <f>$H75*factors!AH$3</f>
        <v>0.82879350828480003</v>
      </c>
      <c r="AO75" s="3">
        <f>$H75*factors!AI$3</f>
        <v>0.868341746232</v>
      </c>
      <c r="AP75" s="3">
        <f>$H75*factors!AJ$3</f>
        <v>0.83223248549760009</v>
      </c>
      <c r="AQ75" s="3">
        <f>$H75*factors!AK$3</f>
        <v>0.85888455889680004</v>
      </c>
      <c r="AR75" s="3">
        <f>$H75*factors!AL$3</f>
        <v>0.83997018422640013</v>
      </c>
      <c r="AS75" s="3">
        <f>$H75*factors!AM$3</f>
        <v>0.81933632094959996</v>
      </c>
      <c r="AT75" s="3">
        <f>$H75*factors!AN$3</f>
        <v>0.84512865004560012</v>
      </c>
      <c r="AU75" s="3">
        <f>$H75*factors!AO$3</f>
        <v>0.89499381963119995</v>
      </c>
      <c r="AV75" s="3">
        <f>$H75*factors!AP$3</f>
        <v>0.84598839434880013</v>
      </c>
      <c r="AW75" s="3">
        <f>$H75*factors!AQ$3</f>
        <v>0.83739095131679997</v>
      </c>
      <c r="AX75" s="3">
        <f>$H75*factors!AR$3</f>
        <v>0.8855366322960001</v>
      </c>
      <c r="AY75" s="3">
        <f>$H75*factors!AS$3</f>
        <v>0.81675708804000002</v>
      </c>
      <c r="AZ75" s="3">
        <f>$H75*factors!AT$3</f>
        <v>0.87521970065760013</v>
      </c>
      <c r="BA75" s="3">
        <f>$H75*factors!AU$3</f>
        <v>0.85630532598719999</v>
      </c>
      <c r="BB75" s="3">
        <f>$H75*factors!AV$3</f>
        <v>0.84512865004560012</v>
      </c>
      <c r="BC75" s="3">
        <f>$H75*factors!AW$3</f>
        <v>0.89413407532800016</v>
      </c>
      <c r="BD75" s="3">
        <f>$H75*factors!AX$3</f>
        <v>0.82535453107199996</v>
      </c>
      <c r="BE75" s="3">
        <f>$H75*factors!AY$3</f>
        <v>0.9703488156875999</v>
      </c>
      <c r="BF75" s="3">
        <f>$H75*factors!AZ$3</f>
        <v>0.90365494742639996</v>
      </c>
      <c r="BG75" s="3">
        <f>$H75*factors!BA$3</f>
        <v>0.91680585102719991</v>
      </c>
      <c r="BH75" s="3">
        <f>$H75*factors!BB$3</f>
        <v>0.92901740437079994</v>
      </c>
      <c r="BI75" s="3">
        <f>$H75*factors!BC$3</f>
        <v>0.96283401362999987</v>
      </c>
      <c r="BJ75" s="3">
        <f>$H75*factors!BD$3</f>
        <v>0.91962390179879994</v>
      </c>
      <c r="BK75" s="3">
        <f>$H75*factors!BE$3</f>
        <v>0.92150260231319991</v>
      </c>
      <c r="BL75" s="3">
        <f>$H75*factors!BF$3</f>
        <v>0.91116974948399987</v>
      </c>
      <c r="BM75" s="3">
        <f>$H75*factors!BG$3</f>
        <v>0.97316686645920003</v>
      </c>
      <c r="BN75" s="3">
        <f>$H75*factors!BH$3</f>
        <v>0.9609553131155999</v>
      </c>
      <c r="BO75" s="3">
        <f>$H75*factors!BI$3</f>
        <v>0.90365494742639996</v>
      </c>
      <c r="BP75" s="3">
        <f>$H75*factors!BJ$3</f>
        <v>0.90083689665479993</v>
      </c>
      <c r="BQ75" s="3">
        <f>$H75*factors!BK$3</f>
        <v>0.91586650076999987</v>
      </c>
      <c r="BR75" s="3">
        <f>$H75*factors!BL$3</f>
        <v>0.94874375977199998</v>
      </c>
      <c r="BS75" s="3">
        <f>$H75*factors!BM$3</f>
        <v>0.96377336388720003</v>
      </c>
      <c r="BT75" s="3">
        <f>$H75*factors!BN$3</f>
        <v>0.96659141465879994</v>
      </c>
      <c r="BU75" s="3">
        <f>$H75*factors!BO$3</f>
        <v>0.98256036903120003</v>
      </c>
      <c r="BV75" s="3">
        <f>$H75*factors!BP$3</f>
        <v>0.9139878002556</v>
      </c>
      <c r="BW75" s="3">
        <f>$H75*factors!BQ$3</f>
        <v>0.93465350591399998</v>
      </c>
      <c r="BX75" s="3">
        <f>$H75*factors!BR$3</f>
        <v>0.91680585102719991</v>
      </c>
      <c r="BY75" s="3">
        <f>$H75*factors!BS$3</f>
        <v>0.95907661260119981</v>
      </c>
      <c r="BZ75" s="3">
        <f>$H75*factors!BT$3</f>
        <v>0.94122895771439985</v>
      </c>
      <c r="CA75" s="3">
        <f>$H75*factors!BU$3</f>
        <v>0.92901740437079994</v>
      </c>
      <c r="CB75" s="3">
        <f>$H75*factors!BV$3</f>
        <v>0.89895819614039996</v>
      </c>
      <c r="CC75" s="3">
        <f>$H75*factors!BW$3</f>
        <v>0.92526000334199987</v>
      </c>
      <c r="CD75" s="3">
        <f>$H75*factors!BX$3</f>
        <v>0.9280780541136</v>
      </c>
      <c r="CE75" s="3">
        <f>$H75*factors!BY$3</f>
        <v>0.94122895771439985</v>
      </c>
      <c r="CF75" s="3">
        <f>$H75*factors!BZ$3</f>
        <v>0.92713870385640007</v>
      </c>
      <c r="CG75" s="3">
        <f>$H75*factors!CA$3</f>
        <v>0.89614014536879982</v>
      </c>
      <c r="CH75" s="3">
        <f>$H75*factors!CB$3</f>
        <v>0.89707949562599987</v>
      </c>
      <c r="CI75" s="3">
        <f>$H75*factors!CC$3</f>
        <v>0.89238274433999998</v>
      </c>
      <c r="CJ75" s="3">
        <f>$H75*factors!CD$3</f>
        <v>0.92901740437079994</v>
      </c>
      <c r="CK75" s="3">
        <f>$H75*factors!CE$3</f>
        <v>0.9703488156875999</v>
      </c>
      <c r="CL75" s="3">
        <f>$H75*factors!CF$3</f>
        <v>0.9092910489696</v>
      </c>
      <c r="CM75" s="3">
        <f>$H75*factors!CG$3</f>
        <v>0.93089610488519992</v>
      </c>
      <c r="CN75" s="3">
        <f>$H75*factors!CH$3</f>
        <v>0.89989754639759989</v>
      </c>
      <c r="CO75" s="3">
        <f>$H75*factors!CI$3</f>
        <v>0.90647299819799987</v>
      </c>
      <c r="CP75" s="3">
        <f>$H75*factors!CJ$3</f>
        <v>0.94968311002919981</v>
      </c>
      <c r="CQ75" s="3">
        <f>$H75*factors!CK$3</f>
        <v>0.92150260231319991</v>
      </c>
      <c r="CR75" s="3">
        <f>$H75*factors!CL$3</f>
        <v>0.95062246028639996</v>
      </c>
      <c r="CS75" s="3">
        <f>$H75*factors!CM$3</f>
        <v>0.98068166851679994</v>
      </c>
      <c r="CT75" s="3">
        <f>$H75*factors!CN$3</f>
        <v>0.96940946543039996</v>
      </c>
      <c r="CU75" s="3">
        <f>$H75*factors!CO$3</f>
        <v>0.94780440951479983</v>
      </c>
      <c r="CV75" s="3">
        <f>$H75*factors!CP$3</f>
        <v>0.98631777005999988</v>
      </c>
      <c r="CW75" s="3">
        <f>$H75*factors!CQ$3</f>
        <v>0.9327748053996</v>
      </c>
      <c r="CX75" s="3">
        <f>$H75*factors!CR$3</f>
        <v>0.9186845515416</v>
      </c>
      <c r="CY75" s="3">
        <f>$H75*factors!CS$3</f>
        <v>0.91023039922679994</v>
      </c>
      <c r="CZ75" s="3">
        <f>$H75*factors!CT$3</f>
        <v>0.89707949562599987</v>
      </c>
      <c r="DA75" s="3">
        <f>$H75*factors!CU$3</f>
        <v>0.93138966179999993</v>
      </c>
      <c r="DB75" s="3">
        <f>$H75*factors!CV$3</f>
        <v>0.99157176302400007</v>
      </c>
      <c r="DC75" s="3">
        <f>$H75*factors!CW$3</f>
        <v>0.94953981931199993</v>
      </c>
      <c r="DD75" s="3">
        <f>$H75*factors!CX$3</f>
        <v>0.94285291917599989</v>
      </c>
      <c r="DE75" s="3">
        <f>$H75*factors!CY$3</f>
        <v>0.97055579116800006</v>
      </c>
      <c r="DF75" s="3">
        <f>$H75*factors!CZ$3</f>
        <v>0.96864524827199994</v>
      </c>
      <c r="DG75" s="3">
        <f>$H75*factors!DA$3</f>
        <v>0.96482416248000002</v>
      </c>
      <c r="DH75" s="3">
        <f>$H75*factors!DB$3</f>
        <v>0.96482416248000002</v>
      </c>
      <c r="DI75" s="3">
        <f>$H75*factors!DC$3</f>
        <v>0.92852384745599992</v>
      </c>
      <c r="DJ75" s="3">
        <f>$H75*factors!DD$3</f>
        <v>0.98392959144000003</v>
      </c>
      <c r="DK75" s="3">
        <f>$H75*factors!DE$3</f>
        <v>0.98392959144000003</v>
      </c>
      <c r="DL75" s="3">
        <f>$H75*factors!DF$3</f>
        <v>0.97246633406400007</v>
      </c>
      <c r="DM75" s="3">
        <f>$H75*factors!DG$3</f>
        <v>0.91610531863199984</v>
      </c>
      <c r="DN75" s="3">
        <f>$H75*factors!DH$3</f>
        <v>0.961003076688</v>
      </c>
      <c r="DO75" s="3">
        <f>$H75*factors!DI$3</f>
        <v>0.99252703447199997</v>
      </c>
      <c r="DP75" s="3">
        <f>$H75*factors!DJ$3</f>
        <v>0.98392959144000003</v>
      </c>
      <c r="DQ75" s="3">
        <f>$H75*factors!DK$3</f>
        <v>0.93807656193599998</v>
      </c>
      <c r="DR75" s="3">
        <f>$H75*factors!DL$3</f>
        <v>0.92756857600800002</v>
      </c>
      <c r="DS75" s="3">
        <f>$H75*factors!DM$3</f>
        <v>1.0020797489519999</v>
      </c>
      <c r="DT75" s="3">
        <f>$H75*factors!DN$3</f>
        <v>0.941897647728</v>
      </c>
      <c r="DU75" s="3">
        <f>$H75*factors!DO$3</f>
        <v>0.98584013433599993</v>
      </c>
      <c r="DV75" s="3">
        <f>$H75*factors!DP$3</f>
        <v>0.96291361958400001</v>
      </c>
      <c r="DW75" s="3">
        <f>$H75*factors!DQ$3</f>
        <v>0.91897113297599986</v>
      </c>
      <c r="DX75" s="3">
        <f>$H75*factors!DR$3</f>
        <v>0.97342160551199997</v>
      </c>
      <c r="DY75" s="3">
        <f>$H75*factors!DS$3</f>
        <v>0.92374749021599989</v>
      </c>
      <c r="DZ75" s="3">
        <f>$H75*factors!DT$3</f>
        <v>0.98775067723199994</v>
      </c>
      <c r="EA75" s="3">
        <f>$H75*factors!DU$3</f>
        <v>0.93043439035199993</v>
      </c>
      <c r="EB75" s="3">
        <f>$H75*factors!DV$3</f>
        <v>0.9075078755999999</v>
      </c>
      <c r="EC75" s="3">
        <f>$H75*factors!DW$3</f>
        <v>0.97628741985599998</v>
      </c>
      <c r="ED75" s="3">
        <f>$H75*factors!DX$3</f>
        <v>0.91610531863199984</v>
      </c>
      <c r="EE75" s="3">
        <f>$H75*factors!DY$3</f>
        <v>0.92374749021599989</v>
      </c>
      <c r="EF75" s="3">
        <f>$H75*factors!DZ$3</f>
        <v>1.0020797489519999</v>
      </c>
      <c r="EG75" s="3">
        <f>$H75*factors!EA$3</f>
        <v>0.93616601903999996</v>
      </c>
      <c r="EH75" s="3">
        <f>$H75*factors!EB$3</f>
        <v>0.93903183338399998</v>
      </c>
      <c r="EI75" s="3">
        <f>$H75*factors!EC$3</f>
        <v>0.93712129048800008</v>
      </c>
      <c r="EJ75" s="3">
        <f>$H75*factors!ED$3</f>
        <v>0.91323950428800005</v>
      </c>
      <c r="EK75" s="3">
        <f>$H75*factors!EE$3</f>
        <v>0.97628741985599998</v>
      </c>
      <c r="EL75" s="3">
        <f>$H75*factors!EF$3</f>
        <v>0.92852384745599992</v>
      </c>
      <c r="EM75" s="3">
        <f>$H75*factors!EG$3</f>
        <v>0.96577943392799992</v>
      </c>
      <c r="EN75" s="3">
        <f>$H75*factors!EH$3</f>
        <v>0.9075078755999999</v>
      </c>
      <c r="EO75" s="3">
        <f>$H75*factors!EI$3</f>
        <v>0.92088167587199987</v>
      </c>
      <c r="EP75" s="3">
        <f>$H75*factors!EJ$3</f>
        <v>0.97151106261599995</v>
      </c>
      <c r="EQ75" s="3">
        <f>$H75*factors!EK$3</f>
        <v>0.9447634620719999</v>
      </c>
      <c r="ER75" s="3">
        <f>$H75*factors!EL$3</f>
        <v>0.98392959144000003</v>
      </c>
      <c r="ES75" s="3">
        <f>$H75*factors!EM$3</f>
        <v>0.97151106261599995</v>
      </c>
      <c r="ET75" s="3">
        <f>$H75*factors!EN$3</f>
        <v>0.99348230591999998</v>
      </c>
      <c r="EU75" s="3">
        <f>$H75*factors!EO$3</f>
        <v>1.0030350204</v>
      </c>
      <c r="EV75" s="3">
        <f>$H75*factors!EP$3</f>
        <v>0.93998710483199988</v>
      </c>
      <c r="EW75" s="3">
        <f>$H75*factors!EQ$3</f>
        <v>1.033882327575</v>
      </c>
      <c r="EX75" s="3">
        <f>$H75*factors!ER$3</f>
        <v>1.0229365089000002</v>
      </c>
      <c r="EY75" s="3">
        <f>$H75*factors!ES$3</f>
        <v>1.043833071825</v>
      </c>
      <c r="EZ75" s="3">
        <f>$H75*factors!ET$3</f>
        <v>1.033882327575</v>
      </c>
      <c r="FA75" s="3">
        <f>$H75*factors!EU$3</f>
        <v>0.95029607587499987</v>
      </c>
      <c r="FB75" s="3">
        <f>$H75*factors!EV$3</f>
        <v>0.99308427615000006</v>
      </c>
      <c r="FC75" s="3">
        <f>$H75*factors!EW$3</f>
        <v>1.0209463600499999</v>
      </c>
      <c r="FD75" s="3">
        <f>$H75*factors!EX$3</f>
        <v>0.98512368075000001</v>
      </c>
      <c r="FE75" s="3">
        <f>$H75*factors!EY$3</f>
        <v>1.0378626252750001</v>
      </c>
      <c r="FF75" s="3">
        <f>$H75*factors!EZ$3</f>
        <v>1.0388576997000001</v>
      </c>
      <c r="FG75" s="3">
        <f>$H75*factors!FA$3</f>
        <v>0.95029607587499987</v>
      </c>
      <c r="FH75" s="3">
        <f>$H75*factors!FB$3</f>
        <v>1.000049797125</v>
      </c>
      <c r="FI75" s="3">
        <f>$H75*factors!FC$3</f>
        <v>1.0418429229749999</v>
      </c>
      <c r="FJ75" s="3">
        <f>$H75*factors!FD$3</f>
        <v>1.000049797125</v>
      </c>
      <c r="FK75" s="3">
        <f>$H75*factors!FE$3</f>
        <v>1.0169660623500001</v>
      </c>
      <c r="FL75" s="3">
        <f>$H75*factors!FF$3</f>
        <v>1.0199512856249999</v>
      </c>
      <c r="FM75" s="3">
        <f>$H75*factors!FG$3</f>
        <v>1.0308971042999999</v>
      </c>
      <c r="FN75" s="3">
        <f>$H75*factors!FH$3</f>
        <v>0.96422711782499992</v>
      </c>
      <c r="FO75" s="3">
        <f>$H75*factors!FI$3</f>
        <v>1.023931583325</v>
      </c>
      <c r="FP75" s="3">
        <f>$H75*factors!FJ$3</f>
        <v>0.99507442499999998</v>
      </c>
      <c r="FQ75" s="3">
        <f>$H75*factors!FK$3</f>
        <v>0.98512368075000001</v>
      </c>
      <c r="FR75" s="3">
        <f>$H75*factors!FL$3</f>
        <v>1.0050251692500001</v>
      </c>
      <c r="FS75" s="3">
        <f>$H75*factors!FM$3</f>
        <v>0.99905472269999995</v>
      </c>
      <c r="FT75" s="3">
        <f>$H75*factors!FN$3</f>
        <v>1.0209463600499999</v>
      </c>
      <c r="FU75" s="3">
        <f>$H75*factors!FO$3</f>
        <v>0.98114338304999993</v>
      </c>
      <c r="FV75" s="3">
        <f>$H75*factors!FP$3</f>
        <v>0.97318278764999999</v>
      </c>
      <c r="FW75" s="3">
        <f>$H75*factors!FQ$3</f>
        <v>1.0418429229749999</v>
      </c>
      <c r="FX75" s="3">
        <f>$H75*factors!FR$3</f>
        <v>1.0229365089000002</v>
      </c>
      <c r="FY75" s="3">
        <f>$H75*factors!FS$3</f>
        <v>1.0020399459749998</v>
      </c>
      <c r="FZ75" s="3">
        <f>$H75*factors!FT$3</f>
        <v>0.95228622472500002</v>
      </c>
      <c r="GA75" s="3">
        <f>$H75*factors!FU$3</f>
        <v>1.0020399459749998</v>
      </c>
      <c r="GB75" s="3">
        <f>$H75*factors!FV$3</f>
        <v>1.0388576997000001</v>
      </c>
      <c r="GC75" s="3">
        <f>$H75*factors!FW$3</f>
        <v>0.97318278764999999</v>
      </c>
      <c r="GD75" s="3">
        <f>$H75*factors!FX$3</f>
        <v>0.990099052875</v>
      </c>
      <c r="GE75" s="3">
        <f>$H75*factors!FY$3</f>
        <v>0.990099052875</v>
      </c>
      <c r="GF75" s="3">
        <f>$H75*factors!FZ$3</f>
        <v>0.98711382960000005</v>
      </c>
      <c r="GG75" s="3">
        <f>$H75*factors!GA$3</f>
        <v>0.94830592702499994</v>
      </c>
      <c r="GH75" s="3">
        <f>$H75*factors!GB$3</f>
        <v>1.0090054669500002</v>
      </c>
      <c r="GI75" s="3">
        <f>$H75*factors!GC$3</f>
        <v>0.94631577817500001</v>
      </c>
      <c r="GJ75" s="3">
        <f>$H75*factors!GD$3</f>
        <v>0.94830592702499994</v>
      </c>
      <c r="GK75" s="3">
        <f>$H75*factors!GE$3</f>
        <v>0.97218771322499997</v>
      </c>
      <c r="GL75" s="3">
        <f>$H75*factors!GF$3</f>
        <v>1.0299020298749999</v>
      </c>
      <c r="GM75" s="3">
        <f>$H75*factors!GG$3</f>
        <v>0.97616801092500005</v>
      </c>
      <c r="GN75" s="3">
        <f>$H75*factors!GH$3</f>
        <v>1.0070153181000001</v>
      </c>
      <c r="GO75" s="3">
        <f>$H75*factors!GI$3</f>
        <v>0.95129115029999989</v>
      </c>
      <c r="GP75" s="3">
        <f>$H75*factors!GJ$3</f>
        <v>1.0199512856249999</v>
      </c>
      <c r="GQ75" s="3">
        <f>$H75*factors!GK$3</f>
        <v>1.0408478485500001</v>
      </c>
      <c r="GR75" s="3">
        <f>$H75*factors!GL$3</f>
        <v>1.0209463600499999</v>
      </c>
      <c r="GS75" s="3">
        <f>$H75*factors!GM$3</f>
        <v>0.96550081308900004</v>
      </c>
      <c r="GT75" s="3">
        <f>$H75*factors!GN$3</f>
        <v>0.98774271663660007</v>
      </c>
      <c r="GU75" s="3">
        <f>$H75*factors!GO$3</f>
        <v>1.0109956158</v>
      </c>
      <c r="GV75" s="3">
        <f>$H75*factors!GP$3</f>
        <v>0.97055579116800006</v>
      </c>
      <c r="GW75" s="3">
        <f>$H75*factors!GQ$3</f>
        <v>1.0049296421052001</v>
      </c>
      <c r="GX75" s="3">
        <f>$H75*factors!GR$3</f>
        <v>0.98875371225239994</v>
      </c>
      <c r="GY75" s="3">
        <f>$H75*factors!GS$3</f>
        <v>0.98369873417340004</v>
      </c>
      <c r="GZ75" s="3">
        <f>$H75*factors!GT$3</f>
        <v>1.0200945763421998</v>
      </c>
      <c r="HA75" s="3">
        <f>$H75*factors!GU$3</f>
        <v>0.98673172102079998</v>
      </c>
      <c r="HB75" s="3">
        <f>$H75*factors!GV$3</f>
        <v>1.0200945763421998</v>
      </c>
      <c r="HC75" s="3">
        <f>$H75*factors!GW$3</f>
        <v>0.99481968594719994</v>
      </c>
      <c r="HD75" s="3">
        <f>$H75*factors!GX$3</f>
        <v>1.0241385588053999</v>
      </c>
      <c r="HE75" s="3">
        <f>$H75*factors!GY$3</f>
        <v>1.0109956158</v>
      </c>
      <c r="HF75" s="3">
        <f>$H75*factors!GZ$3</f>
        <v>1.0423364798898</v>
      </c>
      <c r="HG75" s="3">
        <f>$H75*factors!HA$3</f>
        <v>1.0018966552577999</v>
      </c>
      <c r="HH75" s="3">
        <f>$H75*factors!HB$3</f>
        <v>0.98875371225239994</v>
      </c>
      <c r="HI75" s="3">
        <f>$H75*factors!HC$3</f>
        <v>0.97662176486280006</v>
      </c>
      <c r="HJ75" s="3">
        <f>$H75*factors!HD$3</f>
        <v>0.96550081308900004</v>
      </c>
      <c r="HK75" s="3">
        <f>$H75*factors!HE$3</f>
        <v>1.021105571958</v>
      </c>
      <c r="HL75" s="3">
        <f>$H75*factors!HF$3</f>
        <v>0.96246782624159988</v>
      </c>
      <c r="HM75" s="3">
        <f>$H75*factors!HG$3</f>
        <v>0.97257778239960002</v>
      </c>
      <c r="HN75" s="3">
        <f>$H75*factors!HH$3</f>
        <v>1.0372815018108001</v>
      </c>
      <c r="HO75" s="3">
        <f>$H75*factors!HI$3</f>
        <v>0.99481968594719994</v>
      </c>
      <c r="HP75" s="3">
        <f>$H75*factors!HJ$3</f>
        <v>1.0615453965900001</v>
      </c>
      <c r="HQ75" s="3">
        <f>$H75*factors!HK$3</f>
        <v>0.97055579116800006</v>
      </c>
      <c r="HR75" s="3">
        <f>$H75*factors!HL$3</f>
        <v>1.0291935368844001</v>
      </c>
      <c r="HS75" s="3">
        <f>$H75*factors!HM$3</f>
        <v>1.0473914579688</v>
      </c>
      <c r="HT75" s="3">
        <f>$H75*factors!HN$3</f>
        <v>0.97662176486280006</v>
      </c>
      <c r="HU75" s="3">
        <f>$H75*factors!HO$3</f>
        <v>0.98673172102079998</v>
      </c>
      <c r="HV75" s="3">
        <f>$H75*factors!HP$3</f>
        <v>0.99886366841040009</v>
      </c>
      <c r="HW75" s="3">
        <f>$H75*factors!HQ$3</f>
        <v>1.0130176070315999</v>
      </c>
      <c r="HX75" s="3">
        <f>$H75*factors!HR$3</f>
        <v>1.0544684272793998</v>
      </c>
      <c r="HY75" s="3">
        <f>$H75*factors!HS$3</f>
        <v>1.0018966552577999</v>
      </c>
      <c r="HZ75" s="3">
        <f>$H75*factors!HT$3</f>
        <v>1.0403144886581999</v>
      </c>
      <c r="IA75" s="3">
        <f>$H75*factors!HU$3</f>
        <v>0.98976470786820003</v>
      </c>
      <c r="IB75" s="3">
        <f>$H75*factors!HV$3</f>
        <v>1.0241385588053999</v>
      </c>
      <c r="IC75" s="3">
        <f>$H75*factors!HW$3</f>
        <v>1.0342485149634</v>
      </c>
      <c r="ID75" s="3">
        <f>$H75*factors!HX$3</f>
        <v>0.96044583500999992</v>
      </c>
      <c r="IE75" s="3">
        <f>$H75*factors!HY$3</f>
        <v>1.0200945763421998</v>
      </c>
      <c r="IF75" s="3">
        <f>$H75*factors!HZ$3</f>
        <v>1.0140286026473999</v>
      </c>
      <c r="IG75" s="3">
        <f>$H75*factors!IA$3</f>
        <v>1.0049296421052001</v>
      </c>
      <c r="IH75" s="3">
        <f>$H75*factors!IB$3</f>
        <v>1.0423364798898</v>
      </c>
      <c r="II75" s="3">
        <f>$H75*factors!IC$3</f>
        <v>0.99785267279459999</v>
      </c>
      <c r="IJ75" s="3">
        <f>$H75*factors!ID$3</f>
        <v>1.0069516333368</v>
      </c>
      <c r="IK75" s="3">
        <f>$H75*factors!IE$3</f>
        <v>1.0433474755056</v>
      </c>
      <c r="IL75" s="3">
        <f>$H75*factors!IF$3</f>
        <v>0.99886366841040009</v>
      </c>
      <c r="IM75" s="3">
        <f>$H75*factors!IG$3</f>
        <v>0.98976470786820003</v>
      </c>
      <c r="IN75" s="3">
        <f>$H75*factors!IH$3</f>
        <v>0.99583068156300003</v>
      </c>
      <c r="IO75" s="3">
        <f>$H75*factors!II$3</f>
        <v>1.0059406377210001</v>
      </c>
      <c r="IP75" s="3">
        <f>$H75*factors!IJ$3</f>
        <v>0.97257778239960002</v>
      </c>
      <c r="IQ75" s="3">
        <f>$H75*factors!IK$3</f>
        <v>0.96954479555219997</v>
      </c>
      <c r="IR75" s="3">
        <f>$H75*factors!IL$3</f>
        <v>0.99785267279459999</v>
      </c>
      <c r="IS75" s="3">
        <f>$H75*factors!IM$3</f>
        <v>1.0059406377210001</v>
      </c>
      <c r="IT75" s="3">
        <f>$H75*factors!IN$3</f>
        <v>1.0130176070315999</v>
      </c>
      <c r="IU75" s="3">
        <f>$H75*factors!IO$3</f>
        <v>1.0352595105792002</v>
      </c>
      <c r="IV75" s="3">
        <f>$H75*factors!IP$3</f>
        <v>1.0484024535845999</v>
      </c>
      <c r="IW75" s="3">
        <f>$H75*factors!IQ$3</f>
        <v>0.9907757034839999</v>
      </c>
      <c r="IX75" s="3">
        <f>$H75*factors!IR$3</f>
        <v>1.0352595105792002</v>
      </c>
      <c r="IY75" s="3">
        <f>$H75*factors!IS$3</f>
        <v>1.0200945763421998</v>
      </c>
      <c r="IZ75" s="3">
        <f>$H75*factors!IT$3</f>
        <v>1.0372815018108001</v>
      </c>
      <c r="JA75" s="3">
        <f>$H75*factors!IU$3</f>
        <v>0.97965475171019989</v>
      </c>
      <c r="JB75" s="3">
        <f>$H75*factors!IV$3</f>
        <v>0.99785267279459999</v>
      </c>
      <c r="JC75" s="3">
        <f>$H75*factors!IW$3</f>
        <v>0.97459977363120009</v>
      </c>
      <c r="JD75" s="3">
        <f>$H75*factors!IX$3</f>
        <v>1.0615453965900001</v>
      </c>
      <c r="JE75" s="3">
        <f>$H75*factors!IY$3</f>
        <v>0.97763276047859993</v>
      </c>
      <c r="JF75" s="3">
        <f>$H75*factors!IZ$3</f>
        <v>1.0261605500369999</v>
      </c>
      <c r="JG75" s="3">
        <f>$H75*factors!JA$3</f>
        <v>1.0079626289526</v>
      </c>
      <c r="JH75" s="3">
        <f>$H75*factors!JB$3</f>
        <v>1.0271715456528001</v>
      </c>
      <c r="JI75" s="3">
        <f>$H75*factors!JC$3</f>
        <v>0.96145683062580001</v>
      </c>
      <c r="JJ75" s="3">
        <f>$H75*factors!JD$3</f>
        <v>1.0352595105792002</v>
      </c>
      <c r="JK75" s="3">
        <f>$H75*factors!JE$3</f>
        <v>1.0018966552577999</v>
      </c>
      <c r="JL75" s="3">
        <f>$H75*factors!JF$3</f>
        <v>1.0423364798898</v>
      </c>
      <c r="JM75" s="3">
        <f>$H75*factors!JG$3</f>
        <v>0.97257778239960002</v>
      </c>
      <c r="JN75" s="3">
        <f>$H75*factors!JH$3</f>
        <v>0.97257778239960002</v>
      </c>
      <c r="JO75" s="3">
        <f>$H75*factors!JI$3</f>
        <v>0.96044583500999992</v>
      </c>
      <c r="JP75" s="3">
        <f>$H75*factors!JJ$3</f>
        <v>1.0382924974265999</v>
      </c>
      <c r="JQ75" s="3">
        <f>$H75*factors!JK$3</f>
        <v>1.0120066114158</v>
      </c>
      <c r="JR75" s="3">
        <f>$H75*factors!JL$3</f>
        <v>1.0514354404320001</v>
      </c>
      <c r="JS75" s="3">
        <f>$H75*factors!JM$3</f>
        <v>0.96044583500999992</v>
      </c>
      <c r="JT75" s="3">
        <f>$H75*factors!JN$3</f>
        <v>1.0089736245684</v>
      </c>
      <c r="JU75" s="3">
        <f>$H75*factors!JO$3</f>
        <v>0.97561076924699996</v>
      </c>
      <c r="JV75" s="3">
        <f>$H75*factors!JP$3</f>
        <v>0.9917866990998</v>
      </c>
      <c r="JW75" s="3">
        <f>$H75*factors!JQ$3</f>
        <v>1.0595234053584002</v>
      </c>
      <c r="JX75" s="3">
        <f>$H75*factors!JR$3</f>
        <v>1.0494134492003999</v>
      </c>
      <c r="JY75" s="3">
        <f>$H75*factors!JS$3</f>
        <v>0.98774271663660007</v>
      </c>
      <c r="JZ75" s="3">
        <f>$H75*factors!JT$3</f>
        <v>0.99886366841040009</v>
      </c>
      <c r="KA75" s="3">
        <f>$H75*factors!JU$3</f>
        <v>1.0029076508736001</v>
      </c>
      <c r="KB75" s="3">
        <f>$H75*factors!JV$3</f>
        <v>0.96954479555219997</v>
      </c>
      <c r="KC75" s="3">
        <f>$H75*factors!JW$3</f>
        <v>0.97459977363120009</v>
      </c>
      <c r="KD75" s="3">
        <f>$H75*factors!JX$3</f>
        <v>0.97561076924699996</v>
      </c>
      <c r="KE75" s="3">
        <f>$H75*factors!JY$3</f>
        <v>1.0382924974265999</v>
      </c>
      <c r="KF75" s="3">
        <f>$H75*factors!JZ$3</f>
        <v>1.0504244448161999</v>
      </c>
      <c r="KG75" s="3">
        <f>$H75*factors!KA$3</f>
        <v>1.0130176070315999</v>
      </c>
      <c r="KH75" s="3">
        <f>$H75*factors!KB$3</f>
        <v>0.9907757034839999</v>
      </c>
      <c r="KI75" s="3">
        <f>$H75*factors!KC$3</f>
        <v>0.98167674294179996</v>
      </c>
    </row>
    <row r="76" spans="1:295" x14ac:dyDescent="0.55000000000000004">
      <c r="A76" t="s">
        <v>452</v>
      </c>
      <c r="B76">
        <v>75</v>
      </c>
      <c r="C76">
        <v>230</v>
      </c>
      <c r="D76" t="s">
        <v>377</v>
      </c>
      <c r="E76">
        <v>3.3409999999999998E-3</v>
      </c>
      <c r="F76">
        <v>75</v>
      </c>
      <c r="G76">
        <f>VLOOKUP(D76,demand_forecasted!$A$2:$G$11,2)</f>
        <v>11098</v>
      </c>
      <c r="H76" s="3">
        <f t="shared" si="1"/>
        <v>0.37078418000000002</v>
      </c>
      <c r="I76" s="3">
        <f>$H76*factors!C$3</f>
        <v>0.41045808725999999</v>
      </c>
      <c r="J76" s="3">
        <f>$H76*factors!D$3</f>
        <v>0.39564155142720003</v>
      </c>
      <c r="K76" s="3">
        <f>$H76*factors!E$3</f>
        <v>0.38883395388240005</v>
      </c>
      <c r="L76" s="3">
        <f>$H76*factors!F$3</f>
        <v>0.38763261313920006</v>
      </c>
      <c r="M76" s="3">
        <f>$H76*factors!G$3</f>
        <v>0.3872321662248</v>
      </c>
      <c r="N76" s="3">
        <f>$H76*factors!H$3</f>
        <v>0.39844467982800003</v>
      </c>
      <c r="O76" s="3">
        <f>$H76*factors!I$3</f>
        <v>0.4072545119448</v>
      </c>
      <c r="P76" s="3">
        <f>$H76*factors!J$3</f>
        <v>0.41205987491760004</v>
      </c>
      <c r="Q76" s="3">
        <f>$H76*factors!K$3</f>
        <v>0.3868317193104</v>
      </c>
      <c r="R76" s="3">
        <f>$H76*factors!L$3</f>
        <v>0.38042456868000002</v>
      </c>
      <c r="S76" s="3">
        <f>$H76*factors!M$3</f>
        <v>0.39604199834160003</v>
      </c>
      <c r="T76" s="3">
        <f>$H76*factors!N$3</f>
        <v>0.40965719343120005</v>
      </c>
      <c r="U76" s="3">
        <f>$H76*factors!O$3</f>
        <v>0.38803306005360005</v>
      </c>
      <c r="V76" s="3">
        <f>$H76*factors!P$3</f>
        <v>0.40365048971520007</v>
      </c>
      <c r="W76" s="3">
        <f>$H76*factors!Q$3</f>
        <v>0.4072545119448</v>
      </c>
      <c r="X76" s="3">
        <f>$H76*factors!R$3</f>
        <v>0.38963484771119999</v>
      </c>
      <c r="Y76" s="3">
        <f>$H76*factors!S$3</f>
        <v>0.38603082548160006</v>
      </c>
      <c r="Z76" s="3">
        <f>$H76*factors!T$3</f>
        <v>0.41646479097600009</v>
      </c>
      <c r="AA76" s="3">
        <f>$H76*factors!U$3</f>
        <v>0.39323886994079998</v>
      </c>
      <c r="AB76" s="3">
        <f>$H76*factors!V$3</f>
        <v>0.39363931685520009</v>
      </c>
      <c r="AC76" s="3">
        <f>$H76*factors!W$3</f>
        <v>0.39403976376960004</v>
      </c>
      <c r="AD76" s="3">
        <f>$H76*factors!X$3</f>
        <v>0.38563037856720006</v>
      </c>
      <c r="AE76" s="3">
        <f>$H76*factors!Y$3</f>
        <v>0.38883395388240005</v>
      </c>
      <c r="AF76" s="3">
        <f>$H76*factors!Z$3</f>
        <v>0.39684289217040009</v>
      </c>
      <c r="AG76" s="3">
        <f>$H76*factors!AA$3</f>
        <v>0.3868317193104</v>
      </c>
      <c r="AH76" s="3">
        <f>$H76*factors!AB$3</f>
        <v>0.38522993165280006</v>
      </c>
      <c r="AI76" s="3">
        <f>$H76*factors!AC$3</f>
        <v>0.39764378599920003</v>
      </c>
      <c r="AJ76" s="3">
        <f>$H76*factors!AD$3</f>
        <v>0.41286076874640004</v>
      </c>
      <c r="AK76" s="3">
        <f>$H76*factors!AE$3</f>
        <v>0.39724333908480003</v>
      </c>
      <c r="AL76" s="3">
        <f>$H76*factors!AF$3</f>
        <v>0.38162590942320002</v>
      </c>
      <c r="AM76" s="3">
        <f>$H76*factors!AG$3</f>
        <v>0.39243797611200004</v>
      </c>
      <c r="AN76" s="3">
        <f>$H76*factors!AH$3</f>
        <v>0.38603082548160006</v>
      </c>
      <c r="AO76" s="3">
        <f>$H76*factors!AI$3</f>
        <v>0.40445138354400001</v>
      </c>
      <c r="AP76" s="3">
        <f>$H76*factors!AJ$3</f>
        <v>0.38763261313920006</v>
      </c>
      <c r="AQ76" s="3">
        <f>$H76*factors!AK$3</f>
        <v>0.40004646748560008</v>
      </c>
      <c r="AR76" s="3">
        <f>$H76*factors!AL$3</f>
        <v>0.39123663536880005</v>
      </c>
      <c r="AS76" s="3">
        <f>$H76*factors!AM$3</f>
        <v>0.38162590942320002</v>
      </c>
      <c r="AT76" s="3">
        <f>$H76*factors!AN$3</f>
        <v>0.39363931685520009</v>
      </c>
      <c r="AU76" s="3">
        <f>$H76*factors!AO$3</f>
        <v>0.41686523789039998</v>
      </c>
      <c r="AV76" s="3">
        <f>$H76*factors!AP$3</f>
        <v>0.39403976376960004</v>
      </c>
      <c r="AW76" s="3">
        <f>$H76*factors!AQ$3</f>
        <v>0.39003529462559999</v>
      </c>
      <c r="AX76" s="3">
        <f>$H76*factors!AR$3</f>
        <v>0.41246032183200004</v>
      </c>
      <c r="AY76" s="3">
        <f>$H76*factors!AS$3</f>
        <v>0.38042456868000002</v>
      </c>
      <c r="AZ76" s="3">
        <f>$H76*factors!AT$3</f>
        <v>0.40765495885920011</v>
      </c>
      <c r="BA76" s="3">
        <f>$H76*factors!AU$3</f>
        <v>0.39884512674240002</v>
      </c>
      <c r="BB76" s="3">
        <f>$H76*factors!AV$3</f>
        <v>0.39363931685520009</v>
      </c>
      <c r="BC76" s="3">
        <f>$H76*factors!AW$3</f>
        <v>0.41646479097600009</v>
      </c>
      <c r="BD76" s="3">
        <f>$H76*factors!AX$3</f>
        <v>0.38442903782400001</v>
      </c>
      <c r="BE76" s="3">
        <f>$H76*factors!AY$3</f>
        <v>0.45196366836919999</v>
      </c>
      <c r="BF76" s="3">
        <f>$H76*factors!AZ$3</f>
        <v>0.42089936976879999</v>
      </c>
      <c r="BG76" s="3">
        <f>$H76*factors!BA$3</f>
        <v>0.42702472442239997</v>
      </c>
      <c r="BH76" s="3">
        <f>$H76*factors!BB$3</f>
        <v>0.43271255374360001</v>
      </c>
      <c r="BI76" s="3">
        <f>$H76*factors!BC$3</f>
        <v>0.44846346570999995</v>
      </c>
      <c r="BJ76" s="3">
        <f>$H76*factors!BD$3</f>
        <v>0.4283373004196</v>
      </c>
      <c r="BK76" s="3">
        <f>$H76*factors!BE$3</f>
        <v>0.42921235108439998</v>
      </c>
      <c r="BL76" s="3">
        <f>$H76*factors!BF$3</f>
        <v>0.42439957242799997</v>
      </c>
      <c r="BM76" s="3">
        <f>$H76*factors!BG$3</f>
        <v>0.45327624436640002</v>
      </c>
      <c r="BN76" s="3">
        <f>$H76*factors!BH$3</f>
        <v>0.44758841504519997</v>
      </c>
      <c r="BO76" s="3">
        <f>$H76*factors!BI$3</f>
        <v>0.42089936976879999</v>
      </c>
      <c r="BP76" s="3">
        <f>$H76*factors!BJ$3</f>
        <v>0.41958679377159996</v>
      </c>
      <c r="BQ76" s="3">
        <f>$H76*factors!BK$3</f>
        <v>0.42658719908999998</v>
      </c>
      <c r="BR76" s="3">
        <f>$H76*factors!BL$3</f>
        <v>0.44190058572400004</v>
      </c>
      <c r="BS76" s="3">
        <f>$H76*factors!BM$3</f>
        <v>0.4489009910424</v>
      </c>
      <c r="BT76" s="3">
        <f>$H76*factors!BN$3</f>
        <v>0.45021356703959997</v>
      </c>
      <c r="BU76" s="3">
        <f>$H76*factors!BO$3</f>
        <v>0.45765149769040003</v>
      </c>
      <c r="BV76" s="3">
        <f>$H76*factors!BP$3</f>
        <v>0.4257121484252</v>
      </c>
      <c r="BW76" s="3">
        <f>$H76*factors!BQ$3</f>
        <v>0.43533770573800001</v>
      </c>
      <c r="BX76" s="3">
        <f>$H76*factors!BR$3</f>
        <v>0.42702472442239997</v>
      </c>
      <c r="BY76" s="3">
        <f>$H76*factors!BS$3</f>
        <v>0.44671336438039994</v>
      </c>
      <c r="BZ76" s="3">
        <f>$H76*factors!BT$3</f>
        <v>0.43840038306479995</v>
      </c>
      <c r="CA76" s="3">
        <f>$H76*factors!BU$3</f>
        <v>0.43271255374360001</v>
      </c>
      <c r="CB76" s="3">
        <f>$H76*factors!BV$3</f>
        <v>0.41871174310679998</v>
      </c>
      <c r="CC76" s="3">
        <f>$H76*factors!BW$3</f>
        <v>0.430962452414</v>
      </c>
      <c r="CD76" s="3">
        <f>$H76*factors!BX$3</f>
        <v>0.43227502841120002</v>
      </c>
      <c r="CE76" s="3">
        <f>$H76*factors!BY$3</f>
        <v>0.43840038306479995</v>
      </c>
      <c r="CF76" s="3">
        <f>$H76*factors!BZ$3</f>
        <v>0.43183750307880003</v>
      </c>
      <c r="CG76" s="3">
        <f>$H76*factors!CA$3</f>
        <v>0.41739916710959996</v>
      </c>
      <c r="CH76" s="3">
        <f>$H76*factors!CB$3</f>
        <v>0.41783669244199995</v>
      </c>
      <c r="CI76" s="3">
        <f>$H76*factors!CC$3</f>
        <v>0.41564906577999999</v>
      </c>
      <c r="CJ76" s="3">
        <f>$H76*factors!CD$3</f>
        <v>0.43271255374360001</v>
      </c>
      <c r="CK76" s="3">
        <f>$H76*factors!CE$3</f>
        <v>0.45196366836919999</v>
      </c>
      <c r="CL76" s="3">
        <f>$H76*factors!CF$3</f>
        <v>0.42352452176319999</v>
      </c>
      <c r="CM76" s="3">
        <f>$H76*factors!CG$3</f>
        <v>0.4335876044084</v>
      </c>
      <c r="CN76" s="3">
        <f>$H76*factors!CH$3</f>
        <v>0.41914926843919997</v>
      </c>
      <c r="CO76" s="3">
        <f>$H76*factors!CI$3</f>
        <v>0.42221194576599996</v>
      </c>
      <c r="CP76" s="3">
        <f>$H76*factors!CJ$3</f>
        <v>0.44233811105639992</v>
      </c>
      <c r="CQ76" s="3">
        <f>$H76*factors!CK$3</f>
        <v>0.42921235108439998</v>
      </c>
      <c r="CR76" s="3">
        <f>$H76*factors!CL$3</f>
        <v>0.44277563638879996</v>
      </c>
      <c r="CS76" s="3">
        <f>$H76*factors!CM$3</f>
        <v>0.4567764470256</v>
      </c>
      <c r="CT76" s="3">
        <f>$H76*factors!CN$3</f>
        <v>0.4515261430368</v>
      </c>
      <c r="CU76" s="3">
        <f>$H76*factors!CO$3</f>
        <v>0.44146306039159994</v>
      </c>
      <c r="CV76" s="3">
        <f>$H76*factors!CP$3</f>
        <v>0.45940159902</v>
      </c>
      <c r="CW76" s="3">
        <f>$H76*factors!CQ$3</f>
        <v>0.43446265507320003</v>
      </c>
      <c r="CX76" s="3">
        <f>$H76*factors!CR$3</f>
        <v>0.42789977508720001</v>
      </c>
      <c r="CY76" s="3">
        <f>$H76*factors!CS$3</f>
        <v>0.42396204709559998</v>
      </c>
      <c r="CZ76" s="3">
        <f>$H76*factors!CT$3</f>
        <v>0.41783669244199995</v>
      </c>
      <c r="DA76" s="3">
        <f>$H76*factors!CU$3</f>
        <v>0.43381749060000002</v>
      </c>
      <c r="DB76" s="3">
        <f>$H76*factors!CV$3</f>
        <v>0.46184877460800006</v>
      </c>
      <c r="DC76" s="3">
        <f>$H76*factors!CW$3</f>
        <v>0.44227136990399996</v>
      </c>
      <c r="DD76" s="3">
        <f>$H76*factors!CX$3</f>
        <v>0.43915678279199999</v>
      </c>
      <c r="DE76" s="3">
        <f>$H76*factors!CY$3</f>
        <v>0.45206007225600003</v>
      </c>
      <c r="DF76" s="3">
        <f>$H76*factors!CZ$3</f>
        <v>0.45117019022399996</v>
      </c>
      <c r="DG76" s="3">
        <f>$H76*factors!DA$3</f>
        <v>0.44939042616000002</v>
      </c>
      <c r="DH76" s="3">
        <f>$H76*factors!DB$3</f>
        <v>0.44939042616000002</v>
      </c>
      <c r="DI76" s="3">
        <f>$H76*factors!DC$3</f>
        <v>0.43248266755199999</v>
      </c>
      <c r="DJ76" s="3">
        <f>$H76*factors!DD$3</f>
        <v>0.45828924648000002</v>
      </c>
      <c r="DK76" s="3">
        <f>$H76*factors!DE$3</f>
        <v>0.45828924648000002</v>
      </c>
      <c r="DL76" s="3">
        <f>$H76*factors!DF$3</f>
        <v>0.45294995428800006</v>
      </c>
      <c r="DM76" s="3">
        <f>$H76*factors!DG$3</f>
        <v>0.42669843434399995</v>
      </c>
      <c r="DN76" s="3">
        <f>$H76*factors!DH$3</f>
        <v>0.44761066209600003</v>
      </c>
      <c r="DO76" s="3">
        <f>$H76*factors!DI$3</f>
        <v>0.46229371562400001</v>
      </c>
      <c r="DP76" s="3">
        <f>$H76*factors!DJ$3</f>
        <v>0.45828924648000002</v>
      </c>
      <c r="DQ76" s="3">
        <f>$H76*factors!DK$3</f>
        <v>0.43693207771199999</v>
      </c>
      <c r="DR76" s="3">
        <f>$H76*factors!DL$3</f>
        <v>0.43203772653600003</v>
      </c>
      <c r="DS76" s="3">
        <f>$H76*factors!DM$3</f>
        <v>0.46674312578400001</v>
      </c>
      <c r="DT76" s="3">
        <f>$H76*factors!DN$3</f>
        <v>0.43871184177600003</v>
      </c>
      <c r="DU76" s="3">
        <f>$H76*factors!DO$3</f>
        <v>0.45917912851199999</v>
      </c>
      <c r="DV76" s="3">
        <f>$H76*factors!DP$3</f>
        <v>0.448500544128</v>
      </c>
      <c r="DW76" s="3">
        <f>$H76*factors!DQ$3</f>
        <v>0.42803325739199999</v>
      </c>
      <c r="DX76" s="3">
        <f>$H76*factors!DR$3</f>
        <v>0.45339489530399996</v>
      </c>
      <c r="DY76" s="3">
        <f>$H76*factors!DS$3</f>
        <v>0.43025796247199999</v>
      </c>
      <c r="DZ76" s="3">
        <f>$H76*factors!DT$3</f>
        <v>0.46006901054400001</v>
      </c>
      <c r="EA76" s="3">
        <f>$H76*factors!DU$3</f>
        <v>0.43337254958399996</v>
      </c>
      <c r="EB76" s="3">
        <f>$H76*factors!DV$3</f>
        <v>0.42269396519999997</v>
      </c>
      <c r="EC76" s="3">
        <f>$H76*factors!DW$3</f>
        <v>0.45472971835199999</v>
      </c>
      <c r="ED76" s="3">
        <f>$H76*factors!DX$3</f>
        <v>0.42669843434399995</v>
      </c>
      <c r="EE76" s="3">
        <f>$H76*factors!DY$3</f>
        <v>0.43025796247199999</v>
      </c>
      <c r="EF76" s="3">
        <f>$H76*factors!DZ$3</f>
        <v>0.46674312578400001</v>
      </c>
      <c r="EG76" s="3">
        <f>$H76*factors!EA$3</f>
        <v>0.43604219568000002</v>
      </c>
      <c r="EH76" s="3">
        <f>$H76*factors!EB$3</f>
        <v>0.437377018728</v>
      </c>
      <c r="EI76" s="3">
        <f>$H76*factors!EC$3</f>
        <v>0.43648713669600003</v>
      </c>
      <c r="EJ76" s="3">
        <f>$H76*factors!ED$3</f>
        <v>0.42536361129600003</v>
      </c>
      <c r="EK76" s="3">
        <f>$H76*factors!EE$3</f>
        <v>0.45472971835199999</v>
      </c>
      <c r="EL76" s="3">
        <f>$H76*factors!EF$3</f>
        <v>0.43248266755199999</v>
      </c>
      <c r="EM76" s="3">
        <f>$H76*factors!EG$3</f>
        <v>0.44983536717599998</v>
      </c>
      <c r="EN76" s="3">
        <f>$H76*factors!EH$3</f>
        <v>0.42269396519999997</v>
      </c>
      <c r="EO76" s="3">
        <f>$H76*factors!EI$3</f>
        <v>0.42892313942399996</v>
      </c>
      <c r="EP76" s="3">
        <f>$H76*factors!EJ$3</f>
        <v>0.45250501327199999</v>
      </c>
      <c r="EQ76" s="3">
        <f>$H76*factors!EK$3</f>
        <v>0.44004666482399996</v>
      </c>
      <c r="ER76" s="3">
        <f>$H76*factors!EL$3</f>
        <v>0.45828924648000002</v>
      </c>
      <c r="ES76" s="3">
        <f>$H76*factors!EM$3</f>
        <v>0.45250501327199999</v>
      </c>
      <c r="ET76" s="3">
        <f>$H76*factors!EN$3</f>
        <v>0.46273865664000002</v>
      </c>
      <c r="EU76" s="3">
        <f>$H76*factors!EO$3</f>
        <v>0.46718806680000002</v>
      </c>
      <c r="EV76" s="3">
        <f>$H76*factors!EP$3</f>
        <v>0.43782195974399996</v>
      </c>
      <c r="EW76" s="3">
        <f>$H76*factors!EQ$3</f>
        <v>0.48155595377499999</v>
      </c>
      <c r="EX76" s="3">
        <f>$H76*factors!ER$3</f>
        <v>0.47645767130000005</v>
      </c>
      <c r="EY76" s="3">
        <f>$H76*factors!ES$3</f>
        <v>0.48619075602499995</v>
      </c>
      <c r="EZ76" s="3">
        <f>$H76*factors!ET$3</f>
        <v>0.48155595377499999</v>
      </c>
      <c r="FA76" s="3">
        <f>$H76*factors!EU$3</f>
        <v>0.44262361487499996</v>
      </c>
      <c r="FB76" s="3">
        <f>$H76*factors!EV$3</f>
        <v>0.46255326455000007</v>
      </c>
      <c r="FC76" s="3">
        <f>$H76*factors!EW$3</f>
        <v>0.47553071085000004</v>
      </c>
      <c r="FD76" s="3">
        <f>$H76*factors!EX$3</f>
        <v>0.45884542275000006</v>
      </c>
      <c r="FE76" s="3">
        <f>$H76*factors!EY$3</f>
        <v>0.48340987467500002</v>
      </c>
      <c r="FF76" s="3">
        <f>$H76*factors!EZ$3</f>
        <v>0.48387335490000011</v>
      </c>
      <c r="FG76" s="3">
        <f>$H76*factors!FA$3</f>
        <v>0.44262361487499996</v>
      </c>
      <c r="FH76" s="3">
        <f>$H76*factors!FB$3</f>
        <v>0.46579762612499997</v>
      </c>
      <c r="FI76" s="3">
        <f>$H76*factors!FC$3</f>
        <v>0.48526379557499999</v>
      </c>
      <c r="FJ76" s="3">
        <f>$H76*factors!FD$3</f>
        <v>0.46579762612499997</v>
      </c>
      <c r="FK76" s="3">
        <f>$H76*factors!FE$3</f>
        <v>0.47367678995000007</v>
      </c>
      <c r="FL76" s="3">
        <f>$H76*factors!FF$3</f>
        <v>0.475067230625</v>
      </c>
      <c r="FM76" s="3">
        <f>$H76*factors!FG$3</f>
        <v>0.4801655131</v>
      </c>
      <c r="FN76" s="3">
        <f>$H76*factors!FH$3</f>
        <v>0.449112338025</v>
      </c>
      <c r="FO76" s="3">
        <f>$H76*factors!FI$3</f>
        <v>0.47692115152499998</v>
      </c>
      <c r="FP76" s="3">
        <f>$H76*factors!FJ$3</f>
        <v>0.46348022500000002</v>
      </c>
      <c r="FQ76" s="3">
        <f>$H76*factors!FK$3</f>
        <v>0.45884542275000006</v>
      </c>
      <c r="FR76" s="3">
        <f>$H76*factors!FL$3</f>
        <v>0.46811502724999998</v>
      </c>
      <c r="FS76" s="3">
        <f>$H76*factors!FM$3</f>
        <v>0.4653341459</v>
      </c>
      <c r="FT76" s="3">
        <f>$H76*factors!FN$3</f>
        <v>0.47553071085000004</v>
      </c>
      <c r="FU76" s="3">
        <f>$H76*factors!FO$3</f>
        <v>0.45699150184999998</v>
      </c>
      <c r="FV76" s="3">
        <f>$H76*factors!FP$3</f>
        <v>0.45328366004999998</v>
      </c>
      <c r="FW76" s="3">
        <f>$H76*factors!FQ$3</f>
        <v>0.48526379557499999</v>
      </c>
      <c r="FX76" s="3">
        <f>$H76*factors!FR$3</f>
        <v>0.47645767130000005</v>
      </c>
      <c r="FY76" s="3">
        <f>$H76*factors!FS$3</f>
        <v>0.46672458657499993</v>
      </c>
      <c r="FZ76" s="3">
        <f>$H76*factors!FT$3</f>
        <v>0.44355057532500003</v>
      </c>
      <c r="GA76" s="3">
        <f>$H76*factors!FU$3</f>
        <v>0.46672458657499993</v>
      </c>
      <c r="GB76" s="3">
        <f>$H76*factors!FV$3</f>
        <v>0.48387335490000011</v>
      </c>
      <c r="GC76" s="3">
        <f>$H76*factors!FW$3</f>
        <v>0.45328366004999998</v>
      </c>
      <c r="GD76" s="3">
        <f>$H76*factors!FX$3</f>
        <v>0.46116282387500002</v>
      </c>
      <c r="GE76" s="3">
        <f>$H76*factors!FY$3</f>
        <v>0.46116282387500002</v>
      </c>
      <c r="GF76" s="3">
        <f>$H76*factors!FZ$3</f>
        <v>0.45977238320000002</v>
      </c>
      <c r="GG76" s="3">
        <f>$H76*factors!GA$3</f>
        <v>0.441696654425</v>
      </c>
      <c r="GH76" s="3">
        <f>$H76*factors!GB$3</f>
        <v>0.46996894815000007</v>
      </c>
      <c r="GI76" s="3">
        <f>$H76*factors!GC$3</f>
        <v>0.44076969397499999</v>
      </c>
      <c r="GJ76" s="3">
        <f>$H76*factors!GD$3</f>
        <v>0.441696654425</v>
      </c>
      <c r="GK76" s="3">
        <f>$H76*factors!GE$3</f>
        <v>0.452820179825</v>
      </c>
      <c r="GL76" s="3">
        <f>$H76*factors!GF$3</f>
        <v>0.47970203287500002</v>
      </c>
      <c r="GM76" s="3">
        <f>$H76*factors!GG$3</f>
        <v>0.45467410072500003</v>
      </c>
      <c r="GN76" s="3">
        <f>$H76*factors!GH$3</f>
        <v>0.46904198770000005</v>
      </c>
      <c r="GO76" s="3">
        <f>$H76*factors!GI$3</f>
        <v>0.44308709509999994</v>
      </c>
      <c r="GP76" s="3">
        <f>$H76*factors!GJ$3</f>
        <v>0.475067230625</v>
      </c>
      <c r="GQ76" s="3">
        <f>$H76*factors!GK$3</f>
        <v>0.48480031535000007</v>
      </c>
      <c r="GR76" s="3">
        <f>$H76*factors!GL$3</f>
        <v>0.47553071085000004</v>
      </c>
      <c r="GS76" s="3">
        <f>$H76*factors!GM$3</f>
        <v>0.44970559271300004</v>
      </c>
      <c r="GT76" s="3">
        <f>$H76*factors!GN$3</f>
        <v>0.46006530270220003</v>
      </c>
      <c r="GU76" s="3">
        <f>$H76*factors!GO$3</f>
        <v>0.47089590860000002</v>
      </c>
      <c r="GV76" s="3">
        <f>$H76*factors!GP$3</f>
        <v>0.45206007225600003</v>
      </c>
      <c r="GW76" s="3">
        <f>$H76*factors!GQ$3</f>
        <v>0.46807053314840003</v>
      </c>
      <c r="GX76" s="3">
        <f>$H76*factors!GR$3</f>
        <v>0.46053619861080003</v>
      </c>
      <c r="GY76" s="3">
        <f>$H76*factors!GS$3</f>
        <v>0.45818171906780003</v>
      </c>
      <c r="GZ76" s="3">
        <f>$H76*factors!GT$3</f>
        <v>0.47513397177739997</v>
      </c>
      <c r="HA76" s="3">
        <f>$H76*factors!GU$3</f>
        <v>0.45959440679360003</v>
      </c>
      <c r="HB76" s="3">
        <f>$H76*factors!GV$3</f>
        <v>0.47513397177739997</v>
      </c>
      <c r="HC76" s="3">
        <f>$H76*factors!GW$3</f>
        <v>0.46336157406239997</v>
      </c>
      <c r="HD76" s="3">
        <f>$H76*factors!GX$3</f>
        <v>0.47701755541179997</v>
      </c>
      <c r="HE76" s="3">
        <f>$H76*factors!GY$3</f>
        <v>0.47089590860000002</v>
      </c>
      <c r="HF76" s="3">
        <f>$H76*factors!GZ$3</f>
        <v>0.48549368176660002</v>
      </c>
      <c r="HG76" s="3">
        <f>$H76*factors!HA$3</f>
        <v>0.46665784542260003</v>
      </c>
      <c r="HH76" s="3">
        <f>$H76*factors!HB$3</f>
        <v>0.46053619861080003</v>
      </c>
      <c r="HI76" s="3">
        <f>$H76*factors!HC$3</f>
        <v>0.45488544770760003</v>
      </c>
      <c r="HJ76" s="3">
        <f>$H76*factors!HD$3</f>
        <v>0.44970559271300004</v>
      </c>
      <c r="HK76" s="3">
        <f>$H76*factors!HE$3</f>
        <v>0.47560486768600002</v>
      </c>
      <c r="HL76" s="3">
        <f>$H76*factors!HF$3</f>
        <v>0.44829290498719998</v>
      </c>
      <c r="HM76" s="3">
        <f>$H76*factors!HG$3</f>
        <v>0.45300186407320003</v>
      </c>
      <c r="HN76" s="3">
        <f>$H76*factors!HH$3</f>
        <v>0.48313920222360007</v>
      </c>
      <c r="HO76" s="3">
        <f>$H76*factors!HI$3</f>
        <v>0.46336157406239997</v>
      </c>
      <c r="HP76" s="3">
        <f>$H76*factors!HJ$3</f>
        <v>0.49444070403000007</v>
      </c>
      <c r="HQ76" s="3">
        <f>$H76*factors!HK$3</f>
        <v>0.45206007225600003</v>
      </c>
      <c r="HR76" s="3">
        <f>$H76*factors!HL$3</f>
        <v>0.47937203495480007</v>
      </c>
      <c r="HS76" s="3">
        <f>$H76*factors!HM$3</f>
        <v>0.48784816130960001</v>
      </c>
      <c r="HT76" s="3">
        <f>$H76*factors!HN$3</f>
        <v>0.45488544770760003</v>
      </c>
      <c r="HU76" s="3">
        <f>$H76*factors!HO$3</f>
        <v>0.45959440679360003</v>
      </c>
      <c r="HV76" s="3">
        <f>$H76*factors!HP$3</f>
        <v>0.46524515769680008</v>
      </c>
      <c r="HW76" s="3">
        <f>$H76*factors!HQ$3</f>
        <v>0.47183770041720002</v>
      </c>
      <c r="HX76" s="3">
        <f>$H76*factors!HR$3</f>
        <v>0.49114443266979996</v>
      </c>
      <c r="HY76" s="3">
        <f>$H76*factors!HS$3</f>
        <v>0.46665784542260003</v>
      </c>
      <c r="HZ76" s="3">
        <f>$H76*factors!HT$3</f>
        <v>0.48455188994940002</v>
      </c>
      <c r="IA76" s="3">
        <f>$H76*factors!HU$3</f>
        <v>0.46100709451940003</v>
      </c>
      <c r="IB76" s="3">
        <f>$H76*factors!HV$3</f>
        <v>0.47701755541179997</v>
      </c>
      <c r="IC76" s="3">
        <f>$H76*factors!HW$3</f>
        <v>0.48172651449780002</v>
      </c>
      <c r="ID76" s="3">
        <f>$H76*factors!HX$3</f>
        <v>0.44735111316999998</v>
      </c>
      <c r="IE76" s="3">
        <f>$H76*factors!HY$3</f>
        <v>0.47513397177739997</v>
      </c>
      <c r="IF76" s="3">
        <f>$H76*factors!HZ$3</f>
        <v>0.47230859632579997</v>
      </c>
      <c r="IG76" s="3">
        <f>$H76*factors!IA$3</f>
        <v>0.46807053314840003</v>
      </c>
      <c r="IH76" s="3">
        <f>$H76*factors!IB$3</f>
        <v>0.48549368176660002</v>
      </c>
      <c r="II76" s="3">
        <f>$H76*factors!IC$3</f>
        <v>0.46477426178820003</v>
      </c>
      <c r="IJ76" s="3">
        <f>$H76*factors!ID$3</f>
        <v>0.46901232496560002</v>
      </c>
      <c r="IK76" s="3">
        <f>$H76*factors!IE$3</f>
        <v>0.48596457767520002</v>
      </c>
      <c r="IL76" s="3">
        <f>$H76*factors!IF$3</f>
        <v>0.46524515769680008</v>
      </c>
      <c r="IM76" s="3">
        <f>$H76*factors!IG$3</f>
        <v>0.46100709451940003</v>
      </c>
      <c r="IN76" s="3">
        <f>$H76*factors!IH$3</f>
        <v>0.46383246997100003</v>
      </c>
      <c r="IO76" s="3">
        <f>$H76*factors!II$3</f>
        <v>0.46854142905700003</v>
      </c>
      <c r="IP76" s="3">
        <f>$H76*factors!IJ$3</f>
        <v>0.45300186407320003</v>
      </c>
      <c r="IQ76" s="3">
        <f>$H76*factors!IK$3</f>
        <v>0.45158917634740003</v>
      </c>
      <c r="IR76" s="3">
        <f>$H76*factors!IL$3</f>
        <v>0.46477426178820003</v>
      </c>
      <c r="IS76" s="3">
        <f>$H76*factors!IM$3</f>
        <v>0.46854142905700003</v>
      </c>
      <c r="IT76" s="3">
        <f>$H76*factors!IN$3</f>
        <v>0.47183770041720002</v>
      </c>
      <c r="IU76" s="3">
        <f>$H76*factors!IO$3</f>
        <v>0.48219741040640007</v>
      </c>
      <c r="IV76" s="3">
        <f>$H76*factors!IP$3</f>
        <v>0.48831905721819996</v>
      </c>
      <c r="IW76" s="3">
        <f>$H76*factors!IQ$3</f>
        <v>0.46147799042799997</v>
      </c>
      <c r="IX76" s="3">
        <f>$H76*factors!IR$3</f>
        <v>0.48219741040640007</v>
      </c>
      <c r="IY76" s="3">
        <f>$H76*factors!IS$3</f>
        <v>0.47513397177739997</v>
      </c>
      <c r="IZ76" s="3">
        <f>$H76*factors!IT$3</f>
        <v>0.48313920222360007</v>
      </c>
      <c r="JA76" s="3">
        <f>$H76*factors!IU$3</f>
        <v>0.45629813543339998</v>
      </c>
      <c r="JB76" s="3">
        <f>$H76*factors!IV$3</f>
        <v>0.46477426178820003</v>
      </c>
      <c r="JC76" s="3">
        <f>$H76*factors!IW$3</f>
        <v>0.45394365589040003</v>
      </c>
      <c r="JD76" s="3">
        <f>$H76*factors!IX$3</f>
        <v>0.49444070403000007</v>
      </c>
      <c r="JE76" s="3">
        <f>$H76*factors!IY$3</f>
        <v>0.45535634361619998</v>
      </c>
      <c r="JF76" s="3">
        <f>$H76*factors!IZ$3</f>
        <v>0.47795934722899996</v>
      </c>
      <c r="JG76" s="3">
        <f>$H76*factors!JA$3</f>
        <v>0.46948322087419997</v>
      </c>
      <c r="JH76" s="3">
        <f>$H76*factors!JB$3</f>
        <v>0.47843024313760008</v>
      </c>
      <c r="JI76" s="3">
        <f>$H76*factors!JC$3</f>
        <v>0.44782200907860004</v>
      </c>
      <c r="JJ76" s="3">
        <f>$H76*factors!JD$3</f>
        <v>0.48219741040640007</v>
      </c>
      <c r="JK76" s="3">
        <f>$H76*factors!JE$3</f>
        <v>0.46665784542260003</v>
      </c>
      <c r="JL76" s="3">
        <f>$H76*factors!JF$3</f>
        <v>0.48549368176660002</v>
      </c>
      <c r="JM76" s="3">
        <f>$H76*factors!JG$3</f>
        <v>0.45300186407320003</v>
      </c>
      <c r="JN76" s="3">
        <f>$H76*factors!JH$3</f>
        <v>0.45300186407320003</v>
      </c>
      <c r="JO76" s="3">
        <f>$H76*factors!JI$3</f>
        <v>0.44735111316999998</v>
      </c>
      <c r="JP76" s="3">
        <f>$H76*factors!JJ$3</f>
        <v>0.48361009813220002</v>
      </c>
      <c r="JQ76" s="3">
        <f>$H76*factors!JK$3</f>
        <v>0.47136680450859997</v>
      </c>
      <c r="JR76" s="3">
        <f>$H76*factors!JL$3</f>
        <v>0.48973174494400001</v>
      </c>
      <c r="JS76" s="3">
        <f>$H76*factors!JM$3</f>
        <v>0.44735111316999998</v>
      </c>
      <c r="JT76" s="3">
        <f>$H76*factors!JN$3</f>
        <v>0.46995411678280002</v>
      </c>
      <c r="JU76" s="3">
        <f>$H76*factors!JO$3</f>
        <v>0.45441455179899998</v>
      </c>
      <c r="JV76" s="3">
        <f>$H76*factors!JP$3</f>
        <v>0.46194888633660003</v>
      </c>
      <c r="JW76" s="3">
        <f>$H76*factors!JQ$3</f>
        <v>0.49349891221280007</v>
      </c>
      <c r="JX76" s="3">
        <f>$H76*factors!JR$3</f>
        <v>0.48878995312680001</v>
      </c>
      <c r="JY76" s="3">
        <f>$H76*factors!JS$3</f>
        <v>0.46006530270220003</v>
      </c>
      <c r="JZ76" s="3">
        <f>$H76*factors!JT$3</f>
        <v>0.46524515769680008</v>
      </c>
      <c r="KA76" s="3">
        <f>$H76*factors!JU$3</f>
        <v>0.46712874133120003</v>
      </c>
      <c r="KB76" s="3">
        <f>$H76*factors!JV$3</f>
        <v>0.45158917634740003</v>
      </c>
      <c r="KC76" s="3">
        <f>$H76*factors!JW$3</f>
        <v>0.45394365589040003</v>
      </c>
      <c r="KD76" s="3">
        <f>$H76*factors!JX$3</f>
        <v>0.45441455179899998</v>
      </c>
      <c r="KE76" s="3">
        <f>$H76*factors!JY$3</f>
        <v>0.48361009813220002</v>
      </c>
      <c r="KF76" s="3">
        <f>$H76*factors!JZ$3</f>
        <v>0.48926084903539996</v>
      </c>
      <c r="KG76" s="3">
        <f>$H76*factors!KA$3</f>
        <v>0.47183770041720002</v>
      </c>
      <c r="KH76" s="3">
        <f>$H76*factors!KB$3</f>
        <v>0.46147799042799997</v>
      </c>
      <c r="KI76" s="3">
        <f>$H76*factors!KC$3</f>
        <v>0.45723992725059998</v>
      </c>
    </row>
    <row r="77" spans="1:295" x14ac:dyDescent="0.55000000000000004">
      <c r="A77" t="s">
        <v>453</v>
      </c>
      <c r="B77">
        <v>76</v>
      </c>
      <c r="C77">
        <v>230</v>
      </c>
      <c r="D77" t="s">
        <v>377</v>
      </c>
      <c r="E77">
        <v>5.5840000000000004E-3</v>
      </c>
      <c r="F77">
        <v>76</v>
      </c>
      <c r="G77">
        <f>VLOOKUP(D77,demand_forecasted!$A$2:$G$11,2)</f>
        <v>11098</v>
      </c>
      <c r="H77" s="3">
        <f t="shared" si="1"/>
        <v>0.61971232000000009</v>
      </c>
      <c r="I77" s="3">
        <f>$H77*factors!C$3</f>
        <v>0.68602153824000012</v>
      </c>
      <c r="J77" s="3">
        <f>$H77*factors!D$3</f>
        <v>0.66125783393280013</v>
      </c>
      <c r="K77" s="3">
        <f>$H77*factors!E$3</f>
        <v>0.64987991573760018</v>
      </c>
      <c r="L77" s="3">
        <f>$H77*factors!F$3</f>
        <v>0.64787204782080021</v>
      </c>
      <c r="M77" s="3">
        <f>$H77*factors!G$3</f>
        <v>0.64720275851520004</v>
      </c>
      <c r="N77" s="3">
        <f>$H77*factors!H$3</f>
        <v>0.66594285907200013</v>
      </c>
      <c r="O77" s="3">
        <f>$H77*factors!I$3</f>
        <v>0.68066722379520006</v>
      </c>
      <c r="P77" s="3">
        <f>$H77*factors!J$3</f>
        <v>0.68869869546240015</v>
      </c>
      <c r="Q77" s="3">
        <f>$H77*factors!K$3</f>
        <v>0.64653346920960009</v>
      </c>
      <c r="R77" s="3">
        <f>$H77*factors!L$3</f>
        <v>0.63582484032000008</v>
      </c>
      <c r="S77" s="3">
        <f>$H77*factors!M$3</f>
        <v>0.66192712323840008</v>
      </c>
      <c r="T77" s="3">
        <f>$H77*factors!N$3</f>
        <v>0.6846829596288001</v>
      </c>
      <c r="U77" s="3">
        <f>$H77*factors!O$3</f>
        <v>0.64854133712640016</v>
      </c>
      <c r="V77" s="3">
        <f>$H77*factors!P$3</f>
        <v>0.67464362004480016</v>
      </c>
      <c r="W77" s="3">
        <f>$H77*factors!Q$3</f>
        <v>0.68066722379520006</v>
      </c>
      <c r="X77" s="3">
        <f>$H77*factors!R$3</f>
        <v>0.65121849434880008</v>
      </c>
      <c r="Y77" s="3">
        <f>$H77*factors!S$3</f>
        <v>0.64519489059840007</v>
      </c>
      <c r="Z77" s="3">
        <f>$H77*factors!T$3</f>
        <v>0.69606087782400028</v>
      </c>
      <c r="AA77" s="3">
        <f>$H77*factors!U$3</f>
        <v>0.65724209809920009</v>
      </c>
      <c r="AB77" s="3">
        <f>$H77*factors!V$3</f>
        <v>0.65791138740480015</v>
      </c>
      <c r="AC77" s="3">
        <f>$H77*factors!W$3</f>
        <v>0.65858067671040021</v>
      </c>
      <c r="AD77" s="3">
        <f>$H77*factors!X$3</f>
        <v>0.64452560129280012</v>
      </c>
      <c r="AE77" s="3">
        <f>$H77*factors!Y$3</f>
        <v>0.64987991573760018</v>
      </c>
      <c r="AF77" s="3">
        <f>$H77*factors!Z$3</f>
        <v>0.66326570184960021</v>
      </c>
      <c r="AG77" s="3">
        <f>$H77*factors!AA$3</f>
        <v>0.64653346920960009</v>
      </c>
      <c r="AH77" s="3">
        <f>$H77*factors!AB$3</f>
        <v>0.64385631198720017</v>
      </c>
      <c r="AI77" s="3">
        <f>$H77*factors!AC$3</f>
        <v>0.66460428046080011</v>
      </c>
      <c r="AJ77" s="3">
        <f>$H77*factors!AD$3</f>
        <v>0.69003727407360016</v>
      </c>
      <c r="AK77" s="3">
        <f>$H77*factors!AE$3</f>
        <v>0.66393499115520016</v>
      </c>
      <c r="AL77" s="3">
        <f>$H77*factors!AF$3</f>
        <v>0.63783270823680005</v>
      </c>
      <c r="AM77" s="3">
        <f>$H77*factors!AG$3</f>
        <v>0.65590351948800008</v>
      </c>
      <c r="AN77" s="3">
        <f>$H77*factors!AH$3</f>
        <v>0.64519489059840007</v>
      </c>
      <c r="AO77" s="3">
        <f>$H77*factors!AI$3</f>
        <v>0.67598219865600007</v>
      </c>
      <c r="AP77" s="3">
        <f>$H77*factors!AJ$3</f>
        <v>0.64787204782080021</v>
      </c>
      <c r="AQ77" s="3">
        <f>$H77*factors!AK$3</f>
        <v>0.66862001629440015</v>
      </c>
      <c r="AR77" s="3">
        <f>$H77*factors!AL$3</f>
        <v>0.65389565157120011</v>
      </c>
      <c r="AS77" s="3">
        <f>$H77*factors!AM$3</f>
        <v>0.63783270823680005</v>
      </c>
      <c r="AT77" s="3">
        <f>$H77*factors!AN$3</f>
        <v>0.65791138740480015</v>
      </c>
      <c r="AU77" s="3">
        <f>$H77*factors!AO$3</f>
        <v>0.69673016712960012</v>
      </c>
      <c r="AV77" s="3">
        <f>$H77*factors!AP$3</f>
        <v>0.65858067671040021</v>
      </c>
      <c r="AW77" s="3">
        <f>$H77*factors!AQ$3</f>
        <v>0.65188778365440003</v>
      </c>
      <c r="AX77" s="3">
        <f>$H77*factors!AR$3</f>
        <v>0.6893679847680001</v>
      </c>
      <c r="AY77" s="3">
        <f>$H77*factors!AS$3</f>
        <v>0.63582484032000008</v>
      </c>
      <c r="AZ77" s="3">
        <f>$H77*factors!AT$3</f>
        <v>0.68133651310080023</v>
      </c>
      <c r="BA77" s="3">
        <f>$H77*factors!AU$3</f>
        <v>0.66661214837760008</v>
      </c>
      <c r="BB77" s="3">
        <f>$H77*factors!AV$3</f>
        <v>0.65791138740480015</v>
      </c>
      <c r="BC77" s="3">
        <f>$H77*factors!AW$3</f>
        <v>0.69606087782400028</v>
      </c>
      <c r="BD77" s="3">
        <f>$H77*factors!AX$3</f>
        <v>0.64251773337600004</v>
      </c>
      <c r="BE77" s="3">
        <f>$H77*factors!AY$3</f>
        <v>0.75539213534080007</v>
      </c>
      <c r="BF77" s="3">
        <f>$H77*factors!AZ$3</f>
        <v>0.70347263717120012</v>
      </c>
      <c r="BG77" s="3">
        <f>$H77*factors!BA$3</f>
        <v>0.71371028469760001</v>
      </c>
      <c r="BH77" s="3">
        <f>$H77*factors!BB$3</f>
        <v>0.72321667168640003</v>
      </c>
      <c r="BI77" s="3">
        <f>$H77*factors!BC$3</f>
        <v>0.74954205103999993</v>
      </c>
      <c r="BJ77" s="3">
        <f>$H77*factors!BD$3</f>
        <v>0.71590406631040004</v>
      </c>
      <c r="BK77" s="3">
        <f>$H77*factors!BE$3</f>
        <v>0.7173665873856</v>
      </c>
      <c r="BL77" s="3">
        <f>$H77*factors!BF$3</f>
        <v>0.70932272147200004</v>
      </c>
      <c r="BM77" s="3">
        <f>$H77*factors!BG$3</f>
        <v>0.75758591695360011</v>
      </c>
      <c r="BN77" s="3">
        <f>$H77*factors!BH$3</f>
        <v>0.74807952996480009</v>
      </c>
      <c r="BO77" s="3">
        <f>$H77*factors!BI$3</f>
        <v>0.70347263717120012</v>
      </c>
      <c r="BP77" s="3">
        <f>$H77*factors!BJ$3</f>
        <v>0.70127885555839997</v>
      </c>
      <c r="BQ77" s="3">
        <f>$H77*factors!BK$3</f>
        <v>0.71297902416000003</v>
      </c>
      <c r="BR77" s="3">
        <f>$H77*factors!BL$3</f>
        <v>0.73857314297600007</v>
      </c>
      <c r="BS77" s="3">
        <f>$H77*factors!BM$3</f>
        <v>0.75027331157760013</v>
      </c>
      <c r="BT77" s="3">
        <f>$H77*factors!BN$3</f>
        <v>0.75246709319040006</v>
      </c>
      <c r="BU77" s="3">
        <f>$H77*factors!BO$3</f>
        <v>0.76489852232960009</v>
      </c>
      <c r="BV77" s="3">
        <f>$H77*factors!BP$3</f>
        <v>0.71151650308480008</v>
      </c>
      <c r="BW77" s="3">
        <f>$H77*factors!BQ$3</f>
        <v>0.7276042349120001</v>
      </c>
      <c r="BX77" s="3">
        <f>$H77*factors!BR$3</f>
        <v>0.71371028469760001</v>
      </c>
      <c r="BY77" s="3">
        <f>$H77*factors!BS$3</f>
        <v>0.74661700888959992</v>
      </c>
      <c r="BZ77" s="3">
        <f>$H77*factors!BT$3</f>
        <v>0.73272305867520005</v>
      </c>
      <c r="CA77" s="3">
        <f>$H77*factors!BU$3</f>
        <v>0.72321667168640003</v>
      </c>
      <c r="CB77" s="3">
        <f>$H77*factors!BV$3</f>
        <v>0.69981633448320002</v>
      </c>
      <c r="CC77" s="3">
        <f>$H77*factors!BW$3</f>
        <v>0.72029162953600001</v>
      </c>
      <c r="CD77" s="3">
        <f>$H77*factors!BX$3</f>
        <v>0.72248541114880005</v>
      </c>
      <c r="CE77" s="3">
        <f>$H77*factors!BY$3</f>
        <v>0.73272305867520005</v>
      </c>
      <c r="CF77" s="3">
        <f>$H77*factors!BZ$3</f>
        <v>0.72175415061120007</v>
      </c>
      <c r="CG77" s="3">
        <f>$H77*factors!CA$3</f>
        <v>0.69762255287039998</v>
      </c>
      <c r="CH77" s="3">
        <f>$H77*factors!CB$3</f>
        <v>0.69835381340799996</v>
      </c>
      <c r="CI77" s="3">
        <f>$H77*factors!CC$3</f>
        <v>0.69469751072000008</v>
      </c>
      <c r="CJ77" s="3">
        <f>$H77*factors!CD$3</f>
        <v>0.72321667168640003</v>
      </c>
      <c r="CK77" s="3">
        <f>$H77*factors!CE$3</f>
        <v>0.75539213534080007</v>
      </c>
      <c r="CL77" s="3">
        <f>$H77*factors!CF$3</f>
        <v>0.70786020039680009</v>
      </c>
      <c r="CM77" s="3">
        <f>$H77*factors!CG$3</f>
        <v>0.72467919276159998</v>
      </c>
      <c r="CN77" s="3">
        <f>$H77*factors!CH$3</f>
        <v>0.7005475950208</v>
      </c>
      <c r="CO77" s="3">
        <f>$H77*factors!CI$3</f>
        <v>0.70566641878400005</v>
      </c>
      <c r="CP77" s="3">
        <f>$H77*factors!CJ$3</f>
        <v>0.73930440351359994</v>
      </c>
      <c r="CQ77" s="3">
        <f>$H77*factors!CK$3</f>
        <v>0.7173665873856</v>
      </c>
      <c r="CR77" s="3">
        <f>$H77*factors!CL$3</f>
        <v>0.74003566405120003</v>
      </c>
      <c r="CS77" s="3">
        <f>$H77*factors!CM$3</f>
        <v>0.76343600125440003</v>
      </c>
      <c r="CT77" s="3">
        <f>$H77*factors!CN$3</f>
        <v>0.7546608748032001</v>
      </c>
      <c r="CU77" s="3">
        <f>$H77*factors!CO$3</f>
        <v>0.73784188243839999</v>
      </c>
      <c r="CV77" s="3">
        <f>$H77*factors!CP$3</f>
        <v>0.76782356448</v>
      </c>
      <c r="CW77" s="3">
        <f>$H77*factors!CQ$3</f>
        <v>0.72614171383680015</v>
      </c>
      <c r="CX77" s="3">
        <f>$H77*factors!CR$3</f>
        <v>0.71517280577280007</v>
      </c>
      <c r="CY77" s="3">
        <f>$H77*factors!CS$3</f>
        <v>0.70859146093440006</v>
      </c>
      <c r="CZ77" s="3">
        <f>$H77*factors!CT$3</f>
        <v>0.69835381340799996</v>
      </c>
      <c r="DA77" s="3">
        <f>$H77*factors!CU$3</f>
        <v>0.72506341440000011</v>
      </c>
      <c r="DB77" s="3">
        <f>$H77*factors!CV$3</f>
        <v>0.77191366579200016</v>
      </c>
      <c r="DC77" s="3">
        <f>$H77*factors!CW$3</f>
        <v>0.73919285529599998</v>
      </c>
      <c r="DD77" s="3">
        <f>$H77*factors!CX$3</f>
        <v>0.73398727180800005</v>
      </c>
      <c r="DE77" s="3">
        <f>$H77*factors!CY$3</f>
        <v>0.75555326054400018</v>
      </c>
      <c r="DF77" s="3">
        <f>$H77*factors!CZ$3</f>
        <v>0.75406595097600004</v>
      </c>
      <c r="DG77" s="3">
        <f>$H77*factors!DA$3</f>
        <v>0.7510913318400001</v>
      </c>
      <c r="DH77" s="3">
        <f>$H77*factors!DB$3</f>
        <v>0.7510913318400001</v>
      </c>
      <c r="DI77" s="3">
        <f>$H77*factors!DC$3</f>
        <v>0.72283245004800001</v>
      </c>
      <c r="DJ77" s="3">
        <f>$H77*factors!DD$3</f>
        <v>0.76596442752000016</v>
      </c>
      <c r="DK77" s="3">
        <f>$H77*factors!DE$3</f>
        <v>0.76596442752000016</v>
      </c>
      <c r="DL77" s="3">
        <f>$H77*factors!DF$3</f>
        <v>0.7570405701120001</v>
      </c>
      <c r="DM77" s="3">
        <f>$H77*factors!DG$3</f>
        <v>0.71316493785599999</v>
      </c>
      <c r="DN77" s="3">
        <f>$H77*factors!DH$3</f>
        <v>0.74811671270400015</v>
      </c>
      <c r="DO77" s="3">
        <f>$H77*factors!DI$3</f>
        <v>0.77265732057600001</v>
      </c>
      <c r="DP77" s="3">
        <f>$H77*factors!DJ$3</f>
        <v>0.76596442752000016</v>
      </c>
      <c r="DQ77" s="3">
        <f>$H77*factors!DK$3</f>
        <v>0.73026899788800004</v>
      </c>
      <c r="DR77" s="3">
        <f>$H77*factors!DL$3</f>
        <v>0.72208879526400016</v>
      </c>
      <c r="DS77" s="3">
        <f>$H77*factors!DM$3</f>
        <v>0.78009386841600004</v>
      </c>
      <c r="DT77" s="3">
        <f>$H77*factors!DN$3</f>
        <v>0.73324361702400009</v>
      </c>
      <c r="DU77" s="3">
        <f>$H77*factors!DO$3</f>
        <v>0.76745173708800007</v>
      </c>
      <c r="DV77" s="3">
        <f>$H77*factors!DP$3</f>
        <v>0.74960402227200007</v>
      </c>
      <c r="DW77" s="3">
        <f>$H77*factors!DQ$3</f>
        <v>0.71539590220799998</v>
      </c>
      <c r="DX77" s="3">
        <f>$H77*factors!DR$3</f>
        <v>0.75778422489600006</v>
      </c>
      <c r="DY77" s="3">
        <f>$H77*factors!DS$3</f>
        <v>0.71911417612799999</v>
      </c>
      <c r="DZ77" s="3">
        <f>$H77*factors!DT$3</f>
        <v>0.7689390466560001</v>
      </c>
      <c r="EA77" s="3">
        <f>$H77*factors!DU$3</f>
        <v>0.72431975961600004</v>
      </c>
      <c r="EB77" s="3">
        <f>$H77*factors!DV$3</f>
        <v>0.70647204480000003</v>
      </c>
      <c r="EC77" s="3">
        <f>$H77*factors!DW$3</f>
        <v>0.76001518924800004</v>
      </c>
      <c r="ED77" s="3">
        <f>$H77*factors!DX$3</f>
        <v>0.71316493785599999</v>
      </c>
      <c r="EE77" s="3">
        <f>$H77*factors!DY$3</f>
        <v>0.71911417612799999</v>
      </c>
      <c r="EF77" s="3">
        <f>$H77*factors!DZ$3</f>
        <v>0.78009386841600004</v>
      </c>
      <c r="EG77" s="3">
        <f>$H77*factors!EA$3</f>
        <v>0.72878168832000012</v>
      </c>
      <c r="EH77" s="3">
        <f>$H77*factors!EB$3</f>
        <v>0.73101265267200011</v>
      </c>
      <c r="EI77" s="3">
        <f>$H77*factors!EC$3</f>
        <v>0.72952534310400008</v>
      </c>
      <c r="EJ77" s="3">
        <f>$H77*factors!ED$3</f>
        <v>0.71093397350400012</v>
      </c>
      <c r="EK77" s="3">
        <f>$H77*factors!EE$3</f>
        <v>0.76001518924800004</v>
      </c>
      <c r="EL77" s="3">
        <f>$H77*factors!EF$3</f>
        <v>0.72283245004800001</v>
      </c>
      <c r="EM77" s="3">
        <f>$H77*factors!EG$3</f>
        <v>0.75183498662400006</v>
      </c>
      <c r="EN77" s="3">
        <f>$H77*factors!EH$3</f>
        <v>0.70647204480000003</v>
      </c>
      <c r="EO77" s="3">
        <f>$H77*factors!EI$3</f>
        <v>0.71688321177600001</v>
      </c>
      <c r="EP77" s="3">
        <f>$H77*factors!EJ$3</f>
        <v>0.75629691532800003</v>
      </c>
      <c r="EQ77" s="3">
        <f>$H77*factors!EK$3</f>
        <v>0.73547458137599997</v>
      </c>
      <c r="ER77" s="3">
        <f>$H77*factors!EL$3</f>
        <v>0.76596442752000016</v>
      </c>
      <c r="ES77" s="3">
        <f>$H77*factors!EM$3</f>
        <v>0.75629691532800003</v>
      </c>
      <c r="ET77" s="3">
        <f>$H77*factors!EN$3</f>
        <v>0.77340097536000008</v>
      </c>
      <c r="EU77" s="3">
        <f>$H77*factors!EO$3</f>
        <v>0.78083752320000011</v>
      </c>
      <c r="EV77" s="3">
        <f>$H77*factors!EP$3</f>
        <v>0.73175630745600007</v>
      </c>
      <c r="EW77" s="3">
        <f>$H77*factors!EQ$3</f>
        <v>0.80485137559999997</v>
      </c>
      <c r="EX77" s="3">
        <f>$H77*factors!ER$3</f>
        <v>0.79633033120000019</v>
      </c>
      <c r="EY77" s="3">
        <f>$H77*factors!ES$3</f>
        <v>0.81259777960000001</v>
      </c>
      <c r="EZ77" s="3">
        <f>$H77*factors!ET$3</f>
        <v>0.80485137559999997</v>
      </c>
      <c r="FA77" s="3">
        <f>$H77*factors!EU$3</f>
        <v>0.73978158199999999</v>
      </c>
      <c r="FB77" s="3">
        <f>$H77*factors!EV$3</f>
        <v>0.77309111920000018</v>
      </c>
      <c r="FC77" s="3">
        <f>$H77*factors!EW$3</f>
        <v>0.79478105040000013</v>
      </c>
      <c r="FD77" s="3">
        <f>$H77*factors!EX$3</f>
        <v>0.76689399600000019</v>
      </c>
      <c r="FE77" s="3">
        <f>$H77*factors!EY$3</f>
        <v>0.80794993720000008</v>
      </c>
      <c r="FF77" s="3">
        <f>$H77*factors!EZ$3</f>
        <v>0.80872457760000027</v>
      </c>
      <c r="FG77" s="3">
        <f>$H77*factors!FA$3</f>
        <v>0.73978158199999999</v>
      </c>
      <c r="FH77" s="3">
        <f>$H77*factors!FB$3</f>
        <v>0.77851360200000008</v>
      </c>
      <c r="FI77" s="3">
        <f>$H77*factors!FC$3</f>
        <v>0.81104849880000007</v>
      </c>
      <c r="FJ77" s="3">
        <f>$H77*factors!FD$3</f>
        <v>0.77851360200000008</v>
      </c>
      <c r="FK77" s="3">
        <f>$H77*factors!FE$3</f>
        <v>0.79168248880000014</v>
      </c>
      <c r="FL77" s="3">
        <f>$H77*factors!FF$3</f>
        <v>0.79400641000000016</v>
      </c>
      <c r="FM77" s="3">
        <f>$H77*factors!FG$3</f>
        <v>0.80252745440000006</v>
      </c>
      <c r="FN77" s="3">
        <f>$H77*factors!FH$3</f>
        <v>0.75062654760000003</v>
      </c>
      <c r="FO77" s="3">
        <f>$H77*factors!FI$3</f>
        <v>0.79710497160000005</v>
      </c>
      <c r="FP77" s="3">
        <f>$H77*factors!FJ$3</f>
        <v>0.77464040000000012</v>
      </c>
      <c r="FQ77" s="3">
        <f>$H77*factors!FK$3</f>
        <v>0.76689399600000019</v>
      </c>
      <c r="FR77" s="3">
        <f>$H77*factors!FL$3</f>
        <v>0.78238680400000005</v>
      </c>
      <c r="FS77" s="3">
        <f>$H77*factors!FM$3</f>
        <v>0.7777389616</v>
      </c>
      <c r="FT77" s="3">
        <f>$H77*factors!FN$3</f>
        <v>0.79478105040000013</v>
      </c>
      <c r="FU77" s="3">
        <f>$H77*factors!FO$3</f>
        <v>0.76379543440000008</v>
      </c>
      <c r="FV77" s="3">
        <f>$H77*factors!FP$3</f>
        <v>0.7575983112000001</v>
      </c>
      <c r="FW77" s="3">
        <f>$H77*factors!FQ$3</f>
        <v>0.81104849880000007</v>
      </c>
      <c r="FX77" s="3">
        <f>$H77*factors!FR$3</f>
        <v>0.79633033120000019</v>
      </c>
      <c r="FY77" s="3">
        <f>$H77*factors!FS$3</f>
        <v>0.78006288280000002</v>
      </c>
      <c r="FZ77" s="3">
        <f>$H77*factors!FT$3</f>
        <v>0.74133086280000016</v>
      </c>
      <c r="GA77" s="3">
        <f>$H77*factors!FU$3</f>
        <v>0.78006288280000002</v>
      </c>
      <c r="GB77" s="3">
        <f>$H77*factors!FV$3</f>
        <v>0.80872457760000027</v>
      </c>
      <c r="GC77" s="3">
        <f>$H77*factors!FW$3</f>
        <v>0.7575983112000001</v>
      </c>
      <c r="GD77" s="3">
        <f>$H77*factors!FX$3</f>
        <v>0.77076719800000004</v>
      </c>
      <c r="GE77" s="3">
        <f>$H77*factors!FY$3</f>
        <v>0.77076719800000004</v>
      </c>
      <c r="GF77" s="3">
        <f>$H77*factors!FZ$3</f>
        <v>0.76844327680000013</v>
      </c>
      <c r="GG77" s="3">
        <f>$H77*factors!GA$3</f>
        <v>0.73823230120000005</v>
      </c>
      <c r="GH77" s="3">
        <f>$H77*factors!GB$3</f>
        <v>0.78548536560000015</v>
      </c>
      <c r="GI77" s="3">
        <f>$H77*factors!GC$3</f>
        <v>0.73668302040000011</v>
      </c>
      <c r="GJ77" s="3">
        <f>$H77*factors!GD$3</f>
        <v>0.73823230120000005</v>
      </c>
      <c r="GK77" s="3">
        <f>$H77*factors!GE$3</f>
        <v>0.75682367080000013</v>
      </c>
      <c r="GL77" s="3">
        <f>$H77*factors!GF$3</f>
        <v>0.80175281400000009</v>
      </c>
      <c r="GM77" s="3">
        <f>$H77*factors!GG$3</f>
        <v>0.75992223240000012</v>
      </c>
      <c r="GN77" s="3">
        <f>$H77*factors!GH$3</f>
        <v>0.78393608480000021</v>
      </c>
      <c r="GO77" s="3">
        <f>$H77*factors!GI$3</f>
        <v>0.74055622239999996</v>
      </c>
      <c r="GP77" s="3">
        <f>$H77*factors!GJ$3</f>
        <v>0.79400641000000016</v>
      </c>
      <c r="GQ77" s="3">
        <f>$H77*factors!GK$3</f>
        <v>0.81027385840000021</v>
      </c>
      <c r="GR77" s="3">
        <f>$H77*factors!GL$3</f>
        <v>0.79478105040000013</v>
      </c>
      <c r="GS77" s="3">
        <f>$H77*factors!GM$3</f>
        <v>0.75161808731200008</v>
      </c>
      <c r="GT77" s="3">
        <f>$H77*factors!GN$3</f>
        <v>0.76893284953280017</v>
      </c>
      <c r="GU77" s="3">
        <f>$H77*factors!GO$3</f>
        <v>0.78703464640000009</v>
      </c>
      <c r="GV77" s="3">
        <f>$H77*factors!GP$3</f>
        <v>0.75555326054400018</v>
      </c>
      <c r="GW77" s="3">
        <f>$H77*factors!GQ$3</f>
        <v>0.78231243852160015</v>
      </c>
      <c r="GX77" s="3">
        <f>$H77*factors!GR$3</f>
        <v>0.76971988417920012</v>
      </c>
      <c r="GY77" s="3">
        <f>$H77*factors!GS$3</f>
        <v>0.76578471094720013</v>
      </c>
      <c r="GZ77" s="3">
        <f>$H77*factors!GT$3</f>
        <v>0.79411795821760001</v>
      </c>
      <c r="HA77" s="3">
        <f>$H77*factors!GU$3</f>
        <v>0.7681458148864001</v>
      </c>
      <c r="HB77" s="3">
        <f>$H77*factors!GV$3</f>
        <v>0.79411795821760001</v>
      </c>
      <c r="HC77" s="3">
        <f>$H77*factors!GW$3</f>
        <v>0.77444209205760006</v>
      </c>
      <c r="HD77" s="3">
        <f>$H77*factors!GX$3</f>
        <v>0.79726609680320004</v>
      </c>
      <c r="HE77" s="3">
        <f>$H77*factors!GY$3</f>
        <v>0.78703464640000009</v>
      </c>
      <c r="HF77" s="3">
        <f>$H77*factors!GZ$3</f>
        <v>0.81143272043840009</v>
      </c>
      <c r="HG77" s="3">
        <f>$H77*factors!HA$3</f>
        <v>0.77995133458240007</v>
      </c>
      <c r="HH77" s="3">
        <f>$H77*factors!HB$3</f>
        <v>0.76971988417920012</v>
      </c>
      <c r="HI77" s="3">
        <f>$H77*factors!HC$3</f>
        <v>0.76027546842240012</v>
      </c>
      <c r="HJ77" s="3">
        <f>$H77*factors!HD$3</f>
        <v>0.75161808731200008</v>
      </c>
      <c r="HK77" s="3">
        <f>$H77*factors!HE$3</f>
        <v>0.79490499286400007</v>
      </c>
      <c r="HL77" s="3">
        <f>$H77*factors!HF$3</f>
        <v>0.7492569833728</v>
      </c>
      <c r="HM77" s="3">
        <f>$H77*factors!HG$3</f>
        <v>0.7571273298368002</v>
      </c>
      <c r="HN77" s="3">
        <f>$H77*factors!HH$3</f>
        <v>0.80749754720640021</v>
      </c>
      <c r="HO77" s="3">
        <f>$H77*factors!HI$3</f>
        <v>0.77444209205760006</v>
      </c>
      <c r="HP77" s="3">
        <f>$H77*factors!HJ$3</f>
        <v>0.8263863787200002</v>
      </c>
      <c r="HQ77" s="3">
        <f>$H77*factors!HK$3</f>
        <v>0.75555326054400018</v>
      </c>
      <c r="HR77" s="3">
        <f>$H77*factors!HL$3</f>
        <v>0.80120127003520014</v>
      </c>
      <c r="HS77" s="3">
        <f>$H77*factors!HM$3</f>
        <v>0.81536789367040008</v>
      </c>
      <c r="HT77" s="3">
        <f>$H77*factors!HN$3</f>
        <v>0.76027546842240012</v>
      </c>
      <c r="HU77" s="3">
        <f>$H77*factors!HO$3</f>
        <v>0.7681458148864001</v>
      </c>
      <c r="HV77" s="3">
        <f>$H77*factors!HP$3</f>
        <v>0.77759023064320021</v>
      </c>
      <c r="HW77" s="3">
        <f>$H77*factors!HQ$3</f>
        <v>0.78860871569280011</v>
      </c>
      <c r="HX77" s="3">
        <f>$H77*factors!HR$3</f>
        <v>0.82087713619519997</v>
      </c>
      <c r="HY77" s="3">
        <f>$H77*factors!HS$3</f>
        <v>0.77995133458240007</v>
      </c>
      <c r="HZ77" s="3">
        <f>$H77*factors!HT$3</f>
        <v>0.80985865114560007</v>
      </c>
      <c r="IA77" s="3">
        <f>$H77*factors!HU$3</f>
        <v>0.77050691882560018</v>
      </c>
      <c r="IB77" s="3">
        <f>$H77*factors!HV$3</f>
        <v>0.79726609680320004</v>
      </c>
      <c r="IC77" s="3">
        <f>$H77*factors!HW$3</f>
        <v>0.80513644326720013</v>
      </c>
      <c r="ID77" s="3">
        <f>$H77*factors!HX$3</f>
        <v>0.74768291408000009</v>
      </c>
      <c r="IE77" s="3">
        <f>$H77*factors!HY$3</f>
        <v>0.79411795821760001</v>
      </c>
      <c r="IF77" s="3">
        <f>$H77*factors!HZ$3</f>
        <v>0.78939575033920006</v>
      </c>
      <c r="IG77" s="3">
        <f>$H77*factors!IA$3</f>
        <v>0.78231243852160015</v>
      </c>
      <c r="IH77" s="3">
        <f>$H77*factors!IB$3</f>
        <v>0.81143272043840009</v>
      </c>
      <c r="II77" s="3">
        <f>$H77*factors!IC$3</f>
        <v>0.77680319599680014</v>
      </c>
      <c r="IJ77" s="3">
        <f>$H77*factors!ID$3</f>
        <v>0.78388650781440017</v>
      </c>
      <c r="IK77" s="3">
        <f>$H77*factors!IE$3</f>
        <v>0.81221975508480015</v>
      </c>
      <c r="IL77" s="3">
        <f>$H77*factors!IF$3</f>
        <v>0.77759023064320021</v>
      </c>
      <c r="IM77" s="3">
        <f>$H77*factors!IG$3</f>
        <v>0.77050691882560018</v>
      </c>
      <c r="IN77" s="3">
        <f>$H77*factors!IH$3</f>
        <v>0.77522912670400013</v>
      </c>
      <c r="IO77" s="3">
        <f>$H77*factors!II$3</f>
        <v>0.7830994731680001</v>
      </c>
      <c r="IP77" s="3">
        <f>$H77*factors!IJ$3</f>
        <v>0.7571273298368002</v>
      </c>
      <c r="IQ77" s="3">
        <f>$H77*factors!IK$3</f>
        <v>0.75476622589760012</v>
      </c>
      <c r="IR77" s="3">
        <f>$H77*factors!IL$3</f>
        <v>0.77680319599680014</v>
      </c>
      <c r="IS77" s="3">
        <f>$H77*factors!IM$3</f>
        <v>0.7830994731680001</v>
      </c>
      <c r="IT77" s="3">
        <f>$H77*factors!IN$3</f>
        <v>0.78860871569280011</v>
      </c>
      <c r="IU77" s="3">
        <f>$H77*factors!IO$3</f>
        <v>0.80592347791360019</v>
      </c>
      <c r="IV77" s="3">
        <f>$H77*factors!IP$3</f>
        <v>0.81615492831680003</v>
      </c>
      <c r="IW77" s="3">
        <f>$H77*factors!IQ$3</f>
        <v>0.77129395347200003</v>
      </c>
      <c r="IX77" s="3">
        <f>$H77*factors!IR$3</f>
        <v>0.80592347791360019</v>
      </c>
      <c r="IY77" s="3">
        <f>$H77*factors!IS$3</f>
        <v>0.79411795821760001</v>
      </c>
      <c r="IZ77" s="3">
        <f>$H77*factors!IT$3</f>
        <v>0.80749754720640021</v>
      </c>
      <c r="JA77" s="3">
        <f>$H77*factors!IU$3</f>
        <v>0.7626365723616001</v>
      </c>
      <c r="JB77" s="3">
        <f>$H77*factors!IV$3</f>
        <v>0.77680319599680014</v>
      </c>
      <c r="JC77" s="3">
        <f>$H77*factors!IW$3</f>
        <v>0.75870139912960011</v>
      </c>
      <c r="JD77" s="3">
        <f>$H77*factors!IX$3</f>
        <v>0.8263863787200002</v>
      </c>
      <c r="JE77" s="3">
        <f>$H77*factors!IY$3</f>
        <v>0.76106250306880008</v>
      </c>
      <c r="JF77" s="3">
        <f>$H77*factors!IZ$3</f>
        <v>0.79884016609599995</v>
      </c>
      <c r="JG77" s="3">
        <f>$H77*factors!JA$3</f>
        <v>0.78467354246080012</v>
      </c>
      <c r="JH77" s="3">
        <f>$H77*factors!JB$3</f>
        <v>0.79962720074240023</v>
      </c>
      <c r="JI77" s="3">
        <f>$H77*factors!JC$3</f>
        <v>0.74846994872640016</v>
      </c>
      <c r="JJ77" s="3">
        <f>$H77*factors!JD$3</f>
        <v>0.80592347791360019</v>
      </c>
      <c r="JK77" s="3">
        <f>$H77*factors!JE$3</f>
        <v>0.77995133458240007</v>
      </c>
      <c r="JL77" s="3">
        <f>$H77*factors!JF$3</f>
        <v>0.81143272043840009</v>
      </c>
      <c r="JM77" s="3">
        <f>$H77*factors!JG$3</f>
        <v>0.7571273298368002</v>
      </c>
      <c r="JN77" s="3">
        <f>$H77*factors!JH$3</f>
        <v>0.7571273298368002</v>
      </c>
      <c r="JO77" s="3">
        <f>$H77*factors!JI$3</f>
        <v>0.74768291408000009</v>
      </c>
      <c r="JP77" s="3">
        <f>$H77*factors!JJ$3</f>
        <v>0.80828458185280005</v>
      </c>
      <c r="JQ77" s="3">
        <f>$H77*factors!JK$3</f>
        <v>0.78782168104640005</v>
      </c>
      <c r="JR77" s="3">
        <f>$H77*factors!JL$3</f>
        <v>0.81851603225600011</v>
      </c>
      <c r="JS77" s="3">
        <f>$H77*factors!JM$3</f>
        <v>0.74768291408000009</v>
      </c>
      <c r="JT77" s="3">
        <f>$H77*factors!JN$3</f>
        <v>0.78546057710720019</v>
      </c>
      <c r="JU77" s="3">
        <f>$H77*factors!JO$3</f>
        <v>0.75948843377600006</v>
      </c>
      <c r="JV77" s="3">
        <f>$H77*factors!JP$3</f>
        <v>0.77208098811840009</v>
      </c>
      <c r="JW77" s="3">
        <f>$H77*factors!JQ$3</f>
        <v>0.82481230942720019</v>
      </c>
      <c r="JX77" s="3">
        <f>$H77*factors!JR$3</f>
        <v>0.8169419629632001</v>
      </c>
      <c r="JY77" s="3">
        <f>$H77*factors!JS$3</f>
        <v>0.76893284953280017</v>
      </c>
      <c r="JZ77" s="3">
        <f>$H77*factors!JT$3</f>
        <v>0.77759023064320021</v>
      </c>
      <c r="KA77" s="3">
        <f>$H77*factors!JU$3</f>
        <v>0.78073836922880013</v>
      </c>
      <c r="KB77" s="3">
        <f>$H77*factors!JV$3</f>
        <v>0.75476622589760012</v>
      </c>
      <c r="KC77" s="3">
        <f>$H77*factors!JW$3</f>
        <v>0.75870139912960011</v>
      </c>
      <c r="KD77" s="3">
        <f>$H77*factors!JX$3</f>
        <v>0.75948843377600006</v>
      </c>
      <c r="KE77" s="3">
        <f>$H77*factors!JY$3</f>
        <v>0.80828458185280005</v>
      </c>
      <c r="KF77" s="3">
        <f>$H77*factors!JZ$3</f>
        <v>0.81772899760960005</v>
      </c>
      <c r="KG77" s="3">
        <f>$H77*factors!KA$3</f>
        <v>0.78860871569280011</v>
      </c>
      <c r="KH77" s="3">
        <f>$H77*factors!KB$3</f>
        <v>0.77129395347200003</v>
      </c>
      <c r="KI77" s="3">
        <f>$H77*factors!KC$3</f>
        <v>0.7642106416544</v>
      </c>
    </row>
    <row r="78" spans="1:295" x14ac:dyDescent="0.55000000000000004">
      <c r="A78" t="s">
        <v>454</v>
      </c>
      <c r="B78">
        <v>77</v>
      </c>
      <c r="C78">
        <v>230</v>
      </c>
      <c r="D78" t="s">
        <v>377</v>
      </c>
      <c r="E78">
        <v>1.5035E-2</v>
      </c>
      <c r="F78">
        <v>77</v>
      </c>
      <c r="G78">
        <f>VLOOKUP(D78,demand_forecasted!$A$2:$G$11,2)</f>
        <v>11098</v>
      </c>
      <c r="H78" s="3">
        <f t="shared" si="1"/>
        <v>1.6685843</v>
      </c>
      <c r="I78" s="3">
        <f>$H78*factors!C$3</f>
        <v>1.8471228201000001</v>
      </c>
      <c r="J78" s="3">
        <f>$H78*factors!D$3</f>
        <v>1.780446191472</v>
      </c>
      <c r="K78" s="3">
        <f>$H78*factors!E$3</f>
        <v>1.7498109837240001</v>
      </c>
      <c r="L78" s="3">
        <f>$H78*factors!F$3</f>
        <v>1.7444047705920003</v>
      </c>
      <c r="M78" s="3">
        <f>$H78*factors!G$3</f>
        <v>1.742602699548</v>
      </c>
      <c r="N78" s="3">
        <f>$H78*factors!H$3</f>
        <v>1.79306068878</v>
      </c>
      <c r="O78" s="3">
        <f>$H78*factors!I$3</f>
        <v>1.8327062517479999</v>
      </c>
      <c r="P78" s="3">
        <f>$H78*factors!J$3</f>
        <v>1.8543311042760002</v>
      </c>
      <c r="Q78" s="3">
        <f>$H78*factors!K$3</f>
        <v>1.7408006285040001</v>
      </c>
      <c r="R78" s="3">
        <f>$H78*factors!L$3</f>
        <v>1.7119674918000001</v>
      </c>
      <c r="S78" s="3">
        <f>$H78*factors!M$3</f>
        <v>1.7822482625159999</v>
      </c>
      <c r="T78" s="3">
        <f>$H78*factors!N$3</f>
        <v>1.8435186780120001</v>
      </c>
      <c r="U78" s="3">
        <f>$H78*factors!O$3</f>
        <v>1.7462068416360002</v>
      </c>
      <c r="V78" s="3">
        <f>$H78*factors!P$3</f>
        <v>1.8164876123520002</v>
      </c>
      <c r="W78" s="3">
        <f>$H78*factors!Q$3</f>
        <v>1.8327062517479999</v>
      </c>
      <c r="X78" s="3">
        <f>$H78*factors!R$3</f>
        <v>1.7534151258120001</v>
      </c>
      <c r="Y78" s="3">
        <f>$H78*factors!S$3</f>
        <v>1.7371964864160001</v>
      </c>
      <c r="Z78" s="3">
        <f>$H78*factors!T$3</f>
        <v>1.8741538857600004</v>
      </c>
      <c r="AA78" s="3">
        <f>$H78*factors!U$3</f>
        <v>1.7696337652079999</v>
      </c>
      <c r="AB78" s="3">
        <f>$H78*factors!V$3</f>
        <v>1.7714358362520002</v>
      </c>
      <c r="AC78" s="3">
        <f>$H78*factors!W$3</f>
        <v>1.7732379072960003</v>
      </c>
      <c r="AD78" s="3">
        <f>$H78*factors!X$3</f>
        <v>1.7353944153720002</v>
      </c>
      <c r="AE78" s="3">
        <f>$H78*factors!Y$3</f>
        <v>1.7498109837240001</v>
      </c>
      <c r="AF78" s="3">
        <f>$H78*factors!Z$3</f>
        <v>1.7858524046040003</v>
      </c>
      <c r="AG78" s="3">
        <f>$H78*factors!AA$3</f>
        <v>1.7408006285040001</v>
      </c>
      <c r="AH78" s="3">
        <f>$H78*factors!AB$3</f>
        <v>1.7335923443280001</v>
      </c>
      <c r="AI78" s="3">
        <f>$H78*factors!AC$3</f>
        <v>1.789456546692</v>
      </c>
      <c r="AJ78" s="3">
        <f>$H78*factors!AD$3</f>
        <v>1.857935246364</v>
      </c>
      <c r="AK78" s="3">
        <f>$H78*factors!AE$3</f>
        <v>1.7876544756480002</v>
      </c>
      <c r="AL78" s="3">
        <f>$H78*factors!AF$3</f>
        <v>1.7173737049319999</v>
      </c>
      <c r="AM78" s="3">
        <f>$H78*factors!AG$3</f>
        <v>1.7660296231200001</v>
      </c>
      <c r="AN78" s="3">
        <f>$H78*factors!AH$3</f>
        <v>1.7371964864160001</v>
      </c>
      <c r="AO78" s="3">
        <f>$H78*factors!AI$3</f>
        <v>1.8200917544399999</v>
      </c>
      <c r="AP78" s="3">
        <f>$H78*factors!AJ$3</f>
        <v>1.7444047705920003</v>
      </c>
      <c r="AQ78" s="3">
        <f>$H78*factors!AK$3</f>
        <v>1.8002689729560002</v>
      </c>
      <c r="AR78" s="3">
        <f>$H78*factors!AL$3</f>
        <v>1.7606234099880003</v>
      </c>
      <c r="AS78" s="3">
        <f>$H78*factors!AM$3</f>
        <v>1.7173737049319999</v>
      </c>
      <c r="AT78" s="3">
        <f>$H78*factors!AN$3</f>
        <v>1.7714358362520002</v>
      </c>
      <c r="AU78" s="3">
        <f>$H78*factors!AO$3</f>
        <v>1.8759559568039998</v>
      </c>
      <c r="AV78" s="3">
        <f>$H78*factors!AP$3</f>
        <v>1.7732379072960003</v>
      </c>
      <c r="AW78" s="3">
        <f>$H78*factors!AQ$3</f>
        <v>1.755217196856</v>
      </c>
      <c r="AX78" s="3">
        <f>$H78*factors!AR$3</f>
        <v>1.8561331753200001</v>
      </c>
      <c r="AY78" s="3">
        <f>$H78*factors!AS$3</f>
        <v>1.7119674918000001</v>
      </c>
      <c r="AZ78" s="3">
        <f>$H78*factors!AT$3</f>
        <v>1.8345083227920003</v>
      </c>
      <c r="BA78" s="3">
        <f>$H78*factors!AU$3</f>
        <v>1.7948627598239999</v>
      </c>
      <c r="BB78" s="3">
        <f>$H78*factors!AV$3</f>
        <v>1.7714358362520002</v>
      </c>
      <c r="BC78" s="3">
        <f>$H78*factors!AW$3</f>
        <v>1.8741538857600004</v>
      </c>
      <c r="BD78" s="3">
        <f>$H78*factors!AX$3</f>
        <v>1.7299882022399999</v>
      </c>
      <c r="BE78" s="3">
        <f>$H78*factors!AY$3</f>
        <v>2.033904146642</v>
      </c>
      <c r="BF78" s="3">
        <f>$H78*factors!AZ$3</f>
        <v>1.8941101539879999</v>
      </c>
      <c r="BG78" s="3">
        <f>$H78*factors!BA$3</f>
        <v>1.9216751666239997</v>
      </c>
      <c r="BH78" s="3">
        <f>$H78*factors!BB$3</f>
        <v>1.9472712497859999</v>
      </c>
      <c r="BI78" s="3">
        <f>$H78*factors!BC$3</f>
        <v>2.0181527108499995</v>
      </c>
      <c r="BJ78" s="3">
        <f>$H78*factors!BD$3</f>
        <v>1.9275819550459998</v>
      </c>
      <c r="BK78" s="3">
        <f>$H78*factors!BE$3</f>
        <v>1.9315198139939997</v>
      </c>
      <c r="BL78" s="3">
        <f>$H78*factors!BF$3</f>
        <v>1.9098615897799998</v>
      </c>
      <c r="BM78" s="3">
        <f>$H78*factors!BG$3</f>
        <v>2.0398109350640001</v>
      </c>
      <c r="BN78" s="3">
        <f>$H78*factors!BH$3</f>
        <v>2.014214851902</v>
      </c>
      <c r="BO78" s="3">
        <f>$H78*factors!BI$3</f>
        <v>1.8941101539879999</v>
      </c>
      <c r="BP78" s="3">
        <f>$H78*factors!BJ$3</f>
        <v>1.8882033655659998</v>
      </c>
      <c r="BQ78" s="3">
        <f>$H78*factors!BK$3</f>
        <v>1.9197062371499998</v>
      </c>
      <c r="BR78" s="3">
        <f>$H78*factors!BL$3</f>
        <v>1.9886187687399999</v>
      </c>
      <c r="BS78" s="3">
        <f>$H78*factors!BM$3</f>
        <v>2.0201216403240001</v>
      </c>
      <c r="BT78" s="3">
        <f>$H78*factors!BN$3</f>
        <v>2.0260284287459998</v>
      </c>
      <c r="BU78" s="3">
        <f>$H78*factors!BO$3</f>
        <v>2.0595002298040002</v>
      </c>
      <c r="BV78" s="3">
        <f>$H78*factors!BP$3</f>
        <v>1.9157683782019999</v>
      </c>
      <c r="BW78" s="3">
        <f>$H78*factors!BQ$3</f>
        <v>1.9590848266299998</v>
      </c>
      <c r="BX78" s="3">
        <f>$H78*factors!BR$3</f>
        <v>1.9216751666239997</v>
      </c>
      <c r="BY78" s="3">
        <f>$H78*factors!BS$3</f>
        <v>2.0102769929539996</v>
      </c>
      <c r="BZ78" s="3">
        <f>$H78*factors!BT$3</f>
        <v>1.9728673329479998</v>
      </c>
      <c r="CA78" s="3">
        <f>$H78*factors!BU$3</f>
        <v>1.9472712497859999</v>
      </c>
      <c r="CB78" s="3">
        <f>$H78*factors!BV$3</f>
        <v>1.8842655066179999</v>
      </c>
      <c r="CC78" s="3">
        <f>$H78*factors!BW$3</f>
        <v>1.9393955318899998</v>
      </c>
      <c r="CD78" s="3">
        <f>$H78*factors!BX$3</f>
        <v>1.9453023203119999</v>
      </c>
      <c r="CE78" s="3">
        <f>$H78*factors!BY$3</f>
        <v>1.9728673329479998</v>
      </c>
      <c r="CF78" s="3">
        <f>$H78*factors!BZ$3</f>
        <v>1.9433333908380002</v>
      </c>
      <c r="CG78" s="3">
        <f>$H78*factors!CA$3</f>
        <v>1.8783587181959998</v>
      </c>
      <c r="CH78" s="3">
        <f>$H78*factors!CB$3</f>
        <v>1.8803276476699997</v>
      </c>
      <c r="CI78" s="3">
        <f>$H78*factors!CC$3</f>
        <v>1.8704830002999999</v>
      </c>
      <c r="CJ78" s="3">
        <f>$H78*factors!CD$3</f>
        <v>1.9472712497859999</v>
      </c>
      <c r="CK78" s="3">
        <f>$H78*factors!CE$3</f>
        <v>2.033904146642</v>
      </c>
      <c r="CL78" s="3">
        <f>$H78*factors!CF$3</f>
        <v>1.9059237308319998</v>
      </c>
      <c r="CM78" s="3">
        <f>$H78*factors!CG$3</f>
        <v>1.9512091087339998</v>
      </c>
      <c r="CN78" s="3">
        <f>$H78*factors!CH$3</f>
        <v>1.8862344360919998</v>
      </c>
      <c r="CO78" s="3">
        <f>$H78*factors!CI$3</f>
        <v>1.9000169424099997</v>
      </c>
      <c r="CP78" s="3">
        <f>$H78*factors!CJ$3</f>
        <v>1.9905876982139996</v>
      </c>
      <c r="CQ78" s="3">
        <f>$H78*factors!CK$3</f>
        <v>1.9315198139939997</v>
      </c>
      <c r="CR78" s="3">
        <f>$H78*factors!CL$3</f>
        <v>1.9925566276879998</v>
      </c>
      <c r="CS78" s="3">
        <f>$H78*factors!CM$3</f>
        <v>2.0555623708559998</v>
      </c>
      <c r="CT78" s="3">
        <f>$H78*factors!CN$3</f>
        <v>2.0319352171679999</v>
      </c>
      <c r="CU78" s="3">
        <f>$H78*factors!CO$3</f>
        <v>1.9866498392659997</v>
      </c>
      <c r="CV78" s="3">
        <f>$H78*factors!CP$3</f>
        <v>2.0673759477</v>
      </c>
      <c r="CW78" s="3">
        <f>$H78*factors!CQ$3</f>
        <v>1.9551469676820001</v>
      </c>
      <c r="CX78" s="3">
        <f>$H78*factors!CR$3</f>
        <v>1.9256130255719999</v>
      </c>
      <c r="CY78" s="3">
        <f>$H78*factors!CS$3</f>
        <v>1.9078926603059998</v>
      </c>
      <c r="CZ78" s="3">
        <f>$H78*factors!CT$3</f>
        <v>1.8803276476699997</v>
      </c>
      <c r="DA78" s="3">
        <f>$H78*factors!CU$3</f>
        <v>1.952243631</v>
      </c>
      <c r="DB78" s="3">
        <f>$H78*factors!CV$3</f>
        <v>2.0783886040800001</v>
      </c>
      <c r="DC78" s="3">
        <f>$H78*factors!CW$3</f>
        <v>1.9902873530399998</v>
      </c>
      <c r="DD78" s="3">
        <f>$H78*factors!CX$3</f>
        <v>1.9762712449199999</v>
      </c>
      <c r="DE78" s="3">
        <f>$H78*factors!CY$3</f>
        <v>2.03433797856</v>
      </c>
      <c r="DF78" s="3">
        <f>$H78*factors!CZ$3</f>
        <v>2.0303333762399998</v>
      </c>
      <c r="DG78" s="3">
        <f>$H78*factors!DA$3</f>
        <v>2.0223241715999998</v>
      </c>
      <c r="DH78" s="3">
        <f>$H78*factors!DB$3</f>
        <v>2.0223241715999998</v>
      </c>
      <c r="DI78" s="3">
        <f>$H78*factors!DC$3</f>
        <v>1.9462367275199999</v>
      </c>
      <c r="DJ78" s="3">
        <f>$H78*factors!DD$3</f>
        <v>2.0623701948000002</v>
      </c>
      <c r="DK78" s="3">
        <f>$H78*factors!DE$3</f>
        <v>2.0623701948000002</v>
      </c>
      <c r="DL78" s="3">
        <f>$H78*factors!DF$3</f>
        <v>2.0383425808800002</v>
      </c>
      <c r="DM78" s="3">
        <f>$H78*factors!DG$3</f>
        <v>1.9202068124399998</v>
      </c>
      <c r="DN78" s="3">
        <f>$H78*factors!DH$3</f>
        <v>2.0143149669600002</v>
      </c>
      <c r="DO78" s="3">
        <f>$H78*factors!DI$3</f>
        <v>2.0803909052399998</v>
      </c>
      <c r="DP78" s="3">
        <f>$H78*factors!DJ$3</f>
        <v>2.0623701948000002</v>
      </c>
      <c r="DQ78" s="3">
        <f>$H78*factors!DK$3</f>
        <v>1.9662597391199998</v>
      </c>
      <c r="DR78" s="3">
        <f>$H78*factors!DL$3</f>
        <v>1.94423442636</v>
      </c>
      <c r="DS78" s="3">
        <f>$H78*factors!DM$3</f>
        <v>2.10041391684</v>
      </c>
      <c r="DT78" s="3">
        <f>$H78*factors!DN$3</f>
        <v>1.9742689437600001</v>
      </c>
      <c r="DU78" s="3">
        <f>$H78*factors!DO$3</f>
        <v>2.0663747971199999</v>
      </c>
      <c r="DV78" s="3">
        <f>$H78*factors!DP$3</f>
        <v>2.01831956928</v>
      </c>
      <c r="DW78" s="3">
        <f>$H78*factors!DQ$3</f>
        <v>1.9262137159199999</v>
      </c>
      <c r="DX78" s="3">
        <f>$H78*factors!DR$3</f>
        <v>2.0403448820399999</v>
      </c>
      <c r="DY78" s="3">
        <f>$H78*factors!DS$3</f>
        <v>1.9362252217199998</v>
      </c>
      <c r="DZ78" s="3">
        <f>$H78*factors!DT$3</f>
        <v>2.0703793994399997</v>
      </c>
      <c r="EA78" s="3">
        <f>$H78*factors!DU$3</f>
        <v>1.9502413298399996</v>
      </c>
      <c r="EB78" s="3">
        <f>$H78*factors!DV$3</f>
        <v>1.9021861019999999</v>
      </c>
      <c r="EC78" s="3">
        <f>$H78*factors!DW$3</f>
        <v>2.0463517855199997</v>
      </c>
      <c r="ED78" s="3">
        <f>$H78*factors!DX$3</f>
        <v>1.9202068124399998</v>
      </c>
      <c r="EE78" s="3">
        <f>$H78*factors!DY$3</f>
        <v>1.9362252217199998</v>
      </c>
      <c r="EF78" s="3">
        <f>$H78*factors!DZ$3</f>
        <v>2.10041391684</v>
      </c>
      <c r="EG78" s="3">
        <f>$H78*factors!EA$3</f>
        <v>1.9622551367999999</v>
      </c>
      <c r="EH78" s="3">
        <f>$H78*factors!EB$3</f>
        <v>1.96826204028</v>
      </c>
      <c r="EI78" s="3">
        <f>$H78*factors!EC$3</f>
        <v>1.96425743796</v>
      </c>
      <c r="EJ78" s="3">
        <f>$H78*factors!ED$3</f>
        <v>1.9141999089599999</v>
      </c>
      <c r="EK78" s="3">
        <f>$H78*factors!EE$3</f>
        <v>2.0463517855199997</v>
      </c>
      <c r="EL78" s="3">
        <f>$H78*factors!EF$3</f>
        <v>1.9462367275199999</v>
      </c>
      <c r="EM78" s="3">
        <f>$H78*factors!EG$3</f>
        <v>2.0243264727599999</v>
      </c>
      <c r="EN78" s="3">
        <f>$H78*factors!EH$3</f>
        <v>1.9021861019999999</v>
      </c>
      <c r="EO78" s="3">
        <f>$H78*factors!EI$3</f>
        <v>1.9302183182399997</v>
      </c>
      <c r="EP78" s="3">
        <f>$H78*factors!EJ$3</f>
        <v>2.0363402797200001</v>
      </c>
      <c r="EQ78" s="3">
        <f>$H78*factors!EK$3</f>
        <v>1.9802758472399997</v>
      </c>
      <c r="ER78" s="3">
        <f>$H78*factors!EL$3</f>
        <v>2.0623701948000002</v>
      </c>
      <c r="ES78" s="3">
        <f>$H78*factors!EM$3</f>
        <v>2.0363402797200001</v>
      </c>
      <c r="ET78" s="3">
        <f>$H78*factors!EN$3</f>
        <v>2.0823932063999999</v>
      </c>
      <c r="EU78" s="3">
        <f>$H78*factors!EO$3</f>
        <v>2.1024162180000001</v>
      </c>
      <c r="EV78" s="3">
        <f>$H78*factors!EP$3</f>
        <v>1.9702643414399998</v>
      </c>
      <c r="EW78" s="3">
        <f>$H78*factors!EQ$3</f>
        <v>2.1670738596249999</v>
      </c>
      <c r="EX78" s="3">
        <f>$H78*factors!ER$3</f>
        <v>2.1441308255000004</v>
      </c>
      <c r="EY78" s="3">
        <f>$H78*factors!ES$3</f>
        <v>2.1879311633749996</v>
      </c>
      <c r="EZ78" s="3">
        <f>$H78*factors!ET$3</f>
        <v>2.1670738596249999</v>
      </c>
      <c r="FA78" s="3">
        <f>$H78*factors!EU$3</f>
        <v>1.9918725081249997</v>
      </c>
      <c r="FB78" s="3">
        <f>$H78*factors!EV$3</f>
        <v>2.0815589142499999</v>
      </c>
      <c r="FC78" s="3">
        <f>$H78*factors!EW$3</f>
        <v>2.1399593647500001</v>
      </c>
      <c r="FD78" s="3">
        <f>$H78*factors!EX$3</f>
        <v>2.0648730712500001</v>
      </c>
      <c r="FE78" s="3">
        <f>$H78*factors!EY$3</f>
        <v>2.175416781125</v>
      </c>
      <c r="FF78" s="3">
        <f>$H78*factors!EZ$3</f>
        <v>2.1775025115000002</v>
      </c>
      <c r="FG78" s="3">
        <f>$H78*factors!FA$3</f>
        <v>1.9918725081249997</v>
      </c>
      <c r="FH78" s="3">
        <f>$H78*factors!FB$3</f>
        <v>2.0961590268749997</v>
      </c>
      <c r="FI78" s="3">
        <f>$H78*factors!FC$3</f>
        <v>2.1837597026249997</v>
      </c>
      <c r="FJ78" s="3">
        <f>$H78*factors!FD$3</f>
        <v>2.0961590268749997</v>
      </c>
      <c r="FK78" s="3">
        <f>$H78*factors!FE$3</f>
        <v>2.13161644325</v>
      </c>
      <c r="FL78" s="3">
        <f>$H78*factors!FF$3</f>
        <v>2.137873634375</v>
      </c>
      <c r="FM78" s="3">
        <f>$H78*factors!FG$3</f>
        <v>2.1608166684999999</v>
      </c>
      <c r="FN78" s="3">
        <f>$H78*factors!FH$3</f>
        <v>2.021072733375</v>
      </c>
      <c r="FO78" s="3">
        <f>$H78*factors!FI$3</f>
        <v>2.1462165558749997</v>
      </c>
      <c r="FP78" s="3">
        <f>$H78*factors!FJ$3</f>
        <v>2.0857303749999998</v>
      </c>
      <c r="FQ78" s="3">
        <f>$H78*factors!FK$3</f>
        <v>2.0648730712500001</v>
      </c>
      <c r="FR78" s="3">
        <f>$H78*factors!FL$3</f>
        <v>2.10658767875</v>
      </c>
      <c r="FS78" s="3">
        <f>$H78*factors!FM$3</f>
        <v>2.0940732965</v>
      </c>
      <c r="FT78" s="3">
        <f>$H78*factors!FN$3</f>
        <v>2.1399593647500001</v>
      </c>
      <c r="FU78" s="3">
        <f>$H78*factors!FO$3</f>
        <v>2.0565301497499999</v>
      </c>
      <c r="FV78" s="3">
        <f>$H78*factors!FP$3</f>
        <v>2.0398443067500001</v>
      </c>
      <c r="FW78" s="3">
        <f>$H78*factors!FQ$3</f>
        <v>2.1837597026249997</v>
      </c>
      <c r="FX78" s="3">
        <f>$H78*factors!FR$3</f>
        <v>2.1441308255000004</v>
      </c>
      <c r="FY78" s="3">
        <f>$H78*factors!FS$3</f>
        <v>2.1003304876249995</v>
      </c>
      <c r="FZ78" s="3">
        <f>$H78*factors!FT$3</f>
        <v>1.996043968875</v>
      </c>
      <c r="GA78" s="3">
        <f>$H78*factors!FU$3</f>
        <v>2.1003304876249995</v>
      </c>
      <c r="GB78" s="3">
        <f>$H78*factors!FV$3</f>
        <v>2.1775025115000002</v>
      </c>
      <c r="GC78" s="3">
        <f>$H78*factors!FW$3</f>
        <v>2.0398443067500001</v>
      </c>
      <c r="GD78" s="3">
        <f>$H78*factors!FX$3</f>
        <v>2.0753017231249999</v>
      </c>
      <c r="GE78" s="3">
        <f>$H78*factors!FY$3</f>
        <v>2.0753017231249999</v>
      </c>
      <c r="GF78" s="3">
        <f>$H78*factors!FZ$3</f>
        <v>2.0690445319999999</v>
      </c>
      <c r="GG78" s="3">
        <f>$H78*factors!GA$3</f>
        <v>1.9877010473749999</v>
      </c>
      <c r="GH78" s="3">
        <f>$H78*factors!GB$3</f>
        <v>2.1149306002500001</v>
      </c>
      <c r="GI78" s="3">
        <f>$H78*factors!GC$3</f>
        <v>1.983529586625</v>
      </c>
      <c r="GJ78" s="3">
        <f>$H78*factors!GD$3</f>
        <v>1.9877010473749999</v>
      </c>
      <c r="GK78" s="3">
        <f>$H78*factors!GE$3</f>
        <v>2.0377585763749999</v>
      </c>
      <c r="GL78" s="3">
        <f>$H78*factors!GF$3</f>
        <v>2.1587309381250002</v>
      </c>
      <c r="GM78" s="3">
        <f>$H78*factors!GG$3</f>
        <v>2.0461014978750001</v>
      </c>
      <c r="GN78" s="3">
        <f>$H78*factors!GH$3</f>
        <v>2.1107591395000003</v>
      </c>
      <c r="GO78" s="3">
        <f>$H78*factors!GI$3</f>
        <v>1.9939582384999996</v>
      </c>
      <c r="GP78" s="3">
        <f>$H78*factors!GJ$3</f>
        <v>2.137873634375</v>
      </c>
      <c r="GQ78" s="3">
        <f>$H78*factors!GK$3</f>
        <v>2.18167397225</v>
      </c>
      <c r="GR78" s="3">
        <f>$H78*factors!GL$3</f>
        <v>2.1399593647500001</v>
      </c>
      <c r="GS78" s="3">
        <f>$H78*factors!GM$3</f>
        <v>2.023742468255</v>
      </c>
      <c r="GT78" s="3">
        <f>$H78*factors!GN$3</f>
        <v>2.070362713597</v>
      </c>
      <c r="GU78" s="3">
        <f>$H78*factors!GO$3</f>
        <v>2.119102061</v>
      </c>
      <c r="GV78" s="3">
        <f>$H78*factors!GP$3</f>
        <v>2.03433797856</v>
      </c>
      <c r="GW78" s="3">
        <f>$H78*factors!GQ$3</f>
        <v>2.106387448634</v>
      </c>
      <c r="GX78" s="3">
        <f>$H78*factors!GR$3</f>
        <v>2.072481815658</v>
      </c>
      <c r="GY78" s="3">
        <f>$H78*factors!GS$3</f>
        <v>2.0618863053530001</v>
      </c>
      <c r="GZ78" s="3">
        <f>$H78*factors!GT$3</f>
        <v>2.1381739795489998</v>
      </c>
      <c r="HA78" s="3">
        <f>$H78*factors!GU$3</f>
        <v>2.0682436115359999</v>
      </c>
      <c r="HB78" s="3">
        <f>$H78*factors!GV$3</f>
        <v>2.1381739795489998</v>
      </c>
      <c r="HC78" s="3">
        <f>$H78*factors!GW$3</f>
        <v>2.0851964280240001</v>
      </c>
      <c r="HD78" s="3">
        <f>$H78*factors!GX$3</f>
        <v>2.1466503877929997</v>
      </c>
      <c r="HE78" s="3">
        <f>$H78*factors!GY$3</f>
        <v>2.119102061</v>
      </c>
      <c r="HF78" s="3">
        <f>$H78*factors!GZ$3</f>
        <v>2.1847942248909997</v>
      </c>
      <c r="HG78" s="3">
        <f>$H78*factors!HA$3</f>
        <v>2.1000301424510002</v>
      </c>
      <c r="HH78" s="3">
        <f>$H78*factors!HB$3</f>
        <v>2.072481815658</v>
      </c>
      <c r="HI78" s="3">
        <f>$H78*factors!HC$3</f>
        <v>2.047052590926</v>
      </c>
      <c r="HJ78" s="3">
        <f>$H78*factors!HD$3</f>
        <v>2.023742468255</v>
      </c>
      <c r="HK78" s="3">
        <f>$H78*factors!HE$3</f>
        <v>2.1402930816099999</v>
      </c>
      <c r="HL78" s="3">
        <f>$H78*factors!HF$3</f>
        <v>2.0173851620719998</v>
      </c>
      <c r="HM78" s="3">
        <f>$H78*factors!HG$3</f>
        <v>2.0385761826820001</v>
      </c>
      <c r="HN78" s="3">
        <f>$H78*factors!HH$3</f>
        <v>2.1741987145860002</v>
      </c>
      <c r="HO78" s="3">
        <f>$H78*factors!HI$3</f>
        <v>2.0851964280240001</v>
      </c>
      <c r="HP78" s="3">
        <f>$H78*factors!HJ$3</f>
        <v>2.2250571640500003</v>
      </c>
      <c r="HQ78" s="3">
        <f>$H78*factors!HK$3</f>
        <v>2.03433797856</v>
      </c>
      <c r="HR78" s="3">
        <f>$H78*factors!HL$3</f>
        <v>2.157245898098</v>
      </c>
      <c r="HS78" s="3">
        <f>$H78*factors!HM$3</f>
        <v>2.1953897351960001</v>
      </c>
      <c r="HT78" s="3">
        <f>$H78*factors!HN$3</f>
        <v>2.047052590926</v>
      </c>
      <c r="HU78" s="3">
        <f>$H78*factors!HO$3</f>
        <v>2.0682436115359999</v>
      </c>
      <c r="HV78" s="3">
        <f>$H78*factors!HP$3</f>
        <v>2.0936728362680004</v>
      </c>
      <c r="HW78" s="3">
        <f>$H78*factors!HQ$3</f>
        <v>2.1233402651220001</v>
      </c>
      <c r="HX78" s="3">
        <f>$H78*factors!HR$3</f>
        <v>2.2102234496229998</v>
      </c>
      <c r="HY78" s="3">
        <f>$H78*factors!HS$3</f>
        <v>2.1000301424510002</v>
      </c>
      <c r="HZ78" s="3">
        <f>$H78*factors!HT$3</f>
        <v>2.180556020769</v>
      </c>
      <c r="IA78" s="3">
        <f>$H78*factors!HU$3</f>
        <v>2.0746009177190001</v>
      </c>
      <c r="IB78" s="3">
        <f>$H78*factors!HV$3</f>
        <v>2.1466503877929997</v>
      </c>
      <c r="IC78" s="3">
        <f>$H78*factors!HW$3</f>
        <v>2.167841408403</v>
      </c>
      <c r="ID78" s="3">
        <f>$H78*factors!HX$3</f>
        <v>2.0131469579499996</v>
      </c>
      <c r="IE78" s="3">
        <f>$H78*factors!HY$3</f>
        <v>2.1381739795489998</v>
      </c>
      <c r="IF78" s="3">
        <f>$H78*factors!HZ$3</f>
        <v>2.1254593671829998</v>
      </c>
      <c r="IG78" s="3">
        <f>$H78*factors!IA$3</f>
        <v>2.106387448634</v>
      </c>
      <c r="IH78" s="3">
        <f>$H78*factors!IB$3</f>
        <v>2.1847942248909997</v>
      </c>
      <c r="II78" s="3">
        <f>$H78*factors!IC$3</f>
        <v>2.0915537342069999</v>
      </c>
      <c r="IJ78" s="3">
        <f>$H78*factors!ID$3</f>
        <v>2.1106256527560001</v>
      </c>
      <c r="IK78" s="3">
        <f>$H78*factors!IE$3</f>
        <v>2.1869133269520002</v>
      </c>
      <c r="IL78" s="3">
        <f>$H78*factors!IF$3</f>
        <v>2.0936728362680004</v>
      </c>
      <c r="IM78" s="3">
        <f>$H78*factors!IG$3</f>
        <v>2.0746009177190001</v>
      </c>
      <c r="IN78" s="3">
        <f>$H78*factors!IH$3</f>
        <v>2.0873155300850001</v>
      </c>
      <c r="IO78" s="3">
        <f>$H78*factors!II$3</f>
        <v>2.108506550695</v>
      </c>
      <c r="IP78" s="3">
        <f>$H78*factors!IJ$3</f>
        <v>2.0385761826820001</v>
      </c>
      <c r="IQ78" s="3">
        <f>$H78*factors!IK$3</f>
        <v>2.0322188764989999</v>
      </c>
      <c r="IR78" s="3">
        <f>$H78*factors!IL$3</f>
        <v>2.0915537342069999</v>
      </c>
      <c r="IS78" s="3">
        <f>$H78*factors!IM$3</f>
        <v>2.108506550695</v>
      </c>
      <c r="IT78" s="3">
        <f>$H78*factors!IN$3</f>
        <v>2.1233402651220001</v>
      </c>
      <c r="IU78" s="3">
        <f>$H78*factors!IO$3</f>
        <v>2.1699605104640001</v>
      </c>
      <c r="IV78" s="3">
        <f>$H78*factors!IP$3</f>
        <v>2.1975088372569997</v>
      </c>
      <c r="IW78" s="3">
        <f>$H78*factors!IQ$3</f>
        <v>2.0767200197799998</v>
      </c>
      <c r="IX78" s="3">
        <f>$H78*factors!IR$3</f>
        <v>2.1699605104640001</v>
      </c>
      <c r="IY78" s="3">
        <f>$H78*factors!IS$3</f>
        <v>2.1381739795489998</v>
      </c>
      <c r="IZ78" s="3">
        <f>$H78*factors!IT$3</f>
        <v>2.1741987145860002</v>
      </c>
      <c r="JA78" s="3">
        <f>$H78*factors!IU$3</f>
        <v>2.0534098971089998</v>
      </c>
      <c r="JB78" s="3">
        <f>$H78*factors!IV$3</f>
        <v>2.0915537342069999</v>
      </c>
      <c r="JC78" s="3">
        <f>$H78*factors!IW$3</f>
        <v>2.0428143868040003</v>
      </c>
      <c r="JD78" s="3">
        <f>$H78*factors!IX$3</f>
        <v>2.2250571640500003</v>
      </c>
      <c r="JE78" s="3">
        <f>$H78*factors!IY$3</f>
        <v>2.0491716929870001</v>
      </c>
      <c r="JF78" s="3">
        <f>$H78*factors!IZ$3</f>
        <v>2.1508885919149998</v>
      </c>
      <c r="JG78" s="3">
        <f>$H78*factors!JA$3</f>
        <v>2.1127447548169997</v>
      </c>
      <c r="JH78" s="3">
        <f>$H78*factors!JB$3</f>
        <v>2.1530076939760003</v>
      </c>
      <c r="JI78" s="3">
        <f>$H78*factors!JC$3</f>
        <v>2.0152660600110002</v>
      </c>
      <c r="JJ78" s="3">
        <f>$H78*factors!JD$3</f>
        <v>2.1699605104640001</v>
      </c>
      <c r="JK78" s="3">
        <f>$H78*factors!JE$3</f>
        <v>2.1000301424510002</v>
      </c>
      <c r="JL78" s="3">
        <f>$H78*factors!JF$3</f>
        <v>2.1847942248909997</v>
      </c>
      <c r="JM78" s="3">
        <f>$H78*factors!JG$3</f>
        <v>2.0385761826820001</v>
      </c>
      <c r="JN78" s="3">
        <f>$H78*factors!JH$3</f>
        <v>2.0385761826820001</v>
      </c>
      <c r="JO78" s="3">
        <f>$H78*factors!JI$3</f>
        <v>2.0131469579499996</v>
      </c>
      <c r="JP78" s="3">
        <f>$H78*factors!JJ$3</f>
        <v>2.1763178166469999</v>
      </c>
      <c r="JQ78" s="3">
        <f>$H78*factors!JK$3</f>
        <v>2.1212211630610001</v>
      </c>
      <c r="JR78" s="3">
        <f>$H78*factors!JL$3</f>
        <v>2.20386614344</v>
      </c>
      <c r="JS78" s="3">
        <f>$H78*factors!JM$3</f>
        <v>2.0131469579499996</v>
      </c>
      <c r="JT78" s="3">
        <f>$H78*factors!JN$3</f>
        <v>2.1148638568780003</v>
      </c>
      <c r="JU78" s="3">
        <f>$H78*factors!JO$3</f>
        <v>2.0449334888649999</v>
      </c>
      <c r="JV78" s="3">
        <f>$H78*factors!JP$3</f>
        <v>2.0788391218410003</v>
      </c>
      <c r="JW78" s="3">
        <f>$H78*factors!JQ$3</f>
        <v>2.2208189599280002</v>
      </c>
      <c r="JX78" s="3">
        <f>$H78*factors!JR$3</f>
        <v>2.1996279393179998</v>
      </c>
      <c r="JY78" s="3">
        <f>$H78*factors!JS$3</f>
        <v>2.070362713597</v>
      </c>
      <c r="JZ78" s="3">
        <f>$H78*factors!JT$3</f>
        <v>2.0936728362680004</v>
      </c>
      <c r="KA78" s="3">
        <f>$H78*factors!JU$3</f>
        <v>2.1021492445120002</v>
      </c>
      <c r="KB78" s="3">
        <f>$H78*factors!JV$3</f>
        <v>2.0322188764989999</v>
      </c>
      <c r="KC78" s="3">
        <f>$H78*factors!JW$3</f>
        <v>2.0428143868040003</v>
      </c>
      <c r="KD78" s="3">
        <f>$H78*factors!JX$3</f>
        <v>2.0449334888649999</v>
      </c>
      <c r="KE78" s="3">
        <f>$H78*factors!JY$3</f>
        <v>2.1763178166469999</v>
      </c>
      <c r="KF78" s="3">
        <f>$H78*factors!JZ$3</f>
        <v>2.2017470413789999</v>
      </c>
      <c r="KG78" s="3">
        <f>$H78*factors!KA$3</f>
        <v>2.1233402651220001</v>
      </c>
      <c r="KH78" s="3">
        <f>$H78*factors!KB$3</f>
        <v>2.0767200197799998</v>
      </c>
      <c r="KI78" s="3">
        <f>$H78*factors!KC$3</f>
        <v>2.0576481012309999</v>
      </c>
    </row>
    <row r="79" spans="1:295" x14ac:dyDescent="0.55000000000000004">
      <c r="A79" t="s">
        <v>455</v>
      </c>
      <c r="B79">
        <v>78</v>
      </c>
      <c r="C79">
        <v>230</v>
      </c>
      <c r="D79" t="s">
        <v>377</v>
      </c>
      <c r="E79">
        <v>1.5035E-2</v>
      </c>
      <c r="F79">
        <v>78</v>
      </c>
      <c r="G79">
        <f>VLOOKUP(D79,demand_forecasted!$A$2:$G$11,2)</f>
        <v>11098</v>
      </c>
      <c r="H79" s="3">
        <f t="shared" si="1"/>
        <v>1.6685843</v>
      </c>
      <c r="I79" s="3">
        <f>$H79*factors!C$3</f>
        <v>1.8471228201000001</v>
      </c>
      <c r="J79" s="3">
        <f>$H79*factors!D$3</f>
        <v>1.780446191472</v>
      </c>
      <c r="K79" s="3">
        <f>$H79*factors!E$3</f>
        <v>1.7498109837240001</v>
      </c>
      <c r="L79" s="3">
        <f>$H79*factors!F$3</f>
        <v>1.7444047705920003</v>
      </c>
      <c r="M79" s="3">
        <f>$H79*factors!G$3</f>
        <v>1.742602699548</v>
      </c>
      <c r="N79" s="3">
        <f>$H79*factors!H$3</f>
        <v>1.79306068878</v>
      </c>
      <c r="O79" s="3">
        <f>$H79*factors!I$3</f>
        <v>1.8327062517479999</v>
      </c>
      <c r="P79" s="3">
        <f>$H79*factors!J$3</f>
        <v>1.8543311042760002</v>
      </c>
      <c r="Q79" s="3">
        <f>$H79*factors!K$3</f>
        <v>1.7408006285040001</v>
      </c>
      <c r="R79" s="3">
        <f>$H79*factors!L$3</f>
        <v>1.7119674918000001</v>
      </c>
      <c r="S79" s="3">
        <f>$H79*factors!M$3</f>
        <v>1.7822482625159999</v>
      </c>
      <c r="T79" s="3">
        <f>$H79*factors!N$3</f>
        <v>1.8435186780120001</v>
      </c>
      <c r="U79" s="3">
        <f>$H79*factors!O$3</f>
        <v>1.7462068416360002</v>
      </c>
      <c r="V79" s="3">
        <f>$H79*factors!P$3</f>
        <v>1.8164876123520002</v>
      </c>
      <c r="W79" s="3">
        <f>$H79*factors!Q$3</f>
        <v>1.8327062517479999</v>
      </c>
      <c r="X79" s="3">
        <f>$H79*factors!R$3</f>
        <v>1.7534151258120001</v>
      </c>
      <c r="Y79" s="3">
        <f>$H79*factors!S$3</f>
        <v>1.7371964864160001</v>
      </c>
      <c r="Z79" s="3">
        <f>$H79*factors!T$3</f>
        <v>1.8741538857600004</v>
      </c>
      <c r="AA79" s="3">
        <f>$H79*factors!U$3</f>
        <v>1.7696337652079999</v>
      </c>
      <c r="AB79" s="3">
        <f>$H79*factors!V$3</f>
        <v>1.7714358362520002</v>
      </c>
      <c r="AC79" s="3">
        <f>$H79*factors!W$3</f>
        <v>1.7732379072960003</v>
      </c>
      <c r="AD79" s="3">
        <f>$H79*factors!X$3</f>
        <v>1.7353944153720002</v>
      </c>
      <c r="AE79" s="3">
        <f>$H79*factors!Y$3</f>
        <v>1.7498109837240001</v>
      </c>
      <c r="AF79" s="3">
        <f>$H79*factors!Z$3</f>
        <v>1.7858524046040003</v>
      </c>
      <c r="AG79" s="3">
        <f>$H79*factors!AA$3</f>
        <v>1.7408006285040001</v>
      </c>
      <c r="AH79" s="3">
        <f>$H79*factors!AB$3</f>
        <v>1.7335923443280001</v>
      </c>
      <c r="AI79" s="3">
        <f>$H79*factors!AC$3</f>
        <v>1.789456546692</v>
      </c>
      <c r="AJ79" s="3">
        <f>$H79*factors!AD$3</f>
        <v>1.857935246364</v>
      </c>
      <c r="AK79" s="3">
        <f>$H79*factors!AE$3</f>
        <v>1.7876544756480002</v>
      </c>
      <c r="AL79" s="3">
        <f>$H79*factors!AF$3</f>
        <v>1.7173737049319999</v>
      </c>
      <c r="AM79" s="3">
        <f>$H79*factors!AG$3</f>
        <v>1.7660296231200001</v>
      </c>
      <c r="AN79" s="3">
        <f>$H79*factors!AH$3</f>
        <v>1.7371964864160001</v>
      </c>
      <c r="AO79" s="3">
        <f>$H79*factors!AI$3</f>
        <v>1.8200917544399999</v>
      </c>
      <c r="AP79" s="3">
        <f>$H79*factors!AJ$3</f>
        <v>1.7444047705920003</v>
      </c>
      <c r="AQ79" s="3">
        <f>$H79*factors!AK$3</f>
        <v>1.8002689729560002</v>
      </c>
      <c r="AR79" s="3">
        <f>$H79*factors!AL$3</f>
        <v>1.7606234099880003</v>
      </c>
      <c r="AS79" s="3">
        <f>$H79*factors!AM$3</f>
        <v>1.7173737049319999</v>
      </c>
      <c r="AT79" s="3">
        <f>$H79*factors!AN$3</f>
        <v>1.7714358362520002</v>
      </c>
      <c r="AU79" s="3">
        <f>$H79*factors!AO$3</f>
        <v>1.8759559568039998</v>
      </c>
      <c r="AV79" s="3">
        <f>$H79*factors!AP$3</f>
        <v>1.7732379072960003</v>
      </c>
      <c r="AW79" s="3">
        <f>$H79*factors!AQ$3</f>
        <v>1.755217196856</v>
      </c>
      <c r="AX79" s="3">
        <f>$H79*factors!AR$3</f>
        <v>1.8561331753200001</v>
      </c>
      <c r="AY79" s="3">
        <f>$H79*factors!AS$3</f>
        <v>1.7119674918000001</v>
      </c>
      <c r="AZ79" s="3">
        <f>$H79*factors!AT$3</f>
        <v>1.8345083227920003</v>
      </c>
      <c r="BA79" s="3">
        <f>$H79*factors!AU$3</f>
        <v>1.7948627598239999</v>
      </c>
      <c r="BB79" s="3">
        <f>$H79*factors!AV$3</f>
        <v>1.7714358362520002</v>
      </c>
      <c r="BC79" s="3">
        <f>$H79*factors!AW$3</f>
        <v>1.8741538857600004</v>
      </c>
      <c r="BD79" s="3">
        <f>$H79*factors!AX$3</f>
        <v>1.7299882022399999</v>
      </c>
      <c r="BE79" s="3">
        <f>$H79*factors!AY$3</f>
        <v>2.033904146642</v>
      </c>
      <c r="BF79" s="3">
        <f>$H79*factors!AZ$3</f>
        <v>1.8941101539879999</v>
      </c>
      <c r="BG79" s="3">
        <f>$H79*factors!BA$3</f>
        <v>1.9216751666239997</v>
      </c>
      <c r="BH79" s="3">
        <f>$H79*factors!BB$3</f>
        <v>1.9472712497859999</v>
      </c>
      <c r="BI79" s="3">
        <f>$H79*factors!BC$3</f>
        <v>2.0181527108499995</v>
      </c>
      <c r="BJ79" s="3">
        <f>$H79*factors!BD$3</f>
        <v>1.9275819550459998</v>
      </c>
      <c r="BK79" s="3">
        <f>$H79*factors!BE$3</f>
        <v>1.9315198139939997</v>
      </c>
      <c r="BL79" s="3">
        <f>$H79*factors!BF$3</f>
        <v>1.9098615897799998</v>
      </c>
      <c r="BM79" s="3">
        <f>$H79*factors!BG$3</f>
        <v>2.0398109350640001</v>
      </c>
      <c r="BN79" s="3">
        <f>$H79*factors!BH$3</f>
        <v>2.014214851902</v>
      </c>
      <c r="BO79" s="3">
        <f>$H79*factors!BI$3</f>
        <v>1.8941101539879999</v>
      </c>
      <c r="BP79" s="3">
        <f>$H79*factors!BJ$3</f>
        <v>1.8882033655659998</v>
      </c>
      <c r="BQ79" s="3">
        <f>$H79*factors!BK$3</f>
        <v>1.9197062371499998</v>
      </c>
      <c r="BR79" s="3">
        <f>$H79*factors!BL$3</f>
        <v>1.9886187687399999</v>
      </c>
      <c r="BS79" s="3">
        <f>$H79*factors!BM$3</f>
        <v>2.0201216403240001</v>
      </c>
      <c r="BT79" s="3">
        <f>$H79*factors!BN$3</f>
        <v>2.0260284287459998</v>
      </c>
      <c r="BU79" s="3">
        <f>$H79*factors!BO$3</f>
        <v>2.0595002298040002</v>
      </c>
      <c r="BV79" s="3">
        <f>$H79*factors!BP$3</f>
        <v>1.9157683782019999</v>
      </c>
      <c r="BW79" s="3">
        <f>$H79*factors!BQ$3</f>
        <v>1.9590848266299998</v>
      </c>
      <c r="BX79" s="3">
        <f>$H79*factors!BR$3</f>
        <v>1.9216751666239997</v>
      </c>
      <c r="BY79" s="3">
        <f>$H79*factors!BS$3</f>
        <v>2.0102769929539996</v>
      </c>
      <c r="BZ79" s="3">
        <f>$H79*factors!BT$3</f>
        <v>1.9728673329479998</v>
      </c>
      <c r="CA79" s="3">
        <f>$H79*factors!BU$3</f>
        <v>1.9472712497859999</v>
      </c>
      <c r="CB79" s="3">
        <f>$H79*factors!BV$3</f>
        <v>1.8842655066179999</v>
      </c>
      <c r="CC79" s="3">
        <f>$H79*factors!BW$3</f>
        <v>1.9393955318899998</v>
      </c>
      <c r="CD79" s="3">
        <f>$H79*factors!BX$3</f>
        <v>1.9453023203119999</v>
      </c>
      <c r="CE79" s="3">
        <f>$H79*factors!BY$3</f>
        <v>1.9728673329479998</v>
      </c>
      <c r="CF79" s="3">
        <f>$H79*factors!BZ$3</f>
        <v>1.9433333908380002</v>
      </c>
      <c r="CG79" s="3">
        <f>$H79*factors!CA$3</f>
        <v>1.8783587181959998</v>
      </c>
      <c r="CH79" s="3">
        <f>$H79*factors!CB$3</f>
        <v>1.8803276476699997</v>
      </c>
      <c r="CI79" s="3">
        <f>$H79*factors!CC$3</f>
        <v>1.8704830002999999</v>
      </c>
      <c r="CJ79" s="3">
        <f>$H79*factors!CD$3</f>
        <v>1.9472712497859999</v>
      </c>
      <c r="CK79" s="3">
        <f>$H79*factors!CE$3</f>
        <v>2.033904146642</v>
      </c>
      <c r="CL79" s="3">
        <f>$H79*factors!CF$3</f>
        <v>1.9059237308319998</v>
      </c>
      <c r="CM79" s="3">
        <f>$H79*factors!CG$3</f>
        <v>1.9512091087339998</v>
      </c>
      <c r="CN79" s="3">
        <f>$H79*factors!CH$3</f>
        <v>1.8862344360919998</v>
      </c>
      <c r="CO79" s="3">
        <f>$H79*factors!CI$3</f>
        <v>1.9000169424099997</v>
      </c>
      <c r="CP79" s="3">
        <f>$H79*factors!CJ$3</f>
        <v>1.9905876982139996</v>
      </c>
      <c r="CQ79" s="3">
        <f>$H79*factors!CK$3</f>
        <v>1.9315198139939997</v>
      </c>
      <c r="CR79" s="3">
        <f>$H79*factors!CL$3</f>
        <v>1.9925566276879998</v>
      </c>
      <c r="CS79" s="3">
        <f>$H79*factors!CM$3</f>
        <v>2.0555623708559998</v>
      </c>
      <c r="CT79" s="3">
        <f>$H79*factors!CN$3</f>
        <v>2.0319352171679999</v>
      </c>
      <c r="CU79" s="3">
        <f>$H79*factors!CO$3</f>
        <v>1.9866498392659997</v>
      </c>
      <c r="CV79" s="3">
        <f>$H79*factors!CP$3</f>
        <v>2.0673759477</v>
      </c>
      <c r="CW79" s="3">
        <f>$H79*factors!CQ$3</f>
        <v>1.9551469676820001</v>
      </c>
      <c r="CX79" s="3">
        <f>$H79*factors!CR$3</f>
        <v>1.9256130255719999</v>
      </c>
      <c r="CY79" s="3">
        <f>$H79*factors!CS$3</f>
        <v>1.9078926603059998</v>
      </c>
      <c r="CZ79" s="3">
        <f>$H79*factors!CT$3</f>
        <v>1.8803276476699997</v>
      </c>
      <c r="DA79" s="3">
        <f>$H79*factors!CU$3</f>
        <v>1.952243631</v>
      </c>
      <c r="DB79" s="3">
        <f>$H79*factors!CV$3</f>
        <v>2.0783886040800001</v>
      </c>
      <c r="DC79" s="3">
        <f>$H79*factors!CW$3</f>
        <v>1.9902873530399998</v>
      </c>
      <c r="DD79" s="3">
        <f>$H79*factors!CX$3</f>
        <v>1.9762712449199999</v>
      </c>
      <c r="DE79" s="3">
        <f>$H79*factors!CY$3</f>
        <v>2.03433797856</v>
      </c>
      <c r="DF79" s="3">
        <f>$H79*factors!CZ$3</f>
        <v>2.0303333762399998</v>
      </c>
      <c r="DG79" s="3">
        <f>$H79*factors!DA$3</f>
        <v>2.0223241715999998</v>
      </c>
      <c r="DH79" s="3">
        <f>$H79*factors!DB$3</f>
        <v>2.0223241715999998</v>
      </c>
      <c r="DI79" s="3">
        <f>$H79*factors!DC$3</f>
        <v>1.9462367275199999</v>
      </c>
      <c r="DJ79" s="3">
        <f>$H79*factors!DD$3</f>
        <v>2.0623701948000002</v>
      </c>
      <c r="DK79" s="3">
        <f>$H79*factors!DE$3</f>
        <v>2.0623701948000002</v>
      </c>
      <c r="DL79" s="3">
        <f>$H79*factors!DF$3</f>
        <v>2.0383425808800002</v>
      </c>
      <c r="DM79" s="3">
        <f>$H79*factors!DG$3</f>
        <v>1.9202068124399998</v>
      </c>
      <c r="DN79" s="3">
        <f>$H79*factors!DH$3</f>
        <v>2.0143149669600002</v>
      </c>
      <c r="DO79" s="3">
        <f>$H79*factors!DI$3</f>
        <v>2.0803909052399998</v>
      </c>
      <c r="DP79" s="3">
        <f>$H79*factors!DJ$3</f>
        <v>2.0623701948000002</v>
      </c>
      <c r="DQ79" s="3">
        <f>$H79*factors!DK$3</f>
        <v>1.9662597391199998</v>
      </c>
      <c r="DR79" s="3">
        <f>$H79*factors!DL$3</f>
        <v>1.94423442636</v>
      </c>
      <c r="DS79" s="3">
        <f>$H79*factors!DM$3</f>
        <v>2.10041391684</v>
      </c>
      <c r="DT79" s="3">
        <f>$H79*factors!DN$3</f>
        <v>1.9742689437600001</v>
      </c>
      <c r="DU79" s="3">
        <f>$H79*factors!DO$3</f>
        <v>2.0663747971199999</v>
      </c>
      <c r="DV79" s="3">
        <f>$H79*factors!DP$3</f>
        <v>2.01831956928</v>
      </c>
      <c r="DW79" s="3">
        <f>$H79*factors!DQ$3</f>
        <v>1.9262137159199999</v>
      </c>
      <c r="DX79" s="3">
        <f>$H79*factors!DR$3</f>
        <v>2.0403448820399999</v>
      </c>
      <c r="DY79" s="3">
        <f>$H79*factors!DS$3</f>
        <v>1.9362252217199998</v>
      </c>
      <c r="DZ79" s="3">
        <f>$H79*factors!DT$3</f>
        <v>2.0703793994399997</v>
      </c>
      <c r="EA79" s="3">
        <f>$H79*factors!DU$3</f>
        <v>1.9502413298399996</v>
      </c>
      <c r="EB79" s="3">
        <f>$H79*factors!DV$3</f>
        <v>1.9021861019999999</v>
      </c>
      <c r="EC79" s="3">
        <f>$H79*factors!DW$3</f>
        <v>2.0463517855199997</v>
      </c>
      <c r="ED79" s="3">
        <f>$H79*factors!DX$3</f>
        <v>1.9202068124399998</v>
      </c>
      <c r="EE79" s="3">
        <f>$H79*factors!DY$3</f>
        <v>1.9362252217199998</v>
      </c>
      <c r="EF79" s="3">
        <f>$H79*factors!DZ$3</f>
        <v>2.10041391684</v>
      </c>
      <c r="EG79" s="3">
        <f>$H79*factors!EA$3</f>
        <v>1.9622551367999999</v>
      </c>
      <c r="EH79" s="3">
        <f>$H79*factors!EB$3</f>
        <v>1.96826204028</v>
      </c>
      <c r="EI79" s="3">
        <f>$H79*factors!EC$3</f>
        <v>1.96425743796</v>
      </c>
      <c r="EJ79" s="3">
        <f>$H79*factors!ED$3</f>
        <v>1.9141999089599999</v>
      </c>
      <c r="EK79" s="3">
        <f>$H79*factors!EE$3</f>
        <v>2.0463517855199997</v>
      </c>
      <c r="EL79" s="3">
        <f>$H79*factors!EF$3</f>
        <v>1.9462367275199999</v>
      </c>
      <c r="EM79" s="3">
        <f>$H79*factors!EG$3</f>
        <v>2.0243264727599999</v>
      </c>
      <c r="EN79" s="3">
        <f>$H79*factors!EH$3</f>
        <v>1.9021861019999999</v>
      </c>
      <c r="EO79" s="3">
        <f>$H79*factors!EI$3</f>
        <v>1.9302183182399997</v>
      </c>
      <c r="EP79" s="3">
        <f>$H79*factors!EJ$3</f>
        <v>2.0363402797200001</v>
      </c>
      <c r="EQ79" s="3">
        <f>$H79*factors!EK$3</f>
        <v>1.9802758472399997</v>
      </c>
      <c r="ER79" s="3">
        <f>$H79*factors!EL$3</f>
        <v>2.0623701948000002</v>
      </c>
      <c r="ES79" s="3">
        <f>$H79*factors!EM$3</f>
        <v>2.0363402797200001</v>
      </c>
      <c r="ET79" s="3">
        <f>$H79*factors!EN$3</f>
        <v>2.0823932063999999</v>
      </c>
      <c r="EU79" s="3">
        <f>$H79*factors!EO$3</f>
        <v>2.1024162180000001</v>
      </c>
      <c r="EV79" s="3">
        <f>$H79*factors!EP$3</f>
        <v>1.9702643414399998</v>
      </c>
      <c r="EW79" s="3">
        <f>$H79*factors!EQ$3</f>
        <v>2.1670738596249999</v>
      </c>
      <c r="EX79" s="3">
        <f>$H79*factors!ER$3</f>
        <v>2.1441308255000004</v>
      </c>
      <c r="EY79" s="3">
        <f>$H79*factors!ES$3</f>
        <v>2.1879311633749996</v>
      </c>
      <c r="EZ79" s="3">
        <f>$H79*factors!ET$3</f>
        <v>2.1670738596249999</v>
      </c>
      <c r="FA79" s="3">
        <f>$H79*factors!EU$3</f>
        <v>1.9918725081249997</v>
      </c>
      <c r="FB79" s="3">
        <f>$H79*factors!EV$3</f>
        <v>2.0815589142499999</v>
      </c>
      <c r="FC79" s="3">
        <f>$H79*factors!EW$3</f>
        <v>2.1399593647500001</v>
      </c>
      <c r="FD79" s="3">
        <f>$H79*factors!EX$3</f>
        <v>2.0648730712500001</v>
      </c>
      <c r="FE79" s="3">
        <f>$H79*factors!EY$3</f>
        <v>2.175416781125</v>
      </c>
      <c r="FF79" s="3">
        <f>$H79*factors!EZ$3</f>
        <v>2.1775025115000002</v>
      </c>
      <c r="FG79" s="3">
        <f>$H79*factors!FA$3</f>
        <v>1.9918725081249997</v>
      </c>
      <c r="FH79" s="3">
        <f>$H79*factors!FB$3</f>
        <v>2.0961590268749997</v>
      </c>
      <c r="FI79" s="3">
        <f>$H79*factors!FC$3</f>
        <v>2.1837597026249997</v>
      </c>
      <c r="FJ79" s="3">
        <f>$H79*factors!FD$3</f>
        <v>2.0961590268749997</v>
      </c>
      <c r="FK79" s="3">
        <f>$H79*factors!FE$3</f>
        <v>2.13161644325</v>
      </c>
      <c r="FL79" s="3">
        <f>$H79*factors!FF$3</f>
        <v>2.137873634375</v>
      </c>
      <c r="FM79" s="3">
        <f>$H79*factors!FG$3</f>
        <v>2.1608166684999999</v>
      </c>
      <c r="FN79" s="3">
        <f>$H79*factors!FH$3</f>
        <v>2.021072733375</v>
      </c>
      <c r="FO79" s="3">
        <f>$H79*factors!FI$3</f>
        <v>2.1462165558749997</v>
      </c>
      <c r="FP79" s="3">
        <f>$H79*factors!FJ$3</f>
        <v>2.0857303749999998</v>
      </c>
      <c r="FQ79" s="3">
        <f>$H79*factors!FK$3</f>
        <v>2.0648730712500001</v>
      </c>
      <c r="FR79" s="3">
        <f>$H79*factors!FL$3</f>
        <v>2.10658767875</v>
      </c>
      <c r="FS79" s="3">
        <f>$H79*factors!FM$3</f>
        <v>2.0940732965</v>
      </c>
      <c r="FT79" s="3">
        <f>$H79*factors!FN$3</f>
        <v>2.1399593647500001</v>
      </c>
      <c r="FU79" s="3">
        <f>$H79*factors!FO$3</f>
        <v>2.0565301497499999</v>
      </c>
      <c r="FV79" s="3">
        <f>$H79*factors!FP$3</f>
        <v>2.0398443067500001</v>
      </c>
      <c r="FW79" s="3">
        <f>$H79*factors!FQ$3</f>
        <v>2.1837597026249997</v>
      </c>
      <c r="FX79" s="3">
        <f>$H79*factors!FR$3</f>
        <v>2.1441308255000004</v>
      </c>
      <c r="FY79" s="3">
        <f>$H79*factors!FS$3</f>
        <v>2.1003304876249995</v>
      </c>
      <c r="FZ79" s="3">
        <f>$H79*factors!FT$3</f>
        <v>1.996043968875</v>
      </c>
      <c r="GA79" s="3">
        <f>$H79*factors!FU$3</f>
        <v>2.1003304876249995</v>
      </c>
      <c r="GB79" s="3">
        <f>$H79*factors!FV$3</f>
        <v>2.1775025115000002</v>
      </c>
      <c r="GC79" s="3">
        <f>$H79*factors!FW$3</f>
        <v>2.0398443067500001</v>
      </c>
      <c r="GD79" s="3">
        <f>$H79*factors!FX$3</f>
        <v>2.0753017231249999</v>
      </c>
      <c r="GE79" s="3">
        <f>$H79*factors!FY$3</f>
        <v>2.0753017231249999</v>
      </c>
      <c r="GF79" s="3">
        <f>$H79*factors!FZ$3</f>
        <v>2.0690445319999999</v>
      </c>
      <c r="GG79" s="3">
        <f>$H79*factors!GA$3</f>
        <v>1.9877010473749999</v>
      </c>
      <c r="GH79" s="3">
        <f>$H79*factors!GB$3</f>
        <v>2.1149306002500001</v>
      </c>
      <c r="GI79" s="3">
        <f>$H79*factors!GC$3</f>
        <v>1.983529586625</v>
      </c>
      <c r="GJ79" s="3">
        <f>$H79*factors!GD$3</f>
        <v>1.9877010473749999</v>
      </c>
      <c r="GK79" s="3">
        <f>$H79*factors!GE$3</f>
        <v>2.0377585763749999</v>
      </c>
      <c r="GL79" s="3">
        <f>$H79*factors!GF$3</f>
        <v>2.1587309381250002</v>
      </c>
      <c r="GM79" s="3">
        <f>$H79*factors!GG$3</f>
        <v>2.0461014978750001</v>
      </c>
      <c r="GN79" s="3">
        <f>$H79*factors!GH$3</f>
        <v>2.1107591395000003</v>
      </c>
      <c r="GO79" s="3">
        <f>$H79*factors!GI$3</f>
        <v>1.9939582384999996</v>
      </c>
      <c r="GP79" s="3">
        <f>$H79*factors!GJ$3</f>
        <v>2.137873634375</v>
      </c>
      <c r="GQ79" s="3">
        <f>$H79*factors!GK$3</f>
        <v>2.18167397225</v>
      </c>
      <c r="GR79" s="3">
        <f>$H79*factors!GL$3</f>
        <v>2.1399593647500001</v>
      </c>
      <c r="GS79" s="3">
        <f>$H79*factors!GM$3</f>
        <v>2.023742468255</v>
      </c>
      <c r="GT79" s="3">
        <f>$H79*factors!GN$3</f>
        <v>2.070362713597</v>
      </c>
      <c r="GU79" s="3">
        <f>$H79*factors!GO$3</f>
        <v>2.119102061</v>
      </c>
      <c r="GV79" s="3">
        <f>$H79*factors!GP$3</f>
        <v>2.03433797856</v>
      </c>
      <c r="GW79" s="3">
        <f>$H79*factors!GQ$3</f>
        <v>2.106387448634</v>
      </c>
      <c r="GX79" s="3">
        <f>$H79*factors!GR$3</f>
        <v>2.072481815658</v>
      </c>
      <c r="GY79" s="3">
        <f>$H79*factors!GS$3</f>
        <v>2.0618863053530001</v>
      </c>
      <c r="GZ79" s="3">
        <f>$H79*factors!GT$3</f>
        <v>2.1381739795489998</v>
      </c>
      <c r="HA79" s="3">
        <f>$H79*factors!GU$3</f>
        <v>2.0682436115359999</v>
      </c>
      <c r="HB79" s="3">
        <f>$H79*factors!GV$3</f>
        <v>2.1381739795489998</v>
      </c>
      <c r="HC79" s="3">
        <f>$H79*factors!GW$3</f>
        <v>2.0851964280240001</v>
      </c>
      <c r="HD79" s="3">
        <f>$H79*factors!GX$3</f>
        <v>2.1466503877929997</v>
      </c>
      <c r="HE79" s="3">
        <f>$H79*factors!GY$3</f>
        <v>2.119102061</v>
      </c>
      <c r="HF79" s="3">
        <f>$H79*factors!GZ$3</f>
        <v>2.1847942248909997</v>
      </c>
      <c r="HG79" s="3">
        <f>$H79*factors!HA$3</f>
        <v>2.1000301424510002</v>
      </c>
      <c r="HH79" s="3">
        <f>$H79*factors!HB$3</f>
        <v>2.072481815658</v>
      </c>
      <c r="HI79" s="3">
        <f>$H79*factors!HC$3</f>
        <v>2.047052590926</v>
      </c>
      <c r="HJ79" s="3">
        <f>$H79*factors!HD$3</f>
        <v>2.023742468255</v>
      </c>
      <c r="HK79" s="3">
        <f>$H79*factors!HE$3</f>
        <v>2.1402930816099999</v>
      </c>
      <c r="HL79" s="3">
        <f>$H79*factors!HF$3</f>
        <v>2.0173851620719998</v>
      </c>
      <c r="HM79" s="3">
        <f>$H79*factors!HG$3</f>
        <v>2.0385761826820001</v>
      </c>
      <c r="HN79" s="3">
        <f>$H79*factors!HH$3</f>
        <v>2.1741987145860002</v>
      </c>
      <c r="HO79" s="3">
        <f>$H79*factors!HI$3</f>
        <v>2.0851964280240001</v>
      </c>
      <c r="HP79" s="3">
        <f>$H79*factors!HJ$3</f>
        <v>2.2250571640500003</v>
      </c>
      <c r="HQ79" s="3">
        <f>$H79*factors!HK$3</f>
        <v>2.03433797856</v>
      </c>
      <c r="HR79" s="3">
        <f>$H79*factors!HL$3</f>
        <v>2.157245898098</v>
      </c>
      <c r="HS79" s="3">
        <f>$H79*factors!HM$3</f>
        <v>2.1953897351960001</v>
      </c>
      <c r="HT79" s="3">
        <f>$H79*factors!HN$3</f>
        <v>2.047052590926</v>
      </c>
      <c r="HU79" s="3">
        <f>$H79*factors!HO$3</f>
        <v>2.0682436115359999</v>
      </c>
      <c r="HV79" s="3">
        <f>$H79*factors!HP$3</f>
        <v>2.0936728362680004</v>
      </c>
      <c r="HW79" s="3">
        <f>$H79*factors!HQ$3</f>
        <v>2.1233402651220001</v>
      </c>
      <c r="HX79" s="3">
        <f>$H79*factors!HR$3</f>
        <v>2.2102234496229998</v>
      </c>
      <c r="HY79" s="3">
        <f>$H79*factors!HS$3</f>
        <v>2.1000301424510002</v>
      </c>
      <c r="HZ79" s="3">
        <f>$H79*factors!HT$3</f>
        <v>2.180556020769</v>
      </c>
      <c r="IA79" s="3">
        <f>$H79*factors!HU$3</f>
        <v>2.0746009177190001</v>
      </c>
      <c r="IB79" s="3">
        <f>$H79*factors!HV$3</f>
        <v>2.1466503877929997</v>
      </c>
      <c r="IC79" s="3">
        <f>$H79*factors!HW$3</f>
        <v>2.167841408403</v>
      </c>
      <c r="ID79" s="3">
        <f>$H79*factors!HX$3</f>
        <v>2.0131469579499996</v>
      </c>
      <c r="IE79" s="3">
        <f>$H79*factors!HY$3</f>
        <v>2.1381739795489998</v>
      </c>
      <c r="IF79" s="3">
        <f>$H79*factors!HZ$3</f>
        <v>2.1254593671829998</v>
      </c>
      <c r="IG79" s="3">
        <f>$H79*factors!IA$3</f>
        <v>2.106387448634</v>
      </c>
      <c r="IH79" s="3">
        <f>$H79*factors!IB$3</f>
        <v>2.1847942248909997</v>
      </c>
      <c r="II79" s="3">
        <f>$H79*factors!IC$3</f>
        <v>2.0915537342069999</v>
      </c>
      <c r="IJ79" s="3">
        <f>$H79*factors!ID$3</f>
        <v>2.1106256527560001</v>
      </c>
      <c r="IK79" s="3">
        <f>$H79*factors!IE$3</f>
        <v>2.1869133269520002</v>
      </c>
      <c r="IL79" s="3">
        <f>$H79*factors!IF$3</f>
        <v>2.0936728362680004</v>
      </c>
      <c r="IM79" s="3">
        <f>$H79*factors!IG$3</f>
        <v>2.0746009177190001</v>
      </c>
      <c r="IN79" s="3">
        <f>$H79*factors!IH$3</f>
        <v>2.0873155300850001</v>
      </c>
      <c r="IO79" s="3">
        <f>$H79*factors!II$3</f>
        <v>2.108506550695</v>
      </c>
      <c r="IP79" s="3">
        <f>$H79*factors!IJ$3</f>
        <v>2.0385761826820001</v>
      </c>
      <c r="IQ79" s="3">
        <f>$H79*factors!IK$3</f>
        <v>2.0322188764989999</v>
      </c>
      <c r="IR79" s="3">
        <f>$H79*factors!IL$3</f>
        <v>2.0915537342069999</v>
      </c>
      <c r="IS79" s="3">
        <f>$H79*factors!IM$3</f>
        <v>2.108506550695</v>
      </c>
      <c r="IT79" s="3">
        <f>$H79*factors!IN$3</f>
        <v>2.1233402651220001</v>
      </c>
      <c r="IU79" s="3">
        <f>$H79*factors!IO$3</f>
        <v>2.1699605104640001</v>
      </c>
      <c r="IV79" s="3">
        <f>$H79*factors!IP$3</f>
        <v>2.1975088372569997</v>
      </c>
      <c r="IW79" s="3">
        <f>$H79*factors!IQ$3</f>
        <v>2.0767200197799998</v>
      </c>
      <c r="IX79" s="3">
        <f>$H79*factors!IR$3</f>
        <v>2.1699605104640001</v>
      </c>
      <c r="IY79" s="3">
        <f>$H79*factors!IS$3</f>
        <v>2.1381739795489998</v>
      </c>
      <c r="IZ79" s="3">
        <f>$H79*factors!IT$3</f>
        <v>2.1741987145860002</v>
      </c>
      <c r="JA79" s="3">
        <f>$H79*factors!IU$3</f>
        <v>2.0534098971089998</v>
      </c>
      <c r="JB79" s="3">
        <f>$H79*factors!IV$3</f>
        <v>2.0915537342069999</v>
      </c>
      <c r="JC79" s="3">
        <f>$H79*factors!IW$3</f>
        <v>2.0428143868040003</v>
      </c>
      <c r="JD79" s="3">
        <f>$H79*factors!IX$3</f>
        <v>2.2250571640500003</v>
      </c>
      <c r="JE79" s="3">
        <f>$H79*factors!IY$3</f>
        <v>2.0491716929870001</v>
      </c>
      <c r="JF79" s="3">
        <f>$H79*factors!IZ$3</f>
        <v>2.1508885919149998</v>
      </c>
      <c r="JG79" s="3">
        <f>$H79*factors!JA$3</f>
        <v>2.1127447548169997</v>
      </c>
      <c r="JH79" s="3">
        <f>$H79*factors!JB$3</f>
        <v>2.1530076939760003</v>
      </c>
      <c r="JI79" s="3">
        <f>$H79*factors!JC$3</f>
        <v>2.0152660600110002</v>
      </c>
      <c r="JJ79" s="3">
        <f>$H79*factors!JD$3</f>
        <v>2.1699605104640001</v>
      </c>
      <c r="JK79" s="3">
        <f>$H79*factors!JE$3</f>
        <v>2.1000301424510002</v>
      </c>
      <c r="JL79" s="3">
        <f>$H79*factors!JF$3</f>
        <v>2.1847942248909997</v>
      </c>
      <c r="JM79" s="3">
        <f>$H79*factors!JG$3</f>
        <v>2.0385761826820001</v>
      </c>
      <c r="JN79" s="3">
        <f>$H79*factors!JH$3</f>
        <v>2.0385761826820001</v>
      </c>
      <c r="JO79" s="3">
        <f>$H79*factors!JI$3</f>
        <v>2.0131469579499996</v>
      </c>
      <c r="JP79" s="3">
        <f>$H79*factors!JJ$3</f>
        <v>2.1763178166469999</v>
      </c>
      <c r="JQ79" s="3">
        <f>$H79*factors!JK$3</f>
        <v>2.1212211630610001</v>
      </c>
      <c r="JR79" s="3">
        <f>$H79*factors!JL$3</f>
        <v>2.20386614344</v>
      </c>
      <c r="JS79" s="3">
        <f>$H79*factors!JM$3</f>
        <v>2.0131469579499996</v>
      </c>
      <c r="JT79" s="3">
        <f>$H79*factors!JN$3</f>
        <v>2.1148638568780003</v>
      </c>
      <c r="JU79" s="3">
        <f>$H79*factors!JO$3</f>
        <v>2.0449334888649999</v>
      </c>
      <c r="JV79" s="3">
        <f>$H79*factors!JP$3</f>
        <v>2.0788391218410003</v>
      </c>
      <c r="JW79" s="3">
        <f>$H79*factors!JQ$3</f>
        <v>2.2208189599280002</v>
      </c>
      <c r="JX79" s="3">
        <f>$H79*factors!JR$3</f>
        <v>2.1996279393179998</v>
      </c>
      <c r="JY79" s="3">
        <f>$H79*factors!JS$3</f>
        <v>2.070362713597</v>
      </c>
      <c r="JZ79" s="3">
        <f>$H79*factors!JT$3</f>
        <v>2.0936728362680004</v>
      </c>
      <c r="KA79" s="3">
        <f>$H79*factors!JU$3</f>
        <v>2.1021492445120002</v>
      </c>
      <c r="KB79" s="3">
        <f>$H79*factors!JV$3</f>
        <v>2.0322188764989999</v>
      </c>
      <c r="KC79" s="3">
        <f>$H79*factors!JW$3</f>
        <v>2.0428143868040003</v>
      </c>
      <c r="KD79" s="3">
        <f>$H79*factors!JX$3</f>
        <v>2.0449334888649999</v>
      </c>
      <c r="KE79" s="3">
        <f>$H79*factors!JY$3</f>
        <v>2.1763178166469999</v>
      </c>
      <c r="KF79" s="3">
        <f>$H79*factors!JZ$3</f>
        <v>2.2017470413789999</v>
      </c>
      <c r="KG79" s="3">
        <f>$H79*factors!KA$3</f>
        <v>2.1233402651220001</v>
      </c>
      <c r="KH79" s="3">
        <f>$H79*factors!KB$3</f>
        <v>2.0767200197799998</v>
      </c>
      <c r="KI79" s="3">
        <f>$H79*factors!KC$3</f>
        <v>2.0576481012309999</v>
      </c>
    </row>
    <row r="80" spans="1:295" x14ac:dyDescent="0.55000000000000004">
      <c r="A80" t="s">
        <v>456</v>
      </c>
      <c r="B80">
        <v>79</v>
      </c>
      <c r="C80">
        <v>230</v>
      </c>
      <c r="D80" t="s">
        <v>377</v>
      </c>
      <c r="E80">
        <v>7.1729999999999997E-3</v>
      </c>
      <c r="F80">
        <v>79</v>
      </c>
      <c r="G80">
        <f>VLOOKUP(D80,demand_forecasted!$A$2:$G$11,2)</f>
        <v>11098</v>
      </c>
      <c r="H80" s="3">
        <f t="shared" si="1"/>
        <v>0.79605954000000001</v>
      </c>
      <c r="I80" s="3">
        <f>$H80*factors!C$3</f>
        <v>0.88123791078000002</v>
      </c>
      <c r="J80" s="3">
        <f>$H80*factors!D$3</f>
        <v>0.84942737156159998</v>
      </c>
      <c r="K80" s="3">
        <f>$H80*factors!E$3</f>
        <v>0.83481171840720003</v>
      </c>
      <c r="L80" s="3">
        <f>$H80*factors!F$3</f>
        <v>0.83223248549760009</v>
      </c>
      <c r="M80" s="3">
        <f>$H80*factors!G$3</f>
        <v>0.83137274119439997</v>
      </c>
      <c r="N80" s="3">
        <f>$H80*factors!H$3</f>
        <v>0.85544558168399998</v>
      </c>
      <c r="O80" s="3">
        <f>$H80*factors!I$3</f>
        <v>0.8743599563544</v>
      </c>
      <c r="P80" s="3">
        <f>$H80*factors!J$3</f>
        <v>0.88467688799280009</v>
      </c>
      <c r="Q80" s="3">
        <f>$H80*factors!K$3</f>
        <v>0.83051299689119995</v>
      </c>
      <c r="R80" s="3">
        <f>$H80*factors!L$3</f>
        <v>0.81675708804000002</v>
      </c>
      <c r="S80" s="3">
        <f>$H80*factors!M$3</f>
        <v>0.85028711586479999</v>
      </c>
      <c r="T80" s="3">
        <f>$H80*factors!N$3</f>
        <v>0.8795184221736001</v>
      </c>
      <c r="U80" s="3">
        <f>$H80*factors!O$3</f>
        <v>0.83309222980080011</v>
      </c>
      <c r="V80" s="3">
        <f>$H80*factors!P$3</f>
        <v>0.86662225762560008</v>
      </c>
      <c r="W80" s="3">
        <f>$H80*factors!Q$3</f>
        <v>0.8743599563544</v>
      </c>
      <c r="X80" s="3">
        <f>$H80*factors!R$3</f>
        <v>0.83653120701359995</v>
      </c>
      <c r="Y80" s="3">
        <f>$H80*factors!S$3</f>
        <v>0.82879350828480003</v>
      </c>
      <c r="Z80" s="3">
        <f>$H80*factors!T$3</f>
        <v>0.89413407532800016</v>
      </c>
      <c r="AA80" s="3">
        <f>$H80*factors!U$3</f>
        <v>0.84426890574239999</v>
      </c>
      <c r="AB80" s="3">
        <f>$H80*factors!V$3</f>
        <v>0.84512865004560012</v>
      </c>
      <c r="AC80" s="3">
        <f>$H80*factors!W$3</f>
        <v>0.84598839434880013</v>
      </c>
      <c r="AD80" s="3">
        <f>$H80*factors!X$3</f>
        <v>0.82793376398160012</v>
      </c>
      <c r="AE80" s="3">
        <f>$H80*factors!Y$3</f>
        <v>0.83481171840720003</v>
      </c>
      <c r="AF80" s="3">
        <f>$H80*factors!Z$3</f>
        <v>0.85200660447120014</v>
      </c>
      <c r="AG80" s="3">
        <f>$H80*factors!AA$3</f>
        <v>0.83051299689119995</v>
      </c>
      <c r="AH80" s="3">
        <f>$H80*factors!AB$3</f>
        <v>0.82707401967840011</v>
      </c>
      <c r="AI80" s="3">
        <f>$H80*factors!AC$3</f>
        <v>0.85372609307760006</v>
      </c>
      <c r="AJ80" s="3">
        <f>$H80*factors!AD$3</f>
        <v>0.88639637659920001</v>
      </c>
      <c r="AK80" s="3">
        <f>$H80*factors!AE$3</f>
        <v>0.85286634877440004</v>
      </c>
      <c r="AL80" s="3">
        <f>$H80*factors!AF$3</f>
        <v>0.81933632094959996</v>
      </c>
      <c r="AM80" s="3">
        <f>$H80*factors!AG$3</f>
        <v>0.84254941713600007</v>
      </c>
      <c r="AN80" s="3">
        <f>$H80*factors!AH$3</f>
        <v>0.82879350828480003</v>
      </c>
      <c r="AO80" s="3">
        <f>$H80*factors!AI$3</f>
        <v>0.868341746232</v>
      </c>
      <c r="AP80" s="3">
        <f>$H80*factors!AJ$3</f>
        <v>0.83223248549760009</v>
      </c>
      <c r="AQ80" s="3">
        <f>$H80*factors!AK$3</f>
        <v>0.85888455889680004</v>
      </c>
      <c r="AR80" s="3">
        <f>$H80*factors!AL$3</f>
        <v>0.83997018422640013</v>
      </c>
      <c r="AS80" s="3">
        <f>$H80*factors!AM$3</f>
        <v>0.81933632094959996</v>
      </c>
      <c r="AT80" s="3">
        <f>$H80*factors!AN$3</f>
        <v>0.84512865004560012</v>
      </c>
      <c r="AU80" s="3">
        <f>$H80*factors!AO$3</f>
        <v>0.89499381963119995</v>
      </c>
      <c r="AV80" s="3">
        <f>$H80*factors!AP$3</f>
        <v>0.84598839434880013</v>
      </c>
      <c r="AW80" s="3">
        <f>$H80*factors!AQ$3</f>
        <v>0.83739095131679997</v>
      </c>
      <c r="AX80" s="3">
        <f>$H80*factors!AR$3</f>
        <v>0.8855366322960001</v>
      </c>
      <c r="AY80" s="3">
        <f>$H80*factors!AS$3</f>
        <v>0.81675708804000002</v>
      </c>
      <c r="AZ80" s="3">
        <f>$H80*factors!AT$3</f>
        <v>0.87521970065760013</v>
      </c>
      <c r="BA80" s="3">
        <f>$H80*factors!AU$3</f>
        <v>0.85630532598719999</v>
      </c>
      <c r="BB80" s="3">
        <f>$H80*factors!AV$3</f>
        <v>0.84512865004560012</v>
      </c>
      <c r="BC80" s="3">
        <f>$H80*factors!AW$3</f>
        <v>0.89413407532800016</v>
      </c>
      <c r="BD80" s="3">
        <f>$H80*factors!AX$3</f>
        <v>0.82535453107199996</v>
      </c>
      <c r="BE80" s="3">
        <f>$H80*factors!AY$3</f>
        <v>0.9703488156875999</v>
      </c>
      <c r="BF80" s="3">
        <f>$H80*factors!AZ$3</f>
        <v>0.90365494742639996</v>
      </c>
      <c r="BG80" s="3">
        <f>$H80*factors!BA$3</f>
        <v>0.91680585102719991</v>
      </c>
      <c r="BH80" s="3">
        <f>$H80*factors!BB$3</f>
        <v>0.92901740437079994</v>
      </c>
      <c r="BI80" s="3">
        <f>$H80*factors!BC$3</f>
        <v>0.96283401362999987</v>
      </c>
      <c r="BJ80" s="3">
        <f>$H80*factors!BD$3</f>
        <v>0.91962390179879994</v>
      </c>
      <c r="BK80" s="3">
        <f>$H80*factors!BE$3</f>
        <v>0.92150260231319991</v>
      </c>
      <c r="BL80" s="3">
        <f>$H80*factors!BF$3</f>
        <v>0.91116974948399987</v>
      </c>
      <c r="BM80" s="3">
        <f>$H80*factors!BG$3</f>
        <v>0.97316686645920003</v>
      </c>
      <c r="BN80" s="3">
        <f>$H80*factors!BH$3</f>
        <v>0.9609553131155999</v>
      </c>
      <c r="BO80" s="3">
        <f>$H80*factors!BI$3</f>
        <v>0.90365494742639996</v>
      </c>
      <c r="BP80" s="3">
        <f>$H80*factors!BJ$3</f>
        <v>0.90083689665479993</v>
      </c>
      <c r="BQ80" s="3">
        <f>$H80*factors!BK$3</f>
        <v>0.91586650076999987</v>
      </c>
      <c r="BR80" s="3">
        <f>$H80*factors!BL$3</f>
        <v>0.94874375977199998</v>
      </c>
      <c r="BS80" s="3">
        <f>$H80*factors!BM$3</f>
        <v>0.96377336388720003</v>
      </c>
      <c r="BT80" s="3">
        <f>$H80*factors!BN$3</f>
        <v>0.96659141465879994</v>
      </c>
      <c r="BU80" s="3">
        <f>$H80*factors!BO$3</f>
        <v>0.98256036903120003</v>
      </c>
      <c r="BV80" s="3">
        <f>$H80*factors!BP$3</f>
        <v>0.9139878002556</v>
      </c>
      <c r="BW80" s="3">
        <f>$H80*factors!BQ$3</f>
        <v>0.93465350591399998</v>
      </c>
      <c r="BX80" s="3">
        <f>$H80*factors!BR$3</f>
        <v>0.91680585102719991</v>
      </c>
      <c r="BY80" s="3">
        <f>$H80*factors!BS$3</f>
        <v>0.95907661260119981</v>
      </c>
      <c r="BZ80" s="3">
        <f>$H80*factors!BT$3</f>
        <v>0.94122895771439985</v>
      </c>
      <c r="CA80" s="3">
        <f>$H80*factors!BU$3</f>
        <v>0.92901740437079994</v>
      </c>
      <c r="CB80" s="3">
        <f>$H80*factors!BV$3</f>
        <v>0.89895819614039996</v>
      </c>
      <c r="CC80" s="3">
        <f>$H80*factors!BW$3</f>
        <v>0.92526000334199987</v>
      </c>
      <c r="CD80" s="3">
        <f>$H80*factors!BX$3</f>
        <v>0.9280780541136</v>
      </c>
      <c r="CE80" s="3">
        <f>$H80*factors!BY$3</f>
        <v>0.94122895771439985</v>
      </c>
      <c r="CF80" s="3">
        <f>$H80*factors!BZ$3</f>
        <v>0.92713870385640007</v>
      </c>
      <c r="CG80" s="3">
        <f>$H80*factors!CA$3</f>
        <v>0.89614014536879982</v>
      </c>
      <c r="CH80" s="3">
        <f>$H80*factors!CB$3</f>
        <v>0.89707949562599987</v>
      </c>
      <c r="CI80" s="3">
        <f>$H80*factors!CC$3</f>
        <v>0.89238274433999998</v>
      </c>
      <c r="CJ80" s="3">
        <f>$H80*factors!CD$3</f>
        <v>0.92901740437079994</v>
      </c>
      <c r="CK80" s="3">
        <f>$H80*factors!CE$3</f>
        <v>0.9703488156875999</v>
      </c>
      <c r="CL80" s="3">
        <f>$H80*factors!CF$3</f>
        <v>0.9092910489696</v>
      </c>
      <c r="CM80" s="3">
        <f>$H80*factors!CG$3</f>
        <v>0.93089610488519992</v>
      </c>
      <c r="CN80" s="3">
        <f>$H80*factors!CH$3</f>
        <v>0.89989754639759989</v>
      </c>
      <c r="CO80" s="3">
        <f>$H80*factors!CI$3</f>
        <v>0.90647299819799987</v>
      </c>
      <c r="CP80" s="3">
        <f>$H80*factors!CJ$3</f>
        <v>0.94968311002919981</v>
      </c>
      <c r="CQ80" s="3">
        <f>$H80*factors!CK$3</f>
        <v>0.92150260231319991</v>
      </c>
      <c r="CR80" s="3">
        <f>$H80*factors!CL$3</f>
        <v>0.95062246028639996</v>
      </c>
      <c r="CS80" s="3">
        <f>$H80*factors!CM$3</f>
        <v>0.98068166851679994</v>
      </c>
      <c r="CT80" s="3">
        <f>$H80*factors!CN$3</f>
        <v>0.96940946543039996</v>
      </c>
      <c r="CU80" s="3">
        <f>$H80*factors!CO$3</f>
        <v>0.94780440951479983</v>
      </c>
      <c r="CV80" s="3">
        <f>$H80*factors!CP$3</f>
        <v>0.98631777005999988</v>
      </c>
      <c r="CW80" s="3">
        <f>$H80*factors!CQ$3</f>
        <v>0.9327748053996</v>
      </c>
      <c r="CX80" s="3">
        <f>$H80*factors!CR$3</f>
        <v>0.9186845515416</v>
      </c>
      <c r="CY80" s="3">
        <f>$H80*factors!CS$3</f>
        <v>0.91023039922679994</v>
      </c>
      <c r="CZ80" s="3">
        <f>$H80*factors!CT$3</f>
        <v>0.89707949562599987</v>
      </c>
      <c r="DA80" s="3">
        <f>$H80*factors!CU$3</f>
        <v>0.93138966179999993</v>
      </c>
      <c r="DB80" s="3">
        <f>$H80*factors!CV$3</f>
        <v>0.99157176302400007</v>
      </c>
      <c r="DC80" s="3">
        <f>$H80*factors!CW$3</f>
        <v>0.94953981931199993</v>
      </c>
      <c r="DD80" s="3">
        <f>$H80*factors!CX$3</f>
        <v>0.94285291917599989</v>
      </c>
      <c r="DE80" s="3">
        <f>$H80*factors!CY$3</f>
        <v>0.97055579116800006</v>
      </c>
      <c r="DF80" s="3">
        <f>$H80*factors!CZ$3</f>
        <v>0.96864524827199994</v>
      </c>
      <c r="DG80" s="3">
        <f>$H80*factors!DA$3</f>
        <v>0.96482416248000002</v>
      </c>
      <c r="DH80" s="3">
        <f>$H80*factors!DB$3</f>
        <v>0.96482416248000002</v>
      </c>
      <c r="DI80" s="3">
        <f>$H80*factors!DC$3</f>
        <v>0.92852384745599992</v>
      </c>
      <c r="DJ80" s="3">
        <f>$H80*factors!DD$3</f>
        <v>0.98392959144000003</v>
      </c>
      <c r="DK80" s="3">
        <f>$H80*factors!DE$3</f>
        <v>0.98392959144000003</v>
      </c>
      <c r="DL80" s="3">
        <f>$H80*factors!DF$3</f>
        <v>0.97246633406400007</v>
      </c>
      <c r="DM80" s="3">
        <f>$H80*factors!DG$3</f>
        <v>0.91610531863199984</v>
      </c>
      <c r="DN80" s="3">
        <f>$H80*factors!DH$3</f>
        <v>0.961003076688</v>
      </c>
      <c r="DO80" s="3">
        <f>$H80*factors!DI$3</f>
        <v>0.99252703447199997</v>
      </c>
      <c r="DP80" s="3">
        <f>$H80*factors!DJ$3</f>
        <v>0.98392959144000003</v>
      </c>
      <c r="DQ80" s="3">
        <f>$H80*factors!DK$3</f>
        <v>0.93807656193599998</v>
      </c>
      <c r="DR80" s="3">
        <f>$H80*factors!DL$3</f>
        <v>0.92756857600800002</v>
      </c>
      <c r="DS80" s="3">
        <f>$H80*factors!DM$3</f>
        <v>1.0020797489519999</v>
      </c>
      <c r="DT80" s="3">
        <f>$H80*factors!DN$3</f>
        <v>0.941897647728</v>
      </c>
      <c r="DU80" s="3">
        <f>$H80*factors!DO$3</f>
        <v>0.98584013433599993</v>
      </c>
      <c r="DV80" s="3">
        <f>$H80*factors!DP$3</f>
        <v>0.96291361958400001</v>
      </c>
      <c r="DW80" s="3">
        <f>$H80*factors!DQ$3</f>
        <v>0.91897113297599986</v>
      </c>
      <c r="DX80" s="3">
        <f>$H80*factors!DR$3</f>
        <v>0.97342160551199997</v>
      </c>
      <c r="DY80" s="3">
        <f>$H80*factors!DS$3</f>
        <v>0.92374749021599989</v>
      </c>
      <c r="DZ80" s="3">
        <f>$H80*factors!DT$3</f>
        <v>0.98775067723199994</v>
      </c>
      <c r="EA80" s="3">
        <f>$H80*factors!DU$3</f>
        <v>0.93043439035199993</v>
      </c>
      <c r="EB80" s="3">
        <f>$H80*factors!DV$3</f>
        <v>0.9075078755999999</v>
      </c>
      <c r="EC80" s="3">
        <f>$H80*factors!DW$3</f>
        <v>0.97628741985599998</v>
      </c>
      <c r="ED80" s="3">
        <f>$H80*factors!DX$3</f>
        <v>0.91610531863199984</v>
      </c>
      <c r="EE80" s="3">
        <f>$H80*factors!DY$3</f>
        <v>0.92374749021599989</v>
      </c>
      <c r="EF80" s="3">
        <f>$H80*factors!DZ$3</f>
        <v>1.0020797489519999</v>
      </c>
      <c r="EG80" s="3">
        <f>$H80*factors!EA$3</f>
        <v>0.93616601903999996</v>
      </c>
      <c r="EH80" s="3">
        <f>$H80*factors!EB$3</f>
        <v>0.93903183338399998</v>
      </c>
      <c r="EI80" s="3">
        <f>$H80*factors!EC$3</f>
        <v>0.93712129048800008</v>
      </c>
      <c r="EJ80" s="3">
        <f>$H80*factors!ED$3</f>
        <v>0.91323950428800005</v>
      </c>
      <c r="EK80" s="3">
        <f>$H80*factors!EE$3</f>
        <v>0.97628741985599998</v>
      </c>
      <c r="EL80" s="3">
        <f>$H80*factors!EF$3</f>
        <v>0.92852384745599992</v>
      </c>
      <c r="EM80" s="3">
        <f>$H80*factors!EG$3</f>
        <v>0.96577943392799992</v>
      </c>
      <c r="EN80" s="3">
        <f>$H80*factors!EH$3</f>
        <v>0.9075078755999999</v>
      </c>
      <c r="EO80" s="3">
        <f>$H80*factors!EI$3</f>
        <v>0.92088167587199987</v>
      </c>
      <c r="EP80" s="3">
        <f>$H80*factors!EJ$3</f>
        <v>0.97151106261599995</v>
      </c>
      <c r="EQ80" s="3">
        <f>$H80*factors!EK$3</f>
        <v>0.9447634620719999</v>
      </c>
      <c r="ER80" s="3">
        <f>$H80*factors!EL$3</f>
        <v>0.98392959144000003</v>
      </c>
      <c r="ES80" s="3">
        <f>$H80*factors!EM$3</f>
        <v>0.97151106261599995</v>
      </c>
      <c r="ET80" s="3">
        <f>$H80*factors!EN$3</f>
        <v>0.99348230591999998</v>
      </c>
      <c r="EU80" s="3">
        <f>$H80*factors!EO$3</f>
        <v>1.0030350204</v>
      </c>
      <c r="EV80" s="3">
        <f>$H80*factors!EP$3</f>
        <v>0.93998710483199988</v>
      </c>
      <c r="EW80" s="3">
        <f>$H80*factors!EQ$3</f>
        <v>1.033882327575</v>
      </c>
      <c r="EX80" s="3">
        <f>$H80*factors!ER$3</f>
        <v>1.0229365089000002</v>
      </c>
      <c r="EY80" s="3">
        <f>$H80*factors!ES$3</f>
        <v>1.043833071825</v>
      </c>
      <c r="EZ80" s="3">
        <f>$H80*factors!ET$3</f>
        <v>1.033882327575</v>
      </c>
      <c r="FA80" s="3">
        <f>$H80*factors!EU$3</f>
        <v>0.95029607587499987</v>
      </c>
      <c r="FB80" s="3">
        <f>$H80*factors!EV$3</f>
        <v>0.99308427615000006</v>
      </c>
      <c r="FC80" s="3">
        <f>$H80*factors!EW$3</f>
        <v>1.0209463600499999</v>
      </c>
      <c r="FD80" s="3">
        <f>$H80*factors!EX$3</f>
        <v>0.98512368075000001</v>
      </c>
      <c r="FE80" s="3">
        <f>$H80*factors!EY$3</f>
        <v>1.0378626252750001</v>
      </c>
      <c r="FF80" s="3">
        <f>$H80*factors!EZ$3</f>
        <v>1.0388576997000001</v>
      </c>
      <c r="FG80" s="3">
        <f>$H80*factors!FA$3</f>
        <v>0.95029607587499987</v>
      </c>
      <c r="FH80" s="3">
        <f>$H80*factors!FB$3</f>
        <v>1.000049797125</v>
      </c>
      <c r="FI80" s="3">
        <f>$H80*factors!FC$3</f>
        <v>1.0418429229749999</v>
      </c>
      <c r="FJ80" s="3">
        <f>$H80*factors!FD$3</f>
        <v>1.000049797125</v>
      </c>
      <c r="FK80" s="3">
        <f>$H80*factors!FE$3</f>
        <v>1.0169660623500001</v>
      </c>
      <c r="FL80" s="3">
        <f>$H80*factors!FF$3</f>
        <v>1.0199512856249999</v>
      </c>
      <c r="FM80" s="3">
        <f>$H80*factors!FG$3</f>
        <v>1.0308971042999999</v>
      </c>
      <c r="FN80" s="3">
        <f>$H80*factors!FH$3</f>
        <v>0.96422711782499992</v>
      </c>
      <c r="FO80" s="3">
        <f>$H80*factors!FI$3</f>
        <v>1.023931583325</v>
      </c>
      <c r="FP80" s="3">
        <f>$H80*factors!FJ$3</f>
        <v>0.99507442499999998</v>
      </c>
      <c r="FQ80" s="3">
        <f>$H80*factors!FK$3</f>
        <v>0.98512368075000001</v>
      </c>
      <c r="FR80" s="3">
        <f>$H80*factors!FL$3</f>
        <v>1.0050251692500001</v>
      </c>
      <c r="FS80" s="3">
        <f>$H80*factors!FM$3</f>
        <v>0.99905472269999995</v>
      </c>
      <c r="FT80" s="3">
        <f>$H80*factors!FN$3</f>
        <v>1.0209463600499999</v>
      </c>
      <c r="FU80" s="3">
        <f>$H80*factors!FO$3</f>
        <v>0.98114338304999993</v>
      </c>
      <c r="FV80" s="3">
        <f>$H80*factors!FP$3</f>
        <v>0.97318278764999999</v>
      </c>
      <c r="FW80" s="3">
        <f>$H80*factors!FQ$3</f>
        <v>1.0418429229749999</v>
      </c>
      <c r="FX80" s="3">
        <f>$H80*factors!FR$3</f>
        <v>1.0229365089000002</v>
      </c>
      <c r="FY80" s="3">
        <f>$H80*factors!FS$3</f>
        <v>1.0020399459749998</v>
      </c>
      <c r="FZ80" s="3">
        <f>$H80*factors!FT$3</f>
        <v>0.95228622472500002</v>
      </c>
      <c r="GA80" s="3">
        <f>$H80*factors!FU$3</f>
        <v>1.0020399459749998</v>
      </c>
      <c r="GB80" s="3">
        <f>$H80*factors!FV$3</f>
        <v>1.0388576997000001</v>
      </c>
      <c r="GC80" s="3">
        <f>$H80*factors!FW$3</f>
        <v>0.97318278764999999</v>
      </c>
      <c r="GD80" s="3">
        <f>$H80*factors!FX$3</f>
        <v>0.990099052875</v>
      </c>
      <c r="GE80" s="3">
        <f>$H80*factors!FY$3</f>
        <v>0.990099052875</v>
      </c>
      <c r="GF80" s="3">
        <f>$H80*factors!FZ$3</f>
        <v>0.98711382960000005</v>
      </c>
      <c r="GG80" s="3">
        <f>$H80*factors!GA$3</f>
        <v>0.94830592702499994</v>
      </c>
      <c r="GH80" s="3">
        <f>$H80*factors!GB$3</f>
        <v>1.0090054669500002</v>
      </c>
      <c r="GI80" s="3">
        <f>$H80*factors!GC$3</f>
        <v>0.94631577817500001</v>
      </c>
      <c r="GJ80" s="3">
        <f>$H80*factors!GD$3</f>
        <v>0.94830592702499994</v>
      </c>
      <c r="GK80" s="3">
        <f>$H80*factors!GE$3</f>
        <v>0.97218771322499997</v>
      </c>
      <c r="GL80" s="3">
        <f>$H80*factors!GF$3</f>
        <v>1.0299020298749999</v>
      </c>
      <c r="GM80" s="3">
        <f>$H80*factors!GG$3</f>
        <v>0.97616801092500005</v>
      </c>
      <c r="GN80" s="3">
        <f>$H80*factors!GH$3</f>
        <v>1.0070153181000001</v>
      </c>
      <c r="GO80" s="3">
        <f>$H80*factors!GI$3</f>
        <v>0.95129115029999989</v>
      </c>
      <c r="GP80" s="3">
        <f>$H80*factors!GJ$3</f>
        <v>1.0199512856249999</v>
      </c>
      <c r="GQ80" s="3">
        <f>$H80*factors!GK$3</f>
        <v>1.0408478485500001</v>
      </c>
      <c r="GR80" s="3">
        <f>$H80*factors!GL$3</f>
        <v>1.0209463600499999</v>
      </c>
      <c r="GS80" s="3">
        <f>$H80*factors!GM$3</f>
        <v>0.96550081308900004</v>
      </c>
      <c r="GT80" s="3">
        <f>$H80*factors!GN$3</f>
        <v>0.98774271663660007</v>
      </c>
      <c r="GU80" s="3">
        <f>$H80*factors!GO$3</f>
        <v>1.0109956158</v>
      </c>
      <c r="GV80" s="3">
        <f>$H80*factors!GP$3</f>
        <v>0.97055579116800006</v>
      </c>
      <c r="GW80" s="3">
        <f>$H80*factors!GQ$3</f>
        <v>1.0049296421052001</v>
      </c>
      <c r="GX80" s="3">
        <f>$H80*factors!GR$3</f>
        <v>0.98875371225239994</v>
      </c>
      <c r="GY80" s="3">
        <f>$H80*factors!GS$3</f>
        <v>0.98369873417340004</v>
      </c>
      <c r="GZ80" s="3">
        <f>$H80*factors!GT$3</f>
        <v>1.0200945763421998</v>
      </c>
      <c r="HA80" s="3">
        <f>$H80*factors!GU$3</f>
        <v>0.98673172102079998</v>
      </c>
      <c r="HB80" s="3">
        <f>$H80*factors!GV$3</f>
        <v>1.0200945763421998</v>
      </c>
      <c r="HC80" s="3">
        <f>$H80*factors!GW$3</f>
        <v>0.99481968594719994</v>
      </c>
      <c r="HD80" s="3">
        <f>$H80*factors!GX$3</f>
        <v>1.0241385588053999</v>
      </c>
      <c r="HE80" s="3">
        <f>$H80*factors!GY$3</f>
        <v>1.0109956158</v>
      </c>
      <c r="HF80" s="3">
        <f>$H80*factors!GZ$3</f>
        <v>1.0423364798898</v>
      </c>
      <c r="HG80" s="3">
        <f>$H80*factors!HA$3</f>
        <v>1.0018966552577999</v>
      </c>
      <c r="HH80" s="3">
        <f>$H80*factors!HB$3</f>
        <v>0.98875371225239994</v>
      </c>
      <c r="HI80" s="3">
        <f>$H80*factors!HC$3</f>
        <v>0.97662176486280006</v>
      </c>
      <c r="HJ80" s="3">
        <f>$H80*factors!HD$3</f>
        <v>0.96550081308900004</v>
      </c>
      <c r="HK80" s="3">
        <f>$H80*factors!HE$3</f>
        <v>1.021105571958</v>
      </c>
      <c r="HL80" s="3">
        <f>$H80*factors!HF$3</f>
        <v>0.96246782624159988</v>
      </c>
      <c r="HM80" s="3">
        <f>$H80*factors!HG$3</f>
        <v>0.97257778239960002</v>
      </c>
      <c r="HN80" s="3">
        <f>$H80*factors!HH$3</f>
        <v>1.0372815018108001</v>
      </c>
      <c r="HO80" s="3">
        <f>$H80*factors!HI$3</f>
        <v>0.99481968594719994</v>
      </c>
      <c r="HP80" s="3">
        <f>$H80*factors!HJ$3</f>
        <v>1.0615453965900001</v>
      </c>
      <c r="HQ80" s="3">
        <f>$H80*factors!HK$3</f>
        <v>0.97055579116800006</v>
      </c>
      <c r="HR80" s="3">
        <f>$H80*factors!HL$3</f>
        <v>1.0291935368844001</v>
      </c>
      <c r="HS80" s="3">
        <f>$H80*factors!HM$3</f>
        <v>1.0473914579688</v>
      </c>
      <c r="HT80" s="3">
        <f>$H80*factors!HN$3</f>
        <v>0.97662176486280006</v>
      </c>
      <c r="HU80" s="3">
        <f>$H80*factors!HO$3</f>
        <v>0.98673172102079998</v>
      </c>
      <c r="HV80" s="3">
        <f>$H80*factors!HP$3</f>
        <v>0.99886366841040009</v>
      </c>
      <c r="HW80" s="3">
        <f>$H80*factors!HQ$3</f>
        <v>1.0130176070315999</v>
      </c>
      <c r="HX80" s="3">
        <f>$H80*factors!HR$3</f>
        <v>1.0544684272793998</v>
      </c>
      <c r="HY80" s="3">
        <f>$H80*factors!HS$3</f>
        <v>1.0018966552577999</v>
      </c>
      <c r="HZ80" s="3">
        <f>$H80*factors!HT$3</f>
        <v>1.0403144886581999</v>
      </c>
      <c r="IA80" s="3">
        <f>$H80*factors!HU$3</f>
        <v>0.98976470786820003</v>
      </c>
      <c r="IB80" s="3">
        <f>$H80*factors!HV$3</f>
        <v>1.0241385588053999</v>
      </c>
      <c r="IC80" s="3">
        <f>$H80*factors!HW$3</f>
        <v>1.0342485149634</v>
      </c>
      <c r="ID80" s="3">
        <f>$H80*factors!HX$3</f>
        <v>0.96044583500999992</v>
      </c>
      <c r="IE80" s="3">
        <f>$H80*factors!HY$3</f>
        <v>1.0200945763421998</v>
      </c>
      <c r="IF80" s="3">
        <f>$H80*factors!HZ$3</f>
        <v>1.0140286026473999</v>
      </c>
      <c r="IG80" s="3">
        <f>$H80*factors!IA$3</f>
        <v>1.0049296421052001</v>
      </c>
      <c r="IH80" s="3">
        <f>$H80*factors!IB$3</f>
        <v>1.0423364798898</v>
      </c>
      <c r="II80" s="3">
        <f>$H80*factors!IC$3</f>
        <v>0.99785267279459999</v>
      </c>
      <c r="IJ80" s="3">
        <f>$H80*factors!ID$3</f>
        <v>1.0069516333368</v>
      </c>
      <c r="IK80" s="3">
        <f>$H80*factors!IE$3</f>
        <v>1.0433474755056</v>
      </c>
      <c r="IL80" s="3">
        <f>$H80*factors!IF$3</f>
        <v>0.99886366841040009</v>
      </c>
      <c r="IM80" s="3">
        <f>$H80*factors!IG$3</f>
        <v>0.98976470786820003</v>
      </c>
      <c r="IN80" s="3">
        <f>$H80*factors!IH$3</f>
        <v>0.99583068156300003</v>
      </c>
      <c r="IO80" s="3">
        <f>$H80*factors!II$3</f>
        <v>1.0059406377210001</v>
      </c>
      <c r="IP80" s="3">
        <f>$H80*factors!IJ$3</f>
        <v>0.97257778239960002</v>
      </c>
      <c r="IQ80" s="3">
        <f>$H80*factors!IK$3</f>
        <v>0.96954479555219997</v>
      </c>
      <c r="IR80" s="3">
        <f>$H80*factors!IL$3</f>
        <v>0.99785267279459999</v>
      </c>
      <c r="IS80" s="3">
        <f>$H80*factors!IM$3</f>
        <v>1.0059406377210001</v>
      </c>
      <c r="IT80" s="3">
        <f>$H80*factors!IN$3</f>
        <v>1.0130176070315999</v>
      </c>
      <c r="IU80" s="3">
        <f>$H80*factors!IO$3</f>
        <v>1.0352595105792002</v>
      </c>
      <c r="IV80" s="3">
        <f>$H80*factors!IP$3</f>
        <v>1.0484024535845999</v>
      </c>
      <c r="IW80" s="3">
        <f>$H80*factors!IQ$3</f>
        <v>0.9907757034839999</v>
      </c>
      <c r="IX80" s="3">
        <f>$H80*factors!IR$3</f>
        <v>1.0352595105792002</v>
      </c>
      <c r="IY80" s="3">
        <f>$H80*factors!IS$3</f>
        <v>1.0200945763421998</v>
      </c>
      <c r="IZ80" s="3">
        <f>$H80*factors!IT$3</f>
        <v>1.0372815018108001</v>
      </c>
      <c r="JA80" s="3">
        <f>$H80*factors!IU$3</f>
        <v>0.97965475171019989</v>
      </c>
      <c r="JB80" s="3">
        <f>$H80*factors!IV$3</f>
        <v>0.99785267279459999</v>
      </c>
      <c r="JC80" s="3">
        <f>$H80*factors!IW$3</f>
        <v>0.97459977363120009</v>
      </c>
      <c r="JD80" s="3">
        <f>$H80*factors!IX$3</f>
        <v>1.0615453965900001</v>
      </c>
      <c r="JE80" s="3">
        <f>$H80*factors!IY$3</f>
        <v>0.97763276047859993</v>
      </c>
      <c r="JF80" s="3">
        <f>$H80*factors!IZ$3</f>
        <v>1.0261605500369999</v>
      </c>
      <c r="JG80" s="3">
        <f>$H80*factors!JA$3</f>
        <v>1.0079626289526</v>
      </c>
      <c r="JH80" s="3">
        <f>$H80*factors!JB$3</f>
        <v>1.0271715456528001</v>
      </c>
      <c r="JI80" s="3">
        <f>$H80*factors!JC$3</f>
        <v>0.96145683062580001</v>
      </c>
      <c r="JJ80" s="3">
        <f>$H80*factors!JD$3</f>
        <v>1.0352595105792002</v>
      </c>
      <c r="JK80" s="3">
        <f>$H80*factors!JE$3</f>
        <v>1.0018966552577999</v>
      </c>
      <c r="JL80" s="3">
        <f>$H80*factors!JF$3</f>
        <v>1.0423364798898</v>
      </c>
      <c r="JM80" s="3">
        <f>$H80*factors!JG$3</f>
        <v>0.97257778239960002</v>
      </c>
      <c r="JN80" s="3">
        <f>$H80*factors!JH$3</f>
        <v>0.97257778239960002</v>
      </c>
      <c r="JO80" s="3">
        <f>$H80*factors!JI$3</f>
        <v>0.96044583500999992</v>
      </c>
      <c r="JP80" s="3">
        <f>$H80*factors!JJ$3</f>
        <v>1.0382924974265999</v>
      </c>
      <c r="JQ80" s="3">
        <f>$H80*factors!JK$3</f>
        <v>1.0120066114158</v>
      </c>
      <c r="JR80" s="3">
        <f>$H80*factors!JL$3</f>
        <v>1.0514354404320001</v>
      </c>
      <c r="JS80" s="3">
        <f>$H80*factors!JM$3</f>
        <v>0.96044583500999992</v>
      </c>
      <c r="JT80" s="3">
        <f>$H80*factors!JN$3</f>
        <v>1.0089736245684</v>
      </c>
      <c r="JU80" s="3">
        <f>$H80*factors!JO$3</f>
        <v>0.97561076924699996</v>
      </c>
      <c r="JV80" s="3">
        <f>$H80*factors!JP$3</f>
        <v>0.9917866990998</v>
      </c>
      <c r="JW80" s="3">
        <f>$H80*factors!JQ$3</f>
        <v>1.0595234053584002</v>
      </c>
      <c r="JX80" s="3">
        <f>$H80*factors!JR$3</f>
        <v>1.0494134492003999</v>
      </c>
      <c r="JY80" s="3">
        <f>$H80*factors!JS$3</f>
        <v>0.98774271663660007</v>
      </c>
      <c r="JZ80" s="3">
        <f>$H80*factors!JT$3</f>
        <v>0.99886366841040009</v>
      </c>
      <c r="KA80" s="3">
        <f>$H80*factors!JU$3</f>
        <v>1.0029076508736001</v>
      </c>
      <c r="KB80" s="3">
        <f>$H80*factors!JV$3</f>
        <v>0.96954479555219997</v>
      </c>
      <c r="KC80" s="3">
        <f>$H80*factors!JW$3</f>
        <v>0.97459977363120009</v>
      </c>
      <c r="KD80" s="3">
        <f>$H80*factors!JX$3</f>
        <v>0.97561076924699996</v>
      </c>
      <c r="KE80" s="3">
        <f>$H80*factors!JY$3</f>
        <v>1.0382924974265999</v>
      </c>
      <c r="KF80" s="3">
        <f>$H80*factors!JZ$3</f>
        <v>1.0504244448161999</v>
      </c>
      <c r="KG80" s="3">
        <f>$H80*factors!KA$3</f>
        <v>1.0130176070315999</v>
      </c>
      <c r="KH80" s="3">
        <f>$H80*factors!KB$3</f>
        <v>0.9907757034839999</v>
      </c>
      <c r="KI80" s="3">
        <f>$H80*factors!KC$3</f>
        <v>0.98167674294179996</v>
      </c>
    </row>
    <row r="81" spans="1:295" x14ac:dyDescent="0.55000000000000004">
      <c r="A81" t="s">
        <v>457</v>
      </c>
      <c r="B81">
        <v>80</v>
      </c>
      <c r="C81">
        <v>500</v>
      </c>
      <c r="D81" t="s">
        <v>377</v>
      </c>
      <c r="E81">
        <v>7.0460000000000002E-3</v>
      </c>
      <c r="F81">
        <v>80</v>
      </c>
      <c r="G81">
        <f>VLOOKUP(D81,demand_forecasted!$A$2:$G$11,2)</f>
        <v>11098</v>
      </c>
      <c r="H81" s="3">
        <f t="shared" si="1"/>
        <v>0.78196508000000009</v>
      </c>
      <c r="I81" s="3">
        <f>$H81*factors!C$3</f>
        <v>0.86563534356000005</v>
      </c>
      <c r="J81" s="3">
        <f>$H81*factors!D$3</f>
        <v>0.83438801896320014</v>
      </c>
      <c r="K81" s="3">
        <f>$H81*factors!E$3</f>
        <v>0.82003114009440015</v>
      </c>
      <c r="L81" s="3">
        <f>$H81*factors!F$3</f>
        <v>0.81749757323520023</v>
      </c>
      <c r="M81" s="3">
        <f>$H81*factors!G$3</f>
        <v>0.81665305094880003</v>
      </c>
      <c r="N81" s="3">
        <f>$H81*factors!H$3</f>
        <v>0.84029967496800007</v>
      </c>
      <c r="O81" s="3">
        <f>$H81*factors!I$3</f>
        <v>0.85887916526880015</v>
      </c>
      <c r="P81" s="3">
        <f>$H81*factors!J$3</f>
        <v>0.86901343270560016</v>
      </c>
      <c r="Q81" s="3">
        <f>$H81*factors!K$3</f>
        <v>0.81580852866240006</v>
      </c>
      <c r="R81" s="3">
        <f>$H81*factors!L$3</f>
        <v>0.80229617208000015</v>
      </c>
      <c r="S81" s="3">
        <f>$H81*factors!M$3</f>
        <v>0.83523254124960011</v>
      </c>
      <c r="T81" s="3">
        <f>$H81*factors!N$3</f>
        <v>0.8639462989872001</v>
      </c>
      <c r="U81" s="3">
        <f>$H81*factors!O$3</f>
        <v>0.8183420955216002</v>
      </c>
      <c r="V81" s="3">
        <f>$H81*factors!P$3</f>
        <v>0.85127846469120017</v>
      </c>
      <c r="W81" s="3">
        <f>$H81*factors!Q$3</f>
        <v>0.85887916526880015</v>
      </c>
      <c r="X81" s="3">
        <f>$H81*factors!R$3</f>
        <v>0.82172018466720009</v>
      </c>
      <c r="Y81" s="3">
        <f>$H81*factors!S$3</f>
        <v>0.81411948408960011</v>
      </c>
      <c r="Z81" s="3">
        <f>$H81*factors!T$3</f>
        <v>0.87830317785600021</v>
      </c>
      <c r="AA81" s="3">
        <f>$H81*factors!U$3</f>
        <v>0.82932088524480008</v>
      </c>
      <c r="AB81" s="3">
        <f>$H81*factors!V$3</f>
        <v>0.83016540753120016</v>
      </c>
      <c r="AC81" s="3">
        <f>$H81*factors!W$3</f>
        <v>0.83100992981760013</v>
      </c>
      <c r="AD81" s="3">
        <f>$H81*factors!X$3</f>
        <v>0.81327496180320014</v>
      </c>
      <c r="AE81" s="3">
        <f>$H81*factors!Y$3</f>
        <v>0.82003114009440015</v>
      </c>
      <c r="AF81" s="3">
        <f>$H81*factors!Z$3</f>
        <v>0.83692158582240017</v>
      </c>
      <c r="AG81" s="3">
        <f>$H81*factors!AA$3</f>
        <v>0.81580852866240006</v>
      </c>
      <c r="AH81" s="3">
        <f>$H81*factors!AB$3</f>
        <v>0.81243043951680016</v>
      </c>
      <c r="AI81" s="3">
        <f>$H81*factors!AC$3</f>
        <v>0.83861063039520012</v>
      </c>
      <c r="AJ81" s="3">
        <f>$H81*factors!AD$3</f>
        <v>0.87070247727840011</v>
      </c>
      <c r="AK81" s="3">
        <f>$H81*factors!AE$3</f>
        <v>0.83776610810880014</v>
      </c>
      <c r="AL81" s="3">
        <f>$H81*factors!AF$3</f>
        <v>0.80482973893920007</v>
      </c>
      <c r="AM81" s="3">
        <f>$H81*factors!AG$3</f>
        <v>0.82763184067200013</v>
      </c>
      <c r="AN81" s="3">
        <f>$H81*factors!AH$3</f>
        <v>0.81411948408960011</v>
      </c>
      <c r="AO81" s="3">
        <f>$H81*factors!AI$3</f>
        <v>0.85296750926400011</v>
      </c>
      <c r="AP81" s="3">
        <f>$H81*factors!AJ$3</f>
        <v>0.81749757323520023</v>
      </c>
      <c r="AQ81" s="3">
        <f>$H81*factors!AK$3</f>
        <v>0.84367776411360018</v>
      </c>
      <c r="AR81" s="3">
        <f>$H81*factors!AL$3</f>
        <v>0.82509827381280021</v>
      </c>
      <c r="AS81" s="3">
        <f>$H81*factors!AM$3</f>
        <v>0.80482973893920007</v>
      </c>
      <c r="AT81" s="3">
        <f>$H81*factors!AN$3</f>
        <v>0.83016540753120016</v>
      </c>
      <c r="AU81" s="3">
        <f>$H81*factors!AO$3</f>
        <v>0.87914770014240007</v>
      </c>
      <c r="AV81" s="3">
        <f>$H81*factors!AP$3</f>
        <v>0.83100992981760013</v>
      </c>
      <c r="AW81" s="3">
        <f>$H81*factors!AQ$3</f>
        <v>0.82256470695360007</v>
      </c>
      <c r="AX81" s="3">
        <f>$H81*factors!AR$3</f>
        <v>0.86985795499200014</v>
      </c>
      <c r="AY81" s="3">
        <f>$H81*factors!AS$3</f>
        <v>0.80229617208000015</v>
      </c>
      <c r="AZ81" s="3">
        <f>$H81*factors!AT$3</f>
        <v>0.85972368755520023</v>
      </c>
      <c r="BA81" s="3">
        <f>$H81*factors!AU$3</f>
        <v>0.84114419725440004</v>
      </c>
      <c r="BB81" s="3">
        <f>$H81*factors!AV$3</f>
        <v>0.83016540753120016</v>
      </c>
      <c r="BC81" s="3">
        <f>$H81*factors!AW$3</f>
        <v>0.87830317785600021</v>
      </c>
      <c r="BD81" s="3">
        <f>$H81*factors!AX$3</f>
        <v>0.8107413949440001</v>
      </c>
      <c r="BE81" s="3">
        <f>$H81*factors!AY$3</f>
        <v>0.95316851461520002</v>
      </c>
      <c r="BF81" s="3">
        <f>$H81*factors!AZ$3</f>
        <v>0.88765548021280005</v>
      </c>
      <c r="BG81" s="3">
        <f>$H81*factors!BA$3</f>
        <v>0.90057354333439998</v>
      </c>
      <c r="BH81" s="3">
        <f>$H81*factors!BB$3</f>
        <v>0.91256888766160005</v>
      </c>
      <c r="BI81" s="3">
        <f>$H81*factors!BC$3</f>
        <v>0.94578676425999997</v>
      </c>
      <c r="BJ81" s="3">
        <f>$H81*factors!BD$3</f>
        <v>0.90334169971760003</v>
      </c>
      <c r="BK81" s="3">
        <f>$H81*factors!BE$3</f>
        <v>0.90518713730639999</v>
      </c>
      <c r="BL81" s="3">
        <f>$H81*factors!BF$3</f>
        <v>0.895037230568</v>
      </c>
      <c r="BM81" s="3">
        <f>$H81*factors!BG$3</f>
        <v>0.95593667099840007</v>
      </c>
      <c r="BN81" s="3">
        <f>$H81*factors!BH$3</f>
        <v>0.94394132667120001</v>
      </c>
      <c r="BO81" s="3">
        <f>$H81*factors!BI$3</f>
        <v>0.88765548021280005</v>
      </c>
      <c r="BP81" s="3">
        <f>$H81*factors!BJ$3</f>
        <v>0.8848873238296</v>
      </c>
      <c r="BQ81" s="3">
        <f>$H81*factors!BK$3</f>
        <v>0.89965082454</v>
      </c>
      <c r="BR81" s="3">
        <f>$H81*factors!BL$3</f>
        <v>0.93194598234400006</v>
      </c>
      <c r="BS81" s="3">
        <f>$H81*factors!BM$3</f>
        <v>0.94670948305440006</v>
      </c>
      <c r="BT81" s="3">
        <f>$H81*factors!BN$3</f>
        <v>0.9494776394376</v>
      </c>
      <c r="BU81" s="3">
        <f>$H81*factors!BO$3</f>
        <v>0.9651638589424002</v>
      </c>
      <c r="BV81" s="3">
        <f>$H81*factors!BP$3</f>
        <v>0.89780538695120005</v>
      </c>
      <c r="BW81" s="3">
        <f>$H81*factors!BQ$3</f>
        <v>0.91810520042800003</v>
      </c>
      <c r="BX81" s="3">
        <f>$H81*factors!BR$3</f>
        <v>0.90057354333439998</v>
      </c>
      <c r="BY81" s="3">
        <f>$H81*factors!BS$3</f>
        <v>0.94209588908239994</v>
      </c>
      <c r="BZ81" s="3">
        <f>$H81*factors!BT$3</f>
        <v>0.9245642319888</v>
      </c>
      <c r="CA81" s="3">
        <f>$H81*factors!BU$3</f>
        <v>0.91256888766160005</v>
      </c>
      <c r="CB81" s="3">
        <f>$H81*factors!BV$3</f>
        <v>0.88304188624080004</v>
      </c>
      <c r="CC81" s="3">
        <f>$H81*factors!BW$3</f>
        <v>0.90887801248400002</v>
      </c>
      <c r="CD81" s="3">
        <f>$H81*factors!BX$3</f>
        <v>0.91164616886720007</v>
      </c>
      <c r="CE81" s="3">
        <f>$H81*factors!BY$3</f>
        <v>0.9245642319888</v>
      </c>
      <c r="CF81" s="3">
        <f>$H81*factors!BZ$3</f>
        <v>0.91072345007280009</v>
      </c>
      <c r="CG81" s="3">
        <f>$H81*factors!CA$3</f>
        <v>0.8802737298576</v>
      </c>
      <c r="CH81" s="3">
        <f>$H81*factors!CB$3</f>
        <v>0.88119644865199998</v>
      </c>
      <c r="CI81" s="3">
        <f>$H81*factors!CC$3</f>
        <v>0.87658285468000008</v>
      </c>
      <c r="CJ81" s="3">
        <f>$H81*factors!CD$3</f>
        <v>0.91256888766160005</v>
      </c>
      <c r="CK81" s="3">
        <f>$H81*factors!CE$3</f>
        <v>0.95316851461520002</v>
      </c>
      <c r="CL81" s="3">
        <f>$H81*factors!CF$3</f>
        <v>0.89319179297920004</v>
      </c>
      <c r="CM81" s="3">
        <f>$H81*factors!CG$3</f>
        <v>0.91441432525040001</v>
      </c>
      <c r="CN81" s="3">
        <f>$H81*factors!CH$3</f>
        <v>0.88396460503520002</v>
      </c>
      <c r="CO81" s="3">
        <f>$H81*factors!CI$3</f>
        <v>0.89042363659599999</v>
      </c>
      <c r="CP81" s="3">
        <f>$H81*factors!CJ$3</f>
        <v>0.93286870113839993</v>
      </c>
      <c r="CQ81" s="3">
        <f>$H81*factors!CK$3</f>
        <v>0.90518713730639999</v>
      </c>
      <c r="CR81" s="3">
        <f>$H81*factors!CL$3</f>
        <v>0.93379141993280002</v>
      </c>
      <c r="CS81" s="3">
        <f>$H81*factors!CM$3</f>
        <v>0.96331842135360002</v>
      </c>
      <c r="CT81" s="3">
        <f>$H81*factors!CN$3</f>
        <v>0.95224579582080005</v>
      </c>
      <c r="CU81" s="3">
        <f>$H81*factors!CO$3</f>
        <v>0.93102326354959997</v>
      </c>
      <c r="CV81" s="3">
        <f>$H81*factors!CP$3</f>
        <v>0.96885473412000001</v>
      </c>
      <c r="CW81" s="3">
        <f>$H81*factors!CQ$3</f>
        <v>0.91625976283920008</v>
      </c>
      <c r="CX81" s="3">
        <f>$H81*factors!CR$3</f>
        <v>0.90241898092320005</v>
      </c>
      <c r="CY81" s="3">
        <f>$H81*factors!CS$3</f>
        <v>0.89411451177360002</v>
      </c>
      <c r="CZ81" s="3">
        <f>$H81*factors!CT$3</f>
        <v>0.88119644865199998</v>
      </c>
      <c r="DA81" s="3">
        <f>$H81*factors!CU$3</f>
        <v>0.91489914360000002</v>
      </c>
      <c r="DB81" s="3">
        <f>$H81*factors!CV$3</f>
        <v>0.97401570364800016</v>
      </c>
      <c r="DC81" s="3">
        <f>$H81*factors!CW$3</f>
        <v>0.932727947424</v>
      </c>
      <c r="DD81" s="3">
        <f>$H81*factors!CX$3</f>
        <v>0.92615944075200007</v>
      </c>
      <c r="DE81" s="3">
        <f>$H81*factors!CY$3</f>
        <v>0.95337182553600019</v>
      </c>
      <c r="DF81" s="3">
        <f>$H81*factors!CZ$3</f>
        <v>0.95149510934400006</v>
      </c>
      <c r="DG81" s="3">
        <f>$H81*factors!DA$3</f>
        <v>0.94774167696000011</v>
      </c>
      <c r="DH81" s="3">
        <f>$H81*factors!DB$3</f>
        <v>0.94774167696000011</v>
      </c>
      <c r="DI81" s="3">
        <f>$H81*factors!DC$3</f>
        <v>0.91208406931200003</v>
      </c>
      <c r="DJ81" s="3">
        <f>$H81*factors!DD$3</f>
        <v>0.96650883888000005</v>
      </c>
      <c r="DK81" s="3">
        <f>$H81*factors!DE$3</f>
        <v>0.96650883888000005</v>
      </c>
      <c r="DL81" s="3">
        <f>$H81*factors!DF$3</f>
        <v>0.95524854172800011</v>
      </c>
      <c r="DM81" s="3">
        <f>$H81*factors!DG$3</f>
        <v>0.89988541406399991</v>
      </c>
      <c r="DN81" s="3">
        <f>$H81*factors!DH$3</f>
        <v>0.94398824457600017</v>
      </c>
      <c r="DO81" s="3">
        <f>$H81*factors!DI$3</f>
        <v>0.97495406174400001</v>
      </c>
      <c r="DP81" s="3">
        <f>$H81*factors!DJ$3</f>
        <v>0.96650883888000005</v>
      </c>
      <c r="DQ81" s="3">
        <f>$H81*factors!DK$3</f>
        <v>0.92146765027200006</v>
      </c>
      <c r="DR81" s="3">
        <f>$H81*factors!DL$3</f>
        <v>0.91114571121600008</v>
      </c>
      <c r="DS81" s="3">
        <f>$H81*factors!DM$3</f>
        <v>0.98433764270400004</v>
      </c>
      <c r="DT81" s="3">
        <f>$H81*factors!DN$3</f>
        <v>0.92522108265600012</v>
      </c>
      <c r="DU81" s="3">
        <f>$H81*factors!DO$3</f>
        <v>0.96838555507200008</v>
      </c>
      <c r="DV81" s="3">
        <f>$H81*factors!DP$3</f>
        <v>0.94586496076800008</v>
      </c>
      <c r="DW81" s="3">
        <f>$H81*factors!DQ$3</f>
        <v>0.90270048835200001</v>
      </c>
      <c r="DX81" s="3">
        <f>$H81*factors!DR$3</f>
        <v>0.95618689982400007</v>
      </c>
      <c r="DY81" s="3">
        <f>$H81*factors!DS$3</f>
        <v>0.90739227883200002</v>
      </c>
      <c r="DZ81" s="3">
        <f>$H81*factors!DT$3</f>
        <v>0.970262271264</v>
      </c>
      <c r="EA81" s="3">
        <f>$H81*factors!DU$3</f>
        <v>0.91396078550399995</v>
      </c>
      <c r="EB81" s="3">
        <f>$H81*factors!DV$3</f>
        <v>0.89144019120000006</v>
      </c>
      <c r="EC81" s="3">
        <f>$H81*factors!DW$3</f>
        <v>0.95900197411200006</v>
      </c>
      <c r="ED81" s="3">
        <f>$H81*factors!DX$3</f>
        <v>0.89988541406399991</v>
      </c>
      <c r="EE81" s="3">
        <f>$H81*factors!DY$3</f>
        <v>0.90739227883200002</v>
      </c>
      <c r="EF81" s="3">
        <f>$H81*factors!DZ$3</f>
        <v>0.98433764270400004</v>
      </c>
      <c r="EG81" s="3">
        <f>$H81*factors!EA$3</f>
        <v>0.91959093408000003</v>
      </c>
      <c r="EH81" s="3">
        <f>$H81*factors!EB$3</f>
        <v>0.92240600836800013</v>
      </c>
      <c r="EI81" s="3">
        <f>$H81*factors!EC$3</f>
        <v>0.9205292921760001</v>
      </c>
      <c r="EJ81" s="3">
        <f>$H81*factors!ED$3</f>
        <v>0.89707033977600015</v>
      </c>
      <c r="EK81" s="3">
        <f>$H81*factors!EE$3</f>
        <v>0.95900197411200006</v>
      </c>
      <c r="EL81" s="3">
        <f>$H81*factors!EF$3</f>
        <v>0.91208406931200003</v>
      </c>
      <c r="EM81" s="3">
        <f>$H81*factors!EG$3</f>
        <v>0.94868003505599996</v>
      </c>
      <c r="EN81" s="3">
        <f>$H81*factors!EH$3</f>
        <v>0.89144019120000006</v>
      </c>
      <c r="EO81" s="3">
        <f>$H81*factors!EI$3</f>
        <v>0.90457720454399992</v>
      </c>
      <c r="EP81" s="3">
        <f>$H81*factors!EJ$3</f>
        <v>0.95431018363200004</v>
      </c>
      <c r="EQ81" s="3">
        <f>$H81*factors!EK$3</f>
        <v>0.92803615694399999</v>
      </c>
      <c r="ER81" s="3">
        <f>$H81*factors!EL$3</f>
        <v>0.96650883888000005</v>
      </c>
      <c r="ES81" s="3">
        <f>$H81*factors!EM$3</f>
        <v>0.95431018363200004</v>
      </c>
      <c r="ET81" s="3">
        <f>$H81*factors!EN$3</f>
        <v>0.97589241984000008</v>
      </c>
      <c r="EU81" s="3">
        <f>$H81*factors!EO$3</f>
        <v>0.98527600080000011</v>
      </c>
      <c r="EV81" s="3">
        <f>$H81*factors!EP$3</f>
        <v>0.92334436646399998</v>
      </c>
      <c r="EW81" s="3">
        <f>$H81*factors!EQ$3</f>
        <v>1.01557714765</v>
      </c>
      <c r="EX81" s="3">
        <f>$H81*factors!ER$3</f>
        <v>1.0048251278000002</v>
      </c>
      <c r="EY81" s="3">
        <f>$H81*factors!ES$3</f>
        <v>1.0253517111499999</v>
      </c>
      <c r="EZ81" s="3">
        <f>$H81*factors!ET$3</f>
        <v>1.01557714765</v>
      </c>
      <c r="FA81" s="3">
        <f>$H81*factors!EU$3</f>
        <v>0.93347081425</v>
      </c>
      <c r="FB81" s="3">
        <f>$H81*factors!EV$3</f>
        <v>0.97550143730000016</v>
      </c>
      <c r="FC81" s="3">
        <f>$H81*factors!EW$3</f>
        <v>1.0028702151000002</v>
      </c>
      <c r="FD81" s="3">
        <f>$H81*factors!EX$3</f>
        <v>0.96768178650000014</v>
      </c>
      <c r="FE81" s="3">
        <f>$H81*factors!EY$3</f>
        <v>1.01948697305</v>
      </c>
      <c r="FF81" s="3">
        <f>$H81*factors!EZ$3</f>
        <v>1.0204644294000003</v>
      </c>
      <c r="FG81" s="3">
        <f>$H81*factors!FA$3</f>
        <v>0.93347081425</v>
      </c>
      <c r="FH81" s="3">
        <f>$H81*factors!FB$3</f>
        <v>0.98234363175000006</v>
      </c>
      <c r="FI81" s="3">
        <f>$H81*factors!FC$3</f>
        <v>1.0233967984500001</v>
      </c>
      <c r="FJ81" s="3">
        <f>$H81*factors!FD$3</f>
        <v>0.98234363175000006</v>
      </c>
      <c r="FK81" s="3">
        <f>$H81*factors!FE$3</f>
        <v>0.99896038970000023</v>
      </c>
      <c r="FL81" s="3">
        <f>$H81*factors!FF$3</f>
        <v>1.0018927587500002</v>
      </c>
      <c r="FM81" s="3">
        <f>$H81*factors!FG$3</f>
        <v>1.0126447786000001</v>
      </c>
      <c r="FN81" s="3">
        <f>$H81*factors!FH$3</f>
        <v>0.94715520315000001</v>
      </c>
      <c r="FO81" s="3">
        <f>$H81*factors!FI$3</f>
        <v>1.00580258415</v>
      </c>
      <c r="FP81" s="3">
        <f>$H81*factors!FJ$3</f>
        <v>0.97745635000000008</v>
      </c>
      <c r="FQ81" s="3">
        <f>$H81*factors!FK$3</f>
        <v>0.96768178650000014</v>
      </c>
      <c r="FR81" s="3">
        <f>$H81*factors!FL$3</f>
        <v>0.98723091350000003</v>
      </c>
      <c r="FS81" s="3">
        <f>$H81*factors!FM$3</f>
        <v>0.98136617540000004</v>
      </c>
      <c r="FT81" s="3">
        <f>$H81*factors!FN$3</f>
        <v>1.0028702151000002</v>
      </c>
      <c r="FU81" s="3">
        <f>$H81*factors!FO$3</f>
        <v>0.96377196110000007</v>
      </c>
      <c r="FV81" s="3">
        <f>$H81*factors!FP$3</f>
        <v>0.95595231030000005</v>
      </c>
      <c r="FW81" s="3">
        <f>$H81*factors!FQ$3</f>
        <v>1.0233967984500001</v>
      </c>
      <c r="FX81" s="3">
        <f>$H81*factors!FR$3</f>
        <v>1.0048251278000002</v>
      </c>
      <c r="FY81" s="3">
        <f>$H81*factors!FS$3</f>
        <v>0.98429854444999998</v>
      </c>
      <c r="FZ81" s="3">
        <f>$H81*factors!FT$3</f>
        <v>0.93542572695000015</v>
      </c>
      <c r="GA81" s="3">
        <f>$H81*factors!FU$3</f>
        <v>0.98429854444999998</v>
      </c>
      <c r="GB81" s="3">
        <f>$H81*factors!FV$3</f>
        <v>1.0204644294000003</v>
      </c>
      <c r="GC81" s="3">
        <f>$H81*factors!FW$3</f>
        <v>0.95595231030000005</v>
      </c>
      <c r="GD81" s="3">
        <f>$H81*factors!FX$3</f>
        <v>0.97256906825</v>
      </c>
      <c r="GE81" s="3">
        <f>$H81*factors!FY$3</f>
        <v>0.97256906825</v>
      </c>
      <c r="GF81" s="3">
        <f>$H81*factors!FZ$3</f>
        <v>0.96963669920000006</v>
      </c>
      <c r="GG81" s="3">
        <f>$H81*factors!GA$3</f>
        <v>0.93151590155000008</v>
      </c>
      <c r="GH81" s="3">
        <f>$H81*factors!GB$3</f>
        <v>0.99114073890000021</v>
      </c>
      <c r="GI81" s="3">
        <f>$H81*factors!GC$3</f>
        <v>0.92956098885000005</v>
      </c>
      <c r="GJ81" s="3">
        <f>$H81*factors!GD$3</f>
        <v>0.93151590155000008</v>
      </c>
      <c r="GK81" s="3">
        <f>$H81*factors!GE$3</f>
        <v>0.95497485395000004</v>
      </c>
      <c r="GL81" s="3">
        <f>$H81*factors!GF$3</f>
        <v>1.0116673222500001</v>
      </c>
      <c r="GM81" s="3">
        <f>$H81*factors!GG$3</f>
        <v>0.95888467935000021</v>
      </c>
      <c r="GN81" s="3">
        <f>$H81*factors!GH$3</f>
        <v>0.98918582620000017</v>
      </c>
      <c r="GO81" s="3">
        <f>$H81*factors!GI$3</f>
        <v>0.93444827060000002</v>
      </c>
      <c r="GP81" s="3">
        <f>$H81*factors!GJ$3</f>
        <v>1.0018927587500002</v>
      </c>
      <c r="GQ81" s="3">
        <f>$H81*factors!GK$3</f>
        <v>1.0224193421000003</v>
      </c>
      <c r="GR81" s="3">
        <f>$H81*factors!GL$3</f>
        <v>1.0028702151000002</v>
      </c>
      <c r="GS81" s="3">
        <f>$H81*factors!GM$3</f>
        <v>0.94840634727800011</v>
      </c>
      <c r="GT81" s="3">
        <f>$H81*factors!GN$3</f>
        <v>0.97025445161320012</v>
      </c>
      <c r="GU81" s="3">
        <f>$H81*factors!GO$3</f>
        <v>0.99309565160000013</v>
      </c>
      <c r="GV81" s="3">
        <f>$H81*factors!GP$3</f>
        <v>0.95337182553600019</v>
      </c>
      <c r="GW81" s="3">
        <f>$H81*factors!GQ$3</f>
        <v>0.98713707769040016</v>
      </c>
      <c r="GX81" s="3">
        <f>$H81*factors!GR$3</f>
        <v>0.97124754726480012</v>
      </c>
      <c r="GY81" s="3">
        <f>$H81*factors!GS$3</f>
        <v>0.96628206900680014</v>
      </c>
      <c r="GZ81" s="3">
        <f>$H81*factors!GT$3</f>
        <v>1.0020335124644</v>
      </c>
      <c r="HA81" s="3">
        <f>$H81*factors!GU$3</f>
        <v>0.96926135596160012</v>
      </c>
      <c r="HB81" s="3">
        <f>$H81*factors!GV$3</f>
        <v>1.0020335124644</v>
      </c>
      <c r="HC81" s="3">
        <f>$H81*factors!GW$3</f>
        <v>0.97720612117440009</v>
      </c>
      <c r="HD81" s="3">
        <f>$H81*factors!GX$3</f>
        <v>1.0060058950708</v>
      </c>
      <c r="HE81" s="3">
        <f>$H81*factors!GY$3</f>
        <v>0.99309565160000013</v>
      </c>
      <c r="HF81" s="3">
        <f>$H81*factors!GZ$3</f>
        <v>1.0238816167996001</v>
      </c>
      <c r="HG81" s="3">
        <f>$H81*factors!HA$3</f>
        <v>0.98415779073560006</v>
      </c>
      <c r="HH81" s="3">
        <f>$H81*factors!HB$3</f>
        <v>0.97124754726480012</v>
      </c>
      <c r="HI81" s="3">
        <f>$H81*factors!HC$3</f>
        <v>0.95933039944560017</v>
      </c>
      <c r="HJ81" s="3">
        <f>$H81*factors!HD$3</f>
        <v>0.94840634727800011</v>
      </c>
      <c r="HK81" s="3">
        <f>$H81*factors!HE$3</f>
        <v>1.003026608116</v>
      </c>
      <c r="HL81" s="3">
        <f>$H81*factors!HF$3</f>
        <v>0.94542706032320001</v>
      </c>
      <c r="HM81" s="3">
        <f>$H81*factors!HG$3</f>
        <v>0.95535801683920019</v>
      </c>
      <c r="HN81" s="3">
        <f>$H81*factors!HH$3</f>
        <v>1.0189161385416001</v>
      </c>
      <c r="HO81" s="3">
        <f>$H81*factors!HI$3</f>
        <v>0.97720612117440009</v>
      </c>
      <c r="HP81" s="3">
        <f>$H81*factors!HJ$3</f>
        <v>1.0427504341800002</v>
      </c>
      <c r="HQ81" s="3">
        <f>$H81*factors!HK$3</f>
        <v>0.95337182553600019</v>
      </c>
      <c r="HR81" s="3">
        <f>$H81*factors!HL$3</f>
        <v>1.0109713733288002</v>
      </c>
      <c r="HS81" s="3">
        <f>$H81*factors!HM$3</f>
        <v>1.0288470950576001</v>
      </c>
      <c r="HT81" s="3">
        <f>$H81*factors!HN$3</f>
        <v>0.95933039944560017</v>
      </c>
      <c r="HU81" s="3">
        <f>$H81*factors!HO$3</f>
        <v>0.96926135596160012</v>
      </c>
      <c r="HV81" s="3">
        <f>$H81*factors!HP$3</f>
        <v>0.98117850378080018</v>
      </c>
      <c r="HW81" s="3">
        <f>$H81*factors!HQ$3</f>
        <v>0.99508184290320012</v>
      </c>
      <c r="HX81" s="3">
        <f>$H81*factors!HR$3</f>
        <v>1.0357987646188</v>
      </c>
      <c r="HY81" s="3">
        <f>$H81*factors!HS$3</f>
        <v>0.98415779073560006</v>
      </c>
      <c r="HZ81" s="3">
        <f>$H81*factors!HT$3</f>
        <v>1.0218954254964001</v>
      </c>
      <c r="IA81" s="3">
        <f>$H81*factors!HU$3</f>
        <v>0.97224064291640011</v>
      </c>
      <c r="IB81" s="3">
        <f>$H81*factors!HV$3</f>
        <v>1.0060058950708</v>
      </c>
      <c r="IC81" s="3">
        <f>$H81*factors!HW$3</f>
        <v>1.0159368515868001</v>
      </c>
      <c r="ID81" s="3">
        <f>$H81*factors!HX$3</f>
        <v>0.94344086902000002</v>
      </c>
      <c r="IE81" s="3">
        <f>$H81*factors!HY$3</f>
        <v>1.0020335124644</v>
      </c>
      <c r="IF81" s="3">
        <f>$H81*factors!HZ$3</f>
        <v>0.9960749385548</v>
      </c>
      <c r="IG81" s="3">
        <f>$H81*factors!IA$3</f>
        <v>0.98713707769040016</v>
      </c>
      <c r="IH81" s="3">
        <f>$H81*factors!IB$3</f>
        <v>1.0238816167996001</v>
      </c>
      <c r="II81" s="3">
        <f>$H81*factors!IC$3</f>
        <v>0.98018540812920008</v>
      </c>
      <c r="IJ81" s="3">
        <f>$H81*factors!ID$3</f>
        <v>0.98912326899360015</v>
      </c>
      <c r="IK81" s="3">
        <f>$H81*factors!IE$3</f>
        <v>1.0248747124512001</v>
      </c>
      <c r="IL81" s="3">
        <f>$H81*factors!IF$3</f>
        <v>0.98117850378080018</v>
      </c>
      <c r="IM81" s="3">
        <f>$H81*factors!IG$3</f>
        <v>0.97224064291640011</v>
      </c>
      <c r="IN81" s="3">
        <f>$H81*factors!IH$3</f>
        <v>0.97819921682600008</v>
      </c>
      <c r="IO81" s="3">
        <f>$H81*factors!II$3</f>
        <v>0.98813017334200004</v>
      </c>
      <c r="IP81" s="3">
        <f>$H81*factors!IJ$3</f>
        <v>0.95535801683920019</v>
      </c>
      <c r="IQ81" s="3">
        <f>$H81*factors!IK$3</f>
        <v>0.95237872988440009</v>
      </c>
      <c r="IR81" s="3">
        <f>$H81*factors!IL$3</f>
        <v>0.98018540812920008</v>
      </c>
      <c r="IS81" s="3">
        <f>$H81*factors!IM$3</f>
        <v>0.98813017334200004</v>
      </c>
      <c r="IT81" s="3">
        <f>$H81*factors!IN$3</f>
        <v>0.99508184290320012</v>
      </c>
      <c r="IU81" s="3">
        <f>$H81*factors!IO$3</f>
        <v>1.0169299472384001</v>
      </c>
      <c r="IV81" s="3">
        <f>$H81*factors!IP$3</f>
        <v>1.0298401907092001</v>
      </c>
      <c r="IW81" s="3">
        <f>$H81*factors!IQ$3</f>
        <v>0.97323373856800011</v>
      </c>
      <c r="IX81" s="3">
        <f>$H81*factors!IR$3</f>
        <v>1.0169299472384001</v>
      </c>
      <c r="IY81" s="3">
        <f>$H81*factors!IS$3</f>
        <v>1.0020335124644</v>
      </c>
      <c r="IZ81" s="3">
        <f>$H81*factors!IT$3</f>
        <v>1.0189161385416001</v>
      </c>
      <c r="JA81" s="3">
        <f>$H81*factors!IU$3</f>
        <v>0.96230968640040004</v>
      </c>
      <c r="JB81" s="3">
        <f>$H81*factors!IV$3</f>
        <v>0.98018540812920008</v>
      </c>
      <c r="JC81" s="3">
        <f>$H81*factors!IW$3</f>
        <v>0.95734420814240018</v>
      </c>
      <c r="JD81" s="3">
        <f>$H81*factors!IX$3</f>
        <v>1.0427504341800002</v>
      </c>
      <c r="JE81" s="3">
        <f>$H81*factors!IY$3</f>
        <v>0.96032349509720005</v>
      </c>
      <c r="JF81" s="3">
        <f>$H81*factors!IZ$3</f>
        <v>1.007992086374</v>
      </c>
      <c r="JG81" s="3">
        <f>$H81*factors!JA$3</f>
        <v>0.99011636464520003</v>
      </c>
      <c r="JH81" s="3">
        <f>$H81*factors!JB$3</f>
        <v>1.0089851820256002</v>
      </c>
      <c r="JI81" s="3">
        <f>$H81*factors!JC$3</f>
        <v>0.94443396467160012</v>
      </c>
      <c r="JJ81" s="3">
        <f>$H81*factors!JD$3</f>
        <v>1.0169299472384001</v>
      </c>
      <c r="JK81" s="3">
        <f>$H81*factors!JE$3</f>
        <v>0.98415779073560006</v>
      </c>
      <c r="JL81" s="3">
        <f>$H81*factors!JF$3</f>
        <v>1.0238816167996001</v>
      </c>
      <c r="JM81" s="3">
        <f>$H81*factors!JG$3</f>
        <v>0.95535801683920019</v>
      </c>
      <c r="JN81" s="3">
        <f>$H81*factors!JH$3</f>
        <v>0.95535801683920019</v>
      </c>
      <c r="JO81" s="3">
        <f>$H81*factors!JI$3</f>
        <v>0.94344086902000002</v>
      </c>
      <c r="JP81" s="3">
        <f>$H81*factors!JJ$3</f>
        <v>1.0199092341932001</v>
      </c>
      <c r="JQ81" s="3">
        <f>$H81*factors!JK$3</f>
        <v>0.99408874725160001</v>
      </c>
      <c r="JR81" s="3">
        <f>$H81*factors!JL$3</f>
        <v>1.0328194776640001</v>
      </c>
      <c r="JS81" s="3">
        <f>$H81*factors!JM$3</f>
        <v>0.94344086902000002</v>
      </c>
      <c r="JT81" s="3">
        <f>$H81*factors!JN$3</f>
        <v>0.99110946029680014</v>
      </c>
      <c r="JU81" s="3">
        <f>$H81*factors!JO$3</f>
        <v>0.95833730379400006</v>
      </c>
      <c r="JV81" s="3">
        <f>$H81*factors!JP$3</f>
        <v>0.9742268342196001</v>
      </c>
      <c r="JW81" s="3">
        <f>$H81*factors!JQ$3</f>
        <v>1.0407642428768002</v>
      </c>
      <c r="JX81" s="3">
        <f>$H81*factors!JR$3</f>
        <v>1.0308332863608001</v>
      </c>
      <c r="JY81" s="3">
        <f>$H81*factors!JS$3</f>
        <v>0.97025445161320012</v>
      </c>
      <c r="JZ81" s="3">
        <f>$H81*factors!JT$3</f>
        <v>0.98117850378080018</v>
      </c>
      <c r="KA81" s="3">
        <f>$H81*factors!JU$3</f>
        <v>0.98515088638720016</v>
      </c>
      <c r="KB81" s="3">
        <f>$H81*factors!JV$3</f>
        <v>0.95237872988440009</v>
      </c>
      <c r="KC81" s="3">
        <f>$H81*factors!JW$3</f>
        <v>0.95734420814240018</v>
      </c>
      <c r="KD81" s="3">
        <f>$H81*factors!JX$3</f>
        <v>0.95833730379400006</v>
      </c>
      <c r="KE81" s="3">
        <f>$H81*factors!JY$3</f>
        <v>1.0199092341932001</v>
      </c>
      <c r="KF81" s="3">
        <f>$H81*factors!JZ$3</f>
        <v>1.0318263820124001</v>
      </c>
      <c r="KG81" s="3">
        <f>$H81*factors!KA$3</f>
        <v>0.99508184290320012</v>
      </c>
      <c r="KH81" s="3">
        <f>$H81*factors!KB$3</f>
        <v>0.97323373856800011</v>
      </c>
      <c r="KI81" s="3">
        <f>$H81*factors!KC$3</f>
        <v>0.96429587770360004</v>
      </c>
    </row>
    <row r="82" spans="1:295" x14ac:dyDescent="0.55000000000000004">
      <c r="A82" t="s">
        <v>458</v>
      </c>
      <c r="B82">
        <v>81</v>
      </c>
      <c r="C82">
        <v>230</v>
      </c>
      <c r="D82" t="s">
        <v>377</v>
      </c>
      <c r="E82">
        <v>1.5035E-2</v>
      </c>
      <c r="F82">
        <v>81</v>
      </c>
      <c r="G82">
        <f>VLOOKUP(D82,demand_forecasted!$A$2:$G$11,2)</f>
        <v>11098</v>
      </c>
      <c r="H82" s="3">
        <f t="shared" si="1"/>
        <v>1.6685843</v>
      </c>
      <c r="I82" s="3">
        <f>$H82*factors!C$3</f>
        <v>1.8471228201000001</v>
      </c>
      <c r="J82" s="3">
        <f>$H82*factors!D$3</f>
        <v>1.780446191472</v>
      </c>
      <c r="K82" s="3">
        <f>$H82*factors!E$3</f>
        <v>1.7498109837240001</v>
      </c>
      <c r="L82" s="3">
        <f>$H82*factors!F$3</f>
        <v>1.7444047705920003</v>
      </c>
      <c r="M82" s="3">
        <f>$H82*factors!G$3</f>
        <v>1.742602699548</v>
      </c>
      <c r="N82" s="3">
        <f>$H82*factors!H$3</f>
        <v>1.79306068878</v>
      </c>
      <c r="O82" s="3">
        <f>$H82*factors!I$3</f>
        <v>1.8327062517479999</v>
      </c>
      <c r="P82" s="3">
        <f>$H82*factors!J$3</f>
        <v>1.8543311042760002</v>
      </c>
      <c r="Q82" s="3">
        <f>$H82*factors!K$3</f>
        <v>1.7408006285040001</v>
      </c>
      <c r="R82" s="3">
        <f>$H82*factors!L$3</f>
        <v>1.7119674918000001</v>
      </c>
      <c r="S82" s="3">
        <f>$H82*factors!M$3</f>
        <v>1.7822482625159999</v>
      </c>
      <c r="T82" s="3">
        <f>$H82*factors!N$3</f>
        <v>1.8435186780120001</v>
      </c>
      <c r="U82" s="3">
        <f>$H82*factors!O$3</f>
        <v>1.7462068416360002</v>
      </c>
      <c r="V82" s="3">
        <f>$H82*factors!P$3</f>
        <v>1.8164876123520002</v>
      </c>
      <c r="W82" s="3">
        <f>$H82*factors!Q$3</f>
        <v>1.8327062517479999</v>
      </c>
      <c r="X82" s="3">
        <f>$H82*factors!R$3</f>
        <v>1.7534151258120001</v>
      </c>
      <c r="Y82" s="3">
        <f>$H82*factors!S$3</f>
        <v>1.7371964864160001</v>
      </c>
      <c r="Z82" s="3">
        <f>$H82*factors!T$3</f>
        <v>1.8741538857600004</v>
      </c>
      <c r="AA82" s="3">
        <f>$H82*factors!U$3</f>
        <v>1.7696337652079999</v>
      </c>
      <c r="AB82" s="3">
        <f>$H82*factors!V$3</f>
        <v>1.7714358362520002</v>
      </c>
      <c r="AC82" s="3">
        <f>$H82*factors!W$3</f>
        <v>1.7732379072960003</v>
      </c>
      <c r="AD82" s="3">
        <f>$H82*factors!X$3</f>
        <v>1.7353944153720002</v>
      </c>
      <c r="AE82" s="3">
        <f>$H82*factors!Y$3</f>
        <v>1.7498109837240001</v>
      </c>
      <c r="AF82" s="3">
        <f>$H82*factors!Z$3</f>
        <v>1.7858524046040003</v>
      </c>
      <c r="AG82" s="3">
        <f>$H82*factors!AA$3</f>
        <v>1.7408006285040001</v>
      </c>
      <c r="AH82" s="3">
        <f>$H82*factors!AB$3</f>
        <v>1.7335923443280001</v>
      </c>
      <c r="AI82" s="3">
        <f>$H82*factors!AC$3</f>
        <v>1.789456546692</v>
      </c>
      <c r="AJ82" s="3">
        <f>$H82*factors!AD$3</f>
        <v>1.857935246364</v>
      </c>
      <c r="AK82" s="3">
        <f>$H82*factors!AE$3</f>
        <v>1.7876544756480002</v>
      </c>
      <c r="AL82" s="3">
        <f>$H82*factors!AF$3</f>
        <v>1.7173737049319999</v>
      </c>
      <c r="AM82" s="3">
        <f>$H82*factors!AG$3</f>
        <v>1.7660296231200001</v>
      </c>
      <c r="AN82" s="3">
        <f>$H82*factors!AH$3</f>
        <v>1.7371964864160001</v>
      </c>
      <c r="AO82" s="3">
        <f>$H82*factors!AI$3</f>
        <v>1.8200917544399999</v>
      </c>
      <c r="AP82" s="3">
        <f>$H82*factors!AJ$3</f>
        <v>1.7444047705920003</v>
      </c>
      <c r="AQ82" s="3">
        <f>$H82*factors!AK$3</f>
        <v>1.8002689729560002</v>
      </c>
      <c r="AR82" s="3">
        <f>$H82*factors!AL$3</f>
        <v>1.7606234099880003</v>
      </c>
      <c r="AS82" s="3">
        <f>$H82*factors!AM$3</f>
        <v>1.7173737049319999</v>
      </c>
      <c r="AT82" s="3">
        <f>$H82*factors!AN$3</f>
        <v>1.7714358362520002</v>
      </c>
      <c r="AU82" s="3">
        <f>$H82*factors!AO$3</f>
        <v>1.8759559568039998</v>
      </c>
      <c r="AV82" s="3">
        <f>$H82*factors!AP$3</f>
        <v>1.7732379072960003</v>
      </c>
      <c r="AW82" s="3">
        <f>$H82*factors!AQ$3</f>
        <v>1.755217196856</v>
      </c>
      <c r="AX82" s="3">
        <f>$H82*factors!AR$3</f>
        <v>1.8561331753200001</v>
      </c>
      <c r="AY82" s="3">
        <f>$H82*factors!AS$3</f>
        <v>1.7119674918000001</v>
      </c>
      <c r="AZ82" s="3">
        <f>$H82*factors!AT$3</f>
        <v>1.8345083227920003</v>
      </c>
      <c r="BA82" s="3">
        <f>$H82*factors!AU$3</f>
        <v>1.7948627598239999</v>
      </c>
      <c r="BB82" s="3">
        <f>$H82*factors!AV$3</f>
        <v>1.7714358362520002</v>
      </c>
      <c r="BC82" s="3">
        <f>$H82*factors!AW$3</f>
        <v>1.8741538857600004</v>
      </c>
      <c r="BD82" s="3">
        <f>$H82*factors!AX$3</f>
        <v>1.7299882022399999</v>
      </c>
      <c r="BE82" s="3">
        <f>$H82*factors!AY$3</f>
        <v>2.033904146642</v>
      </c>
      <c r="BF82" s="3">
        <f>$H82*factors!AZ$3</f>
        <v>1.8941101539879999</v>
      </c>
      <c r="BG82" s="3">
        <f>$H82*factors!BA$3</f>
        <v>1.9216751666239997</v>
      </c>
      <c r="BH82" s="3">
        <f>$H82*factors!BB$3</f>
        <v>1.9472712497859999</v>
      </c>
      <c r="BI82" s="3">
        <f>$H82*factors!BC$3</f>
        <v>2.0181527108499995</v>
      </c>
      <c r="BJ82" s="3">
        <f>$H82*factors!BD$3</f>
        <v>1.9275819550459998</v>
      </c>
      <c r="BK82" s="3">
        <f>$H82*factors!BE$3</f>
        <v>1.9315198139939997</v>
      </c>
      <c r="BL82" s="3">
        <f>$H82*factors!BF$3</f>
        <v>1.9098615897799998</v>
      </c>
      <c r="BM82" s="3">
        <f>$H82*factors!BG$3</f>
        <v>2.0398109350640001</v>
      </c>
      <c r="BN82" s="3">
        <f>$H82*factors!BH$3</f>
        <v>2.014214851902</v>
      </c>
      <c r="BO82" s="3">
        <f>$H82*factors!BI$3</f>
        <v>1.8941101539879999</v>
      </c>
      <c r="BP82" s="3">
        <f>$H82*factors!BJ$3</f>
        <v>1.8882033655659998</v>
      </c>
      <c r="BQ82" s="3">
        <f>$H82*factors!BK$3</f>
        <v>1.9197062371499998</v>
      </c>
      <c r="BR82" s="3">
        <f>$H82*factors!BL$3</f>
        <v>1.9886187687399999</v>
      </c>
      <c r="BS82" s="3">
        <f>$H82*factors!BM$3</f>
        <v>2.0201216403240001</v>
      </c>
      <c r="BT82" s="3">
        <f>$H82*factors!BN$3</f>
        <v>2.0260284287459998</v>
      </c>
      <c r="BU82" s="3">
        <f>$H82*factors!BO$3</f>
        <v>2.0595002298040002</v>
      </c>
      <c r="BV82" s="3">
        <f>$H82*factors!BP$3</f>
        <v>1.9157683782019999</v>
      </c>
      <c r="BW82" s="3">
        <f>$H82*factors!BQ$3</f>
        <v>1.9590848266299998</v>
      </c>
      <c r="BX82" s="3">
        <f>$H82*factors!BR$3</f>
        <v>1.9216751666239997</v>
      </c>
      <c r="BY82" s="3">
        <f>$H82*factors!BS$3</f>
        <v>2.0102769929539996</v>
      </c>
      <c r="BZ82" s="3">
        <f>$H82*factors!BT$3</f>
        <v>1.9728673329479998</v>
      </c>
      <c r="CA82" s="3">
        <f>$H82*factors!BU$3</f>
        <v>1.9472712497859999</v>
      </c>
      <c r="CB82" s="3">
        <f>$H82*factors!BV$3</f>
        <v>1.8842655066179999</v>
      </c>
      <c r="CC82" s="3">
        <f>$H82*factors!BW$3</f>
        <v>1.9393955318899998</v>
      </c>
      <c r="CD82" s="3">
        <f>$H82*factors!BX$3</f>
        <v>1.9453023203119999</v>
      </c>
      <c r="CE82" s="3">
        <f>$H82*factors!BY$3</f>
        <v>1.9728673329479998</v>
      </c>
      <c r="CF82" s="3">
        <f>$H82*factors!BZ$3</f>
        <v>1.9433333908380002</v>
      </c>
      <c r="CG82" s="3">
        <f>$H82*factors!CA$3</f>
        <v>1.8783587181959998</v>
      </c>
      <c r="CH82" s="3">
        <f>$H82*factors!CB$3</f>
        <v>1.8803276476699997</v>
      </c>
      <c r="CI82" s="3">
        <f>$H82*factors!CC$3</f>
        <v>1.8704830002999999</v>
      </c>
      <c r="CJ82" s="3">
        <f>$H82*factors!CD$3</f>
        <v>1.9472712497859999</v>
      </c>
      <c r="CK82" s="3">
        <f>$H82*factors!CE$3</f>
        <v>2.033904146642</v>
      </c>
      <c r="CL82" s="3">
        <f>$H82*factors!CF$3</f>
        <v>1.9059237308319998</v>
      </c>
      <c r="CM82" s="3">
        <f>$H82*factors!CG$3</f>
        <v>1.9512091087339998</v>
      </c>
      <c r="CN82" s="3">
        <f>$H82*factors!CH$3</f>
        <v>1.8862344360919998</v>
      </c>
      <c r="CO82" s="3">
        <f>$H82*factors!CI$3</f>
        <v>1.9000169424099997</v>
      </c>
      <c r="CP82" s="3">
        <f>$H82*factors!CJ$3</f>
        <v>1.9905876982139996</v>
      </c>
      <c r="CQ82" s="3">
        <f>$H82*factors!CK$3</f>
        <v>1.9315198139939997</v>
      </c>
      <c r="CR82" s="3">
        <f>$H82*factors!CL$3</f>
        <v>1.9925566276879998</v>
      </c>
      <c r="CS82" s="3">
        <f>$H82*factors!CM$3</f>
        <v>2.0555623708559998</v>
      </c>
      <c r="CT82" s="3">
        <f>$H82*factors!CN$3</f>
        <v>2.0319352171679999</v>
      </c>
      <c r="CU82" s="3">
        <f>$H82*factors!CO$3</f>
        <v>1.9866498392659997</v>
      </c>
      <c r="CV82" s="3">
        <f>$H82*factors!CP$3</f>
        <v>2.0673759477</v>
      </c>
      <c r="CW82" s="3">
        <f>$H82*factors!CQ$3</f>
        <v>1.9551469676820001</v>
      </c>
      <c r="CX82" s="3">
        <f>$H82*factors!CR$3</f>
        <v>1.9256130255719999</v>
      </c>
      <c r="CY82" s="3">
        <f>$H82*factors!CS$3</f>
        <v>1.9078926603059998</v>
      </c>
      <c r="CZ82" s="3">
        <f>$H82*factors!CT$3</f>
        <v>1.8803276476699997</v>
      </c>
      <c r="DA82" s="3">
        <f>$H82*factors!CU$3</f>
        <v>1.952243631</v>
      </c>
      <c r="DB82" s="3">
        <f>$H82*factors!CV$3</f>
        <v>2.0783886040800001</v>
      </c>
      <c r="DC82" s="3">
        <f>$H82*factors!CW$3</f>
        <v>1.9902873530399998</v>
      </c>
      <c r="DD82" s="3">
        <f>$H82*factors!CX$3</f>
        <v>1.9762712449199999</v>
      </c>
      <c r="DE82" s="3">
        <f>$H82*factors!CY$3</f>
        <v>2.03433797856</v>
      </c>
      <c r="DF82" s="3">
        <f>$H82*factors!CZ$3</f>
        <v>2.0303333762399998</v>
      </c>
      <c r="DG82" s="3">
        <f>$H82*factors!DA$3</f>
        <v>2.0223241715999998</v>
      </c>
      <c r="DH82" s="3">
        <f>$H82*factors!DB$3</f>
        <v>2.0223241715999998</v>
      </c>
      <c r="DI82" s="3">
        <f>$H82*factors!DC$3</f>
        <v>1.9462367275199999</v>
      </c>
      <c r="DJ82" s="3">
        <f>$H82*factors!DD$3</f>
        <v>2.0623701948000002</v>
      </c>
      <c r="DK82" s="3">
        <f>$H82*factors!DE$3</f>
        <v>2.0623701948000002</v>
      </c>
      <c r="DL82" s="3">
        <f>$H82*factors!DF$3</f>
        <v>2.0383425808800002</v>
      </c>
      <c r="DM82" s="3">
        <f>$H82*factors!DG$3</f>
        <v>1.9202068124399998</v>
      </c>
      <c r="DN82" s="3">
        <f>$H82*factors!DH$3</f>
        <v>2.0143149669600002</v>
      </c>
      <c r="DO82" s="3">
        <f>$H82*factors!DI$3</f>
        <v>2.0803909052399998</v>
      </c>
      <c r="DP82" s="3">
        <f>$H82*factors!DJ$3</f>
        <v>2.0623701948000002</v>
      </c>
      <c r="DQ82" s="3">
        <f>$H82*factors!DK$3</f>
        <v>1.9662597391199998</v>
      </c>
      <c r="DR82" s="3">
        <f>$H82*factors!DL$3</f>
        <v>1.94423442636</v>
      </c>
      <c r="DS82" s="3">
        <f>$H82*factors!DM$3</f>
        <v>2.10041391684</v>
      </c>
      <c r="DT82" s="3">
        <f>$H82*factors!DN$3</f>
        <v>1.9742689437600001</v>
      </c>
      <c r="DU82" s="3">
        <f>$H82*factors!DO$3</f>
        <v>2.0663747971199999</v>
      </c>
      <c r="DV82" s="3">
        <f>$H82*factors!DP$3</f>
        <v>2.01831956928</v>
      </c>
      <c r="DW82" s="3">
        <f>$H82*factors!DQ$3</f>
        <v>1.9262137159199999</v>
      </c>
      <c r="DX82" s="3">
        <f>$H82*factors!DR$3</f>
        <v>2.0403448820399999</v>
      </c>
      <c r="DY82" s="3">
        <f>$H82*factors!DS$3</f>
        <v>1.9362252217199998</v>
      </c>
      <c r="DZ82" s="3">
        <f>$H82*factors!DT$3</f>
        <v>2.0703793994399997</v>
      </c>
      <c r="EA82" s="3">
        <f>$H82*factors!DU$3</f>
        <v>1.9502413298399996</v>
      </c>
      <c r="EB82" s="3">
        <f>$H82*factors!DV$3</f>
        <v>1.9021861019999999</v>
      </c>
      <c r="EC82" s="3">
        <f>$H82*factors!DW$3</f>
        <v>2.0463517855199997</v>
      </c>
      <c r="ED82" s="3">
        <f>$H82*factors!DX$3</f>
        <v>1.9202068124399998</v>
      </c>
      <c r="EE82" s="3">
        <f>$H82*factors!DY$3</f>
        <v>1.9362252217199998</v>
      </c>
      <c r="EF82" s="3">
        <f>$H82*factors!DZ$3</f>
        <v>2.10041391684</v>
      </c>
      <c r="EG82" s="3">
        <f>$H82*factors!EA$3</f>
        <v>1.9622551367999999</v>
      </c>
      <c r="EH82" s="3">
        <f>$H82*factors!EB$3</f>
        <v>1.96826204028</v>
      </c>
      <c r="EI82" s="3">
        <f>$H82*factors!EC$3</f>
        <v>1.96425743796</v>
      </c>
      <c r="EJ82" s="3">
        <f>$H82*factors!ED$3</f>
        <v>1.9141999089599999</v>
      </c>
      <c r="EK82" s="3">
        <f>$H82*factors!EE$3</f>
        <v>2.0463517855199997</v>
      </c>
      <c r="EL82" s="3">
        <f>$H82*factors!EF$3</f>
        <v>1.9462367275199999</v>
      </c>
      <c r="EM82" s="3">
        <f>$H82*factors!EG$3</f>
        <v>2.0243264727599999</v>
      </c>
      <c r="EN82" s="3">
        <f>$H82*factors!EH$3</f>
        <v>1.9021861019999999</v>
      </c>
      <c r="EO82" s="3">
        <f>$H82*factors!EI$3</f>
        <v>1.9302183182399997</v>
      </c>
      <c r="EP82" s="3">
        <f>$H82*factors!EJ$3</f>
        <v>2.0363402797200001</v>
      </c>
      <c r="EQ82" s="3">
        <f>$H82*factors!EK$3</f>
        <v>1.9802758472399997</v>
      </c>
      <c r="ER82" s="3">
        <f>$H82*factors!EL$3</f>
        <v>2.0623701948000002</v>
      </c>
      <c r="ES82" s="3">
        <f>$H82*factors!EM$3</f>
        <v>2.0363402797200001</v>
      </c>
      <c r="ET82" s="3">
        <f>$H82*factors!EN$3</f>
        <v>2.0823932063999999</v>
      </c>
      <c r="EU82" s="3">
        <f>$H82*factors!EO$3</f>
        <v>2.1024162180000001</v>
      </c>
      <c r="EV82" s="3">
        <f>$H82*factors!EP$3</f>
        <v>1.9702643414399998</v>
      </c>
      <c r="EW82" s="3">
        <f>$H82*factors!EQ$3</f>
        <v>2.1670738596249999</v>
      </c>
      <c r="EX82" s="3">
        <f>$H82*factors!ER$3</f>
        <v>2.1441308255000004</v>
      </c>
      <c r="EY82" s="3">
        <f>$H82*factors!ES$3</f>
        <v>2.1879311633749996</v>
      </c>
      <c r="EZ82" s="3">
        <f>$H82*factors!ET$3</f>
        <v>2.1670738596249999</v>
      </c>
      <c r="FA82" s="3">
        <f>$H82*factors!EU$3</f>
        <v>1.9918725081249997</v>
      </c>
      <c r="FB82" s="3">
        <f>$H82*factors!EV$3</f>
        <v>2.0815589142499999</v>
      </c>
      <c r="FC82" s="3">
        <f>$H82*factors!EW$3</f>
        <v>2.1399593647500001</v>
      </c>
      <c r="FD82" s="3">
        <f>$H82*factors!EX$3</f>
        <v>2.0648730712500001</v>
      </c>
      <c r="FE82" s="3">
        <f>$H82*factors!EY$3</f>
        <v>2.175416781125</v>
      </c>
      <c r="FF82" s="3">
        <f>$H82*factors!EZ$3</f>
        <v>2.1775025115000002</v>
      </c>
      <c r="FG82" s="3">
        <f>$H82*factors!FA$3</f>
        <v>1.9918725081249997</v>
      </c>
      <c r="FH82" s="3">
        <f>$H82*factors!FB$3</f>
        <v>2.0961590268749997</v>
      </c>
      <c r="FI82" s="3">
        <f>$H82*factors!FC$3</f>
        <v>2.1837597026249997</v>
      </c>
      <c r="FJ82" s="3">
        <f>$H82*factors!FD$3</f>
        <v>2.0961590268749997</v>
      </c>
      <c r="FK82" s="3">
        <f>$H82*factors!FE$3</f>
        <v>2.13161644325</v>
      </c>
      <c r="FL82" s="3">
        <f>$H82*factors!FF$3</f>
        <v>2.137873634375</v>
      </c>
      <c r="FM82" s="3">
        <f>$H82*factors!FG$3</f>
        <v>2.1608166684999999</v>
      </c>
      <c r="FN82" s="3">
        <f>$H82*factors!FH$3</f>
        <v>2.021072733375</v>
      </c>
      <c r="FO82" s="3">
        <f>$H82*factors!FI$3</f>
        <v>2.1462165558749997</v>
      </c>
      <c r="FP82" s="3">
        <f>$H82*factors!FJ$3</f>
        <v>2.0857303749999998</v>
      </c>
      <c r="FQ82" s="3">
        <f>$H82*factors!FK$3</f>
        <v>2.0648730712500001</v>
      </c>
      <c r="FR82" s="3">
        <f>$H82*factors!FL$3</f>
        <v>2.10658767875</v>
      </c>
      <c r="FS82" s="3">
        <f>$H82*factors!FM$3</f>
        <v>2.0940732965</v>
      </c>
      <c r="FT82" s="3">
        <f>$H82*factors!FN$3</f>
        <v>2.1399593647500001</v>
      </c>
      <c r="FU82" s="3">
        <f>$H82*factors!FO$3</f>
        <v>2.0565301497499999</v>
      </c>
      <c r="FV82" s="3">
        <f>$H82*factors!FP$3</f>
        <v>2.0398443067500001</v>
      </c>
      <c r="FW82" s="3">
        <f>$H82*factors!FQ$3</f>
        <v>2.1837597026249997</v>
      </c>
      <c r="FX82" s="3">
        <f>$H82*factors!FR$3</f>
        <v>2.1441308255000004</v>
      </c>
      <c r="FY82" s="3">
        <f>$H82*factors!FS$3</f>
        <v>2.1003304876249995</v>
      </c>
      <c r="FZ82" s="3">
        <f>$H82*factors!FT$3</f>
        <v>1.996043968875</v>
      </c>
      <c r="GA82" s="3">
        <f>$H82*factors!FU$3</f>
        <v>2.1003304876249995</v>
      </c>
      <c r="GB82" s="3">
        <f>$H82*factors!FV$3</f>
        <v>2.1775025115000002</v>
      </c>
      <c r="GC82" s="3">
        <f>$H82*factors!FW$3</f>
        <v>2.0398443067500001</v>
      </c>
      <c r="GD82" s="3">
        <f>$H82*factors!FX$3</f>
        <v>2.0753017231249999</v>
      </c>
      <c r="GE82" s="3">
        <f>$H82*factors!FY$3</f>
        <v>2.0753017231249999</v>
      </c>
      <c r="GF82" s="3">
        <f>$H82*factors!FZ$3</f>
        <v>2.0690445319999999</v>
      </c>
      <c r="GG82" s="3">
        <f>$H82*factors!GA$3</f>
        <v>1.9877010473749999</v>
      </c>
      <c r="GH82" s="3">
        <f>$H82*factors!GB$3</f>
        <v>2.1149306002500001</v>
      </c>
      <c r="GI82" s="3">
        <f>$H82*factors!GC$3</f>
        <v>1.983529586625</v>
      </c>
      <c r="GJ82" s="3">
        <f>$H82*factors!GD$3</f>
        <v>1.9877010473749999</v>
      </c>
      <c r="GK82" s="3">
        <f>$H82*factors!GE$3</f>
        <v>2.0377585763749999</v>
      </c>
      <c r="GL82" s="3">
        <f>$H82*factors!GF$3</f>
        <v>2.1587309381250002</v>
      </c>
      <c r="GM82" s="3">
        <f>$H82*factors!GG$3</f>
        <v>2.0461014978750001</v>
      </c>
      <c r="GN82" s="3">
        <f>$H82*factors!GH$3</f>
        <v>2.1107591395000003</v>
      </c>
      <c r="GO82" s="3">
        <f>$H82*factors!GI$3</f>
        <v>1.9939582384999996</v>
      </c>
      <c r="GP82" s="3">
        <f>$H82*factors!GJ$3</f>
        <v>2.137873634375</v>
      </c>
      <c r="GQ82" s="3">
        <f>$H82*factors!GK$3</f>
        <v>2.18167397225</v>
      </c>
      <c r="GR82" s="3">
        <f>$H82*factors!GL$3</f>
        <v>2.1399593647500001</v>
      </c>
      <c r="GS82" s="3">
        <f>$H82*factors!GM$3</f>
        <v>2.023742468255</v>
      </c>
      <c r="GT82" s="3">
        <f>$H82*factors!GN$3</f>
        <v>2.070362713597</v>
      </c>
      <c r="GU82" s="3">
        <f>$H82*factors!GO$3</f>
        <v>2.119102061</v>
      </c>
      <c r="GV82" s="3">
        <f>$H82*factors!GP$3</f>
        <v>2.03433797856</v>
      </c>
      <c r="GW82" s="3">
        <f>$H82*factors!GQ$3</f>
        <v>2.106387448634</v>
      </c>
      <c r="GX82" s="3">
        <f>$H82*factors!GR$3</f>
        <v>2.072481815658</v>
      </c>
      <c r="GY82" s="3">
        <f>$H82*factors!GS$3</f>
        <v>2.0618863053530001</v>
      </c>
      <c r="GZ82" s="3">
        <f>$H82*factors!GT$3</f>
        <v>2.1381739795489998</v>
      </c>
      <c r="HA82" s="3">
        <f>$H82*factors!GU$3</f>
        <v>2.0682436115359999</v>
      </c>
      <c r="HB82" s="3">
        <f>$H82*factors!GV$3</f>
        <v>2.1381739795489998</v>
      </c>
      <c r="HC82" s="3">
        <f>$H82*factors!GW$3</f>
        <v>2.0851964280240001</v>
      </c>
      <c r="HD82" s="3">
        <f>$H82*factors!GX$3</f>
        <v>2.1466503877929997</v>
      </c>
      <c r="HE82" s="3">
        <f>$H82*factors!GY$3</f>
        <v>2.119102061</v>
      </c>
      <c r="HF82" s="3">
        <f>$H82*factors!GZ$3</f>
        <v>2.1847942248909997</v>
      </c>
      <c r="HG82" s="3">
        <f>$H82*factors!HA$3</f>
        <v>2.1000301424510002</v>
      </c>
      <c r="HH82" s="3">
        <f>$H82*factors!HB$3</f>
        <v>2.072481815658</v>
      </c>
      <c r="HI82" s="3">
        <f>$H82*factors!HC$3</f>
        <v>2.047052590926</v>
      </c>
      <c r="HJ82" s="3">
        <f>$H82*factors!HD$3</f>
        <v>2.023742468255</v>
      </c>
      <c r="HK82" s="3">
        <f>$H82*factors!HE$3</f>
        <v>2.1402930816099999</v>
      </c>
      <c r="HL82" s="3">
        <f>$H82*factors!HF$3</f>
        <v>2.0173851620719998</v>
      </c>
      <c r="HM82" s="3">
        <f>$H82*factors!HG$3</f>
        <v>2.0385761826820001</v>
      </c>
      <c r="HN82" s="3">
        <f>$H82*factors!HH$3</f>
        <v>2.1741987145860002</v>
      </c>
      <c r="HO82" s="3">
        <f>$H82*factors!HI$3</f>
        <v>2.0851964280240001</v>
      </c>
      <c r="HP82" s="3">
        <f>$H82*factors!HJ$3</f>
        <v>2.2250571640500003</v>
      </c>
      <c r="HQ82" s="3">
        <f>$H82*factors!HK$3</f>
        <v>2.03433797856</v>
      </c>
      <c r="HR82" s="3">
        <f>$H82*factors!HL$3</f>
        <v>2.157245898098</v>
      </c>
      <c r="HS82" s="3">
        <f>$H82*factors!HM$3</f>
        <v>2.1953897351960001</v>
      </c>
      <c r="HT82" s="3">
        <f>$H82*factors!HN$3</f>
        <v>2.047052590926</v>
      </c>
      <c r="HU82" s="3">
        <f>$H82*factors!HO$3</f>
        <v>2.0682436115359999</v>
      </c>
      <c r="HV82" s="3">
        <f>$H82*factors!HP$3</f>
        <v>2.0936728362680004</v>
      </c>
      <c r="HW82" s="3">
        <f>$H82*factors!HQ$3</f>
        <v>2.1233402651220001</v>
      </c>
      <c r="HX82" s="3">
        <f>$H82*factors!HR$3</f>
        <v>2.2102234496229998</v>
      </c>
      <c r="HY82" s="3">
        <f>$H82*factors!HS$3</f>
        <v>2.1000301424510002</v>
      </c>
      <c r="HZ82" s="3">
        <f>$H82*factors!HT$3</f>
        <v>2.180556020769</v>
      </c>
      <c r="IA82" s="3">
        <f>$H82*factors!HU$3</f>
        <v>2.0746009177190001</v>
      </c>
      <c r="IB82" s="3">
        <f>$H82*factors!HV$3</f>
        <v>2.1466503877929997</v>
      </c>
      <c r="IC82" s="3">
        <f>$H82*factors!HW$3</f>
        <v>2.167841408403</v>
      </c>
      <c r="ID82" s="3">
        <f>$H82*factors!HX$3</f>
        <v>2.0131469579499996</v>
      </c>
      <c r="IE82" s="3">
        <f>$H82*factors!HY$3</f>
        <v>2.1381739795489998</v>
      </c>
      <c r="IF82" s="3">
        <f>$H82*factors!HZ$3</f>
        <v>2.1254593671829998</v>
      </c>
      <c r="IG82" s="3">
        <f>$H82*factors!IA$3</f>
        <v>2.106387448634</v>
      </c>
      <c r="IH82" s="3">
        <f>$H82*factors!IB$3</f>
        <v>2.1847942248909997</v>
      </c>
      <c r="II82" s="3">
        <f>$H82*factors!IC$3</f>
        <v>2.0915537342069999</v>
      </c>
      <c r="IJ82" s="3">
        <f>$H82*factors!ID$3</f>
        <v>2.1106256527560001</v>
      </c>
      <c r="IK82" s="3">
        <f>$H82*factors!IE$3</f>
        <v>2.1869133269520002</v>
      </c>
      <c r="IL82" s="3">
        <f>$H82*factors!IF$3</f>
        <v>2.0936728362680004</v>
      </c>
      <c r="IM82" s="3">
        <f>$H82*factors!IG$3</f>
        <v>2.0746009177190001</v>
      </c>
      <c r="IN82" s="3">
        <f>$H82*factors!IH$3</f>
        <v>2.0873155300850001</v>
      </c>
      <c r="IO82" s="3">
        <f>$H82*factors!II$3</f>
        <v>2.108506550695</v>
      </c>
      <c r="IP82" s="3">
        <f>$H82*factors!IJ$3</f>
        <v>2.0385761826820001</v>
      </c>
      <c r="IQ82" s="3">
        <f>$H82*factors!IK$3</f>
        <v>2.0322188764989999</v>
      </c>
      <c r="IR82" s="3">
        <f>$H82*factors!IL$3</f>
        <v>2.0915537342069999</v>
      </c>
      <c r="IS82" s="3">
        <f>$H82*factors!IM$3</f>
        <v>2.108506550695</v>
      </c>
      <c r="IT82" s="3">
        <f>$H82*factors!IN$3</f>
        <v>2.1233402651220001</v>
      </c>
      <c r="IU82" s="3">
        <f>$H82*factors!IO$3</f>
        <v>2.1699605104640001</v>
      </c>
      <c r="IV82" s="3">
        <f>$H82*factors!IP$3</f>
        <v>2.1975088372569997</v>
      </c>
      <c r="IW82" s="3">
        <f>$H82*factors!IQ$3</f>
        <v>2.0767200197799998</v>
      </c>
      <c r="IX82" s="3">
        <f>$H82*factors!IR$3</f>
        <v>2.1699605104640001</v>
      </c>
      <c r="IY82" s="3">
        <f>$H82*factors!IS$3</f>
        <v>2.1381739795489998</v>
      </c>
      <c r="IZ82" s="3">
        <f>$H82*factors!IT$3</f>
        <v>2.1741987145860002</v>
      </c>
      <c r="JA82" s="3">
        <f>$H82*factors!IU$3</f>
        <v>2.0534098971089998</v>
      </c>
      <c r="JB82" s="3">
        <f>$H82*factors!IV$3</f>
        <v>2.0915537342069999</v>
      </c>
      <c r="JC82" s="3">
        <f>$H82*factors!IW$3</f>
        <v>2.0428143868040003</v>
      </c>
      <c r="JD82" s="3">
        <f>$H82*factors!IX$3</f>
        <v>2.2250571640500003</v>
      </c>
      <c r="JE82" s="3">
        <f>$H82*factors!IY$3</f>
        <v>2.0491716929870001</v>
      </c>
      <c r="JF82" s="3">
        <f>$H82*factors!IZ$3</f>
        <v>2.1508885919149998</v>
      </c>
      <c r="JG82" s="3">
        <f>$H82*factors!JA$3</f>
        <v>2.1127447548169997</v>
      </c>
      <c r="JH82" s="3">
        <f>$H82*factors!JB$3</f>
        <v>2.1530076939760003</v>
      </c>
      <c r="JI82" s="3">
        <f>$H82*factors!JC$3</f>
        <v>2.0152660600110002</v>
      </c>
      <c r="JJ82" s="3">
        <f>$H82*factors!JD$3</f>
        <v>2.1699605104640001</v>
      </c>
      <c r="JK82" s="3">
        <f>$H82*factors!JE$3</f>
        <v>2.1000301424510002</v>
      </c>
      <c r="JL82" s="3">
        <f>$H82*factors!JF$3</f>
        <v>2.1847942248909997</v>
      </c>
      <c r="JM82" s="3">
        <f>$H82*factors!JG$3</f>
        <v>2.0385761826820001</v>
      </c>
      <c r="JN82" s="3">
        <f>$H82*factors!JH$3</f>
        <v>2.0385761826820001</v>
      </c>
      <c r="JO82" s="3">
        <f>$H82*factors!JI$3</f>
        <v>2.0131469579499996</v>
      </c>
      <c r="JP82" s="3">
        <f>$H82*factors!JJ$3</f>
        <v>2.1763178166469999</v>
      </c>
      <c r="JQ82" s="3">
        <f>$H82*factors!JK$3</f>
        <v>2.1212211630610001</v>
      </c>
      <c r="JR82" s="3">
        <f>$H82*factors!JL$3</f>
        <v>2.20386614344</v>
      </c>
      <c r="JS82" s="3">
        <f>$H82*factors!JM$3</f>
        <v>2.0131469579499996</v>
      </c>
      <c r="JT82" s="3">
        <f>$H82*factors!JN$3</f>
        <v>2.1148638568780003</v>
      </c>
      <c r="JU82" s="3">
        <f>$H82*factors!JO$3</f>
        <v>2.0449334888649999</v>
      </c>
      <c r="JV82" s="3">
        <f>$H82*factors!JP$3</f>
        <v>2.0788391218410003</v>
      </c>
      <c r="JW82" s="3">
        <f>$H82*factors!JQ$3</f>
        <v>2.2208189599280002</v>
      </c>
      <c r="JX82" s="3">
        <f>$H82*factors!JR$3</f>
        <v>2.1996279393179998</v>
      </c>
      <c r="JY82" s="3">
        <f>$H82*factors!JS$3</f>
        <v>2.070362713597</v>
      </c>
      <c r="JZ82" s="3">
        <f>$H82*factors!JT$3</f>
        <v>2.0936728362680004</v>
      </c>
      <c r="KA82" s="3">
        <f>$H82*factors!JU$3</f>
        <v>2.1021492445120002</v>
      </c>
      <c r="KB82" s="3">
        <f>$H82*factors!JV$3</f>
        <v>2.0322188764989999</v>
      </c>
      <c r="KC82" s="3">
        <f>$H82*factors!JW$3</f>
        <v>2.0428143868040003</v>
      </c>
      <c r="KD82" s="3">
        <f>$H82*factors!JX$3</f>
        <v>2.0449334888649999</v>
      </c>
      <c r="KE82" s="3">
        <f>$H82*factors!JY$3</f>
        <v>2.1763178166469999</v>
      </c>
      <c r="KF82" s="3">
        <f>$H82*factors!JZ$3</f>
        <v>2.2017470413789999</v>
      </c>
      <c r="KG82" s="3">
        <f>$H82*factors!KA$3</f>
        <v>2.1233402651220001</v>
      </c>
      <c r="KH82" s="3">
        <f>$H82*factors!KB$3</f>
        <v>2.0767200197799998</v>
      </c>
      <c r="KI82" s="3">
        <f>$H82*factors!KC$3</f>
        <v>2.0576481012309999</v>
      </c>
    </row>
    <row r="83" spans="1:295" x14ac:dyDescent="0.55000000000000004">
      <c r="A83" t="s">
        <v>459</v>
      </c>
      <c r="B83">
        <v>82</v>
      </c>
      <c r="C83">
        <v>230</v>
      </c>
      <c r="D83" t="s">
        <v>377</v>
      </c>
      <c r="E83">
        <v>2.7490000000000001E-3</v>
      </c>
      <c r="F83">
        <v>82</v>
      </c>
      <c r="G83">
        <f>VLOOKUP(D83,demand_forecasted!$A$2:$G$11,2)</f>
        <v>11098</v>
      </c>
      <c r="H83" s="3">
        <f t="shared" si="1"/>
        <v>0.30508402000000001</v>
      </c>
      <c r="I83" s="3">
        <f>$H83*factors!C$3</f>
        <v>0.33772801014000003</v>
      </c>
      <c r="J83" s="3">
        <f>$H83*factors!D$3</f>
        <v>0.32553685270080002</v>
      </c>
      <c r="K83" s="3">
        <f>$H83*factors!E$3</f>
        <v>0.31993551009360005</v>
      </c>
      <c r="L83" s="3">
        <f>$H83*factors!F$3</f>
        <v>0.31894703786880008</v>
      </c>
      <c r="M83" s="3">
        <f>$H83*factors!G$3</f>
        <v>0.31861754712719997</v>
      </c>
      <c r="N83" s="3">
        <f>$H83*factors!H$3</f>
        <v>0.32784328789200001</v>
      </c>
      <c r="O83" s="3">
        <f>$H83*factors!I$3</f>
        <v>0.33509208420719999</v>
      </c>
      <c r="P83" s="3">
        <f>$H83*factors!J$3</f>
        <v>0.33904597310640006</v>
      </c>
      <c r="Q83" s="3">
        <f>$H83*factors!K$3</f>
        <v>0.31828805638559998</v>
      </c>
      <c r="R83" s="3">
        <f>$H83*factors!L$3</f>
        <v>0.31301620452000001</v>
      </c>
      <c r="S83" s="3">
        <f>$H83*factors!M$3</f>
        <v>0.32586634344240001</v>
      </c>
      <c r="T83" s="3">
        <f>$H83*factors!N$3</f>
        <v>0.33706902865680005</v>
      </c>
      <c r="U83" s="3">
        <f>$H83*factors!O$3</f>
        <v>0.31927652861040007</v>
      </c>
      <c r="V83" s="3">
        <f>$H83*factors!P$3</f>
        <v>0.33212666753280001</v>
      </c>
      <c r="W83" s="3">
        <f>$H83*factors!Q$3</f>
        <v>0.33509208420719999</v>
      </c>
      <c r="X83" s="3">
        <f>$H83*factors!R$3</f>
        <v>0.32059449157680003</v>
      </c>
      <c r="Y83" s="3">
        <f>$H83*factors!S$3</f>
        <v>0.3176290749024</v>
      </c>
      <c r="Z83" s="3">
        <f>$H83*factors!T$3</f>
        <v>0.34267037126400007</v>
      </c>
      <c r="AA83" s="3">
        <f>$H83*factors!U$3</f>
        <v>0.32355990825120001</v>
      </c>
      <c r="AB83" s="3">
        <f>$H83*factors!V$3</f>
        <v>0.32388939899280006</v>
      </c>
      <c r="AC83" s="3">
        <f>$H83*factors!W$3</f>
        <v>0.32421888973440005</v>
      </c>
      <c r="AD83" s="3">
        <f>$H83*factors!X$3</f>
        <v>0.31729958416080001</v>
      </c>
      <c r="AE83" s="3">
        <f>$H83*factors!Y$3</f>
        <v>0.31993551009360005</v>
      </c>
      <c r="AF83" s="3">
        <f>$H83*factors!Z$3</f>
        <v>0.32652532492560005</v>
      </c>
      <c r="AG83" s="3">
        <f>$H83*factors!AA$3</f>
        <v>0.31828805638559998</v>
      </c>
      <c r="AH83" s="3">
        <f>$H83*factors!AB$3</f>
        <v>0.31697009341920002</v>
      </c>
      <c r="AI83" s="3">
        <f>$H83*factors!AC$3</f>
        <v>0.32718430640880003</v>
      </c>
      <c r="AJ83" s="3">
        <f>$H83*factors!AD$3</f>
        <v>0.33970495458960004</v>
      </c>
      <c r="AK83" s="3">
        <f>$H83*factors!AE$3</f>
        <v>0.32685481566720004</v>
      </c>
      <c r="AL83" s="3">
        <f>$H83*factors!AF$3</f>
        <v>0.31400467674479998</v>
      </c>
      <c r="AM83" s="3">
        <f>$H83*factors!AG$3</f>
        <v>0.32290092676800003</v>
      </c>
      <c r="AN83" s="3">
        <f>$H83*factors!AH$3</f>
        <v>0.3176290749024</v>
      </c>
      <c r="AO83" s="3">
        <f>$H83*factors!AI$3</f>
        <v>0.332785649016</v>
      </c>
      <c r="AP83" s="3">
        <f>$H83*factors!AJ$3</f>
        <v>0.31894703786880008</v>
      </c>
      <c r="AQ83" s="3">
        <f>$H83*factors!AK$3</f>
        <v>0.32916125085840003</v>
      </c>
      <c r="AR83" s="3">
        <f>$H83*factors!AL$3</f>
        <v>0.32191245454320006</v>
      </c>
      <c r="AS83" s="3">
        <f>$H83*factors!AM$3</f>
        <v>0.31400467674479998</v>
      </c>
      <c r="AT83" s="3">
        <f>$H83*factors!AN$3</f>
        <v>0.32388939899280006</v>
      </c>
      <c r="AU83" s="3">
        <f>$H83*factors!AO$3</f>
        <v>0.34299986200560001</v>
      </c>
      <c r="AV83" s="3">
        <f>$H83*factors!AP$3</f>
        <v>0.32421888973440005</v>
      </c>
      <c r="AW83" s="3">
        <f>$H83*factors!AQ$3</f>
        <v>0.32092398231840003</v>
      </c>
      <c r="AX83" s="3">
        <f>$H83*factors!AR$3</f>
        <v>0.33937546384800005</v>
      </c>
      <c r="AY83" s="3">
        <f>$H83*factors!AS$3</f>
        <v>0.31301620452000001</v>
      </c>
      <c r="AZ83" s="3">
        <f>$H83*factors!AT$3</f>
        <v>0.33542157494880009</v>
      </c>
      <c r="BA83" s="3">
        <f>$H83*factors!AU$3</f>
        <v>0.3281727786336</v>
      </c>
      <c r="BB83" s="3">
        <f>$H83*factors!AV$3</f>
        <v>0.32388939899280006</v>
      </c>
      <c r="BC83" s="3">
        <f>$H83*factors!AW$3</f>
        <v>0.34267037126400007</v>
      </c>
      <c r="BD83" s="3">
        <f>$H83*factors!AX$3</f>
        <v>0.31631111193599998</v>
      </c>
      <c r="BE83" s="3">
        <f>$H83*factors!AY$3</f>
        <v>0.37187911533879997</v>
      </c>
      <c r="BF83" s="3">
        <f>$H83*factors!AZ$3</f>
        <v>0.34631917614320001</v>
      </c>
      <c r="BG83" s="3">
        <f>$H83*factors!BA$3</f>
        <v>0.35135916415359997</v>
      </c>
      <c r="BH83" s="3">
        <f>$H83*factors!BB$3</f>
        <v>0.35603915302040001</v>
      </c>
      <c r="BI83" s="3">
        <f>$H83*factors!BC$3</f>
        <v>0.36899912218999997</v>
      </c>
      <c r="BJ83" s="3">
        <f>$H83*factors!BD$3</f>
        <v>0.35243916158439997</v>
      </c>
      <c r="BK83" s="3">
        <f>$H83*factors!BE$3</f>
        <v>0.35315915987159996</v>
      </c>
      <c r="BL83" s="3">
        <f>$H83*factors!BF$3</f>
        <v>0.34919916929199996</v>
      </c>
      <c r="BM83" s="3">
        <f>$H83*factors!BG$3</f>
        <v>0.37295911276960003</v>
      </c>
      <c r="BN83" s="3">
        <f>$H83*factors!BH$3</f>
        <v>0.36827912390279999</v>
      </c>
      <c r="BO83" s="3">
        <f>$H83*factors!BI$3</f>
        <v>0.34631917614320001</v>
      </c>
      <c r="BP83" s="3">
        <f>$H83*factors!BJ$3</f>
        <v>0.34523917871239995</v>
      </c>
      <c r="BQ83" s="3">
        <f>$H83*factors!BK$3</f>
        <v>0.35099916500999995</v>
      </c>
      <c r="BR83" s="3">
        <f>$H83*factors!BL$3</f>
        <v>0.363599135036</v>
      </c>
      <c r="BS83" s="3">
        <f>$H83*factors!BM$3</f>
        <v>0.36935912133359999</v>
      </c>
      <c r="BT83" s="3">
        <f>$H83*factors!BN$3</f>
        <v>0.37043911876439994</v>
      </c>
      <c r="BU83" s="3">
        <f>$H83*factors!BO$3</f>
        <v>0.37655910420560001</v>
      </c>
      <c r="BV83" s="3">
        <f>$H83*factors!BP$3</f>
        <v>0.35027916672280002</v>
      </c>
      <c r="BW83" s="3">
        <f>$H83*factors!BQ$3</f>
        <v>0.35819914788199997</v>
      </c>
      <c r="BX83" s="3">
        <f>$H83*factors!BR$3</f>
        <v>0.35135916415359997</v>
      </c>
      <c r="BY83" s="3">
        <f>$H83*factors!BS$3</f>
        <v>0.36755912561559995</v>
      </c>
      <c r="BZ83" s="3">
        <f>$H83*factors!BT$3</f>
        <v>0.36071914188719995</v>
      </c>
      <c r="CA83" s="3">
        <f>$H83*factors!BU$3</f>
        <v>0.35603915302040001</v>
      </c>
      <c r="CB83" s="3">
        <f>$H83*factors!BV$3</f>
        <v>0.34451918042519997</v>
      </c>
      <c r="CC83" s="3">
        <f>$H83*factors!BW$3</f>
        <v>0.35459915644599999</v>
      </c>
      <c r="CD83" s="3">
        <f>$H83*factors!BX$3</f>
        <v>0.35567915387679999</v>
      </c>
      <c r="CE83" s="3">
        <f>$H83*factors!BY$3</f>
        <v>0.36071914188719995</v>
      </c>
      <c r="CF83" s="3">
        <f>$H83*factors!BZ$3</f>
        <v>0.35531915473320003</v>
      </c>
      <c r="CG83" s="3">
        <f>$H83*factors!CA$3</f>
        <v>0.34343918299439996</v>
      </c>
      <c r="CH83" s="3">
        <f>$H83*factors!CB$3</f>
        <v>0.34379918213799993</v>
      </c>
      <c r="CI83" s="3">
        <f>$H83*factors!CC$3</f>
        <v>0.34199918641999999</v>
      </c>
      <c r="CJ83" s="3">
        <f>$H83*factors!CD$3</f>
        <v>0.35603915302040001</v>
      </c>
      <c r="CK83" s="3">
        <f>$H83*factors!CE$3</f>
        <v>0.37187911533879997</v>
      </c>
      <c r="CL83" s="3">
        <f>$H83*factors!CF$3</f>
        <v>0.34847917100479997</v>
      </c>
      <c r="CM83" s="3">
        <f>$H83*factors!CG$3</f>
        <v>0.3567591513076</v>
      </c>
      <c r="CN83" s="3">
        <f>$H83*factors!CH$3</f>
        <v>0.34487917956879999</v>
      </c>
      <c r="CO83" s="3">
        <f>$H83*factors!CI$3</f>
        <v>0.34739917357399996</v>
      </c>
      <c r="CP83" s="3">
        <f>$H83*factors!CJ$3</f>
        <v>0.36395913417959991</v>
      </c>
      <c r="CQ83" s="3">
        <f>$H83*factors!CK$3</f>
        <v>0.35315915987159996</v>
      </c>
      <c r="CR83" s="3">
        <f>$H83*factors!CL$3</f>
        <v>0.36431913332319998</v>
      </c>
      <c r="CS83" s="3">
        <f>$H83*factors!CM$3</f>
        <v>0.37583910591839997</v>
      </c>
      <c r="CT83" s="3">
        <f>$H83*factors!CN$3</f>
        <v>0.37151911619520001</v>
      </c>
      <c r="CU83" s="3">
        <f>$H83*factors!CO$3</f>
        <v>0.36323913589239992</v>
      </c>
      <c r="CV83" s="3">
        <f>$H83*factors!CP$3</f>
        <v>0.37799910077999999</v>
      </c>
      <c r="CW83" s="3">
        <f>$H83*factors!CQ$3</f>
        <v>0.35747914959480004</v>
      </c>
      <c r="CX83" s="3">
        <f>$H83*factors!CR$3</f>
        <v>0.35207916244080001</v>
      </c>
      <c r="CY83" s="3">
        <f>$H83*factors!CS$3</f>
        <v>0.34883917014839999</v>
      </c>
      <c r="CZ83" s="3">
        <f>$H83*factors!CT$3</f>
        <v>0.34379918213799993</v>
      </c>
      <c r="DA83" s="3">
        <f>$H83*factors!CU$3</f>
        <v>0.3569483034</v>
      </c>
      <c r="DB83" s="3">
        <f>$H83*factors!CV$3</f>
        <v>0.38001265531200001</v>
      </c>
      <c r="DC83" s="3">
        <f>$H83*factors!CW$3</f>
        <v>0.36390421905599996</v>
      </c>
      <c r="DD83" s="3">
        <f>$H83*factors!CX$3</f>
        <v>0.36134151328799996</v>
      </c>
      <c r="DE83" s="3">
        <f>$H83*factors!CY$3</f>
        <v>0.37195843718400001</v>
      </c>
      <c r="DF83" s="3">
        <f>$H83*factors!CZ$3</f>
        <v>0.37122623553599998</v>
      </c>
      <c r="DG83" s="3">
        <f>$H83*factors!DA$3</f>
        <v>0.36976183223999998</v>
      </c>
      <c r="DH83" s="3">
        <f>$H83*factors!DB$3</f>
        <v>0.36976183223999998</v>
      </c>
      <c r="DI83" s="3">
        <f>$H83*factors!DC$3</f>
        <v>0.35585000092799995</v>
      </c>
      <c r="DJ83" s="3">
        <f>$H83*factors!DD$3</f>
        <v>0.37708384872</v>
      </c>
      <c r="DK83" s="3">
        <f>$H83*factors!DE$3</f>
        <v>0.37708384872</v>
      </c>
      <c r="DL83" s="3">
        <f>$H83*factors!DF$3</f>
        <v>0.37269063883200004</v>
      </c>
      <c r="DM83" s="3">
        <f>$H83*factors!DG$3</f>
        <v>0.35109069021599998</v>
      </c>
      <c r="DN83" s="3">
        <f>$H83*factors!DH$3</f>
        <v>0.36829742894400003</v>
      </c>
      <c r="DO83" s="3">
        <f>$H83*factors!DI$3</f>
        <v>0.38037875613599997</v>
      </c>
      <c r="DP83" s="3">
        <f>$H83*factors!DJ$3</f>
        <v>0.37708384872</v>
      </c>
      <c r="DQ83" s="3">
        <f>$H83*factors!DK$3</f>
        <v>0.359511009168</v>
      </c>
      <c r="DR83" s="3">
        <f>$H83*factors!DL$3</f>
        <v>0.35548390010399999</v>
      </c>
      <c r="DS83" s="3">
        <f>$H83*factors!DM$3</f>
        <v>0.38403976437600001</v>
      </c>
      <c r="DT83" s="3">
        <f>$H83*factors!DN$3</f>
        <v>0.360975412464</v>
      </c>
      <c r="DU83" s="3">
        <f>$H83*factors!DO$3</f>
        <v>0.37781605036799998</v>
      </c>
      <c r="DV83" s="3">
        <f>$H83*factors!DP$3</f>
        <v>0.369029630592</v>
      </c>
      <c r="DW83" s="3">
        <f>$H83*factors!DQ$3</f>
        <v>0.35218899268799997</v>
      </c>
      <c r="DX83" s="3">
        <f>$H83*factors!DR$3</f>
        <v>0.373056739656</v>
      </c>
      <c r="DY83" s="3">
        <f>$H83*factors!DS$3</f>
        <v>0.35401949680799999</v>
      </c>
      <c r="DZ83" s="3">
        <f>$H83*factors!DT$3</f>
        <v>0.37854825201600001</v>
      </c>
      <c r="EA83" s="3">
        <f>$H83*factors!DU$3</f>
        <v>0.35658220257599998</v>
      </c>
      <c r="EB83" s="3">
        <f>$H83*factors!DV$3</f>
        <v>0.34779578280000001</v>
      </c>
      <c r="EC83" s="3">
        <f>$H83*factors!DW$3</f>
        <v>0.37415504212799999</v>
      </c>
      <c r="ED83" s="3">
        <f>$H83*factors!DX$3</f>
        <v>0.35109069021599998</v>
      </c>
      <c r="EE83" s="3">
        <f>$H83*factors!DY$3</f>
        <v>0.35401949680799999</v>
      </c>
      <c r="EF83" s="3">
        <f>$H83*factors!DZ$3</f>
        <v>0.38403976437600001</v>
      </c>
      <c r="EG83" s="3">
        <f>$H83*factors!EA$3</f>
        <v>0.35877880752000002</v>
      </c>
      <c r="EH83" s="3">
        <f>$H83*factors!EB$3</f>
        <v>0.35987710999200001</v>
      </c>
      <c r="EI83" s="3">
        <f>$H83*factors!EC$3</f>
        <v>0.35914490834400004</v>
      </c>
      <c r="EJ83" s="3">
        <f>$H83*factors!ED$3</f>
        <v>0.34999238774399999</v>
      </c>
      <c r="EK83" s="3">
        <f>$H83*factors!EE$3</f>
        <v>0.37415504212799999</v>
      </c>
      <c r="EL83" s="3">
        <f>$H83*factors!EF$3</f>
        <v>0.35585000092799995</v>
      </c>
      <c r="EM83" s="3">
        <f>$H83*factors!EG$3</f>
        <v>0.37012793306399994</v>
      </c>
      <c r="EN83" s="3">
        <f>$H83*factors!EH$3</f>
        <v>0.34779578280000001</v>
      </c>
      <c r="EO83" s="3">
        <f>$H83*factors!EI$3</f>
        <v>0.35292119433599994</v>
      </c>
      <c r="EP83" s="3">
        <f>$H83*factors!EJ$3</f>
        <v>0.37232453800799997</v>
      </c>
      <c r="EQ83" s="3">
        <f>$H83*factors!EK$3</f>
        <v>0.36207371493599999</v>
      </c>
      <c r="ER83" s="3">
        <f>$H83*factors!EL$3</f>
        <v>0.37708384872</v>
      </c>
      <c r="ES83" s="3">
        <f>$H83*factors!EM$3</f>
        <v>0.37232453800799997</v>
      </c>
      <c r="ET83" s="3">
        <f>$H83*factors!EN$3</f>
        <v>0.38074485695999999</v>
      </c>
      <c r="EU83" s="3">
        <f>$H83*factors!EO$3</f>
        <v>0.38440586520000003</v>
      </c>
      <c r="EV83" s="3">
        <f>$H83*factors!EP$3</f>
        <v>0.36024321081599997</v>
      </c>
      <c r="EW83" s="3">
        <f>$H83*factors!EQ$3</f>
        <v>0.39622787097499995</v>
      </c>
      <c r="EX83" s="3">
        <f>$H83*factors!ER$3</f>
        <v>0.39203296570000007</v>
      </c>
      <c r="EY83" s="3">
        <f>$H83*factors!ES$3</f>
        <v>0.40004142122499997</v>
      </c>
      <c r="EZ83" s="3">
        <f>$H83*factors!ET$3</f>
        <v>0.39622787097499995</v>
      </c>
      <c r="FA83" s="3">
        <f>$H83*factors!EU$3</f>
        <v>0.36419404887499995</v>
      </c>
      <c r="FB83" s="3">
        <f>$H83*factors!EV$3</f>
        <v>0.38059231495000001</v>
      </c>
      <c r="FC83" s="3">
        <f>$H83*factors!EW$3</f>
        <v>0.39127025565000001</v>
      </c>
      <c r="FD83" s="3">
        <f>$H83*factors!EX$3</f>
        <v>0.37754147475000005</v>
      </c>
      <c r="FE83" s="3">
        <f>$H83*factors!EY$3</f>
        <v>0.39775329107500002</v>
      </c>
      <c r="FF83" s="3">
        <f>$H83*factors!EZ$3</f>
        <v>0.39813464610000004</v>
      </c>
      <c r="FG83" s="3">
        <f>$H83*factors!FA$3</f>
        <v>0.36419404887499995</v>
      </c>
      <c r="FH83" s="3">
        <f>$H83*factors!FB$3</f>
        <v>0.383261800125</v>
      </c>
      <c r="FI83" s="3">
        <f>$H83*factors!FC$3</f>
        <v>0.39927871117499997</v>
      </c>
      <c r="FJ83" s="3">
        <f>$H83*factors!FD$3</f>
        <v>0.383261800125</v>
      </c>
      <c r="FK83" s="3">
        <f>$H83*factors!FE$3</f>
        <v>0.38974483555000006</v>
      </c>
      <c r="FL83" s="3">
        <f>$H83*factors!FF$3</f>
        <v>0.39088890062500004</v>
      </c>
      <c r="FM83" s="3">
        <f>$H83*factors!FG$3</f>
        <v>0.39508380589999997</v>
      </c>
      <c r="FN83" s="3">
        <f>$H83*factors!FH$3</f>
        <v>0.36953301922499998</v>
      </c>
      <c r="FO83" s="3">
        <f>$H83*factors!FI$3</f>
        <v>0.39241432072499999</v>
      </c>
      <c r="FP83" s="3">
        <f>$H83*factors!FJ$3</f>
        <v>0.38135502500000001</v>
      </c>
      <c r="FQ83" s="3">
        <f>$H83*factors!FK$3</f>
        <v>0.37754147475000005</v>
      </c>
      <c r="FR83" s="3">
        <f>$H83*factors!FL$3</f>
        <v>0.38516857524999998</v>
      </c>
      <c r="FS83" s="3">
        <f>$H83*factors!FM$3</f>
        <v>0.38288044509999997</v>
      </c>
      <c r="FT83" s="3">
        <f>$H83*factors!FN$3</f>
        <v>0.39127025565000001</v>
      </c>
      <c r="FU83" s="3">
        <f>$H83*factors!FO$3</f>
        <v>0.37601605464999999</v>
      </c>
      <c r="FV83" s="3">
        <f>$H83*factors!FP$3</f>
        <v>0.37296521444999997</v>
      </c>
      <c r="FW83" s="3">
        <f>$H83*factors!FQ$3</f>
        <v>0.39927871117499997</v>
      </c>
      <c r="FX83" s="3">
        <f>$H83*factors!FR$3</f>
        <v>0.39203296570000007</v>
      </c>
      <c r="FY83" s="3">
        <f>$H83*factors!FS$3</f>
        <v>0.38402451017499994</v>
      </c>
      <c r="FZ83" s="3">
        <f>$H83*factors!FT$3</f>
        <v>0.36495675892500001</v>
      </c>
      <c r="GA83" s="3">
        <f>$H83*factors!FU$3</f>
        <v>0.38402451017499994</v>
      </c>
      <c r="GB83" s="3">
        <f>$H83*factors!FV$3</f>
        <v>0.39813464610000004</v>
      </c>
      <c r="GC83" s="3">
        <f>$H83*factors!FW$3</f>
        <v>0.37296521444999997</v>
      </c>
      <c r="GD83" s="3">
        <f>$H83*factors!FX$3</f>
        <v>0.37944824987499998</v>
      </c>
      <c r="GE83" s="3">
        <f>$H83*factors!FY$3</f>
        <v>0.37944824987499998</v>
      </c>
      <c r="GF83" s="3">
        <f>$H83*factors!FZ$3</f>
        <v>0.3783041848</v>
      </c>
      <c r="GG83" s="3">
        <f>$H83*factors!GA$3</f>
        <v>0.36343133882500001</v>
      </c>
      <c r="GH83" s="3">
        <f>$H83*factors!GB$3</f>
        <v>0.38669399535000004</v>
      </c>
      <c r="GI83" s="3">
        <f>$H83*factors!GC$3</f>
        <v>0.362668628775</v>
      </c>
      <c r="GJ83" s="3">
        <f>$H83*factors!GD$3</f>
        <v>0.36343133882500001</v>
      </c>
      <c r="GK83" s="3">
        <f>$H83*factors!GE$3</f>
        <v>0.372583859425</v>
      </c>
      <c r="GL83" s="3">
        <f>$H83*factors!GF$3</f>
        <v>0.394702450875</v>
      </c>
      <c r="GM83" s="3">
        <f>$H83*factors!GG$3</f>
        <v>0.37410927952500006</v>
      </c>
      <c r="GN83" s="3">
        <f>$H83*factors!GH$3</f>
        <v>0.38593128530000004</v>
      </c>
      <c r="GO83" s="3">
        <f>$H83*factors!GI$3</f>
        <v>0.36457540389999998</v>
      </c>
      <c r="GP83" s="3">
        <f>$H83*factors!GJ$3</f>
        <v>0.39088890062500004</v>
      </c>
      <c r="GQ83" s="3">
        <f>$H83*factors!GK$3</f>
        <v>0.39889735615000005</v>
      </c>
      <c r="GR83" s="3">
        <f>$H83*factors!GL$3</f>
        <v>0.39127025565000001</v>
      </c>
      <c r="GS83" s="3">
        <f>$H83*factors!GM$3</f>
        <v>0.370021153657</v>
      </c>
      <c r="GT83" s="3">
        <f>$H83*factors!GN$3</f>
        <v>0.37854520117580004</v>
      </c>
      <c r="GU83" s="3">
        <f>$H83*factors!GO$3</f>
        <v>0.38745670540000005</v>
      </c>
      <c r="GV83" s="3">
        <f>$H83*factors!GP$3</f>
        <v>0.37195843718400001</v>
      </c>
      <c r="GW83" s="3">
        <f>$H83*factors!GQ$3</f>
        <v>0.38513196516760001</v>
      </c>
      <c r="GX83" s="3">
        <f>$H83*factors!GR$3</f>
        <v>0.37893265788120001</v>
      </c>
      <c r="GY83" s="3">
        <f>$H83*factors!GS$3</f>
        <v>0.37699537435420005</v>
      </c>
      <c r="GZ83" s="3">
        <f>$H83*factors!GT$3</f>
        <v>0.39094381574859999</v>
      </c>
      <c r="HA83" s="3">
        <f>$H83*factors!GU$3</f>
        <v>0.37815774447040001</v>
      </c>
      <c r="HB83" s="3">
        <f>$H83*factors!GV$3</f>
        <v>0.39094381574859999</v>
      </c>
      <c r="HC83" s="3">
        <f>$H83*factors!GW$3</f>
        <v>0.38125739811359999</v>
      </c>
      <c r="HD83" s="3">
        <f>$H83*factors!GX$3</f>
        <v>0.39249364257019997</v>
      </c>
      <c r="HE83" s="3">
        <f>$H83*factors!GY$3</f>
        <v>0.38745670540000005</v>
      </c>
      <c r="HF83" s="3">
        <f>$H83*factors!GZ$3</f>
        <v>0.39946786326739997</v>
      </c>
      <c r="HG83" s="3">
        <f>$H83*factors!HA$3</f>
        <v>0.38396959505139999</v>
      </c>
      <c r="HH83" s="3">
        <f>$H83*factors!HB$3</f>
        <v>0.37893265788120001</v>
      </c>
      <c r="HI83" s="3">
        <f>$H83*factors!HC$3</f>
        <v>0.37428317741640005</v>
      </c>
      <c r="HJ83" s="3">
        <f>$H83*factors!HD$3</f>
        <v>0.370021153657</v>
      </c>
      <c r="HK83" s="3">
        <f>$H83*factors!HE$3</f>
        <v>0.39133127245400001</v>
      </c>
      <c r="HL83" s="3">
        <f>$H83*factors!HF$3</f>
        <v>0.36885878354079998</v>
      </c>
      <c r="HM83" s="3">
        <f>$H83*factors!HG$3</f>
        <v>0.37273335059480001</v>
      </c>
      <c r="HN83" s="3">
        <f>$H83*factors!HH$3</f>
        <v>0.39753057974040001</v>
      </c>
      <c r="HO83" s="3">
        <f>$H83*factors!HI$3</f>
        <v>0.38125739811359999</v>
      </c>
      <c r="HP83" s="3">
        <f>$H83*factors!HJ$3</f>
        <v>0.40682954067000004</v>
      </c>
      <c r="HQ83" s="3">
        <f>$H83*factors!HK$3</f>
        <v>0.37195843718400001</v>
      </c>
      <c r="HR83" s="3">
        <f>$H83*factors!HL$3</f>
        <v>0.39443092609720004</v>
      </c>
      <c r="HS83" s="3">
        <f>$H83*factors!HM$3</f>
        <v>0.40140514679440004</v>
      </c>
      <c r="HT83" s="3">
        <f>$H83*factors!HN$3</f>
        <v>0.37428317741640005</v>
      </c>
      <c r="HU83" s="3">
        <f>$H83*factors!HO$3</f>
        <v>0.37815774447040001</v>
      </c>
      <c r="HV83" s="3">
        <f>$H83*factors!HP$3</f>
        <v>0.38280722493520003</v>
      </c>
      <c r="HW83" s="3">
        <f>$H83*factors!HQ$3</f>
        <v>0.38823161881080004</v>
      </c>
      <c r="HX83" s="3">
        <f>$H83*factors!HR$3</f>
        <v>0.40411734373219999</v>
      </c>
      <c r="HY83" s="3">
        <f>$H83*factors!HS$3</f>
        <v>0.38396959505139999</v>
      </c>
      <c r="HZ83" s="3">
        <f>$H83*factors!HT$3</f>
        <v>0.39869294985659998</v>
      </c>
      <c r="IA83" s="3">
        <f>$H83*factors!HU$3</f>
        <v>0.37932011458660003</v>
      </c>
      <c r="IB83" s="3">
        <f>$H83*factors!HV$3</f>
        <v>0.39249364257019997</v>
      </c>
      <c r="IC83" s="3">
        <f>$H83*factors!HW$3</f>
        <v>0.3963682096242</v>
      </c>
      <c r="ID83" s="3">
        <f>$H83*factors!HX$3</f>
        <v>0.36808387012999999</v>
      </c>
      <c r="IE83" s="3">
        <f>$H83*factors!HY$3</f>
        <v>0.39094381574859999</v>
      </c>
      <c r="IF83" s="3">
        <f>$H83*factors!HZ$3</f>
        <v>0.38861907551619995</v>
      </c>
      <c r="IG83" s="3">
        <f>$H83*factors!IA$3</f>
        <v>0.38513196516760001</v>
      </c>
      <c r="IH83" s="3">
        <f>$H83*factors!IB$3</f>
        <v>0.39946786326739997</v>
      </c>
      <c r="II83" s="3">
        <f>$H83*factors!IC$3</f>
        <v>0.38241976822980001</v>
      </c>
      <c r="IJ83" s="3">
        <f>$H83*factors!ID$3</f>
        <v>0.3859068785784</v>
      </c>
      <c r="IK83" s="3">
        <f>$H83*factors!IE$3</f>
        <v>0.39985531997280005</v>
      </c>
      <c r="IL83" s="3">
        <f>$H83*factors!IF$3</f>
        <v>0.38280722493520003</v>
      </c>
      <c r="IM83" s="3">
        <f>$H83*factors!IG$3</f>
        <v>0.37932011458660003</v>
      </c>
      <c r="IN83" s="3">
        <f>$H83*factors!IH$3</f>
        <v>0.38164485481900001</v>
      </c>
      <c r="IO83" s="3">
        <f>$H83*factors!II$3</f>
        <v>0.38551942187299998</v>
      </c>
      <c r="IP83" s="3">
        <f>$H83*factors!IJ$3</f>
        <v>0.37273335059480001</v>
      </c>
      <c r="IQ83" s="3">
        <f>$H83*factors!IK$3</f>
        <v>0.37157098047859999</v>
      </c>
      <c r="IR83" s="3">
        <f>$H83*factors!IL$3</f>
        <v>0.38241976822980001</v>
      </c>
      <c r="IS83" s="3">
        <f>$H83*factors!IM$3</f>
        <v>0.38551942187299998</v>
      </c>
      <c r="IT83" s="3">
        <f>$H83*factors!IN$3</f>
        <v>0.38823161881080004</v>
      </c>
      <c r="IU83" s="3">
        <f>$H83*factors!IO$3</f>
        <v>0.39675566632960002</v>
      </c>
      <c r="IV83" s="3">
        <f>$H83*factors!IP$3</f>
        <v>0.40179260349980001</v>
      </c>
      <c r="IW83" s="3">
        <f>$H83*factors!IQ$3</f>
        <v>0.379707571292</v>
      </c>
      <c r="IX83" s="3">
        <f>$H83*factors!IR$3</f>
        <v>0.39675566632960002</v>
      </c>
      <c r="IY83" s="3">
        <f>$H83*factors!IS$3</f>
        <v>0.39094381574859999</v>
      </c>
      <c r="IZ83" s="3">
        <f>$H83*factors!IT$3</f>
        <v>0.39753057974040001</v>
      </c>
      <c r="JA83" s="3">
        <f>$H83*factors!IU$3</f>
        <v>0.37544554753259995</v>
      </c>
      <c r="JB83" s="3">
        <f>$H83*factors!IV$3</f>
        <v>0.38241976822980001</v>
      </c>
      <c r="JC83" s="3">
        <f>$H83*factors!IW$3</f>
        <v>0.3735082640056</v>
      </c>
      <c r="JD83" s="3">
        <f>$H83*factors!IX$3</f>
        <v>0.40682954067000004</v>
      </c>
      <c r="JE83" s="3">
        <f>$H83*factors!IY$3</f>
        <v>0.37467063412179996</v>
      </c>
      <c r="JF83" s="3">
        <f>$H83*factors!IZ$3</f>
        <v>0.39326855598099997</v>
      </c>
      <c r="JG83" s="3">
        <f>$H83*factors!JA$3</f>
        <v>0.38629433528379997</v>
      </c>
      <c r="JH83" s="3">
        <f>$H83*factors!JB$3</f>
        <v>0.39365601268640005</v>
      </c>
      <c r="JI83" s="3">
        <f>$H83*factors!JC$3</f>
        <v>0.36847132683540001</v>
      </c>
      <c r="JJ83" s="3">
        <f>$H83*factors!JD$3</f>
        <v>0.39675566632960002</v>
      </c>
      <c r="JK83" s="3">
        <f>$H83*factors!JE$3</f>
        <v>0.38396959505139999</v>
      </c>
      <c r="JL83" s="3">
        <f>$H83*factors!JF$3</f>
        <v>0.39946786326739997</v>
      </c>
      <c r="JM83" s="3">
        <f>$H83*factors!JG$3</f>
        <v>0.37273335059480001</v>
      </c>
      <c r="JN83" s="3">
        <f>$H83*factors!JH$3</f>
        <v>0.37273335059480001</v>
      </c>
      <c r="JO83" s="3">
        <f>$H83*factors!JI$3</f>
        <v>0.36808387012999999</v>
      </c>
      <c r="JP83" s="3">
        <f>$H83*factors!JJ$3</f>
        <v>0.39791803644579998</v>
      </c>
      <c r="JQ83" s="3">
        <f>$H83*factors!JK$3</f>
        <v>0.38784416210539996</v>
      </c>
      <c r="JR83" s="3">
        <f>$H83*factors!JL$3</f>
        <v>0.40295497361600002</v>
      </c>
      <c r="JS83" s="3">
        <f>$H83*factors!JM$3</f>
        <v>0.36808387012999999</v>
      </c>
      <c r="JT83" s="3">
        <f>$H83*factors!JN$3</f>
        <v>0.3866817919892</v>
      </c>
      <c r="JU83" s="3">
        <f>$H83*factors!JO$3</f>
        <v>0.37389572071099997</v>
      </c>
      <c r="JV83" s="3">
        <f>$H83*factors!JP$3</f>
        <v>0.38009502799740003</v>
      </c>
      <c r="JW83" s="3">
        <f>$H83*factors!JQ$3</f>
        <v>0.40605462725920005</v>
      </c>
      <c r="JX83" s="3">
        <f>$H83*factors!JR$3</f>
        <v>0.40218006020520003</v>
      </c>
      <c r="JY83" s="3">
        <f>$H83*factors!JS$3</f>
        <v>0.37854520117580004</v>
      </c>
      <c r="JZ83" s="3">
        <f>$H83*factors!JT$3</f>
        <v>0.38280722493520003</v>
      </c>
      <c r="KA83" s="3">
        <f>$H83*factors!JU$3</f>
        <v>0.38435705175680002</v>
      </c>
      <c r="KB83" s="3">
        <f>$H83*factors!JV$3</f>
        <v>0.37157098047859999</v>
      </c>
      <c r="KC83" s="3">
        <f>$H83*factors!JW$3</f>
        <v>0.3735082640056</v>
      </c>
      <c r="KD83" s="3">
        <f>$H83*factors!JX$3</f>
        <v>0.37389572071099997</v>
      </c>
      <c r="KE83" s="3">
        <f>$H83*factors!JY$3</f>
        <v>0.39791803644579998</v>
      </c>
      <c r="KF83" s="3">
        <f>$H83*factors!JZ$3</f>
        <v>0.4025675169106</v>
      </c>
      <c r="KG83" s="3">
        <f>$H83*factors!KA$3</f>
        <v>0.38823161881080004</v>
      </c>
      <c r="KH83" s="3">
        <f>$H83*factors!KB$3</f>
        <v>0.379707571292</v>
      </c>
      <c r="KI83" s="3">
        <f>$H83*factors!KC$3</f>
        <v>0.3762204609434</v>
      </c>
    </row>
    <row r="84" spans="1:295" x14ac:dyDescent="0.55000000000000004">
      <c r="A84" t="s">
        <v>460</v>
      </c>
      <c r="B84">
        <v>83</v>
      </c>
      <c r="C84">
        <v>230</v>
      </c>
      <c r="D84" t="s">
        <v>377</v>
      </c>
      <c r="E84">
        <v>3.3409999999999998E-3</v>
      </c>
      <c r="F84">
        <v>83</v>
      </c>
      <c r="G84">
        <f>VLOOKUP(D84,demand_forecasted!$A$2:$G$11,2)</f>
        <v>11098</v>
      </c>
      <c r="H84" s="3">
        <f t="shared" si="1"/>
        <v>0.37078418000000002</v>
      </c>
      <c r="I84" s="3">
        <f>$H84*factors!C$3</f>
        <v>0.41045808725999999</v>
      </c>
      <c r="J84" s="3">
        <f>$H84*factors!D$3</f>
        <v>0.39564155142720003</v>
      </c>
      <c r="K84" s="3">
        <f>$H84*factors!E$3</f>
        <v>0.38883395388240005</v>
      </c>
      <c r="L84" s="3">
        <f>$H84*factors!F$3</f>
        <v>0.38763261313920006</v>
      </c>
      <c r="M84" s="3">
        <f>$H84*factors!G$3</f>
        <v>0.3872321662248</v>
      </c>
      <c r="N84" s="3">
        <f>$H84*factors!H$3</f>
        <v>0.39844467982800003</v>
      </c>
      <c r="O84" s="3">
        <f>$H84*factors!I$3</f>
        <v>0.4072545119448</v>
      </c>
      <c r="P84" s="3">
        <f>$H84*factors!J$3</f>
        <v>0.41205987491760004</v>
      </c>
      <c r="Q84" s="3">
        <f>$H84*factors!K$3</f>
        <v>0.3868317193104</v>
      </c>
      <c r="R84" s="3">
        <f>$H84*factors!L$3</f>
        <v>0.38042456868000002</v>
      </c>
      <c r="S84" s="3">
        <f>$H84*factors!M$3</f>
        <v>0.39604199834160003</v>
      </c>
      <c r="T84" s="3">
        <f>$H84*factors!N$3</f>
        <v>0.40965719343120005</v>
      </c>
      <c r="U84" s="3">
        <f>$H84*factors!O$3</f>
        <v>0.38803306005360005</v>
      </c>
      <c r="V84" s="3">
        <f>$H84*factors!P$3</f>
        <v>0.40365048971520007</v>
      </c>
      <c r="W84" s="3">
        <f>$H84*factors!Q$3</f>
        <v>0.4072545119448</v>
      </c>
      <c r="X84" s="3">
        <f>$H84*factors!R$3</f>
        <v>0.38963484771119999</v>
      </c>
      <c r="Y84" s="3">
        <f>$H84*factors!S$3</f>
        <v>0.38603082548160006</v>
      </c>
      <c r="Z84" s="3">
        <f>$H84*factors!T$3</f>
        <v>0.41646479097600009</v>
      </c>
      <c r="AA84" s="3">
        <f>$H84*factors!U$3</f>
        <v>0.39323886994079998</v>
      </c>
      <c r="AB84" s="3">
        <f>$H84*factors!V$3</f>
        <v>0.39363931685520009</v>
      </c>
      <c r="AC84" s="3">
        <f>$H84*factors!W$3</f>
        <v>0.39403976376960004</v>
      </c>
      <c r="AD84" s="3">
        <f>$H84*factors!X$3</f>
        <v>0.38563037856720006</v>
      </c>
      <c r="AE84" s="3">
        <f>$H84*factors!Y$3</f>
        <v>0.38883395388240005</v>
      </c>
      <c r="AF84" s="3">
        <f>$H84*factors!Z$3</f>
        <v>0.39684289217040009</v>
      </c>
      <c r="AG84" s="3">
        <f>$H84*factors!AA$3</f>
        <v>0.3868317193104</v>
      </c>
      <c r="AH84" s="3">
        <f>$H84*factors!AB$3</f>
        <v>0.38522993165280006</v>
      </c>
      <c r="AI84" s="3">
        <f>$H84*factors!AC$3</f>
        <v>0.39764378599920003</v>
      </c>
      <c r="AJ84" s="3">
        <f>$H84*factors!AD$3</f>
        <v>0.41286076874640004</v>
      </c>
      <c r="AK84" s="3">
        <f>$H84*factors!AE$3</f>
        <v>0.39724333908480003</v>
      </c>
      <c r="AL84" s="3">
        <f>$H84*factors!AF$3</f>
        <v>0.38162590942320002</v>
      </c>
      <c r="AM84" s="3">
        <f>$H84*factors!AG$3</f>
        <v>0.39243797611200004</v>
      </c>
      <c r="AN84" s="3">
        <f>$H84*factors!AH$3</f>
        <v>0.38603082548160006</v>
      </c>
      <c r="AO84" s="3">
        <f>$H84*factors!AI$3</f>
        <v>0.40445138354400001</v>
      </c>
      <c r="AP84" s="3">
        <f>$H84*factors!AJ$3</f>
        <v>0.38763261313920006</v>
      </c>
      <c r="AQ84" s="3">
        <f>$H84*factors!AK$3</f>
        <v>0.40004646748560008</v>
      </c>
      <c r="AR84" s="3">
        <f>$H84*factors!AL$3</f>
        <v>0.39123663536880005</v>
      </c>
      <c r="AS84" s="3">
        <f>$H84*factors!AM$3</f>
        <v>0.38162590942320002</v>
      </c>
      <c r="AT84" s="3">
        <f>$H84*factors!AN$3</f>
        <v>0.39363931685520009</v>
      </c>
      <c r="AU84" s="3">
        <f>$H84*factors!AO$3</f>
        <v>0.41686523789039998</v>
      </c>
      <c r="AV84" s="3">
        <f>$H84*factors!AP$3</f>
        <v>0.39403976376960004</v>
      </c>
      <c r="AW84" s="3">
        <f>$H84*factors!AQ$3</f>
        <v>0.39003529462559999</v>
      </c>
      <c r="AX84" s="3">
        <f>$H84*factors!AR$3</f>
        <v>0.41246032183200004</v>
      </c>
      <c r="AY84" s="3">
        <f>$H84*factors!AS$3</f>
        <v>0.38042456868000002</v>
      </c>
      <c r="AZ84" s="3">
        <f>$H84*factors!AT$3</f>
        <v>0.40765495885920011</v>
      </c>
      <c r="BA84" s="3">
        <f>$H84*factors!AU$3</f>
        <v>0.39884512674240002</v>
      </c>
      <c r="BB84" s="3">
        <f>$H84*factors!AV$3</f>
        <v>0.39363931685520009</v>
      </c>
      <c r="BC84" s="3">
        <f>$H84*factors!AW$3</f>
        <v>0.41646479097600009</v>
      </c>
      <c r="BD84" s="3">
        <f>$H84*factors!AX$3</f>
        <v>0.38442903782400001</v>
      </c>
      <c r="BE84" s="3">
        <f>$H84*factors!AY$3</f>
        <v>0.45196366836919999</v>
      </c>
      <c r="BF84" s="3">
        <f>$H84*factors!AZ$3</f>
        <v>0.42089936976879999</v>
      </c>
      <c r="BG84" s="3">
        <f>$H84*factors!BA$3</f>
        <v>0.42702472442239997</v>
      </c>
      <c r="BH84" s="3">
        <f>$H84*factors!BB$3</f>
        <v>0.43271255374360001</v>
      </c>
      <c r="BI84" s="3">
        <f>$H84*factors!BC$3</f>
        <v>0.44846346570999995</v>
      </c>
      <c r="BJ84" s="3">
        <f>$H84*factors!BD$3</f>
        <v>0.4283373004196</v>
      </c>
      <c r="BK84" s="3">
        <f>$H84*factors!BE$3</f>
        <v>0.42921235108439998</v>
      </c>
      <c r="BL84" s="3">
        <f>$H84*factors!BF$3</f>
        <v>0.42439957242799997</v>
      </c>
      <c r="BM84" s="3">
        <f>$H84*factors!BG$3</f>
        <v>0.45327624436640002</v>
      </c>
      <c r="BN84" s="3">
        <f>$H84*factors!BH$3</f>
        <v>0.44758841504519997</v>
      </c>
      <c r="BO84" s="3">
        <f>$H84*factors!BI$3</f>
        <v>0.42089936976879999</v>
      </c>
      <c r="BP84" s="3">
        <f>$H84*factors!BJ$3</f>
        <v>0.41958679377159996</v>
      </c>
      <c r="BQ84" s="3">
        <f>$H84*factors!BK$3</f>
        <v>0.42658719908999998</v>
      </c>
      <c r="BR84" s="3">
        <f>$H84*factors!BL$3</f>
        <v>0.44190058572400004</v>
      </c>
      <c r="BS84" s="3">
        <f>$H84*factors!BM$3</f>
        <v>0.4489009910424</v>
      </c>
      <c r="BT84" s="3">
        <f>$H84*factors!BN$3</f>
        <v>0.45021356703959997</v>
      </c>
      <c r="BU84" s="3">
        <f>$H84*factors!BO$3</f>
        <v>0.45765149769040003</v>
      </c>
      <c r="BV84" s="3">
        <f>$H84*factors!BP$3</f>
        <v>0.4257121484252</v>
      </c>
      <c r="BW84" s="3">
        <f>$H84*factors!BQ$3</f>
        <v>0.43533770573800001</v>
      </c>
      <c r="BX84" s="3">
        <f>$H84*factors!BR$3</f>
        <v>0.42702472442239997</v>
      </c>
      <c r="BY84" s="3">
        <f>$H84*factors!BS$3</f>
        <v>0.44671336438039994</v>
      </c>
      <c r="BZ84" s="3">
        <f>$H84*factors!BT$3</f>
        <v>0.43840038306479995</v>
      </c>
      <c r="CA84" s="3">
        <f>$H84*factors!BU$3</f>
        <v>0.43271255374360001</v>
      </c>
      <c r="CB84" s="3">
        <f>$H84*factors!BV$3</f>
        <v>0.41871174310679998</v>
      </c>
      <c r="CC84" s="3">
        <f>$H84*factors!BW$3</f>
        <v>0.430962452414</v>
      </c>
      <c r="CD84" s="3">
        <f>$H84*factors!BX$3</f>
        <v>0.43227502841120002</v>
      </c>
      <c r="CE84" s="3">
        <f>$H84*factors!BY$3</f>
        <v>0.43840038306479995</v>
      </c>
      <c r="CF84" s="3">
        <f>$H84*factors!BZ$3</f>
        <v>0.43183750307880003</v>
      </c>
      <c r="CG84" s="3">
        <f>$H84*factors!CA$3</f>
        <v>0.41739916710959996</v>
      </c>
      <c r="CH84" s="3">
        <f>$H84*factors!CB$3</f>
        <v>0.41783669244199995</v>
      </c>
      <c r="CI84" s="3">
        <f>$H84*factors!CC$3</f>
        <v>0.41564906577999999</v>
      </c>
      <c r="CJ84" s="3">
        <f>$H84*factors!CD$3</f>
        <v>0.43271255374360001</v>
      </c>
      <c r="CK84" s="3">
        <f>$H84*factors!CE$3</f>
        <v>0.45196366836919999</v>
      </c>
      <c r="CL84" s="3">
        <f>$H84*factors!CF$3</f>
        <v>0.42352452176319999</v>
      </c>
      <c r="CM84" s="3">
        <f>$H84*factors!CG$3</f>
        <v>0.4335876044084</v>
      </c>
      <c r="CN84" s="3">
        <f>$H84*factors!CH$3</f>
        <v>0.41914926843919997</v>
      </c>
      <c r="CO84" s="3">
        <f>$H84*factors!CI$3</f>
        <v>0.42221194576599996</v>
      </c>
      <c r="CP84" s="3">
        <f>$H84*factors!CJ$3</f>
        <v>0.44233811105639992</v>
      </c>
      <c r="CQ84" s="3">
        <f>$H84*factors!CK$3</f>
        <v>0.42921235108439998</v>
      </c>
      <c r="CR84" s="3">
        <f>$H84*factors!CL$3</f>
        <v>0.44277563638879996</v>
      </c>
      <c r="CS84" s="3">
        <f>$H84*factors!CM$3</f>
        <v>0.4567764470256</v>
      </c>
      <c r="CT84" s="3">
        <f>$H84*factors!CN$3</f>
        <v>0.4515261430368</v>
      </c>
      <c r="CU84" s="3">
        <f>$H84*factors!CO$3</f>
        <v>0.44146306039159994</v>
      </c>
      <c r="CV84" s="3">
        <f>$H84*factors!CP$3</f>
        <v>0.45940159902</v>
      </c>
      <c r="CW84" s="3">
        <f>$H84*factors!CQ$3</f>
        <v>0.43446265507320003</v>
      </c>
      <c r="CX84" s="3">
        <f>$H84*factors!CR$3</f>
        <v>0.42789977508720001</v>
      </c>
      <c r="CY84" s="3">
        <f>$H84*factors!CS$3</f>
        <v>0.42396204709559998</v>
      </c>
      <c r="CZ84" s="3">
        <f>$H84*factors!CT$3</f>
        <v>0.41783669244199995</v>
      </c>
      <c r="DA84" s="3">
        <f>$H84*factors!CU$3</f>
        <v>0.43381749060000002</v>
      </c>
      <c r="DB84" s="3">
        <f>$H84*factors!CV$3</f>
        <v>0.46184877460800006</v>
      </c>
      <c r="DC84" s="3">
        <f>$H84*factors!CW$3</f>
        <v>0.44227136990399996</v>
      </c>
      <c r="DD84" s="3">
        <f>$H84*factors!CX$3</f>
        <v>0.43915678279199999</v>
      </c>
      <c r="DE84" s="3">
        <f>$H84*factors!CY$3</f>
        <v>0.45206007225600003</v>
      </c>
      <c r="DF84" s="3">
        <f>$H84*factors!CZ$3</f>
        <v>0.45117019022399996</v>
      </c>
      <c r="DG84" s="3">
        <f>$H84*factors!DA$3</f>
        <v>0.44939042616000002</v>
      </c>
      <c r="DH84" s="3">
        <f>$H84*factors!DB$3</f>
        <v>0.44939042616000002</v>
      </c>
      <c r="DI84" s="3">
        <f>$H84*factors!DC$3</f>
        <v>0.43248266755199999</v>
      </c>
      <c r="DJ84" s="3">
        <f>$H84*factors!DD$3</f>
        <v>0.45828924648000002</v>
      </c>
      <c r="DK84" s="3">
        <f>$H84*factors!DE$3</f>
        <v>0.45828924648000002</v>
      </c>
      <c r="DL84" s="3">
        <f>$H84*factors!DF$3</f>
        <v>0.45294995428800006</v>
      </c>
      <c r="DM84" s="3">
        <f>$H84*factors!DG$3</f>
        <v>0.42669843434399995</v>
      </c>
      <c r="DN84" s="3">
        <f>$H84*factors!DH$3</f>
        <v>0.44761066209600003</v>
      </c>
      <c r="DO84" s="3">
        <f>$H84*factors!DI$3</f>
        <v>0.46229371562400001</v>
      </c>
      <c r="DP84" s="3">
        <f>$H84*factors!DJ$3</f>
        <v>0.45828924648000002</v>
      </c>
      <c r="DQ84" s="3">
        <f>$H84*factors!DK$3</f>
        <v>0.43693207771199999</v>
      </c>
      <c r="DR84" s="3">
        <f>$H84*factors!DL$3</f>
        <v>0.43203772653600003</v>
      </c>
      <c r="DS84" s="3">
        <f>$H84*factors!DM$3</f>
        <v>0.46674312578400001</v>
      </c>
      <c r="DT84" s="3">
        <f>$H84*factors!DN$3</f>
        <v>0.43871184177600003</v>
      </c>
      <c r="DU84" s="3">
        <f>$H84*factors!DO$3</f>
        <v>0.45917912851199999</v>
      </c>
      <c r="DV84" s="3">
        <f>$H84*factors!DP$3</f>
        <v>0.448500544128</v>
      </c>
      <c r="DW84" s="3">
        <f>$H84*factors!DQ$3</f>
        <v>0.42803325739199999</v>
      </c>
      <c r="DX84" s="3">
        <f>$H84*factors!DR$3</f>
        <v>0.45339489530399996</v>
      </c>
      <c r="DY84" s="3">
        <f>$H84*factors!DS$3</f>
        <v>0.43025796247199999</v>
      </c>
      <c r="DZ84" s="3">
        <f>$H84*factors!DT$3</f>
        <v>0.46006901054400001</v>
      </c>
      <c r="EA84" s="3">
        <f>$H84*factors!DU$3</f>
        <v>0.43337254958399996</v>
      </c>
      <c r="EB84" s="3">
        <f>$H84*factors!DV$3</f>
        <v>0.42269396519999997</v>
      </c>
      <c r="EC84" s="3">
        <f>$H84*factors!DW$3</f>
        <v>0.45472971835199999</v>
      </c>
      <c r="ED84" s="3">
        <f>$H84*factors!DX$3</f>
        <v>0.42669843434399995</v>
      </c>
      <c r="EE84" s="3">
        <f>$H84*factors!DY$3</f>
        <v>0.43025796247199999</v>
      </c>
      <c r="EF84" s="3">
        <f>$H84*factors!DZ$3</f>
        <v>0.46674312578400001</v>
      </c>
      <c r="EG84" s="3">
        <f>$H84*factors!EA$3</f>
        <v>0.43604219568000002</v>
      </c>
      <c r="EH84" s="3">
        <f>$H84*factors!EB$3</f>
        <v>0.437377018728</v>
      </c>
      <c r="EI84" s="3">
        <f>$H84*factors!EC$3</f>
        <v>0.43648713669600003</v>
      </c>
      <c r="EJ84" s="3">
        <f>$H84*factors!ED$3</f>
        <v>0.42536361129600003</v>
      </c>
      <c r="EK84" s="3">
        <f>$H84*factors!EE$3</f>
        <v>0.45472971835199999</v>
      </c>
      <c r="EL84" s="3">
        <f>$H84*factors!EF$3</f>
        <v>0.43248266755199999</v>
      </c>
      <c r="EM84" s="3">
        <f>$H84*factors!EG$3</f>
        <v>0.44983536717599998</v>
      </c>
      <c r="EN84" s="3">
        <f>$H84*factors!EH$3</f>
        <v>0.42269396519999997</v>
      </c>
      <c r="EO84" s="3">
        <f>$H84*factors!EI$3</f>
        <v>0.42892313942399996</v>
      </c>
      <c r="EP84" s="3">
        <f>$H84*factors!EJ$3</f>
        <v>0.45250501327199999</v>
      </c>
      <c r="EQ84" s="3">
        <f>$H84*factors!EK$3</f>
        <v>0.44004666482399996</v>
      </c>
      <c r="ER84" s="3">
        <f>$H84*factors!EL$3</f>
        <v>0.45828924648000002</v>
      </c>
      <c r="ES84" s="3">
        <f>$H84*factors!EM$3</f>
        <v>0.45250501327199999</v>
      </c>
      <c r="ET84" s="3">
        <f>$H84*factors!EN$3</f>
        <v>0.46273865664000002</v>
      </c>
      <c r="EU84" s="3">
        <f>$H84*factors!EO$3</f>
        <v>0.46718806680000002</v>
      </c>
      <c r="EV84" s="3">
        <f>$H84*factors!EP$3</f>
        <v>0.43782195974399996</v>
      </c>
      <c r="EW84" s="3">
        <f>$H84*factors!EQ$3</f>
        <v>0.48155595377499999</v>
      </c>
      <c r="EX84" s="3">
        <f>$H84*factors!ER$3</f>
        <v>0.47645767130000005</v>
      </c>
      <c r="EY84" s="3">
        <f>$H84*factors!ES$3</f>
        <v>0.48619075602499995</v>
      </c>
      <c r="EZ84" s="3">
        <f>$H84*factors!ET$3</f>
        <v>0.48155595377499999</v>
      </c>
      <c r="FA84" s="3">
        <f>$H84*factors!EU$3</f>
        <v>0.44262361487499996</v>
      </c>
      <c r="FB84" s="3">
        <f>$H84*factors!EV$3</f>
        <v>0.46255326455000007</v>
      </c>
      <c r="FC84" s="3">
        <f>$H84*factors!EW$3</f>
        <v>0.47553071085000004</v>
      </c>
      <c r="FD84" s="3">
        <f>$H84*factors!EX$3</f>
        <v>0.45884542275000006</v>
      </c>
      <c r="FE84" s="3">
        <f>$H84*factors!EY$3</f>
        <v>0.48340987467500002</v>
      </c>
      <c r="FF84" s="3">
        <f>$H84*factors!EZ$3</f>
        <v>0.48387335490000011</v>
      </c>
      <c r="FG84" s="3">
        <f>$H84*factors!FA$3</f>
        <v>0.44262361487499996</v>
      </c>
      <c r="FH84" s="3">
        <f>$H84*factors!FB$3</f>
        <v>0.46579762612499997</v>
      </c>
      <c r="FI84" s="3">
        <f>$H84*factors!FC$3</f>
        <v>0.48526379557499999</v>
      </c>
      <c r="FJ84" s="3">
        <f>$H84*factors!FD$3</f>
        <v>0.46579762612499997</v>
      </c>
      <c r="FK84" s="3">
        <f>$H84*factors!FE$3</f>
        <v>0.47367678995000007</v>
      </c>
      <c r="FL84" s="3">
        <f>$H84*factors!FF$3</f>
        <v>0.475067230625</v>
      </c>
      <c r="FM84" s="3">
        <f>$H84*factors!FG$3</f>
        <v>0.4801655131</v>
      </c>
      <c r="FN84" s="3">
        <f>$H84*factors!FH$3</f>
        <v>0.449112338025</v>
      </c>
      <c r="FO84" s="3">
        <f>$H84*factors!FI$3</f>
        <v>0.47692115152499998</v>
      </c>
      <c r="FP84" s="3">
        <f>$H84*factors!FJ$3</f>
        <v>0.46348022500000002</v>
      </c>
      <c r="FQ84" s="3">
        <f>$H84*factors!FK$3</f>
        <v>0.45884542275000006</v>
      </c>
      <c r="FR84" s="3">
        <f>$H84*factors!FL$3</f>
        <v>0.46811502724999998</v>
      </c>
      <c r="FS84" s="3">
        <f>$H84*factors!FM$3</f>
        <v>0.4653341459</v>
      </c>
      <c r="FT84" s="3">
        <f>$H84*factors!FN$3</f>
        <v>0.47553071085000004</v>
      </c>
      <c r="FU84" s="3">
        <f>$H84*factors!FO$3</f>
        <v>0.45699150184999998</v>
      </c>
      <c r="FV84" s="3">
        <f>$H84*factors!FP$3</f>
        <v>0.45328366004999998</v>
      </c>
      <c r="FW84" s="3">
        <f>$H84*factors!FQ$3</f>
        <v>0.48526379557499999</v>
      </c>
      <c r="FX84" s="3">
        <f>$H84*factors!FR$3</f>
        <v>0.47645767130000005</v>
      </c>
      <c r="FY84" s="3">
        <f>$H84*factors!FS$3</f>
        <v>0.46672458657499993</v>
      </c>
      <c r="FZ84" s="3">
        <f>$H84*factors!FT$3</f>
        <v>0.44355057532500003</v>
      </c>
      <c r="GA84" s="3">
        <f>$H84*factors!FU$3</f>
        <v>0.46672458657499993</v>
      </c>
      <c r="GB84" s="3">
        <f>$H84*factors!FV$3</f>
        <v>0.48387335490000011</v>
      </c>
      <c r="GC84" s="3">
        <f>$H84*factors!FW$3</f>
        <v>0.45328366004999998</v>
      </c>
      <c r="GD84" s="3">
        <f>$H84*factors!FX$3</f>
        <v>0.46116282387500002</v>
      </c>
      <c r="GE84" s="3">
        <f>$H84*factors!FY$3</f>
        <v>0.46116282387500002</v>
      </c>
      <c r="GF84" s="3">
        <f>$H84*factors!FZ$3</f>
        <v>0.45977238320000002</v>
      </c>
      <c r="GG84" s="3">
        <f>$H84*factors!GA$3</f>
        <v>0.441696654425</v>
      </c>
      <c r="GH84" s="3">
        <f>$H84*factors!GB$3</f>
        <v>0.46996894815000007</v>
      </c>
      <c r="GI84" s="3">
        <f>$H84*factors!GC$3</f>
        <v>0.44076969397499999</v>
      </c>
      <c r="GJ84" s="3">
        <f>$H84*factors!GD$3</f>
        <v>0.441696654425</v>
      </c>
      <c r="GK84" s="3">
        <f>$H84*factors!GE$3</f>
        <v>0.452820179825</v>
      </c>
      <c r="GL84" s="3">
        <f>$H84*factors!GF$3</f>
        <v>0.47970203287500002</v>
      </c>
      <c r="GM84" s="3">
        <f>$H84*factors!GG$3</f>
        <v>0.45467410072500003</v>
      </c>
      <c r="GN84" s="3">
        <f>$H84*factors!GH$3</f>
        <v>0.46904198770000005</v>
      </c>
      <c r="GO84" s="3">
        <f>$H84*factors!GI$3</f>
        <v>0.44308709509999994</v>
      </c>
      <c r="GP84" s="3">
        <f>$H84*factors!GJ$3</f>
        <v>0.475067230625</v>
      </c>
      <c r="GQ84" s="3">
        <f>$H84*factors!GK$3</f>
        <v>0.48480031535000007</v>
      </c>
      <c r="GR84" s="3">
        <f>$H84*factors!GL$3</f>
        <v>0.47553071085000004</v>
      </c>
      <c r="GS84" s="3">
        <f>$H84*factors!GM$3</f>
        <v>0.44970559271300004</v>
      </c>
      <c r="GT84" s="3">
        <f>$H84*factors!GN$3</f>
        <v>0.46006530270220003</v>
      </c>
      <c r="GU84" s="3">
        <f>$H84*factors!GO$3</f>
        <v>0.47089590860000002</v>
      </c>
      <c r="GV84" s="3">
        <f>$H84*factors!GP$3</f>
        <v>0.45206007225600003</v>
      </c>
      <c r="GW84" s="3">
        <f>$H84*factors!GQ$3</f>
        <v>0.46807053314840003</v>
      </c>
      <c r="GX84" s="3">
        <f>$H84*factors!GR$3</f>
        <v>0.46053619861080003</v>
      </c>
      <c r="GY84" s="3">
        <f>$H84*factors!GS$3</f>
        <v>0.45818171906780003</v>
      </c>
      <c r="GZ84" s="3">
        <f>$H84*factors!GT$3</f>
        <v>0.47513397177739997</v>
      </c>
      <c r="HA84" s="3">
        <f>$H84*factors!GU$3</f>
        <v>0.45959440679360003</v>
      </c>
      <c r="HB84" s="3">
        <f>$H84*factors!GV$3</f>
        <v>0.47513397177739997</v>
      </c>
      <c r="HC84" s="3">
        <f>$H84*factors!GW$3</f>
        <v>0.46336157406239997</v>
      </c>
      <c r="HD84" s="3">
        <f>$H84*factors!GX$3</f>
        <v>0.47701755541179997</v>
      </c>
      <c r="HE84" s="3">
        <f>$H84*factors!GY$3</f>
        <v>0.47089590860000002</v>
      </c>
      <c r="HF84" s="3">
        <f>$H84*factors!GZ$3</f>
        <v>0.48549368176660002</v>
      </c>
      <c r="HG84" s="3">
        <f>$H84*factors!HA$3</f>
        <v>0.46665784542260003</v>
      </c>
      <c r="HH84" s="3">
        <f>$H84*factors!HB$3</f>
        <v>0.46053619861080003</v>
      </c>
      <c r="HI84" s="3">
        <f>$H84*factors!HC$3</f>
        <v>0.45488544770760003</v>
      </c>
      <c r="HJ84" s="3">
        <f>$H84*factors!HD$3</f>
        <v>0.44970559271300004</v>
      </c>
      <c r="HK84" s="3">
        <f>$H84*factors!HE$3</f>
        <v>0.47560486768600002</v>
      </c>
      <c r="HL84" s="3">
        <f>$H84*factors!HF$3</f>
        <v>0.44829290498719998</v>
      </c>
      <c r="HM84" s="3">
        <f>$H84*factors!HG$3</f>
        <v>0.45300186407320003</v>
      </c>
      <c r="HN84" s="3">
        <f>$H84*factors!HH$3</f>
        <v>0.48313920222360007</v>
      </c>
      <c r="HO84" s="3">
        <f>$H84*factors!HI$3</f>
        <v>0.46336157406239997</v>
      </c>
      <c r="HP84" s="3">
        <f>$H84*factors!HJ$3</f>
        <v>0.49444070403000007</v>
      </c>
      <c r="HQ84" s="3">
        <f>$H84*factors!HK$3</f>
        <v>0.45206007225600003</v>
      </c>
      <c r="HR84" s="3">
        <f>$H84*factors!HL$3</f>
        <v>0.47937203495480007</v>
      </c>
      <c r="HS84" s="3">
        <f>$H84*factors!HM$3</f>
        <v>0.48784816130960001</v>
      </c>
      <c r="HT84" s="3">
        <f>$H84*factors!HN$3</f>
        <v>0.45488544770760003</v>
      </c>
      <c r="HU84" s="3">
        <f>$H84*factors!HO$3</f>
        <v>0.45959440679360003</v>
      </c>
      <c r="HV84" s="3">
        <f>$H84*factors!HP$3</f>
        <v>0.46524515769680008</v>
      </c>
      <c r="HW84" s="3">
        <f>$H84*factors!HQ$3</f>
        <v>0.47183770041720002</v>
      </c>
      <c r="HX84" s="3">
        <f>$H84*factors!HR$3</f>
        <v>0.49114443266979996</v>
      </c>
      <c r="HY84" s="3">
        <f>$H84*factors!HS$3</f>
        <v>0.46665784542260003</v>
      </c>
      <c r="HZ84" s="3">
        <f>$H84*factors!HT$3</f>
        <v>0.48455188994940002</v>
      </c>
      <c r="IA84" s="3">
        <f>$H84*factors!HU$3</f>
        <v>0.46100709451940003</v>
      </c>
      <c r="IB84" s="3">
        <f>$H84*factors!HV$3</f>
        <v>0.47701755541179997</v>
      </c>
      <c r="IC84" s="3">
        <f>$H84*factors!HW$3</f>
        <v>0.48172651449780002</v>
      </c>
      <c r="ID84" s="3">
        <f>$H84*factors!HX$3</f>
        <v>0.44735111316999998</v>
      </c>
      <c r="IE84" s="3">
        <f>$H84*factors!HY$3</f>
        <v>0.47513397177739997</v>
      </c>
      <c r="IF84" s="3">
        <f>$H84*factors!HZ$3</f>
        <v>0.47230859632579997</v>
      </c>
      <c r="IG84" s="3">
        <f>$H84*factors!IA$3</f>
        <v>0.46807053314840003</v>
      </c>
      <c r="IH84" s="3">
        <f>$H84*factors!IB$3</f>
        <v>0.48549368176660002</v>
      </c>
      <c r="II84" s="3">
        <f>$H84*factors!IC$3</f>
        <v>0.46477426178820003</v>
      </c>
      <c r="IJ84" s="3">
        <f>$H84*factors!ID$3</f>
        <v>0.46901232496560002</v>
      </c>
      <c r="IK84" s="3">
        <f>$H84*factors!IE$3</f>
        <v>0.48596457767520002</v>
      </c>
      <c r="IL84" s="3">
        <f>$H84*factors!IF$3</f>
        <v>0.46524515769680008</v>
      </c>
      <c r="IM84" s="3">
        <f>$H84*factors!IG$3</f>
        <v>0.46100709451940003</v>
      </c>
      <c r="IN84" s="3">
        <f>$H84*factors!IH$3</f>
        <v>0.46383246997100003</v>
      </c>
      <c r="IO84" s="3">
        <f>$H84*factors!II$3</f>
        <v>0.46854142905700003</v>
      </c>
      <c r="IP84" s="3">
        <f>$H84*factors!IJ$3</f>
        <v>0.45300186407320003</v>
      </c>
      <c r="IQ84" s="3">
        <f>$H84*factors!IK$3</f>
        <v>0.45158917634740003</v>
      </c>
      <c r="IR84" s="3">
        <f>$H84*factors!IL$3</f>
        <v>0.46477426178820003</v>
      </c>
      <c r="IS84" s="3">
        <f>$H84*factors!IM$3</f>
        <v>0.46854142905700003</v>
      </c>
      <c r="IT84" s="3">
        <f>$H84*factors!IN$3</f>
        <v>0.47183770041720002</v>
      </c>
      <c r="IU84" s="3">
        <f>$H84*factors!IO$3</f>
        <v>0.48219741040640007</v>
      </c>
      <c r="IV84" s="3">
        <f>$H84*factors!IP$3</f>
        <v>0.48831905721819996</v>
      </c>
      <c r="IW84" s="3">
        <f>$H84*factors!IQ$3</f>
        <v>0.46147799042799997</v>
      </c>
      <c r="IX84" s="3">
        <f>$H84*factors!IR$3</f>
        <v>0.48219741040640007</v>
      </c>
      <c r="IY84" s="3">
        <f>$H84*factors!IS$3</f>
        <v>0.47513397177739997</v>
      </c>
      <c r="IZ84" s="3">
        <f>$H84*factors!IT$3</f>
        <v>0.48313920222360007</v>
      </c>
      <c r="JA84" s="3">
        <f>$H84*factors!IU$3</f>
        <v>0.45629813543339998</v>
      </c>
      <c r="JB84" s="3">
        <f>$H84*factors!IV$3</f>
        <v>0.46477426178820003</v>
      </c>
      <c r="JC84" s="3">
        <f>$H84*factors!IW$3</f>
        <v>0.45394365589040003</v>
      </c>
      <c r="JD84" s="3">
        <f>$H84*factors!IX$3</f>
        <v>0.49444070403000007</v>
      </c>
      <c r="JE84" s="3">
        <f>$H84*factors!IY$3</f>
        <v>0.45535634361619998</v>
      </c>
      <c r="JF84" s="3">
        <f>$H84*factors!IZ$3</f>
        <v>0.47795934722899996</v>
      </c>
      <c r="JG84" s="3">
        <f>$H84*factors!JA$3</f>
        <v>0.46948322087419997</v>
      </c>
      <c r="JH84" s="3">
        <f>$H84*factors!JB$3</f>
        <v>0.47843024313760008</v>
      </c>
      <c r="JI84" s="3">
        <f>$H84*factors!JC$3</f>
        <v>0.44782200907860004</v>
      </c>
      <c r="JJ84" s="3">
        <f>$H84*factors!JD$3</f>
        <v>0.48219741040640007</v>
      </c>
      <c r="JK84" s="3">
        <f>$H84*factors!JE$3</f>
        <v>0.46665784542260003</v>
      </c>
      <c r="JL84" s="3">
        <f>$H84*factors!JF$3</f>
        <v>0.48549368176660002</v>
      </c>
      <c r="JM84" s="3">
        <f>$H84*factors!JG$3</f>
        <v>0.45300186407320003</v>
      </c>
      <c r="JN84" s="3">
        <f>$H84*factors!JH$3</f>
        <v>0.45300186407320003</v>
      </c>
      <c r="JO84" s="3">
        <f>$H84*factors!JI$3</f>
        <v>0.44735111316999998</v>
      </c>
      <c r="JP84" s="3">
        <f>$H84*factors!JJ$3</f>
        <v>0.48361009813220002</v>
      </c>
      <c r="JQ84" s="3">
        <f>$H84*factors!JK$3</f>
        <v>0.47136680450859997</v>
      </c>
      <c r="JR84" s="3">
        <f>$H84*factors!JL$3</f>
        <v>0.48973174494400001</v>
      </c>
      <c r="JS84" s="3">
        <f>$H84*factors!JM$3</f>
        <v>0.44735111316999998</v>
      </c>
      <c r="JT84" s="3">
        <f>$H84*factors!JN$3</f>
        <v>0.46995411678280002</v>
      </c>
      <c r="JU84" s="3">
        <f>$H84*factors!JO$3</f>
        <v>0.45441455179899998</v>
      </c>
      <c r="JV84" s="3">
        <f>$H84*factors!JP$3</f>
        <v>0.46194888633660003</v>
      </c>
      <c r="JW84" s="3">
        <f>$H84*factors!JQ$3</f>
        <v>0.49349891221280007</v>
      </c>
      <c r="JX84" s="3">
        <f>$H84*factors!JR$3</f>
        <v>0.48878995312680001</v>
      </c>
      <c r="JY84" s="3">
        <f>$H84*factors!JS$3</f>
        <v>0.46006530270220003</v>
      </c>
      <c r="JZ84" s="3">
        <f>$H84*factors!JT$3</f>
        <v>0.46524515769680008</v>
      </c>
      <c r="KA84" s="3">
        <f>$H84*factors!JU$3</f>
        <v>0.46712874133120003</v>
      </c>
      <c r="KB84" s="3">
        <f>$H84*factors!JV$3</f>
        <v>0.45158917634740003</v>
      </c>
      <c r="KC84" s="3">
        <f>$H84*factors!JW$3</f>
        <v>0.45394365589040003</v>
      </c>
      <c r="KD84" s="3">
        <f>$H84*factors!JX$3</f>
        <v>0.45441455179899998</v>
      </c>
      <c r="KE84" s="3">
        <f>$H84*factors!JY$3</f>
        <v>0.48361009813220002</v>
      </c>
      <c r="KF84" s="3">
        <f>$H84*factors!JZ$3</f>
        <v>0.48926084903539996</v>
      </c>
      <c r="KG84" s="3">
        <f>$H84*factors!KA$3</f>
        <v>0.47183770041720002</v>
      </c>
      <c r="KH84" s="3">
        <f>$H84*factors!KB$3</f>
        <v>0.46147799042799997</v>
      </c>
      <c r="KI84" s="3">
        <f>$H84*factors!KC$3</f>
        <v>0.45723992725059998</v>
      </c>
    </row>
    <row r="85" spans="1:295" x14ac:dyDescent="0.55000000000000004">
      <c r="A85" t="s">
        <v>461</v>
      </c>
      <c r="B85">
        <v>84</v>
      </c>
      <c r="C85">
        <v>230</v>
      </c>
      <c r="D85" t="s">
        <v>377</v>
      </c>
      <c r="E85">
        <v>3.3409999999999998E-3</v>
      </c>
      <c r="F85">
        <v>84</v>
      </c>
      <c r="G85">
        <f>VLOOKUP(D85,demand_forecasted!$A$2:$G$11,2)</f>
        <v>11098</v>
      </c>
      <c r="H85" s="3">
        <f t="shared" si="1"/>
        <v>0.37078418000000002</v>
      </c>
      <c r="I85" s="3">
        <f>$H85*factors!C$3</f>
        <v>0.41045808725999999</v>
      </c>
      <c r="J85" s="3">
        <f>$H85*factors!D$3</f>
        <v>0.39564155142720003</v>
      </c>
      <c r="K85" s="3">
        <f>$H85*factors!E$3</f>
        <v>0.38883395388240005</v>
      </c>
      <c r="L85" s="3">
        <f>$H85*factors!F$3</f>
        <v>0.38763261313920006</v>
      </c>
      <c r="M85" s="3">
        <f>$H85*factors!G$3</f>
        <v>0.3872321662248</v>
      </c>
      <c r="N85" s="3">
        <f>$H85*factors!H$3</f>
        <v>0.39844467982800003</v>
      </c>
      <c r="O85" s="3">
        <f>$H85*factors!I$3</f>
        <v>0.4072545119448</v>
      </c>
      <c r="P85" s="3">
        <f>$H85*factors!J$3</f>
        <v>0.41205987491760004</v>
      </c>
      <c r="Q85" s="3">
        <f>$H85*factors!K$3</f>
        <v>0.3868317193104</v>
      </c>
      <c r="R85" s="3">
        <f>$H85*factors!L$3</f>
        <v>0.38042456868000002</v>
      </c>
      <c r="S85" s="3">
        <f>$H85*factors!M$3</f>
        <v>0.39604199834160003</v>
      </c>
      <c r="T85" s="3">
        <f>$H85*factors!N$3</f>
        <v>0.40965719343120005</v>
      </c>
      <c r="U85" s="3">
        <f>$H85*factors!O$3</f>
        <v>0.38803306005360005</v>
      </c>
      <c r="V85" s="3">
        <f>$H85*factors!P$3</f>
        <v>0.40365048971520007</v>
      </c>
      <c r="W85" s="3">
        <f>$H85*factors!Q$3</f>
        <v>0.4072545119448</v>
      </c>
      <c r="X85" s="3">
        <f>$H85*factors!R$3</f>
        <v>0.38963484771119999</v>
      </c>
      <c r="Y85" s="3">
        <f>$H85*factors!S$3</f>
        <v>0.38603082548160006</v>
      </c>
      <c r="Z85" s="3">
        <f>$H85*factors!T$3</f>
        <v>0.41646479097600009</v>
      </c>
      <c r="AA85" s="3">
        <f>$H85*factors!U$3</f>
        <v>0.39323886994079998</v>
      </c>
      <c r="AB85" s="3">
        <f>$H85*factors!V$3</f>
        <v>0.39363931685520009</v>
      </c>
      <c r="AC85" s="3">
        <f>$H85*factors!W$3</f>
        <v>0.39403976376960004</v>
      </c>
      <c r="AD85" s="3">
        <f>$H85*factors!X$3</f>
        <v>0.38563037856720006</v>
      </c>
      <c r="AE85" s="3">
        <f>$H85*factors!Y$3</f>
        <v>0.38883395388240005</v>
      </c>
      <c r="AF85" s="3">
        <f>$H85*factors!Z$3</f>
        <v>0.39684289217040009</v>
      </c>
      <c r="AG85" s="3">
        <f>$H85*factors!AA$3</f>
        <v>0.3868317193104</v>
      </c>
      <c r="AH85" s="3">
        <f>$H85*factors!AB$3</f>
        <v>0.38522993165280006</v>
      </c>
      <c r="AI85" s="3">
        <f>$H85*factors!AC$3</f>
        <v>0.39764378599920003</v>
      </c>
      <c r="AJ85" s="3">
        <f>$H85*factors!AD$3</f>
        <v>0.41286076874640004</v>
      </c>
      <c r="AK85" s="3">
        <f>$H85*factors!AE$3</f>
        <v>0.39724333908480003</v>
      </c>
      <c r="AL85" s="3">
        <f>$H85*factors!AF$3</f>
        <v>0.38162590942320002</v>
      </c>
      <c r="AM85" s="3">
        <f>$H85*factors!AG$3</f>
        <v>0.39243797611200004</v>
      </c>
      <c r="AN85" s="3">
        <f>$H85*factors!AH$3</f>
        <v>0.38603082548160006</v>
      </c>
      <c r="AO85" s="3">
        <f>$H85*factors!AI$3</f>
        <v>0.40445138354400001</v>
      </c>
      <c r="AP85" s="3">
        <f>$H85*factors!AJ$3</f>
        <v>0.38763261313920006</v>
      </c>
      <c r="AQ85" s="3">
        <f>$H85*factors!AK$3</f>
        <v>0.40004646748560008</v>
      </c>
      <c r="AR85" s="3">
        <f>$H85*factors!AL$3</f>
        <v>0.39123663536880005</v>
      </c>
      <c r="AS85" s="3">
        <f>$H85*factors!AM$3</f>
        <v>0.38162590942320002</v>
      </c>
      <c r="AT85" s="3">
        <f>$H85*factors!AN$3</f>
        <v>0.39363931685520009</v>
      </c>
      <c r="AU85" s="3">
        <f>$H85*factors!AO$3</f>
        <v>0.41686523789039998</v>
      </c>
      <c r="AV85" s="3">
        <f>$H85*factors!AP$3</f>
        <v>0.39403976376960004</v>
      </c>
      <c r="AW85" s="3">
        <f>$H85*factors!AQ$3</f>
        <v>0.39003529462559999</v>
      </c>
      <c r="AX85" s="3">
        <f>$H85*factors!AR$3</f>
        <v>0.41246032183200004</v>
      </c>
      <c r="AY85" s="3">
        <f>$H85*factors!AS$3</f>
        <v>0.38042456868000002</v>
      </c>
      <c r="AZ85" s="3">
        <f>$H85*factors!AT$3</f>
        <v>0.40765495885920011</v>
      </c>
      <c r="BA85" s="3">
        <f>$H85*factors!AU$3</f>
        <v>0.39884512674240002</v>
      </c>
      <c r="BB85" s="3">
        <f>$H85*factors!AV$3</f>
        <v>0.39363931685520009</v>
      </c>
      <c r="BC85" s="3">
        <f>$H85*factors!AW$3</f>
        <v>0.41646479097600009</v>
      </c>
      <c r="BD85" s="3">
        <f>$H85*factors!AX$3</f>
        <v>0.38442903782400001</v>
      </c>
      <c r="BE85" s="3">
        <f>$H85*factors!AY$3</f>
        <v>0.45196366836919999</v>
      </c>
      <c r="BF85" s="3">
        <f>$H85*factors!AZ$3</f>
        <v>0.42089936976879999</v>
      </c>
      <c r="BG85" s="3">
        <f>$H85*factors!BA$3</f>
        <v>0.42702472442239997</v>
      </c>
      <c r="BH85" s="3">
        <f>$H85*factors!BB$3</f>
        <v>0.43271255374360001</v>
      </c>
      <c r="BI85" s="3">
        <f>$H85*factors!BC$3</f>
        <v>0.44846346570999995</v>
      </c>
      <c r="BJ85" s="3">
        <f>$H85*factors!BD$3</f>
        <v>0.4283373004196</v>
      </c>
      <c r="BK85" s="3">
        <f>$H85*factors!BE$3</f>
        <v>0.42921235108439998</v>
      </c>
      <c r="BL85" s="3">
        <f>$H85*factors!BF$3</f>
        <v>0.42439957242799997</v>
      </c>
      <c r="BM85" s="3">
        <f>$H85*factors!BG$3</f>
        <v>0.45327624436640002</v>
      </c>
      <c r="BN85" s="3">
        <f>$H85*factors!BH$3</f>
        <v>0.44758841504519997</v>
      </c>
      <c r="BO85" s="3">
        <f>$H85*factors!BI$3</f>
        <v>0.42089936976879999</v>
      </c>
      <c r="BP85" s="3">
        <f>$H85*factors!BJ$3</f>
        <v>0.41958679377159996</v>
      </c>
      <c r="BQ85" s="3">
        <f>$H85*factors!BK$3</f>
        <v>0.42658719908999998</v>
      </c>
      <c r="BR85" s="3">
        <f>$H85*factors!BL$3</f>
        <v>0.44190058572400004</v>
      </c>
      <c r="BS85" s="3">
        <f>$H85*factors!BM$3</f>
        <v>0.4489009910424</v>
      </c>
      <c r="BT85" s="3">
        <f>$H85*factors!BN$3</f>
        <v>0.45021356703959997</v>
      </c>
      <c r="BU85" s="3">
        <f>$H85*factors!BO$3</f>
        <v>0.45765149769040003</v>
      </c>
      <c r="BV85" s="3">
        <f>$H85*factors!BP$3</f>
        <v>0.4257121484252</v>
      </c>
      <c r="BW85" s="3">
        <f>$H85*factors!BQ$3</f>
        <v>0.43533770573800001</v>
      </c>
      <c r="BX85" s="3">
        <f>$H85*factors!BR$3</f>
        <v>0.42702472442239997</v>
      </c>
      <c r="BY85" s="3">
        <f>$H85*factors!BS$3</f>
        <v>0.44671336438039994</v>
      </c>
      <c r="BZ85" s="3">
        <f>$H85*factors!BT$3</f>
        <v>0.43840038306479995</v>
      </c>
      <c r="CA85" s="3">
        <f>$H85*factors!BU$3</f>
        <v>0.43271255374360001</v>
      </c>
      <c r="CB85" s="3">
        <f>$H85*factors!BV$3</f>
        <v>0.41871174310679998</v>
      </c>
      <c r="CC85" s="3">
        <f>$H85*factors!BW$3</f>
        <v>0.430962452414</v>
      </c>
      <c r="CD85" s="3">
        <f>$H85*factors!BX$3</f>
        <v>0.43227502841120002</v>
      </c>
      <c r="CE85" s="3">
        <f>$H85*factors!BY$3</f>
        <v>0.43840038306479995</v>
      </c>
      <c r="CF85" s="3">
        <f>$H85*factors!BZ$3</f>
        <v>0.43183750307880003</v>
      </c>
      <c r="CG85" s="3">
        <f>$H85*factors!CA$3</f>
        <v>0.41739916710959996</v>
      </c>
      <c r="CH85" s="3">
        <f>$H85*factors!CB$3</f>
        <v>0.41783669244199995</v>
      </c>
      <c r="CI85" s="3">
        <f>$H85*factors!CC$3</f>
        <v>0.41564906577999999</v>
      </c>
      <c r="CJ85" s="3">
        <f>$H85*factors!CD$3</f>
        <v>0.43271255374360001</v>
      </c>
      <c r="CK85" s="3">
        <f>$H85*factors!CE$3</f>
        <v>0.45196366836919999</v>
      </c>
      <c r="CL85" s="3">
        <f>$H85*factors!CF$3</f>
        <v>0.42352452176319999</v>
      </c>
      <c r="CM85" s="3">
        <f>$H85*factors!CG$3</f>
        <v>0.4335876044084</v>
      </c>
      <c r="CN85" s="3">
        <f>$H85*factors!CH$3</f>
        <v>0.41914926843919997</v>
      </c>
      <c r="CO85" s="3">
        <f>$H85*factors!CI$3</f>
        <v>0.42221194576599996</v>
      </c>
      <c r="CP85" s="3">
        <f>$H85*factors!CJ$3</f>
        <v>0.44233811105639992</v>
      </c>
      <c r="CQ85" s="3">
        <f>$H85*factors!CK$3</f>
        <v>0.42921235108439998</v>
      </c>
      <c r="CR85" s="3">
        <f>$H85*factors!CL$3</f>
        <v>0.44277563638879996</v>
      </c>
      <c r="CS85" s="3">
        <f>$H85*factors!CM$3</f>
        <v>0.4567764470256</v>
      </c>
      <c r="CT85" s="3">
        <f>$H85*factors!CN$3</f>
        <v>0.4515261430368</v>
      </c>
      <c r="CU85" s="3">
        <f>$H85*factors!CO$3</f>
        <v>0.44146306039159994</v>
      </c>
      <c r="CV85" s="3">
        <f>$H85*factors!CP$3</f>
        <v>0.45940159902</v>
      </c>
      <c r="CW85" s="3">
        <f>$H85*factors!CQ$3</f>
        <v>0.43446265507320003</v>
      </c>
      <c r="CX85" s="3">
        <f>$H85*factors!CR$3</f>
        <v>0.42789977508720001</v>
      </c>
      <c r="CY85" s="3">
        <f>$H85*factors!CS$3</f>
        <v>0.42396204709559998</v>
      </c>
      <c r="CZ85" s="3">
        <f>$H85*factors!CT$3</f>
        <v>0.41783669244199995</v>
      </c>
      <c r="DA85" s="3">
        <f>$H85*factors!CU$3</f>
        <v>0.43381749060000002</v>
      </c>
      <c r="DB85" s="3">
        <f>$H85*factors!CV$3</f>
        <v>0.46184877460800006</v>
      </c>
      <c r="DC85" s="3">
        <f>$H85*factors!CW$3</f>
        <v>0.44227136990399996</v>
      </c>
      <c r="DD85" s="3">
        <f>$H85*factors!CX$3</f>
        <v>0.43915678279199999</v>
      </c>
      <c r="DE85" s="3">
        <f>$H85*factors!CY$3</f>
        <v>0.45206007225600003</v>
      </c>
      <c r="DF85" s="3">
        <f>$H85*factors!CZ$3</f>
        <v>0.45117019022399996</v>
      </c>
      <c r="DG85" s="3">
        <f>$H85*factors!DA$3</f>
        <v>0.44939042616000002</v>
      </c>
      <c r="DH85" s="3">
        <f>$H85*factors!DB$3</f>
        <v>0.44939042616000002</v>
      </c>
      <c r="DI85" s="3">
        <f>$H85*factors!DC$3</f>
        <v>0.43248266755199999</v>
      </c>
      <c r="DJ85" s="3">
        <f>$H85*factors!DD$3</f>
        <v>0.45828924648000002</v>
      </c>
      <c r="DK85" s="3">
        <f>$H85*factors!DE$3</f>
        <v>0.45828924648000002</v>
      </c>
      <c r="DL85" s="3">
        <f>$H85*factors!DF$3</f>
        <v>0.45294995428800006</v>
      </c>
      <c r="DM85" s="3">
        <f>$H85*factors!DG$3</f>
        <v>0.42669843434399995</v>
      </c>
      <c r="DN85" s="3">
        <f>$H85*factors!DH$3</f>
        <v>0.44761066209600003</v>
      </c>
      <c r="DO85" s="3">
        <f>$H85*factors!DI$3</f>
        <v>0.46229371562400001</v>
      </c>
      <c r="DP85" s="3">
        <f>$H85*factors!DJ$3</f>
        <v>0.45828924648000002</v>
      </c>
      <c r="DQ85" s="3">
        <f>$H85*factors!DK$3</f>
        <v>0.43693207771199999</v>
      </c>
      <c r="DR85" s="3">
        <f>$H85*factors!DL$3</f>
        <v>0.43203772653600003</v>
      </c>
      <c r="DS85" s="3">
        <f>$H85*factors!DM$3</f>
        <v>0.46674312578400001</v>
      </c>
      <c r="DT85" s="3">
        <f>$H85*factors!DN$3</f>
        <v>0.43871184177600003</v>
      </c>
      <c r="DU85" s="3">
        <f>$H85*factors!DO$3</f>
        <v>0.45917912851199999</v>
      </c>
      <c r="DV85" s="3">
        <f>$H85*factors!DP$3</f>
        <v>0.448500544128</v>
      </c>
      <c r="DW85" s="3">
        <f>$H85*factors!DQ$3</f>
        <v>0.42803325739199999</v>
      </c>
      <c r="DX85" s="3">
        <f>$H85*factors!DR$3</f>
        <v>0.45339489530399996</v>
      </c>
      <c r="DY85" s="3">
        <f>$H85*factors!DS$3</f>
        <v>0.43025796247199999</v>
      </c>
      <c r="DZ85" s="3">
        <f>$H85*factors!DT$3</f>
        <v>0.46006901054400001</v>
      </c>
      <c r="EA85" s="3">
        <f>$H85*factors!DU$3</f>
        <v>0.43337254958399996</v>
      </c>
      <c r="EB85" s="3">
        <f>$H85*factors!DV$3</f>
        <v>0.42269396519999997</v>
      </c>
      <c r="EC85" s="3">
        <f>$H85*factors!DW$3</f>
        <v>0.45472971835199999</v>
      </c>
      <c r="ED85" s="3">
        <f>$H85*factors!DX$3</f>
        <v>0.42669843434399995</v>
      </c>
      <c r="EE85" s="3">
        <f>$H85*factors!DY$3</f>
        <v>0.43025796247199999</v>
      </c>
      <c r="EF85" s="3">
        <f>$H85*factors!DZ$3</f>
        <v>0.46674312578400001</v>
      </c>
      <c r="EG85" s="3">
        <f>$H85*factors!EA$3</f>
        <v>0.43604219568000002</v>
      </c>
      <c r="EH85" s="3">
        <f>$H85*factors!EB$3</f>
        <v>0.437377018728</v>
      </c>
      <c r="EI85" s="3">
        <f>$H85*factors!EC$3</f>
        <v>0.43648713669600003</v>
      </c>
      <c r="EJ85" s="3">
        <f>$H85*factors!ED$3</f>
        <v>0.42536361129600003</v>
      </c>
      <c r="EK85" s="3">
        <f>$H85*factors!EE$3</f>
        <v>0.45472971835199999</v>
      </c>
      <c r="EL85" s="3">
        <f>$H85*factors!EF$3</f>
        <v>0.43248266755199999</v>
      </c>
      <c r="EM85" s="3">
        <f>$H85*factors!EG$3</f>
        <v>0.44983536717599998</v>
      </c>
      <c r="EN85" s="3">
        <f>$H85*factors!EH$3</f>
        <v>0.42269396519999997</v>
      </c>
      <c r="EO85" s="3">
        <f>$H85*factors!EI$3</f>
        <v>0.42892313942399996</v>
      </c>
      <c r="EP85" s="3">
        <f>$H85*factors!EJ$3</f>
        <v>0.45250501327199999</v>
      </c>
      <c r="EQ85" s="3">
        <f>$H85*factors!EK$3</f>
        <v>0.44004666482399996</v>
      </c>
      <c r="ER85" s="3">
        <f>$H85*factors!EL$3</f>
        <v>0.45828924648000002</v>
      </c>
      <c r="ES85" s="3">
        <f>$H85*factors!EM$3</f>
        <v>0.45250501327199999</v>
      </c>
      <c r="ET85" s="3">
        <f>$H85*factors!EN$3</f>
        <v>0.46273865664000002</v>
      </c>
      <c r="EU85" s="3">
        <f>$H85*factors!EO$3</f>
        <v>0.46718806680000002</v>
      </c>
      <c r="EV85" s="3">
        <f>$H85*factors!EP$3</f>
        <v>0.43782195974399996</v>
      </c>
      <c r="EW85" s="3">
        <f>$H85*factors!EQ$3</f>
        <v>0.48155595377499999</v>
      </c>
      <c r="EX85" s="3">
        <f>$H85*factors!ER$3</f>
        <v>0.47645767130000005</v>
      </c>
      <c r="EY85" s="3">
        <f>$H85*factors!ES$3</f>
        <v>0.48619075602499995</v>
      </c>
      <c r="EZ85" s="3">
        <f>$H85*factors!ET$3</f>
        <v>0.48155595377499999</v>
      </c>
      <c r="FA85" s="3">
        <f>$H85*factors!EU$3</f>
        <v>0.44262361487499996</v>
      </c>
      <c r="FB85" s="3">
        <f>$H85*factors!EV$3</f>
        <v>0.46255326455000007</v>
      </c>
      <c r="FC85" s="3">
        <f>$H85*factors!EW$3</f>
        <v>0.47553071085000004</v>
      </c>
      <c r="FD85" s="3">
        <f>$H85*factors!EX$3</f>
        <v>0.45884542275000006</v>
      </c>
      <c r="FE85" s="3">
        <f>$H85*factors!EY$3</f>
        <v>0.48340987467500002</v>
      </c>
      <c r="FF85" s="3">
        <f>$H85*factors!EZ$3</f>
        <v>0.48387335490000011</v>
      </c>
      <c r="FG85" s="3">
        <f>$H85*factors!FA$3</f>
        <v>0.44262361487499996</v>
      </c>
      <c r="FH85" s="3">
        <f>$H85*factors!FB$3</f>
        <v>0.46579762612499997</v>
      </c>
      <c r="FI85" s="3">
        <f>$H85*factors!FC$3</f>
        <v>0.48526379557499999</v>
      </c>
      <c r="FJ85" s="3">
        <f>$H85*factors!FD$3</f>
        <v>0.46579762612499997</v>
      </c>
      <c r="FK85" s="3">
        <f>$H85*factors!FE$3</f>
        <v>0.47367678995000007</v>
      </c>
      <c r="FL85" s="3">
        <f>$H85*factors!FF$3</f>
        <v>0.475067230625</v>
      </c>
      <c r="FM85" s="3">
        <f>$H85*factors!FG$3</f>
        <v>0.4801655131</v>
      </c>
      <c r="FN85" s="3">
        <f>$H85*factors!FH$3</f>
        <v>0.449112338025</v>
      </c>
      <c r="FO85" s="3">
        <f>$H85*factors!FI$3</f>
        <v>0.47692115152499998</v>
      </c>
      <c r="FP85" s="3">
        <f>$H85*factors!FJ$3</f>
        <v>0.46348022500000002</v>
      </c>
      <c r="FQ85" s="3">
        <f>$H85*factors!FK$3</f>
        <v>0.45884542275000006</v>
      </c>
      <c r="FR85" s="3">
        <f>$H85*factors!FL$3</f>
        <v>0.46811502724999998</v>
      </c>
      <c r="FS85" s="3">
        <f>$H85*factors!FM$3</f>
        <v>0.4653341459</v>
      </c>
      <c r="FT85" s="3">
        <f>$H85*factors!FN$3</f>
        <v>0.47553071085000004</v>
      </c>
      <c r="FU85" s="3">
        <f>$H85*factors!FO$3</f>
        <v>0.45699150184999998</v>
      </c>
      <c r="FV85" s="3">
        <f>$H85*factors!FP$3</f>
        <v>0.45328366004999998</v>
      </c>
      <c r="FW85" s="3">
        <f>$H85*factors!FQ$3</f>
        <v>0.48526379557499999</v>
      </c>
      <c r="FX85" s="3">
        <f>$H85*factors!FR$3</f>
        <v>0.47645767130000005</v>
      </c>
      <c r="FY85" s="3">
        <f>$H85*factors!FS$3</f>
        <v>0.46672458657499993</v>
      </c>
      <c r="FZ85" s="3">
        <f>$H85*factors!FT$3</f>
        <v>0.44355057532500003</v>
      </c>
      <c r="GA85" s="3">
        <f>$H85*factors!FU$3</f>
        <v>0.46672458657499993</v>
      </c>
      <c r="GB85" s="3">
        <f>$H85*factors!FV$3</f>
        <v>0.48387335490000011</v>
      </c>
      <c r="GC85" s="3">
        <f>$H85*factors!FW$3</f>
        <v>0.45328366004999998</v>
      </c>
      <c r="GD85" s="3">
        <f>$H85*factors!FX$3</f>
        <v>0.46116282387500002</v>
      </c>
      <c r="GE85" s="3">
        <f>$H85*factors!FY$3</f>
        <v>0.46116282387500002</v>
      </c>
      <c r="GF85" s="3">
        <f>$H85*factors!FZ$3</f>
        <v>0.45977238320000002</v>
      </c>
      <c r="GG85" s="3">
        <f>$H85*factors!GA$3</f>
        <v>0.441696654425</v>
      </c>
      <c r="GH85" s="3">
        <f>$H85*factors!GB$3</f>
        <v>0.46996894815000007</v>
      </c>
      <c r="GI85" s="3">
        <f>$H85*factors!GC$3</f>
        <v>0.44076969397499999</v>
      </c>
      <c r="GJ85" s="3">
        <f>$H85*factors!GD$3</f>
        <v>0.441696654425</v>
      </c>
      <c r="GK85" s="3">
        <f>$H85*factors!GE$3</f>
        <v>0.452820179825</v>
      </c>
      <c r="GL85" s="3">
        <f>$H85*factors!GF$3</f>
        <v>0.47970203287500002</v>
      </c>
      <c r="GM85" s="3">
        <f>$H85*factors!GG$3</f>
        <v>0.45467410072500003</v>
      </c>
      <c r="GN85" s="3">
        <f>$H85*factors!GH$3</f>
        <v>0.46904198770000005</v>
      </c>
      <c r="GO85" s="3">
        <f>$H85*factors!GI$3</f>
        <v>0.44308709509999994</v>
      </c>
      <c r="GP85" s="3">
        <f>$H85*factors!GJ$3</f>
        <v>0.475067230625</v>
      </c>
      <c r="GQ85" s="3">
        <f>$H85*factors!GK$3</f>
        <v>0.48480031535000007</v>
      </c>
      <c r="GR85" s="3">
        <f>$H85*factors!GL$3</f>
        <v>0.47553071085000004</v>
      </c>
      <c r="GS85" s="3">
        <f>$H85*factors!GM$3</f>
        <v>0.44970559271300004</v>
      </c>
      <c r="GT85" s="3">
        <f>$H85*factors!GN$3</f>
        <v>0.46006530270220003</v>
      </c>
      <c r="GU85" s="3">
        <f>$H85*factors!GO$3</f>
        <v>0.47089590860000002</v>
      </c>
      <c r="GV85" s="3">
        <f>$H85*factors!GP$3</f>
        <v>0.45206007225600003</v>
      </c>
      <c r="GW85" s="3">
        <f>$H85*factors!GQ$3</f>
        <v>0.46807053314840003</v>
      </c>
      <c r="GX85" s="3">
        <f>$H85*factors!GR$3</f>
        <v>0.46053619861080003</v>
      </c>
      <c r="GY85" s="3">
        <f>$H85*factors!GS$3</f>
        <v>0.45818171906780003</v>
      </c>
      <c r="GZ85" s="3">
        <f>$H85*factors!GT$3</f>
        <v>0.47513397177739997</v>
      </c>
      <c r="HA85" s="3">
        <f>$H85*factors!GU$3</f>
        <v>0.45959440679360003</v>
      </c>
      <c r="HB85" s="3">
        <f>$H85*factors!GV$3</f>
        <v>0.47513397177739997</v>
      </c>
      <c r="HC85" s="3">
        <f>$H85*factors!GW$3</f>
        <v>0.46336157406239997</v>
      </c>
      <c r="HD85" s="3">
        <f>$H85*factors!GX$3</f>
        <v>0.47701755541179997</v>
      </c>
      <c r="HE85" s="3">
        <f>$H85*factors!GY$3</f>
        <v>0.47089590860000002</v>
      </c>
      <c r="HF85" s="3">
        <f>$H85*factors!GZ$3</f>
        <v>0.48549368176660002</v>
      </c>
      <c r="HG85" s="3">
        <f>$H85*factors!HA$3</f>
        <v>0.46665784542260003</v>
      </c>
      <c r="HH85" s="3">
        <f>$H85*factors!HB$3</f>
        <v>0.46053619861080003</v>
      </c>
      <c r="HI85" s="3">
        <f>$H85*factors!HC$3</f>
        <v>0.45488544770760003</v>
      </c>
      <c r="HJ85" s="3">
        <f>$H85*factors!HD$3</f>
        <v>0.44970559271300004</v>
      </c>
      <c r="HK85" s="3">
        <f>$H85*factors!HE$3</f>
        <v>0.47560486768600002</v>
      </c>
      <c r="HL85" s="3">
        <f>$H85*factors!HF$3</f>
        <v>0.44829290498719998</v>
      </c>
      <c r="HM85" s="3">
        <f>$H85*factors!HG$3</f>
        <v>0.45300186407320003</v>
      </c>
      <c r="HN85" s="3">
        <f>$H85*factors!HH$3</f>
        <v>0.48313920222360007</v>
      </c>
      <c r="HO85" s="3">
        <f>$H85*factors!HI$3</f>
        <v>0.46336157406239997</v>
      </c>
      <c r="HP85" s="3">
        <f>$H85*factors!HJ$3</f>
        <v>0.49444070403000007</v>
      </c>
      <c r="HQ85" s="3">
        <f>$H85*factors!HK$3</f>
        <v>0.45206007225600003</v>
      </c>
      <c r="HR85" s="3">
        <f>$H85*factors!HL$3</f>
        <v>0.47937203495480007</v>
      </c>
      <c r="HS85" s="3">
        <f>$H85*factors!HM$3</f>
        <v>0.48784816130960001</v>
      </c>
      <c r="HT85" s="3">
        <f>$H85*factors!HN$3</f>
        <v>0.45488544770760003</v>
      </c>
      <c r="HU85" s="3">
        <f>$H85*factors!HO$3</f>
        <v>0.45959440679360003</v>
      </c>
      <c r="HV85" s="3">
        <f>$H85*factors!HP$3</f>
        <v>0.46524515769680008</v>
      </c>
      <c r="HW85" s="3">
        <f>$H85*factors!HQ$3</f>
        <v>0.47183770041720002</v>
      </c>
      <c r="HX85" s="3">
        <f>$H85*factors!HR$3</f>
        <v>0.49114443266979996</v>
      </c>
      <c r="HY85" s="3">
        <f>$H85*factors!HS$3</f>
        <v>0.46665784542260003</v>
      </c>
      <c r="HZ85" s="3">
        <f>$H85*factors!HT$3</f>
        <v>0.48455188994940002</v>
      </c>
      <c r="IA85" s="3">
        <f>$H85*factors!HU$3</f>
        <v>0.46100709451940003</v>
      </c>
      <c r="IB85" s="3">
        <f>$H85*factors!HV$3</f>
        <v>0.47701755541179997</v>
      </c>
      <c r="IC85" s="3">
        <f>$H85*factors!HW$3</f>
        <v>0.48172651449780002</v>
      </c>
      <c r="ID85" s="3">
        <f>$H85*factors!HX$3</f>
        <v>0.44735111316999998</v>
      </c>
      <c r="IE85" s="3">
        <f>$H85*factors!HY$3</f>
        <v>0.47513397177739997</v>
      </c>
      <c r="IF85" s="3">
        <f>$H85*factors!HZ$3</f>
        <v>0.47230859632579997</v>
      </c>
      <c r="IG85" s="3">
        <f>$H85*factors!IA$3</f>
        <v>0.46807053314840003</v>
      </c>
      <c r="IH85" s="3">
        <f>$H85*factors!IB$3</f>
        <v>0.48549368176660002</v>
      </c>
      <c r="II85" s="3">
        <f>$H85*factors!IC$3</f>
        <v>0.46477426178820003</v>
      </c>
      <c r="IJ85" s="3">
        <f>$H85*factors!ID$3</f>
        <v>0.46901232496560002</v>
      </c>
      <c r="IK85" s="3">
        <f>$H85*factors!IE$3</f>
        <v>0.48596457767520002</v>
      </c>
      <c r="IL85" s="3">
        <f>$H85*factors!IF$3</f>
        <v>0.46524515769680008</v>
      </c>
      <c r="IM85" s="3">
        <f>$H85*factors!IG$3</f>
        <v>0.46100709451940003</v>
      </c>
      <c r="IN85" s="3">
        <f>$H85*factors!IH$3</f>
        <v>0.46383246997100003</v>
      </c>
      <c r="IO85" s="3">
        <f>$H85*factors!II$3</f>
        <v>0.46854142905700003</v>
      </c>
      <c r="IP85" s="3">
        <f>$H85*factors!IJ$3</f>
        <v>0.45300186407320003</v>
      </c>
      <c r="IQ85" s="3">
        <f>$H85*factors!IK$3</f>
        <v>0.45158917634740003</v>
      </c>
      <c r="IR85" s="3">
        <f>$H85*factors!IL$3</f>
        <v>0.46477426178820003</v>
      </c>
      <c r="IS85" s="3">
        <f>$H85*factors!IM$3</f>
        <v>0.46854142905700003</v>
      </c>
      <c r="IT85" s="3">
        <f>$H85*factors!IN$3</f>
        <v>0.47183770041720002</v>
      </c>
      <c r="IU85" s="3">
        <f>$H85*factors!IO$3</f>
        <v>0.48219741040640007</v>
      </c>
      <c r="IV85" s="3">
        <f>$H85*factors!IP$3</f>
        <v>0.48831905721819996</v>
      </c>
      <c r="IW85" s="3">
        <f>$H85*factors!IQ$3</f>
        <v>0.46147799042799997</v>
      </c>
      <c r="IX85" s="3">
        <f>$H85*factors!IR$3</f>
        <v>0.48219741040640007</v>
      </c>
      <c r="IY85" s="3">
        <f>$H85*factors!IS$3</f>
        <v>0.47513397177739997</v>
      </c>
      <c r="IZ85" s="3">
        <f>$H85*factors!IT$3</f>
        <v>0.48313920222360007</v>
      </c>
      <c r="JA85" s="3">
        <f>$H85*factors!IU$3</f>
        <v>0.45629813543339998</v>
      </c>
      <c r="JB85" s="3">
        <f>$H85*factors!IV$3</f>
        <v>0.46477426178820003</v>
      </c>
      <c r="JC85" s="3">
        <f>$H85*factors!IW$3</f>
        <v>0.45394365589040003</v>
      </c>
      <c r="JD85" s="3">
        <f>$H85*factors!IX$3</f>
        <v>0.49444070403000007</v>
      </c>
      <c r="JE85" s="3">
        <f>$H85*factors!IY$3</f>
        <v>0.45535634361619998</v>
      </c>
      <c r="JF85" s="3">
        <f>$H85*factors!IZ$3</f>
        <v>0.47795934722899996</v>
      </c>
      <c r="JG85" s="3">
        <f>$H85*factors!JA$3</f>
        <v>0.46948322087419997</v>
      </c>
      <c r="JH85" s="3">
        <f>$H85*factors!JB$3</f>
        <v>0.47843024313760008</v>
      </c>
      <c r="JI85" s="3">
        <f>$H85*factors!JC$3</f>
        <v>0.44782200907860004</v>
      </c>
      <c r="JJ85" s="3">
        <f>$H85*factors!JD$3</f>
        <v>0.48219741040640007</v>
      </c>
      <c r="JK85" s="3">
        <f>$H85*factors!JE$3</f>
        <v>0.46665784542260003</v>
      </c>
      <c r="JL85" s="3">
        <f>$H85*factors!JF$3</f>
        <v>0.48549368176660002</v>
      </c>
      <c r="JM85" s="3">
        <f>$H85*factors!JG$3</f>
        <v>0.45300186407320003</v>
      </c>
      <c r="JN85" s="3">
        <f>$H85*factors!JH$3</f>
        <v>0.45300186407320003</v>
      </c>
      <c r="JO85" s="3">
        <f>$H85*factors!JI$3</f>
        <v>0.44735111316999998</v>
      </c>
      <c r="JP85" s="3">
        <f>$H85*factors!JJ$3</f>
        <v>0.48361009813220002</v>
      </c>
      <c r="JQ85" s="3">
        <f>$H85*factors!JK$3</f>
        <v>0.47136680450859997</v>
      </c>
      <c r="JR85" s="3">
        <f>$H85*factors!JL$3</f>
        <v>0.48973174494400001</v>
      </c>
      <c r="JS85" s="3">
        <f>$H85*factors!JM$3</f>
        <v>0.44735111316999998</v>
      </c>
      <c r="JT85" s="3">
        <f>$H85*factors!JN$3</f>
        <v>0.46995411678280002</v>
      </c>
      <c r="JU85" s="3">
        <f>$H85*factors!JO$3</f>
        <v>0.45441455179899998</v>
      </c>
      <c r="JV85" s="3">
        <f>$H85*factors!JP$3</f>
        <v>0.46194888633660003</v>
      </c>
      <c r="JW85" s="3">
        <f>$H85*factors!JQ$3</f>
        <v>0.49349891221280007</v>
      </c>
      <c r="JX85" s="3">
        <f>$H85*factors!JR$3</f>
        <v>0.48878995312680001</v>
      </c>
      <c r="JY85" s="3">
        <f>$H85*factors!JS$3</f>
        <v>0.46006530270220003</v>
      </c>
      <c r="JZ85" s="3">
        <f>$H85*factors!JT$3</f>
        <v>0.46524515769680008</v>
      </c>
      <c r="KA85" s="3">
        <f>$H85*factors!JU$3</f>
        <v>0.46712874133120003</v>
      </c>
      <c r="KB85" s="3">
        <f>$H85*factors!JV$3</f>
        <v>0.45158917634740003</v>
      </c>
      <c r="KC85" s="3">
        <f>$H85*factors!JW$3</f>
        <v>0.45394365589040003</v>
      </c>
      <c r="KD85" s="3">
        <f>$H85*factors!JX$3</f>
        <v>0.45441455179899998</v>
      </c>
      <c r="KE85" s="3">
        <f>$H85*factors!JY$3</f>
        <v>0.48361009813220002</v>
      </c>
      <c r="KF85" s="3">
        <f>$H85*factors!JZ$3</f>
        <v>0.48926084903539996</v>
      </c>
      <c r="KG85" s="3">
        <f>$H85*factors!KA$3</f>
        <v>0.47183770041720002</v>
      </c>
      <c r="KH85" s="3">
        <f>$H85*factors!KB$3</f>
        <v>0.46147799042799997</v>
      </c>
      <c r="KI85" s="3">
        <f>$H85*factors!KC$3</f>
        <v>0.45723992725059998</v>
      </c>
    </row>
    <row r="86" spans="1:295" x14ac:dyDescent="0.55000000000000004">
      <c r="A86" t="s">
        <v>463</v>
      </c>
      <c r="B86">
        <v>85</v>
      </c>
      <c r="C86">
        <v>230</v>
      </c>
      <c r="D86" t="s">
        <v>377</v>
      </c>
      <c r="E86">
        <v>6.4939999999999998E-3</v>
      </c>
      <c r="F86">
        <v>85</v>
      </c>
      <c r="G86">
        <f>VLOOKUP(D86,demand_forecasted!$A$2:$G$11,2)</f>
        <v>11098</v>
      </c>
      <c r="H86" s="3">
        <f t="shared" si="1"/>
        <v>0.72070412000000006</v>
      </c>
      <c r="I86" s="3">
        <f>$H86*factors!C$3</f>
        <v>0.79781946084000011</v>
      </c>
      <c r="J86" s="3">
        <f>$H86*factors!D$3</f>
        <v>0.76902012420480004</v>
      </c>
      <c r="K86" s="3">
        <f>$H86*factors!E$3</f>
        <v>0.75578799656160012</v>
      </c>
      <c r="L86" s="3">
        <f>$H86*factors!F$3</f>
        <v>0.75345291521280022</v>
      </c>
      <c r="M86" s="3">
        <f>$H86*factors!G$3</f>
        <v>0.7526745547632</v>
      </c>
      <c r="N86" s="3">
        <f>$H86*factors!H$3</f>
        <v>0.77446864735200005</v>
      </c>
      <c r="O86" s="3">
        <f>$H86*factors!I$3</f>
        <v>0.79159257724320009</v>
      </c>
      <c r="P86" s="3">
        <f>$H86*factors!J$3</f>
        <v>0.80093290263840011</v>
      </c>
      <c r="Q86" s="3">
        <f>$H86*factors!K$3</f>
        <v>0.7518961943136</v>
      </c>
      <c r="R86" s="3">
        <f>$H86*factors!L$3</f>
        <v>0.73944242712000008</v>
      </c>
      <c r="S86" s="3">
        <f>$H86*factors!M$3</f>
        <v>0.76979848465440004</v>
      </c>
      <c r="T86" s="3">
        <f>$H86*factors!N$3</f>
        <v>0.7962627399408001</v>
      </c>
      <c r="U86" s="3">
        <f>$H86*factors!O$3</f>
        <v>0.75423127566240011</v>
      </c>
      <c r="V86" s="3">
        <f>$H86*factors!P$3</f>
        <v>0.78458733319680007</v>
      </c>
      <c r="W86" s="3">
        <f>$H86*factors!Q$3</f>
        <v>0.79159257724320009</v>
      </c>
      <c r="X86" s="3">
        <f>$H86*factors!R$3</f>
        <v>0.75734471746080001</v>
      </c>
      <c r="Y86" s="3">
        <f>$H86*factors!S$3</f>
        <v>0.7503394734144001</v>
      </c>
      <c r="Z86" s="3">
        <f>$H86*factors!T$3</f>
        <v>0.80949486758400024</v>
      </c>
      <c r="AA86" s="3">
        <f>$H86*factors!U$3</f>
        <v>0.76434996150720003</v>
      </c>
      <c r="AB86" s="3">
        <f>$H86*factors!V$3</f>
        <v>0.76512832195680014</v>
      </c>
      <c r="AC86" s="3">
        <f>$H86*factors!W$3</f>
        <v>0.76590668240640014</v>
      </c>
      <c r="AD86" s="3">
        <f>$H86*factors!X$3</f>
        <v>0.7495611129648001</v>
      </c>
      <c r="AE86" s="3">
        <f>$H86*factors!Y$3</f>
        <v>0.75578799656160012</v>
      </c>
      <c r="AF86" s="3">
        <f>$H86*factors!Z$3</f>
        <v>0.77135520555360015</v>
      </c>
      <c r="AG86" s="3">
        <f>$H86*factors!AA$3</f>
        <v>0.7518961943136</v>
      </c>
      <c r="AH86" s="3">
        <f>$H86*factors!AB$3</f>
        <v>0.7487827525152001</v>
      </c>
      <c r="AI86" s="3">
        <f>$H86*factors!AC$3</f>
        <v>0.77291192645280016</v>
      </c>
      <c r="AJ86" s="3">
        <f>$H86*factors!AD$3</f>
        <v>0.80248962353760012</v>
      </c>
      <c r="AK86" s="3">
        <f>$H86*factors!AE$3</f>
        <v>0.77213356600320016</v>
      </c>
      <c r="AL86" s="3">
        <f>$H86*factors!AF$3</f>
        <v>0.74177750846879997</v>
      </c>
      <c r="AM86" s="3">
        <f>$H86*factors!AG$3</f>
        <v>0.76279324060800002</v>
      </c>
      <c r="AN86" s="3">
        <f>$H86*factors!AH$3</f>
        <v>0.7503394734144001</v>
      </c>
      <c r="AO86" s="3">
        <f>$H86*factors!AI$3</f>
        <v>0.78614405409600008</v>
      </c>
      <c r="AP86" s="3">
        <f>$H86*factors!AJ$3</f>
        <v>0.75345291521280022</v>
      </c>
      <c r="AQ86" s="3">
        <f>$H86*factors!AK$3</f>
        <v>0.77758208915040017</v>
      </c>
      <c r="AR86" s="3">
        <f>$H86*factors!AL$3</f>
        <v>0.76045815925920013</v>
      </c>
      <c r="AS86" s="3">
        <f>$H86*factors!AM$3</f>
        <v>0.74177750846879997</v>
      </c>
      <c r="AT86" s="3">
        <f>$H86*factors!AN$3</f>
        <v>0.76512832195680014</v>
      </c>
      <c r="AU86" s="3">
        <f>$H86*factors!AO$3</f>
        <v>0.81027322803360002</v>
      </c>
      <c r="AV86" s="3">
        <f>$H86*factors!AP$3</f>
        <v>0.76590668240640014</v>
      </c>
      <c r="AW86" s="3">
        <f>$H86*factors!AQ$3</f>
        <v>0.75812307791040001</v>
      </c>
      <c r="AX86" s="3">
        <f>$H86*factors!AR$3</f>
        <v>0.80171126308800011</v>
      </c>
      <c r="AY86" s="3">
        <f>$H86*factors!AS$3</f>
        <v>0.73944242712000008</v>
      </c>
      <c r="AZ86" s="3">
        <f>$H86*factors!AT$3</f>
        <v>0.7923709376928002</v>
      </c>
      <c r="BA86" s="3">
        <f>$H86*factors!AU$3</f>
        <v>0.77524700780160005</v>
      </c>
      <c r="BB86" s="3">
        <f>$H86*factors!AV$3</f>
        <v>0.76512832195680014</v>
      </c>
      <c r="BC86" s="3">
        <f>$H86*factors!AW$3</f>
        <v>0.80949486758400024</v>
      </c>
      <c r="BD86" s="3">
        <f>$H86*factors!AX$3</f>
        <v>0.74722603161599999</v>
      </c>
      <c r="BE86" s="3">
        <f>$H86*factors!AY$3</f>
        <v>0.87849508003279997</v>
      </c>
      <c r="BF86" s="3">
        <f>$H86*factors!AZ$3</f>
        <v>0.81811448885920002</v>
      </c>
      <c r="BG86" s="3">
        <f>$H86*factors!BA$3</f>
        <v>0.83002052092159995</v>
      </c>
      <c r="BH86" s="3">
        <f>$H86*factors!BB$3</f>
        <v>0.84107612212240002</v>
      </c>
      <c r="BI86" s="3">
        <f>$H86*factors!BC$3</f>
        <v>0.87169163313999998</v>
      </c>
      <c r="BJ86" s="3">
        <f>$H86*factors!BD$3</f>
        <v>0.83257181350639997</v>
      </c>
      <c r="BK86" s="3">
        <f>$H86*factors!BE$3</f>
        <v>0.83427267522959991</v>
      </c>
      <c r="BL86" s="3">
        <f>$H86*factors!BF$3</f>
        <v>0.8249179357519999</v>
      </c>
      <c r="BM86" s="3">
        <f>$H86*factors!BG$3</f>
        <v>0.8810463726176001</v>
      </c>
      <c r="BN86" s="3">
        <f>$H86*factors!BH$3</f>
        <v>0.86999077141680003</v>
      </c>
      <c r="BO86" s="3">
        <f>$H86*factors!BI$3</f>
        <v>0.81811448885920002</v>
      </c>
      <c r="BP86" s="3">
        <f>$H86*factors!BJ$3</f>
        <v>0.81556319627439999</v>
      </c>
      <c r="BQ86" s="3">
        <f>$H86*factors!BK$3</f>
        <v>0.82917009005999998</v>
      </c>
      <c r="BR86" s="3">
        <f>$H86*factors!BL$3</f>
        <v>0.85893517021600008</v>
      </c>
      <c r="BS86" s="3">
        <f>$H86*factors!BM$3</f>
        <v>0.87254206400160006</v>
      </c>
      <c r="BT86" s="3">
        <f>$H86*factors!BN$3</f>
        <v>0.87509335658639997</v>
      </c>
      <c r="BU86" s="3">
        <f>$H86*factors!BO$3</f>
        <v>0.88955068123360015</v>
      </c>
      <c r="BV86" s="3">
        <f>$H86*factors!BP$3</f>
        <v>0.82746922833680003</v>
      </c>
      <c r="BW86" s="3">
        <f>$H86*factors!BQ$3</f>
        <v>0.84617870729200007</v>
      </c>
      <c r="BX86" s="3">
        <f>$H86*factors!BR$3</f>
        <v>0.83002052092159995</v>
      </c>
      <c r="BY86" s="3">
        <f>$H86*factors!BS$3</f>
        <v>0.86828990969359987</v>
      </c>
      <c r="BZ86" s="3">
        <f>$H86*factors!BT$3</f>
        <v>0.85213172332319997</v>
      </c>
      <c r="CA86" s="3">
        <f>$H86*factors!BU$3</f>
        <v>0.84107612212240002</v>
      </c>
      <c r="CB86" s="3">
        <f>$H86*factors!BV$3</f>
        <v>0.81386233455120005</v>
      </c>
      <c r="CC86" s="3">
        <f>$H86*factors!BW$3</f>
        <v>0.83767439867600002</v>
      </c>
      <c r="CD86" s="3">
        <f>$H86*factors!BX$3</f>
        <v>0.84022569126080004</v>
      </c>
      <c r="CE86" s="3">
        <f>$H86*factors!BY$3</f>
        <v>0.85213172332319997</v>
      </c>
      <c r="CF86" s="3">
        <f>$H86*factors!BZ$3</f>
        <v>0.83937526039920007</v>
      </c>
      <c r="CG86" s="3">
        <f>$H86*factors!CA$3</f>
        <v>0.81131104196639992</v>
      </c>
      <c r="CH86" s="3">
        <f>$H86*factors!CB$3</f>
        <v>0.81216147282799989</v>
      </c>
      <c r="CI86" s="3">
        <f>$H86*factors!CC$3</f>
        <v>0.80790931852000003</v>
      </c>
      <c r="CJ86" s="3">
        <f>$H86*factors!CD$3</f>
        <v>0.84107612212240002</v>
      </c>
      <c r="CK86" s="3">
        <f>$H86*factors!CE$3</f>
        <v>0.87849508003279997</v>
      </c>
      <c r="CL86" s="3">
        <f>$H86*factors!CF$3</f>
        <v>0.82321707402880007</v>
      </c>
      <c r="CM86" s="3">
        <f>$H86*factors!CG$3</f>
        <v>0.84277698384559996</v>
      </c>
      <c r="CN86" s="3">
        <f>$H86*factors!CH$3</f>
        <v>0.81471276541280002</v>
      </c>
      <c r="CO86" s="3">
        <f>$H86*factors!CI$3</f>
        <v>0.82066578144399993</v>
      </c>
      <c r="CP86" s="3">
        <f>$H86*factors!CJ$3</f>
        <v>0.85978560107759983</v>
      </c>
      <c r="CQ86" s="3">
        <f>$H86*factors!CK$3</f>
        <v>0.83427267522959991</v>
      </c>
      <c r="CR86" s="3">
        <f>$H86*factors!CL$3</f>
        <v>0.86063603193920002</v>
      </c>
      <c r="CS86" s="3">
        <f>$H86*factors!CM$3</f>
        <v>0.88784981951039998</v>
      </c>
      <c r="CT86" s="3">
        <f>$H86*factors!CN$3</f>
        <v>0.8776446491712</v>
      </c>
      <c r="CU86" s="3">
        <f>$H86*factors!CO$3</f>
        <v>0.85808473935439988</v>
      </c>
      <c r="CV86" s="3">
        <f>$H86*factors!CP$3</f>
        <v>0.89295240468000003</v>
      </c>
      <c r="CW86" s="3">
        <f>$H86*factors!CQ$3</f>
        <v>0.84447784556880012</v>
      </c>
      <c r="CX86" s="3">
        <f>$H86*factors!CR$3</f>
        <v>0.8317213826448</v>
      </c>
      <c r="CY86" s="3">
        <f>$H86*factors!CS$3</f>
        <v>0.82406750489039993</v>
      </c>
      <c r="CZ86" s="3">
        <f>$H86*factors!CT$3</f>
        <v>0.81216147282799989</v>
      </c>
      <c r="DA86" s="3">
        <f>$H86*factors!CU$3</f>
        <v>0.84322382039999999</v>
      </c>
      <c r="DB86" s="3">
        <f>$H86*factors!CV$3</f>
        <v>0.89770905187200012</v>
      </c>
      <c r="DC86" s="3">
        <f>$H86*factors!CW$3</f>
        <v>0.85965587433599999</v>
      </c>
      <c r="DD86" s="3">
        <f>$H86*factors!CX$3</f>
        <v>0.85360195972800001</v>
      </c>
      <c r="DE86" s="3">
        <f>$H86*factors!CY$3</f>
        <v>0.87868246310400011</v>
      </c>
      <c r="DF86" s="3">
        <f>$H86*factors!CZ$3</f>
        <v>0.87695277321599996</v>
      </c>
      <c r="DG86" s="3">
        <f>$H86*factors!DA$3</f>
        <v>0.8734933934400001</v>
      </c>
      <c r="DH86" s="3">
        <f>$H86*factors!DB$3</f>
        <v>0.8734933934400001</v>
      </c>
      <c r="DI86" s="3">
        <f>$H86*factors!DC$3</f>
        <v>0.84062928556799998</v>
      </c>
      <c r="DJ86" s="3">
        <f>$H86*factors!DD$3</f>
        <v>0.89079029232000007</v>
      </c>
      <c r="DK86" s="3">
        <f>$H86*factors!DE$3</f>
        <v>0.89079029232000007</v>
      </c>
      <c r="DL86" s="3">
        <f>$H86*factors!DF$3</f>
        <v>0.88041215299200004</v>
      </c>
      <c r="DM86" s="3">
        <f>$H86*factors!DG$3</f>
        <v>0.82938630129599999</v>
      </c>
      <c r="DN86" s="3">
        <f>$H86*factors!DH$3</f>
        <v>0.87003401366400013</v>
      </c>
      <c r="DO86" s="3">
        <f>$H86*factors!DI$3</f>
        <v>0.89857389681599997</v>
      </c>
      <c r="DP86" s="3">
        <f>$H86*factors!DJ$3</f>
        <v>0.89079029232000007</v>
      </c>
      <c r="DQ86" s="3">
        <f>$H86*factors!DK$3</f>
        <v>0.84927773500799997</v>
      </c>
      <c r="DR86" s="3">
        <f>$H86*factors!DL$3</f>
        <v>0.83976444062400013</v>
      </c>
      <c r="DS86" s="3">
        <f>$H86*factors!DM$3</f>
        <v>0.90722234625600007</v>
      </c>
      <c r="DT86" s="3">
        <f>$H86*factors!DN$3</f>
        <v>0.85273711478400005</v>
      </c>
      <c r="DU86" s="3">
        <f>$H86*factors!DO$3</f>
        <v>0.892519982208</v>
      </c>
      <c r="DV86" s="3">
        <f>$H86*factors!DP$3</f>
        <v>0.87176370355200006</v>
      </c>
      <c r="DW86" s="3">
        <f>$H86*factors!DQ$3</f>
        <v>0.831980836128</v>
      </c>
      <c r="DX86" s="3">
        <f>$H86*factors!DR$3</f>
        <v>0.88127699793600001</v>
      </c>
      <c r="DY86" s="3">
        <f>$H86*factors!DS$3</f>
        <v>0.83630506084799994</v>
      </c>
      <c r="DZ86" s="3">
        <f>$H86*factors!DT$3</f>
        <v>0.89424967209600004</v>
      </c>
      <c r="EA86" s="3">
        <f>$H86*factors!DU$3</f>
        <v>0.84235897545599991</v>
      </c>
      <c r="EB86" s="3">
        <f>$H86*factors!DV$3</f>
        <v>0.82160269679999998</v>
      </c>
      <c r="EC86" s="3">
        <f>$H86*factors!DW$3</f>
        <v>0.88387153276800001</v>
      </c>
      <c r="ED86" s="3">
        <f>$H86*factors!DX$3</f>
        <v>0.82938630129599999</v>
      </c>
      <c r="EE86" s="3">
        <f>$H86*factors!DY$3</f>
        <v>0.83630506084799994</v>
      </c>
      <c r="EF86" s="3">
        <f>$H86*factors!DZ$3</f>
        <v>0.90722234625600007</v>
      </c>
      <c r="EG86" s="3">
        <f>$H86*factors!EA$3</f>
        <v>0.84754804512000004</v>
      </c>
      <c r="EH86" s="3">
        <f>$H86*factors!EB$3</f>
        <v>0.85014257995200004</v>
      </c>
      <c r="EI86" s="3">
        <f>$H86*factors!EC$3</f>
        <v>0.84841289006400011</v>
      </c>
      <c r="EJ86" s="3">
        <f>$H86*factors!ED$3</f>
        <v>0.8267917664640001</v>
      </c>
      <c r="EK86" s="3">
        <f>$H86*factors!EE$3</f>
        <v>0.88387153276800001</v>
      </c>
      <c r="EL86" s="3">
        <f>$H86*factors!EF$3</f>
        <v>0.84062928556799998</v>
      </c>
      <c r="EM86" s="3">
        <f>$H86*factors!EG$3</f>
        <v>0.87435823838399995</v>
      </c>
      <c r="EN86" s="3">
        <f>$H86*factors!EH$3</f>
        <v>0.82160269679999998</v>
      </c>
      <c r="EO86" s="3">
        <f>$H86*factors!EI$3</f>
        <v>0.83371052601599993</v>
      </c>
      <c r="EP86" s="3">
        <f>$H86*factors!EJ$3</f>
        <v>0.87954730804800008</v>
      </c>
      <c r="EQ86" s="3">
        <f>$H86*factors!EK$3</f>
        <v>0.85533164961599994</v>
      </c>
      <c r="ER86" s="3">
        <f>$H86*factors!EL$3</f>
        <v>0.89079029232000007</v>
      </c>
      <c r="ES86" s="3">
        <f>$H86*factors!EM$3</f>
        <v>0.87954730804800008</v>
      </c>
      <c r="ET86" s="3">
        <f>$H86*factors!EN$3</f>
        <v>0.89943874176000005</v>
      </c>
      <c r="EU86" s="3">
        <f>$H86*factors!EO$3</f>
        <v>0.90808719120000003</v>
      </c>
      <c r="EV86" s="3">
        <f>$H86*factors!EP$3</f>
        <v>0.85100742489600001</v>
      </c>
      <c r="EW86" s="3">
        <f>$H86*factors!EQ$3</f>
        <v>0.93601447584999997</v>
      </c>
      <c r="EX86" s="3">
        <f>$H86*factors!ER$3</f>
        <v>0.92610479420000014</v>
      </c>
      <c r="EY86" s="3">
        <f>$H86*factors!ES$3</f>
        <v>0.94502327734999991</v>
      </c>
      <c r="EZ86" s="3">
        <f>$H86*factors!ET$3</f>
        <v>0.93601447584999997</v>
      </c>
      <c r="FA86" s="3">
        <f>$H86*factors!EU$3</f>
        <v>0.86034054324999998</v>
      </c>
      <c r="FB86" s="3">
        <f>$H86*factors!EV$3</f>
        <v>0.89907838970000009</v>
      </c>
      <c r="FC86" s="3">
        <f>$H86*factors!EW$3</f>
        <v>0.92430303390000002</v>
      </c>
      <c r="FD86" s="3">
        <f>$H86*factors!EX$3</f>
        <v>0.89187134850000016</v>
      </c>
      <c r="FE86" s="3">
        <f>$H86*factors!EY$3</f>
        <v>0.9396179964500001</v>
      </c>
      <c r="FF86" s="3">
        <f>$H86*factors!EZ$3</f>
        <v>0.94051887660000022</v>
      </c>
      <c r="FG86" s="3">
        <f>$H86*factors!FA$3</f>
        <v>0.86034054324999998</v>
      </c>
      <c r="FH86" s="3">
        <f>$H86*factors!FB$3</f>
        <v>0.90538455075000002</v>
      </c>
      <c r="FI86" s="3">
        <f>$H86*factors!FC$3</f>
        <v>0.94322151705000001</v>
      </c>
      <c r="FJ86" s="3">
        <f>$H86*factors!FD$3</f>
        <v>0.90538455075000002</v>
      </c>
      <c r="FK86" s="3">
        <f>$H86*factors!FE$3</f>
        <v>0.92069951330000011</v>
      </c>
      <c r="FL86" s="3">
        <f>$H86*factors!FF$3</f>
        <v>0.92340215375000012</v>
      </c>
      <c r="FM86" s="3">
        <f>$H86*factors!FG$3</f>
        <v>0.93331183540000007</v>
      </c>
      <c r="FN86" s="3">
        <f>$H86*factors!FH$3</f>
        <v>0.87295286535000005</v>
      </c>
      <c r="FO86" s="3">
        <f>$H86*factors!FI$3</f>
        <v>0.92700567435000003</v>
      </c>
      <c r="FP86" s="3">
        <f>$H86*factors!FJ$3</f>
        <v>0.9008801500000001</v>
      </c>
      <c r="FQ86" s="3">
        <f>$H86*factors!FK$3</f>
        <v>0.89187134850000016</v>
      </c>
      <c r="FR86" s="3">
        <f>$H86*factors!FL$3</f>
        <v>0.90988895150000004</v>
      </c>
      <c r="FS86" s="3">
        <f>$H86*factors!FM$3</f>
        <v>0.90448367060000001</v>
      </c>
      <c r="FT86" s="3">
        <f>$H86*factors!FN$3</f>
        <v>0.92430303390000002</v>
      </c>
      <c r="FU86" s="3">
        <f>$H86*factors!FO$3</f>
        <v>0.88826782790000003</v>
      </c>
      <c r="FV86" s="3">
        <f>$H86*factors!FP$3</f>
        <v>0.88106078669999999</v>
      </c>
      <c r="FW86" s="3">
        <f>$H86*factors!FQ$3</f>
        <v>0.94322151705000001</v>
      </c>
      <c r="FX86" s="3">
        <f>$H86*factors!FR$3</f>
        <v>0.92610479420000014</v>
      </c>
      <c r="FY86" s="3">
        <f>$H86*factors!FS$3</f>
        <v>0.90718631104999992</v>
      </c>
      <c r="FZ86" s="3">
        <f>$H86*factors!FT$3</f>
        <v>0.8621423035500001</v>
      </c>
      <c r="GA86" s="3">
        <f>$H86*factors!FU$3</f>
        <v>0.90718631104999992</v>
      </c>
      <c r="GB86" s="3">
        <f>$H86*factors!FV$3</f>
        <v>0.94051887660000022</v>
      </c>
      <c r="GC86" s="3">
        <f>$H86*factors!FW$3</f>
        <v>0.88106078669999999</v>
      </c>
      <c r="GD86" s="3">
        <f>$H86*factors!FX$3</f>
        <v>0.89637574924999996</v>
      </c>
      <c r="GE86" s="3">
        <f>$H86*factors!FY$3</f>
        <v>0.89637574924999996</v>
      </c>
      <c r="GF86" s="3">
        <f>$H86*factors!FZ$3</f>
        <v>0.89367310880000006</v>
      </c>
      <c r="GG86" s="3">
        <f>$H86*factors!GA$3</f>
        <v>0.85853878294999997</v>
      </c>
      <c r="GH86" s="3">
        <f>$H86*factors!GB$3</f>
        <v>0.91349247210000017</v>
      </c>
      <c r="GI86" s="3">
        <f>$H86*factors!GC$3</f>
        <v>0.85673702265000007</v>
      </c>
      <c r="GJ86" s="3">
        <f>$H86*factors!GD$3</f>
        <v>0.85853878294999997</v>
      </c>
      <c r="GK86" s="3">
        <f>$H86*factors!GE$3</f>
        <v>0.88015990654999998</v>
      </c>
      <c r="GL86" s="3">
        <f>$H86*factors!GF$3</f>
        <v>0.93241095525000006</v>
      </c>
      <c r="GM86" s="3">
        <f>$H86*factors!GG$3</f>
        <v>0.88376342715000011</v>
      </c>
      <c r="GN86" s="3">
        <f>$H86*factors!GH$3</f>
        <v>0.91169071180000016</v>
      </c>
      <c r="GO86" s="3">
        <f>$H86*factors!GI$3</f>
        <v>0.86124142339999998</v>
      </c>
      <c r="GP86" s="3">
        <f>$H86*factors!GJ$3</f>
        <v>0.92340215375000012</v>
      </c>
      <c r="GQ86" s="3">
        <f>$H86*factors!GK$3</f>
        <v>0.94232063690000012</v>
      </c>
      <c r="GR86" s="3">
        <f>$H86*factors!GL$3</f>
        <v>0.92430303390000002</v>
      </c>
      <c r="GS86" s="3">
        <f>$H86*factors!GM$3</f>
        <v>0.874105991942</v>
      </c>
      <c r="GT86" s="3">
        <f>$H86*factors!GN$3</f>
        <v>0.8942424650548001</v>
      </c>
      <c r="GU86" s="3">
        <f>$H86*factors!GO$3</f>
        <v>0.91529423240000007</v>
      </c>
      <c r="GV86" s="3">
        <f>$H86*factors!GP$3</f>
        <v>0.87868246310400011</v>
      </c>
      <c r="GW86" s="3">
        <f>$H86*factors!GQ$3</f>
        <v>0.90980246700560008</v>
      </c>
      <c r="GX86" s="3">
        <f>$H86*factors!GR$3</f>
        <v>0.89515775928719998</v>
      </c>
      <c r="GY86" s="3">
        <f>$H86*factors!GS$3</f>
        <v>0.8905812881252001</v>
      </c>
      <c r="GZ86" s="3">
        <f>$H86*factors!GT$3</f>
        <v>0.92353188049159995</v>
      </c>
      <c r="HA86" s="3">
        <f>$H86*factors!GU$3</f>
        <v>0.8933271708224001</v>
      </c>
      <c r="HB86" s="3">
        <f>$H86*factors!GV$3</f>
        <v>0.92353188049159995</v>
      </c>
      <c r="HC86" s="3">
        <f>$H86*factors!GW$3</f>
        <v>0.90064952468159998</v>
      </c>
      <c r="HD86" s="3">
        <f>$H86*factors!GX$3</f>
        <v>0.92719305742119995</v>
      </c>
      <c r="HE86" s="3">
        <f>$H86*factors!GY$3</f>
        <v>0.91529423240000007</v>
      </c>
      <c r="HF86" s="3">
        <f>$H86*factors!GZ$3</f>
        <v>0.94366835360440005</v>
      </c>
      <c r="HG86" s="3">
        <f>$H86*factors!HA$3</f>
        <v>0.90705658430840008</v>
      </c>
      <c r="HH86" s="3">
        <f>$H86*factors!HB$3</f>
        <v>0.89515775928719998</v>
      </c>
      <c r="HI86" s="3">
        <f>$H86*factors!HC$3</f>
        <v>0.88417422849840011</v>
      </c>
      <c r="HJ86" s="3">
        <f>$H86*factors!HD$3</f>
        <v>0.874105991942</v>
      </c>
      <c r="HK86" s="3">
        <f>$H86*factors!HE$3</f>
        <v>0.92444717472400006</v>
      </c>
      <c r="HL86" s="3">
        <f>$H86*factors!HF$3</f>
        <v>0.87136010924480001</v>
      </c>
      <c r="HM86" s="3">
        <f>$H86*factors!HG$3</f>
        <v>0.88051305156880011</v>
      </c>
      <c r="HN86" s="3">
        <f>$H86*factors!HH$3</f>
        <v>0.93909188244240016</v>
      </c>
      <c r="HO86" s="3">
        <f>$H86*factors!HI$3</f>
        <v>0.90064952468159998</v>
      </c>
      <c r="HP86" s="3">
        <f>$H86*factors!HJ$3</f>
        <v>0.96105894402000014</v>
      </c>
      <c r="HQ86" s="3">
        <f>$H86*factors!HK$3</f>
        <v>0.87868246310400011</v>
      </c>
      <c r="HR86" s="3">
        <f>$H86*factors!HL$3</f>
        <v>0.93176952858320017</v>
      </c>
      <c r="HS86" s="3">
        <f>$H86*factors!HM$3</f>
        <v>0.94824482476640004</v>
      </c>
      <c r="HT86" s="3">
        <f>$H86*factors!HN$3</f>
        <v>0.88417422849840011</v>
      </c>
      <c r="HU86" s="3">
        <f>$H86*factors!HO$3</f>
        <v>0.8933271708224001</v>
      </c>
      <c r="HV86" s="3">
        <f>$H86*factors!HP$3</f>
        <v>0.9043107016112002</v>
      </c>
      <c r="HW86" s="3">
        <f>$H86*factors!HQ$3</f>
        <v>0.91712482086480007</v>
      </c>
      <c r="HX86" s="3">
        <f>$H86*factors!HR$3</f>
        <v>0.95465188439319992</v>
      </c>
      <c r="HY86" s="3">
        <f>$H86*factors!HS$3</f>
        <v>0.90705658430840008</v>
      </c>
      <c r="HZ86" s="3">
        <f>$H86*factors!HT$3</f>
        <v>0.94183776513960005</v>
      </c>
      <c r="IA86" s="3">
        <f>$H86*factors!HU$3</f>
        <v>0.89607305351960009</v>
      </c>
      <c r="IB86" s="3">
        <f>$H86*factors!HV$3</f>
        <v>0.92719305742119995</v>
      </c>
      <c r="IC86" s="3">
        <f>$H86*factors!HW$3</f>
        <v>0.93634599974520005</v>
      </c>
      <c r="ID86" s="3">
        <f>$H86*factors!HX$3</f>
        <v>0.86952952078000001</v>
      </c>
      <c r="IE86" s="3">
        <f>$H86*factors!HY$3</f>
        <v>0.92353188049159995</v>
      </c>
      <c r="IF86" s="3">
        <f>$H86*factors!HZ$3</f>
        <v>0.91804011509719996</v>
      </c>
      <c r="IG86" s="3">
        <f>$H86*factors!IA$3</f>
        <v>0.90980246700560008</v>
      </c>
      <c r="IH86" s="3">
        <f>$H86*factors!IB$3</f>
        <v>0.94366835360440005</v>
      </c>
      <c r="II86" s="3">
        <f>$H86*factors!IC$3</f>
        <v>0.90339540737880009</v>
      </c>
      <c r="IJ86" s="3">
        <f>$H86*factors!ID$3</f>
        <v>0.91163305547040008</v>
      </c>
      <c r="IK86" s="3">
        <f>$H86*factors!IE$3</f>
        <v>0.94458364783680004</v>
      </c>
      <c r="IL86" s="3">
        <f>$H86*factors!IF$3</f>
        <v>0.9043107016112002</v>
      </c>
      <c r="IM86" s="3">
        <f>$H86*factors!IG$3</f>
        <v>0.89607305351960009</v>
      </c>
      <c r="IN86" s="3">
        <f>$H86*factors!IH$3</f>
        <v>0.90156481891400009</v>
      </c>
      <c r="IO86" s="3">
        <f>$H86*factors!II$3</f>
        <v>0.91071776123800008</v>
      </c>
      <c r="IP86" s="3">
        <f>$H86*factors!IJ$3</f>
        <v>0.88051305156880011</v>
      </c>
      <c r="IQ86" s="3">
        <f>$H86*factors!IK$3</f>
        <v>0.8777671688716</v>
      </c>
      <c r="IR86" s="3">
        <f>$H86*factors!IL$3</f>
        <v>0.90339540737880009</v>
      </c>
      <c r="IS86" s="3">
        <f>$H86*factors!IM$3</f>
        <v>0.91071776123800008</v>
      </c>
      <c r="IT86" s="3">
        <f>$H86*factors!IN$3</f>
        <v>0.91712482086480007</v>
      </c>
      <c r="IU86" s="3">
        <f>$H86*factors!IO$3</f>
        <v>0.93726129397760016</v>
      </c>
      <c r="IV86" s="3">
        <f>$H86*factors!IP$3</f>
        <v>0.94916011899880004</v>
      </c>
      <c r="IW86" s="3">
        <f>$H86*factors!IQ$3</f>
        <v>0.89698834775199998</v>
      </c>
      <c r="IX86" s="3">
        <f>$H86*factors!IR$3</f>
        <v>0.93726129397760016</v>
      </c>
      <c r="IY86" s="3">
        <f>$H86*factors!IS$3</f>
        <v>0.92353188049159995</v>
      </c>
      <c r="IZ86" s="3">
        <f>$H86*factors!IT$3</f>
        <v>0.93909188244240016</v>
      </c>
      <c r="JA86" s="3">
        <f>$H86*factors!IU$3</f>
        <v>0.88692011119559999</v>
      </c>
      <c r="JB86" s="3">
        <f>$H86*factors!IV$3</f>
        <v>0.90339540737880009</v>
      </c>
      <c r="JC86" s="3">
        <f>$H86*factors!IW$3</f>
        <v>0.88234364003360011</v>
      </c>
      <c r="JD86" s="3">
        <f>$H86*factors!IX$3</f>
        <v>0.96105894402000014</v>
      </c>
      <c r="JE86" s="3">
        <f>$H86*factors!IY$3</f>
        <v>0.88508952273079999</v>
      </c>
      <c r="JF86" s="3">
        <f>$H86*factors!IZ$3</f>
        <v>0.92902364588599995</v>
      </c>
      <c r="JG86" s="3">
        <f>$H86*factors!JA$3</f>
        <v>0.91254834970280008</v>
      </c>
      <c r="JH86" s="3">
        <f>$H86*factors!JB$3</f>
        <v>0.92993894011840017</v>
      </c>
      <c r="JI86" s="3">
        <f>$H86*factors!JC$3</f>
        <v>0.87044481501240012</v>
      </c>
      <c r="JJ86" s="3">
        <f>$H86*factors!JD$3</f>
        <v>0.93726129397760016</v>
      </c>
      <c r="JK86" s="3">
        <f>$H86*factors!JE$3</f>
        <v>0.90705658430840008</v>
      </c>
      <c r="JL86" s="3">
        <f>$H86*factors!JF$3</f>
        <v>0.94366835360440005</v>
      </c>
      <c r="JM86" s="3">
        <f>$H86*factors!JG$3</f>
        <v>0.88051305156880011</v>
      </c>
      <c r="JN86" s="3">
        <f>$H86*factors!JH$3</f>
        <v>0.88051305156880011</v>
      </c>
      <c r="JO86" s="3">
        <f>$H86*factors!JI$3</f>
        <v>0.86952952078000001</v>
      </c>
      <c r="JP86" s="3">
        <f>$H86*factors!JJ$3</f>
        <v>0.94000717667480005</v>
      </c>
      <c r="JQ86" s="3">
        <f>$H86*factors!JK$3</f>
        <v>0.91620952663239996</v>
      </c>
      <c r="JR86" s="3">
        <f>$H86*factors!JL$3</f>
        <v>0.95190600169600004</v>
      </c>
      <c r="JS86" s="3">
        <f>$H86*factors!JM$3</f>
        <v>0.86952952078000001</v>
      </c>
      <c r="JT86" s="3">
        <f>$H86*factors!JN$3</f>
        <v>0.91346364393520008</v>
      </c>
      <c r="JU86" s="3">
        <f>$H86*factors!JO$3</f>
        <v>0.883258934266</v>
      </c>
      <c r="JV86" s="3">
        <f>$H86*factors!JP$3</f>
        <v>0.89790364198440009</v>
      </c>
      <c r="JW86" s="3">
        <f>$H86*factors!JQ$3</f>
        <v>0.95922835555520014</v>
      </c>
      <c r="JX86" s="3">
        <f>$H86*factors!JR$3</f>
        <v>0.95007541323120004</v>
      </c>
      <c r="JY86" s="3">
        <f>$H86*factors!JS$3</f>
        <v>0.8942424650548001</v>
      </c>
      <c r="JZ86" s="3">
        <f>$H86*factors!JT$3</f>
        <v>0.9043107016112002</v>
      </c>
      <c r="KA86" s="3">
        <f>$H86*factors!JU$3</f>
        <v>0.90797187854080008</v>
      </c>
      <c r="KB86" s="3">
        <f>$H86*factors!JV$3</f>
        <v>0.8777671688716</v>
      </c>
      <c r="KC86" s="3">
        <f>$H86*factors!JW$3</f>
        <v>0.88234364003360011</v>
      </c>
      <c r="KD86" s="3">
        <f>$H86*factors!JX$3</f>
        <v>0.883258934266</v>
      </c>
      <c r="KE86" s="3">
        <f>$H86*factors!JY$3</f>
        <v>0.94000717667480005</v>
      </c>
      <c r="KF86" s="3">
        <f>$H86*factors!JZ$3</f>
        <v>0.95099070746360004</v>
      </c>
      <c r="KG86" s="3">
        <f>$H86*factors!KA$3</f>
        <v>0.91712482086480007</v>
      </c>
      <c r="KH86" s="3">
        <f>$H86*factors!KB$3</f>
        <v>0.89698834775199998</v>
      </c>
      <c r="KI86" s="3">
        <f>$H86*factors!KC$3</f>
        <v>0.88875069966039999</v>
      </c>
    </row>
    <row r="87" spans="1:295" x14ac:dyDescent="0.55000000000000004">
      <c r="A87" t="s">
        <v>464</v>
      </c>
      <c r="B87">
        <v>86</v>
      </c>
      <c r="C87">
        <v>230</v>
      </c>
      <c r="D87" t="s">
        <v>377</v>
      </c>
      <c r="E87">
        <v>1.5035E-2</v>
      </c>
      <c r="F87">
        <v>86</v>
      </c>
      <c r="G87">
        <f>VLOOKUP(D87,demand_forecasted!$A$2:$G$11,2)</f>
        <v>11098</v>
      </c>
      <c r="H87" s="3">
        <f t="shared" si="1"/>
        <v>1.6685843</v>
      </c>
      <c r="I87" s="3">
        <f>$H87*factors!C$3</f>
        <v>1.8471228201000001</v>
      </c>
      <c r="J87" s="3">
        <f>$H87*factors!D$3</f>
        <v>1.780446191472</v>
      </c>
      <c r="K87" s="3">
        <f>$H87*factors!E$3</f>
        <v>1.7498109837240001</v>
      </c>
      <c r="L87" s="3">
        <f>$H87*factors!F$3</f>
        <v>1.7444047705920003</v>
      </c>
      <c r="M87" s="3">
        <f>$H87*factors!G$3</f>
        <v>1.742602699548</v>
      </c>
      <c r="N87" s="3">
        <f>$H87*factors!H$3</f>
        <v>1.79306068878</v>
      </c>
      <c r="O87" s="3">
        <f>$H87*factors!I$3</f>
        <v>1.8327062517479999</v>
      </c>
      <c r="P87" s="3">
        <f>$H87*factors!J$3</f>
        <v>1.8543311042760002</v>
      </c>
      <c r="Q87" s="3">
        <f>$H87*factors!K$3</f>
        <v>1.7408006285040001</v>
      </c>
      <c r="R87" s="3">
        <f>$H87*factors!L$3</f>
        <v>1.7119674918000001</v>
      </c>
      <c r="S87" s="3">
        <f>$H87*factors!M$3</f>
        <v>1.7822482625159999</v>
      </c>
      <c r="T87" s="3">
        <f>$H87*factors!N$3</f>
        <v>1.8435186780120001</v>
      </c>
      <c r="U87" s="3">
        <f>$H87*factors!O$3</f>
        <v>1.7462068416360002</v>
      </c>
      <c r="V87" s="3">
        <f>$H87*factors!P$3</f>
        <v>1.8164876123520002</v>
      </c>
      <c r="W87" s="3">
        <f>$H87*factors!Q$3</f>
        <v>1.8327062517479999</v>
      </c>
      <c r="X87" s="3">
        <f>$H87*factors!R$3</f>
        <v>1.7534151258120001</v>
      </c>
      <c r="Y87" s="3">
        <f>$H87*factors!S$3</f>
        <v>1.7371964864160001</v>
      </c>
      <c r="Z87" s="3">
        <f>$H87*factors!T$3</f>
        <v>1.8741538857600004</v>
      </c>
      <c r="AA87" s="3">
        <f>$H87*factors!U$3</f>
        <v>1.7696337652079999</v>
      </c>
      <c r="AB87" s="3">
        <f>$H87*factors!V$3</f>
        <v>1.7714358362520002</v>
      </c>
      <c r="AC87" s="3">
        <f>$H87*factors!W$3</f>
        <v>1.7732379072960003</v>
      </c>
      <c r="AD87" s="3">
        <f>$H87*factors!X$3</f>
        <v>1.7353944153720002</v>
      </c>
      <c r="AE87" s="3">
        <f>$H87*factors!Y$3</f>
        <v>1.7498109837240001</v>
      </c>
      <c r="AF87" s="3">
        <f>$H87*factors!Z$3</f>
        <v>1.7858524046040003</v>
      </c>
      <c r="AG87" s="3">
        <f>$H87*factors!AA$3</f>
        <v>1.7408006285040001</v>
      </c>
      <c r="AH87" s="3">
        <f>$H87*factors!AB$3</f>
        <v>1.7335923443280001</v>
      </c>
      <c r="AI87" s="3">
        <f>$H87*factors!AC$3</f>
        <v>1.789456546692</v>
      </c>
      <c r="AJ87" s="3">
        <f>$H87*factors!AD$3</f>
        <v>1.857935246364</v>
      </c>
      <c r="AK87" s="3">
        <f>$H87*factors!AE$3</f>
        <v>1.7876544756480002</v>
      </c>
      <c r="AL87" s="3">
        <f>$H87*factors!AF$3</f>
        <v>1.7173737049319999</v>
      </c>
      <c r="AM87" s="3">
        <f>$H87*factors!AG$3</f>
        <v>1.7660296231200001</v>
      </c>
      <c r="AN87" s="3">
        <f>$H87*factors!AH$3</f>
        <v>1.7371964864160001</v>
      </c>
      <c r="AO87" s="3">
        <f>$H87*factors!AI$3</f>
        <v>1.8200917544399999</v>
      </c>
      <c r="AP87" s="3">
        <f>$H87*factors!AJ$3</f>
        <v>1.7444047705920003</v>
      </c>
      <c r="AQ87" s="3">
        <f>$H87*factors!AK$3</f>
        <v>1.8002689729560002</v>
      </c>
      <c r="AR87" s="3">
        <f>$H87*factors!AL$3</f>
        <v>1.7606234099880003</v>
      </c>
      <c r="AS87" s="3">
        <f>$H87*factors!AM$3</f>
        <v>1.7173737049319999</v>
      </c>
      <c r="AT87" s="3">
        <f>$H87*factors!AN$3</f>
        <v>1.7714358362520002</v>
      </c>
      <c r="AU87" s="3">
        <f>$H87*factors!AO$3</f>
        <v>1.8759559568039998</v>
      </c>
      <c r="AV87" s="3">
        <f>$H87*factors!AP$3</f>
        <v>1.7732379072960003</v>
      </c>
      <c r="AW87" s="3">
        <f>$H87*factors!AQ$3</f>
        <v>1.755217196856</v>
      </c>
      <c r="AX87" s="3">
        <f>$H87*factors!AR$3</f>
        <v>1.8561331753200001</v>
      </c>
      <c r="AY87" s="3">
        <f>$H87*factors!AS$3</f>
        <v>1.7119674918000001</v>
      </c>
      <c r="AZ87" s="3">
        <f>$H87*factors!AT$3</f>
        <v>1.8345083227920003</v>
      </c>
      <c r="BA87" s="3">
        <f>$H87*factors!AU$3</f>
        <v>1.7948627598239999</v>
      </c>
      <c r="BB87" s="3">
        <f>$H87*factors!AV$3</f>
        <v>1.7714358362520002</v>
      </c>
      <c r="BC87" s="3">
        <f>$H87*factors!AW$3</f>
        <v>1.8741538857600004</v>
      </c>
      <c r="BD87" s="3">
        <f>$H87*factors!AX$3</f>
        <v>1.7299882022399999</v>
      </c>
      <c r="BE87" s="3">
        <f>$H87*factors!AY$3</f>
        <v>2.033904146642</v>
      </c>
      <c r="BF87" s="3">
        <f>$H87*factors!AZ$3</f>
        <v>1.8941101539879999</v>
      </c>
      <c r="BG87" s="3">
        <f>$H87*factors!BA$3</f>
        <v>1.9216751666239997</v>
      </c>
      <c r="BH87" s="3">
        <f>$H87*factors!BB$3</f>
        <v>1.9472712497859999</v>
      </c>
      <c r="BI87" s="3">
        <f>$H87*factors!BC$3</f>
        <v>2.0181527108499995</v>
      </c>
      <c r="BJ87" s="3">
        <f>$H87*factors!BD$3</f>
        <v>1.9275819550459998</v>
      </c>
      <c r="BK87" s="3">
        <f>$H87*factors!BE$3</f>
        <v>1.9315198139939997</v>
      </c>
      <c r="BL87" s="3">
        <f>$H87*factors!BF$3</f>
        <v>1.9098615897799998</v>
      </c>
      <c r="BM87" s="3">
        <f>$H87*factors!BG$3</f>
        <v>2.0398109350640001</v>
      </c>
      <c r="BN87" s="3">
        <f>$H87*factors!BH$3</f>
        <v>2.014214851902</v>
      </c>
      <c r="BO87" s="3">
        <f>$H87*factors!BI$3</f>
        <v>1.8941101539879999</v>
      </c>
      <c r="BP87" s="3">
        <f>$H87*factors!BJ$3</f>
        <v>1.8882033655659998</v>
      </c>
      <c r="BQ87" s="3">
        <f>$H87*factors!BK$3</f>
        <v>1.9197062371499998</v>
      </c>
      <c r="BR87" s="3">
        <f>$H87*factors!BL$3</f>
        <v>1.9886187687399999</v>
      </c>
      <c r="BS87" s="3">
        <f>$H87*factors!BM$3</f>
        <v>2.0201216403240001</v>
      </c>
      <c r="BT87" s="3">
        <f>$H87*factors!BN$3</f>
        <v>2.0260284287459998</v>
      </c>
      <c r="BU87" s="3">
        <f>$H87*factors!BO$3</f>
        <v>2.0595002298040002</v>
      </c>
      <c r="BV87" s="3">
        <f>$H87*factors!BP$3</f>
        <v>1.9157683782019999</v>
      </c>
      <c r="BW87" s="3">
        <f>$H87*factors!BQ$3</f>
        <v>1.9590848266299998</v>
      </c>
      <c r="BX87" s="3">
        <f>$H87*factors!BR$3</f>
        <v>1.9216751666239997</v>
      </c>
      <c r="BY87" s="3">
        <f>$H87*factors!BS$3</f>
        <v>2.0102769929539996</v>
      </c>
      <c r="BZ87" s="3">
        <f>$H87*factors!BT$3</f>
        <v>1.9728673329479998</v>
      </c>
      <c r="CA87" s="3">
        <f>$H87*factors!BU$3</f>
        <v>1.9472712497859999</v>
      </c>
      <c r="CB87" s="3">
        <f>$H87*factors!BV$3</f>
        <v>1.8842655066179999</v>
      </c>
      <c r="CC87" s="3">
        <f>$H87*factors!BW$3</f>
        <v>1.9393955318899998</v>
      </c>
      <c r="CD87" s="3">
        <f>$H87*factors!BX$3</f>
        <v>1.9453023203119999</v>
      </c>
      <c r="CE87" s="3">
        <f>$H87*factors!BY$3</f>
        <v>1.9728673329479998</v>
      </c>
      <c r="CF87" s="3">
        <f>$H87*factors!BZ$3</f>
        <v>1.9433333908380002</v>
      </c>
      <c r="CG87" s="3">
        <f>$H87*factors!CA$3</f>
        <v>1.8783587181959998</v>
      </c>
      <c r="CH87" s="3">
        <f>$H87*factors!CB$3</f>
        <v>1.8803276476699997</v>
      </c>
      <c r="CI87" s="3">
        <f>$H87*factors!CC$3</f>
        <v>1.8704830002999999</v>
      </c>
      <c r="CJ87" s="3">
        <f>$H87*factors!CD$3</f>
        <v>1.9472712497859999</v>
      </c>
      <c r="CK87" s="3">
        <f>$H87*factors!CE$3</f>
        <v>2.033904146642</v>
      </c>
      <c r="CL87" s="3">
        <f>$H87*factors!CF$3</f>
        <v>1.9059237308319998</v>
      </c>
      <c r="CM87" s="3">
        <f>$H87*factors!CG$3</f>
        <v>1.9512091087339998</v>
      </c>
      <c r="CN87" s="3">
        <f>$H87*factors!CH$3</f>
        <v>1.8862344360919998</v>
      </c>
      <c r="CO87" s="3">
        <f>$H87*factors!CI$3</f>
        <v>1.9000169424099997</v>
      </c>
      <c r="CP87" s="3">
        <f>$H87*factors!CJ$3</f>
        <v>1.9905876982139996</v>
      </c>
      <c r="CQ87" s="3">
        <f>$H87*factors!CK$3</f>
        <v>1.9315198139939997</v>
      </c>
      <c r="CR87" s="3">
        <f>$H87*factors!CL$3</f>
        <v>1.9925566276879998</v>
      </c>
      <c r="CS87" s="3">
        <f>$H87*factors!CM$3</f>
        <v>2.0555623708559998</v>
      </c>
      <c r="CT87" s="3">
        <f>$H87*factors!CN$3</f>
        <v>2.0319352171679999</v>
      </c>
      <c r="CU87" s="3">
        <f>$H87*factors!CO$3</f>
        <v>1.9866498392659997</v>
      </c>
      <c r="CV87" s="3">
        <f>$H87*factors!CP$3</f>
        <v>2.0673759477</v>
      </c>
      <c r="CW87" s="3">
        <f>$H87*factors!CQ$3</f>
        <v>1.9551469676820001</v>
      </c>
      <c r="CX87" s="3">
        <f>$H87*factors!CR$3</f>
        <v>1.9256130255719999</v>
      </c>
      <c r="CY87" s="3">
        <f>$H87*factors!CS$3</f>
        <v>1.9078926603059998</v>
      </c>
      <c r="CZ87" s="3">
        <f>$H87*factors!CT$3</f>
        <v>1.8803276476699997</v>
      </c>
      <c r="DA87" s="3">
        <f>$H87*factors!CU$3</f>
        <v>1.952243631</v>
      </c>
      <c r="DB87" s="3">
        <f>$H87*factors!CV$3</f>
        <v>2.0783886040800001</v>
      </c>
      <c r="DC87" s="3">
        <f>$H87*factors!CW$3</f>
        <v>1.9902873530399998</v>
      </c>
      <c r="DD87" s="3">
        <f>$H87*factors!CX$3</f>
        <v>1.9762712449199999</v>
      </c>
      <c r="DE87" s="3">
        <f>$H87*factors!CY$3</f>
        <v>2.03433797856</v>
      </c>
      <c r="DF87" s="3">
        <f>$H87*factors!CZ$3</f>
        <v>2.0303333762399998</v>
      </c>
      <c r="DG87" s="3">
        <f>$H87*factors!DA$3</f>
        <v>2.0223241715999998</v>
      </c>
      <c r="DH87" s="3">
        <f>$H87*factors!DB$3</f>
        <v>2.0223241715999998</v>
      </c>
      <c r="DI87" s="3">
        <f>$H87*factors!DC$3</f>
        <v>1.9462367275199999</v>
      </c>
      <c r="DJ87" s="3">
        <f>$H87*factors!DD$3</f>
        <v>2.0623701948000002</v>
      </c>
      <c r="DK87" s="3">
        <f>$H87*factors!DE$3</f>
        <v>2.0623701948000002</v>
      </c>
      <c r="DL87" s="3">
        <f>$H87*factors!DF$3</f>
        <v>2.0383425808800002</v>
      </c>
      <c r="DM87" s="3">
        <f>$H87*factors!DG$3</f>
        <v>1.9202068124399998</v>
      </c>
      <c r="DN87" s="3">
        <f>$H87*factors!DH$3</f>
        <v>2.0143149669600002</v>
      </c>
      <c r="DO87" s="3">
        <f>$H87*factors!DI$3</f>
        <v>2.0803909052399998</v>
      </c>
      <c r="DP87" s="3">
        <f>$H87*factors!DJ$3</f>
        <v>2.0623701948000002</v>
      </c>
      <c r="DQ87" s="3">
        <f>$H87*factors!DK$3</f>
        <v>1.9662597391199998</v>
      </c>
      <c r="DR87" s="3">
        <f>$H87*factors!DL$3</f>
        <v>1.94423442636</v>
      </c>
      <c r="DS87" s="3">
        <f>$H87*factors!DM$3</f>
        <v>2.10041391684</v>
      </c>
      <c r="DT87" s="3">
        <f>$H87*factors!DN$3</f>
        <v>1.9742689437600001</v>
      </c>
      <c r="DU87" s="3">
        <f>$H87*factors!DO$3</f>
        <v>2.0663747971199999</v>
      </c>
      <c r="DV87" s="3">
        <f>$H87*factors!DP$3</f>
        <v>2.01831956928</v>
      </c>
      <c r="DW87" s="3">
        <f>$H87*factors!DQ$3</f>
        <v>1.9262137159199999</v>
      </c>
      <c r="DX87" s="3">
        <f>$H87*factors!DR$3</f>
        <v>2.0403448820399999</v>
      </c>
      <c r="DY87" s="3">
        <f>$H87*factors!DS$3</f>
        <v>1.9362252217199998</v>
      </c>
      <c r="DZ87" s="3">
        <f>$H87*factors!DT$3</f>
        <v>2.0703793994399997</v>
      </c>
      <c r="EA87" s="3">
        <f>$H87*factors!DU$3</f>
        <v>1.9502413298399996</v>
      </c>
      <c r="EB87" s="3">
        <f>$H87*factors!DV$3</f>
        <v>1.9021861019999999</v>
      </c>
      <c r="EC87" s="3">
        <f>$H87*factors!DW$3</f>
        <v>2.0463517855199997</v>
      </c>
      <c r="ED87" s="3">
        <f>$H87*factors!DX$3</f>
        <v>1.9202068124399998</v>
      </c>
      <c r="EE87" s="3">
        <f>$H87*factors!DY$3</f>
        <v>1.9362252217199998</v>
      </c>
      <c r="EF87" s="3">
        <f>$H87*factors!DZ$3</f>
        <v>2.10041391684</v>
      </c>
      <c r="EG87" s="3">
        <f>$H87*factors!EA$3</f>
        <v>1.9622551367999999</v>
      </c>
      <c r="EH87" s="3">
        <f>$H87*factors!EB$3</f>
        <v>1.96826204028</v>
      </c>
      <c r="EI87" s="3">
        <f>$H87*factors!EC$3</f>
        <v>1.96425743796</v>
      </c>
      <c r="EJ87" s="3">
        <f>$H87*factors!ED$3</f>
        <v>1.9141999089599999</v>
      </c>
      <c r="EK87" s="3">
        <f>$H87*factors!EE$3</f>
        <v>2.0463517855199997</v>
      </c>
      <c r="EL87" s="3">
        <f>$H87*factors!EF$3</f>
        <v>1.9462367275199999</v>
      </c>
      <c r="EM87" s="3">
        <f>$H87*factors!EG$3</f>
        <v>2.0243264727599999</v>
      </c>
      <c r="EN87" s="3">
        <f>$H87*factors!EH$3</f>
        <v>1.9021861019999999</v>
      </c>
      <c r="EO87" s="3">
        <f>$H87*factors!EI$3</f>
        <v>1.9302183182399997</v>
      </c>
      <c r="EP87" s="3">
        <f>$H87*factors!EJ$3</f>
        <v>2.0363402797200001</v>
      </c>
      <c r="EQ87" s="3">
        <f>$H87*factors!EK$3</f>
        <v>1.9802758472399997</v>
      </c>
      <c r="ER87" s="3">
        <f>$H87*factors!EL$3</f>
        <v>2.0623701948000002</v>
      </c>
      <c r="ES87" s="3">
        <f>$H87*factors!EM$3</f>
        <v>2.0363402797200001</v>
      </c>
      <c r="ET87" s="3">
        <f>$H87*factors!EN$3</f>
        <v>2.0823932063999999</v>
      </c>
      <c r="EU87" s="3">
        <f>$H87*factors!EO$3</f>
        <v>2.1024162180000001</v>
      </c>
      <c r="EV87" s="3">
        <f>$H87*factors!EP$3</f>
        <v>1.9702643414399998</v>
      </c>
      <c r="EW87" s="3">
        <f>$H87*factors!EQ$3</f>
        <v>2.1670738596249999</v>
      </c>
      <c r="EX87" s="3">
        <f>$H87*factors!ER$3</f>
        <v>2.1441308255000004</v>
      </c>
      <c r="EY87" s="3">
        <f>$H87*factors!ES$3</f>
        <v>2.1879311633749996</v>
      </c>
      <c r="EZ87" s="3">
        <f>$H87*factors!ET$3</f>
        <v>2.1670738596249999</v>
      </c>
      <c r="FA87" s="3">
        <f>$H87*factors!EU$3</f>
        <v>1.9918725081249997</v>
      </c>
      <c r="FB87" s="3">
        <f>$H87*factors!EV$3</f>
        <v>2.0815589142499999</v>
      </c>
      <c r="FC87" s="3">
        <f>$H87*factors!EW$3</f>
        <v>2.1399593647500001</v>
      </c>
      <c r="FD87" s="3">
        <f>$H87*factors!EX$3</f>
        <v>2.0648730712500001</v>
      </c>
      <c r="FE87" s="3">
        <f>$H87*factors!EY$3</f>
        <v>2.175416781125</v>
      </c>
      <c r="FF87" s="3">
        <f>$H87*factors!EZ$3</f>
        <v>2.1775025115000002</v>
      </c>
      <c r="FG87" s="3">
        <f>$H87*factors!FA$3</f>
        <v>1.9918725081249997</v>
      </c>
      <c r="FH87" s="3">
        <f>$H87*factors!FB$3</f>
        <v>2.0961590268749997</v>
      </c>
      <c r="FI87" s="3">
        <f>$H87*factors!FC$3</f>
        <v>2.1837597026249997</v>
      </c>
      <c r="FJ87" s="3">
        <f>$H87*factors!FD$3</f>
        <v>2.0961590268749997</v>
      </c>
      <c r="FK87" s="3">
        <f>$H87*factors!FE$3</f>
        <v>2.13161644325</v>
      </c>
      <c r="FL87" s="3">
        <f>$H87*factors!FF$3</f>
        <v>2.137873634375</v>
      </c>
      <c r="FM87" s="3">
        <f>$H87*factors!FG$3</f>
        <v>2.1608166684999999</v>
      </c>
      <c r="FN87" s="3">
        <f>$H87*factors!FH$3</f>
        <v>2.021072733375</v>
      </c>
      <c r="FO87" s="3">
        <f>$H87*factors!FI$3</f>
        <v>2.1462165558749997</v>
      </c>
      <c r="FP87" s="3">
        <f>$H87*factors!FJ$3</f>
        <v>2.0857303749999998</v>
      </c>
      <c r="FQ87" s="3">
        <f>$H87*factors!FK$3</f>
        <v>2.0648730712500001</v>
      </c>
      <c r="FR87" s="3">
        <f>$H87*factors!FL$3</f>
        <v>2.10658767875</v>
      </c>
      <c r="FS87" s="3">
        <f>$H87*factors!FM$3</f>
        <v>2.0940732965</v>
      </c>
      <c r="FT87" s="3">
        <f>$H87*factors!FN$3</f>
        <v>2.1399593647500001</v>
      </c>
      <c r="FU87" s="3">
        <f>$H87*factors!FO$3</f>
        <v>2.0565301497499999</v>
      </c>
      <c r="FV87" s="3">
        <f>$H87*factors!FP$3</f>
        <v>2.0398443067500001</v>
      </c>
      <c r="FW87" s="3">
        <f>$H87*factors!FQ$3</f>
        <v>2.1837597026249997</v>
      </c>
      <c r="FX87" s="3">
        <f>$H87*factors!FR$3</f>
        <v>2.1441308255000004</v>
      </c>
      <c r="FY87" s="3">
        <f>$H87*factors!FS$3</f>
        <v>2.1003304876249995</v>
      </c>
      <c r="FZ87" s="3">
        <f>$H87*factors!FT$3</f>
        <v>1.996043968875</v>
      </c>
      <c r="GA87" s="3">
        <f>$H87*factors!FU$3</f>
        <v>2.1003304876249995</v>
      </c>
      <c r="GB87" s="3">
        <f>$H87*factors!FV$3</f>
        <v>2.1775025115000002</v>
      </c>
      <c r="GC87" s="3">
        <f>$H87*factors!FW$3</f>
        <v>2.0398443067500001</v>
      </c>
      <c r="GD87" s="3">
        <f>$H87*factors!FX$3</f>
        <v>2.0753017231249999</v>
      </c>
      <c r="GE87" s="3">
        <f>$H87*factors!FY$3</f>
        <v>2.0753017231249999</v>
      </c>
      <c r="GF87" s="3">
        <f>$H87*factors!FZ$3</f>
        <v>2.0690445319999999</v>
      </c>
      <c r="GG87" s="3">
        <f>$H87*factors!GA$3</f>
        <v>1.9877010473749999</v>
      </c>
      <c r="GH87" s="3">
        <f>$H87*factors!GB$3</f>
        <v>2.1149306002500001</v>
      </c>
      <c r="GI87" s="3">
        <f>$H87*factors!GC$3</f>
        <v>1.983529586625</v>
      </c>
      <c r="GJ87" s="3">
        <f>$H87*factors!GD$3</f>
        <v>1.9877010473749999</v>
      </c>
      <c r="GK87" s="3">
        <f>$H87*factors!GE$3</f>
        <v>2.0377585763749999</v>
      </c>
      <c r="GL87" s="3">
        <f>$H87*factors!GF$3</f>
        <v>2.1587309381250002</v>
      </c>
      <c r="GM87" s="3">
        <f>$H87*factors!GG$3</f>
        <v>2.0461014978750001</v>
      </c>
      <c r="GN87" s="3">
        <f>$H87*factors!GH$3</f>
        <v>2.1107591395000003</v>
      </c>
      <c r="GO87" s="3">
        <f>$H87*factors!GI$3</f>
        <v>1.9939582384999996</v>
      </c>
      <c r="GP87" s="3">
        <f>$H87*factors!GJ$3</f>
        <v>2.137873634375</v>
      </c>
      <c r="GQ87" s="3">
        <f>$H87*factors!GK$3</f>
        <v>2.18167397225</v>
      </c>
      <c r="GR87" s="3">
        <f>$H87*factors!GL$3</f>
        <v>2.1399593647500001</v>
      </c>
      <c r="GS87" s="3">
        <f>$H87*factors!GM$3</f>
        <v>2.023742468255</v>
      </c>
      <c r="GT87" s="3">
        <f>$H87*factors!GN$3</f>
        <v>2.070362713597</v>
      </c>
      <c r="GU87" s="3">
        <f>$H87*factors!GO$3</f>
        <v>2.119102061</v>
      </c>
      <c r="GV87" s="3">
        <f>$H87*factors!GP$3</f>
        <v>2.03433797856</v>
      </c>
      <c r="GW87" s="3">
        <f>$H87*factors!GQ$3</f>
        <v>2.106387448634</v>
      </c>
      <c r="GX87" s="3">
        <f>$H87*factors!GR$3</f>
        <v>2.072481815658</v>
      </c>
      <c r="GY87" s="3">
        <f>$H87*factors!GS$3</f>
        <v>2.0618863053530001</v>
      </c>
      <c r="GZ87" s="3">
        <f>$H87*factors!GT$3</f>
        <v>2.1381739795489998</v>
      </c>
      <c r="HA87" s="3">
        <f>$H87*factors!GU$3</f>
        <v>2.0682436115359999</v>
      </c>
      <c r="HB87" s="3">
        <f>$H87*factors!GV$3</f>
        <v>2.1381739795489998</v>
      </c>
      <c r="HC87" s="3">
        <f>$H87*factors!GW$3</f>
        <v>2.0851964280240001</v>
      </c>
      <c r="HD87" s="3">
        <f>$H87*factors!GX$3</f>
        <v>2.1466503877929997</v>
      </c>
      <c r="HE87" s="3">
        <f>$H87*factors!GY$3</f>
        <v>2.119102061</v>
      </c>
      <c r="HF87" s="3">
        <f>$H87*factors!GZ$3</f>
        <v>2.1847942248909997</v>
      </c>
      <c r="HG87" s="3">
        <f>$H87*factors!HA$3</f>
        <v>2.1000301424510002</v>
      </c>
      <c r="HH87" s="3">
        <f>$H87*factors!HB$3</f>
        <v>2.072481815658</v>
      </c>
      <c r="HI87" s="3">
        <f>$H87*factors!HC$3</f>
        <v>2.047052590926</v>
      </c>
      <c r="HJ87" s="3">
        <f>$H87*factors!HD$3</f>
        <v>2.023742468255</v>
      </c>
      <c r="HK87" s="3">
        <f>$H87*factors!HE$3</f>
        <v>2.1402930816099999</v>
      </c>
      <c r="HL87" s="3">
        <f>$H87*factors!HF$3</f>
        <v>2.0173851620719998</v>
      </c>
      <c r="HM87" s="3">
        <f>$H87*factors!HG$3</f>
        <v>2.0385761826820001</v>
      </c>
      <c r="HN87" s="3">
        <f>$H87*factors!HH$3</f>
        <v>2.1741987145860002</v>
      </c>
      <c r="HO87" s="3">
        <f>$H87*factors!HI$3</f>
        <v>2.0851964280240001</v>
      </c>
      <c r="HP87" s="3">
        <f>$H87*factors!HJ$3</f>
        <v>2.2250571640500003</v>
      </c>
      <c r="HQ87" s="3">
        <f>$H87*factors!HK$3</f>
        <v>2.03433797856</v>
      </c>
      <c r="HR87" s="3">
        <f>$H87*factors!HL$3</f>
        <v>2.157245898098</v>
      </c>
      <c r="HS87" s="3">
        <f>$H87*factors!HM$3</f>
        <v>2.1953897351960001</v>
      </c>
      <c r="HT87" s="3">
        <f>$H87*factors!HN$3</f>
        <v>2.047052590926</v>
      </c>
      <c r="HU87" s="3">
        <f>$H87*factors!HO$3</f>
        <v>2.0682436115359999</v>
      </c>
      <c r="HV87" s="3">
        <f>$H87*factors!HP$3</f>
        <v>2.0936728362680004</v>
      </c>
      <c r="HW87" s="3">
        <f>$H87*factors!HQ$3</f>
        <v>2.1233402651220001</v>
      </c>
      <c r="HX87" s="3">
        <f>$H87*factors!HR$3</f>
        <v>2.2102234496229998</v>
      </c>
      <c r="HY87" s="3">
        <f>$H87*factors!HS$3</f>
        <v>2.1000301424510002</v>
      </c>
      <c r="HZ87" s="3">
        <f>$H87*factors!HT$3</f>
        <v>2.180556020769</v>
      </c>
      <c r="IA87" s="3">
        <f>$H87*factors!HU$3</f>
        <v>2.0746009177190001</v>
      </c>
      <c r="IB87" s="3">
        <f>$H87*factors!HV$3</f>
        <v>2.1466503877929997</v>
      </c>
      <c r="IC87" s="3">
        <f>$H87*factors!HW$3</f>
        <v>2.167841408403</v>
      </c>
      <c r="ID87" s="3">
        <f>$H87*factors!HX$3</f>
        <v>2.0131469579499996</v>
      </c>
      <c r="IE87" s="3">
        <f>$H87*factors!HY$3</f>
        <v>2.1381739795489998</v>
      </c>
      <c r="IF87" s="3">
        <f>$H87*factors!HZ$3</f>
        <v>2.1254593671829998</v>
      </c>
      <c r="IG87" s="3">
        <f>$H87*factors!IA$3</f>
        <v>2.106387448634</v>
      </c>
      <c r="IH87" s="3">
        <f>$H87*factors!IB$3</f>
        <v>2.1847942248909997</v>
      </c>
      <c r="II87" s="3">
        <f>$H87*factors!IC$3</f>
        <v>2.0915537342069999</v>
      </c>
      <c r="IJ87" s="3">
        <f>$H87*factors!ID$3</f>
        <v>2.1106256527560001</v>
      </c>
      <c r="IK87" s="3">
        <f>$H87*factors!IE$3</f>
        <v>2.1869133269520002</v>
      </c>
      <c r="IL87" s="3">
        <f>$H87*factors!IF$3</f>
        <v>2.0936728362680004</v>
      </c>
      <c r="IM87" s="3">
        <f>$H87*factors!IG$3</f>
        <v>2.0746009177190001</v>
      </c>
      <c r="IN87" s="3">
        <f>$H87*factors!IH$3</f>
        <v>2.0873155300850001</v>
      </c>
      <c r="IO87" s="3">
        <f>$H87*factors!II$3</f>
        <v>2.108506550695</v>
      </c>
      <c r="IP87" s="3">
        <f>$H87*factors!IJ$3</f>
        <v>2.0385761826820001</v>
      </c>
      <c r="IQ87" s="3">
        <f>$H87*factors!IK$3</f>
        <v>2.0322188764989999</v>
      </c>
      <c r="IR87" s="3">
        <f>$H87*factors!IL$3</f>
        <v>2.0915537342069999</v>
      </c>
      <c r="IS87" s="3">
        <f>$H87*factors!IM$3</f>
        <v>2.108506550695</v>
      </c>
      <c r="IT87" s="3">
        <f>$H87*factors!IN$3</f>
        <v>2.1233402651220001</v>
      </c>
      <c r="IU87" s="3">
        <f>$H87*factors!IO$3</f>
        <v>2.1699605104640001</v>
      </c>
      <c r="IV87" s="3">
        <f>$H87*factors!IP$3</f>
        <v>2.1975088372569997</v>
      </c>
      <c r="IW87" s="3">
        <f>$H87*factors!IQ$3</f>
        <v>2.0767200197799998</v>
      </c>
      <c r="IX87" s="3">
        <f>$H87*factors!IR$3</f>
        <v>2.1699605104640001</v>
      </c>
      <c r="IY87" s="3">
        <f>$H87*factors!IS$3</f>
        <v>2.1381739795489998</v>
      </c>
      <c r="IZ87" s="3">
        <f>$H87*factors!IT$3</f>
        <v>2.1741987145860002</v>
      </c>
      <c r="JA87" s="3">
        <f>$H87*factors!IU$3</f>
        <v>2.0534098971089998</v>
      </c>
      <c r="JB87" s="3">
        <f>$H87*factors!IV$3</f>
        <v>2.0915537342069999</v>
      </c>
      <c r="JC87" s="3">
        <f>$H87*factors!IW$3</f>
        <v>2.0428143868040003</v>
      </c>
      <c r="JD87" s="3">
        <f>$H87*factors!IX$3</f>
        <v>2.2250571640500003</v>
      </c>
      <c r="JE87" s="3">
        <f>$H87*factors!IY$3</f>
        <v>2.0491716929870001</v>
      </c>
      <c r="JF87" s="3">
        <f>$H87*factors!IZ$3</f>
        <v>2.1508885919149998</v>
      </c>
      <c r="JG87" s="3">
        <f>$H87*factors!JA$3</f>
        <v>2.1127447548169997</v>
      </c>
      <c r="JH87" s="3">
        <f>$H87*factors!JB$3</f>
        <v>2.1530076939760003</v>
      </c>
      <c r="JI87" s="3">
        <f>$H87*factors!JC$3</f>
        <v>2.0152660600110002</v>
      </c>
      <c r="JJ87" s="3">
        <f>$H87*factors!JD$3</f>
        <v>2.1699605104640001</v>
      </c>
      <c r="JK87" s="3">
        <f>$H87*factors!JE$3</f>
        <v>2.1000301424510002</v>
      </c>
      <c r="JL87" s="3">
        <f>$H87*factors!JF$3</f>
        <v>2.1847942248909997</v>
      </c>
      <c r="JM87" s="3">
        <f>$H87*factors!JG$3</f>
        <v>2.0385761826820001</v>
      </c>
      <c r="JN87" s="3">
        <f>$H87*factors!JH$3</f>
        <v>2.0385761826820001</v>
      </c>
      <c r="JO87" s="3">
        <f>$H87*factors!JI$3</f>
        <v>2.0131469579499996</v>
      </c>
      <c r="JP87" s="3">
        <f>$H87*factors!JJ$3</f>
        <v>2.1763178166469999</v>
      </c>
      <c r="JQ87" s="3">
        <f>$H87*factors!JK$3</f>
        <v>2.1212211630610001</v>
      </c>
      <c r="JR87" s="3">
        <f>$H87*factors!JL$3</f>
        <v>2.20386614344</v>
      </c>
      <c r="JS87" s="3">
        <f>$H87*factors!JM$3</f>
        <v>2.0131469579499996</v>
      </c>
      <c r="JT87" s="3">
        <f>$H87*factors!JN$3</f>
        <v>2.1148638568780003</v>
      </c>
      <c r="JU87" s="3">
        <f>$H87*factors!JO$3</f>
        <v>2.0449334888649999</v>
      </c>
      <c r="JV87" s="3">
        <f>$H87*factors!JP$3</f>
        <v>2.0788391218410003</v>
      </c>
      <c r="JW87" s="3">
        <f>$H87*factors!JQ$3</f>
        <v>2.2208189599280002</v>
      </c>
      <c r="JX87" s="3">
        <f>$H87*factors!JR$3</f>
        <v>2.1996279393179998</v>
      </c>
      <c r="JY87" s="3">
        <f>$H87*factors!JS$3</f>
        <v>2.070362713597</v>
      </c>
      <c r="JZ87" s="3">
        <f>$H87*factors!JT$3</f>
        <v>2.0936728362680004</v>
      </c>
      <c r="KA87" s="3">
        <f>$H87*factors!JU$3</f>
        <v>2.1021492445120002</v>
      </c>
      <c r="KB87" s="3">
        <f>$H87*factors!JV$3</f>
        <v>2.0322188764989999</v>
      </c>
      <c r="KC87" s="3">
        <f>$H87*factors!JW$3</f>
        <v>2.0428143868040003</v>
      </c>
      <c r="KD87" s="3">
        <f>$H87*factors!JX$3</f>
        <v>2.0449334888649999</v>
      </c>
      <c r="KE87" s="3">
        <f>$H87*factors!JY$3</f>
        <v>2.1763178166469999</v>
      </c>
      <c r="KF87" s="3">
        <f>$H87*factors!JZ$3</f>
        <v>2.2017470413789999</v>
      </c>
      <c r="KG87" s="3">
        <f>$H87*factors!KA$3</f>
        <v>2.1233402651220001</v>
      </c>
      <c r="KH87" s="3">
        <f>$H87*factors!KB$3</f>
        <v>2.0767200197799998</v>
      </c>
      <c r="KI87" s="3">
        <f>$H87*factors!KC$3</f>
        <v>2.0576481012309999</v>
      </c>
    </row>
    <row r="88" spans="1:295" x14ac:dyDescent="0.55000000000000004">
      <c r="A88" t="s">
        <v>465</v>
      </c>
      <c r="B88">
        <v>87</v>
      </c>
      <c r="C88">
        <v>230</v>
      </c>
      <c r="D88" t="s">
        <v>377</v>
      </c>
      <c r="E88">
        <v>3.3409999999999998E-3</v>
      </c>
      <c r="F88">
        <v>87</v>
      </c>
      <c r="G88">
        <f>VLOOKUP(D88,demand_forecasted!$A$2:$G$11,2)</f>
        <v>11098</v>
      </c>
      <c r="H88" s="3">
        <f t="shared" ref="H88:H151" si="2">G88*E88/100</f>
        <v>0.37078418000000002</v>
      </c>
      <c r="I88" s="3">
        <f>$H88*factors!C$3</f>
        <v>0.41045808725999999</v>
      </c>
      <c r="J88" s="3">
        <f>$H88*factors!D$3</f>
        <v>0.39564155142720003</v>
      </c>
      <c r="K88" s="3">
        <f>$H88*factors!E$3</f>
        <v>0.38883395388240005</v>
      </c>
      <c r="L88" s="3">
        <f>$H88*factors!F$3</f>
        <v>0.38763261313920006</v>
      </c>
      <c r="M88" s="3">
        <f>$H88*factors!G$3</f>
        <v>0.3872321662248</v>
      </c>
      <c r="N88" s="3">
        <f>$H88*factors!H$3</f>
        <v>0.39844467982800003</v>
      </c>
      <c r="O88" s="3">
        <f>$H88*factors!I$3</f>
        <v>0.4072545119448</v>
      </c>
      <c r="P88" s="3">
        <f>$H88*factors!J$3</f>
        <v>0.41205987491760004</v>
      </c>
      <c r="Q88" s="3">
        <f>$H88*factors!K$3</f>
        <v>0.3868317193104</v>
      </c>
      <c r="R88" s="3">
        <f>$H88*factors!L$3</f>
        <v>0.38042456868000002</v>
      </c>
      <c r="S88" s="3">
        <f>$H88*factors!M$3</f>
        <v>0.39604199834160003</v>
      </c>
      <c r="T88" s="3">
        <f>$H88*factors!N$3</f>
        <v>0.40965719343120005</v>
      </c>
      <c r="U88" s="3">
        <f>$H88*factors!O$3</f>
        <v>0.38803306005360005</v>
      </c>
      <c r="V88" s="3">
        <f>$H88*factors!P$3</f>
        <v>0.40365048971520007</v>
      </c>
      <c r="W88" s="3">
        <f>$H88*factors!Q$3</f>
        <v>0.4072545119448</v>
      </c>
      <c r="X88" s="3">
        <f>$H88*factors!R$3</f>
        <v>0.38963484771119999</v>
      </c>
      <c r="Y88" s="3">
        <f>$H88*factors!S$3</f>
        <v>0.38603082548160006</v>
      </c>
      <c r="Z88" s="3">
        <f>$H88*factors!T$3</f>
        <v>0.41646479097600009</v>
      </c>
      <c r="AA88" s="3">
        <f>$H88*factors!U$3</f>
        <v>0.39323886994079998</v>
      </c>
      <c r="AB88" s="3">
        <f>$H88*factors!V$3</f>
        <v>0.39363931685520009</v>
      </c>
      <c r="AC88" s="3">
        <f>$H88*factors!W$3</f>
        <v>0.39403976376960004</v>
      </c>
      <c r="AD88" s="3">
        <f>$H88*factors!X$3</f>
        <v>0.38563037856720006</v>
      </c>
      <c r="AE88" s="3">
        <f>$H88*factors!Y$3</f>
        <v>0.38883395388240005</v>
      </c>
      <c r="AF88" s="3">
        <f>$H88*factors!Z$3</f>
        <v>0.39684289217040009</v>
      </c>
      <c r="AG88" s="3">
        <f>$H88*factors!AA$3</f>
        <v>0.3868317193104</v>
      </c>
      <c r="AH88" s="3">
        <f>$H88*factors!AB$3</f>
        <v>0.38522993165280006</v>
      </c>
      <c r="AI88" s="3">
        <f>$H88*factors!AC$3</f>
        <v>0.39764378599920003</v>
      </c>
      <c r="AJ88" s="3">
        <f>$H88*factors!AD$3</f>
        <v>0.41286076874640004</v>
      </c>
      <c r="AK88" s="3">
        <f>$H88*factors!AE$3</f>
        <v>0.39724333908480003</v>
      </c>
      <c r="AL88" s="3">
        <f>$H88*factors!AF$3</f>
        <v>0.38162590942320002</v>
      </c>
      <c r="AM88" s="3">
        <f>$H88*factors!AG$3</f>
        <v>0.39243797611200004</v>
      </c>
      <c r="AN88" s="3">
        <f>$H88*factors!AH$3</f>
        <v>0.38603082548160006</v>
      </c>
      <c r="AO88" s="3">
        <f>$H88*factors!AI$3</f>
        <v>0.40445138354400001</v>
      </c>
      <c r="AP88" s="3">
        <f>$H88*factors!AJ$3</f>
        <v>0.38763261313920006</v>
      </c>
      <c r="AQ88" s="3">
        <f>$H88*factors!AK$3</f>
        <v>0.40004646748560008</v>
      </c>
      <c r="AR88" s="3">
        <f>$H88*factors!AL$3</f>
        <v>0.39123663536880005</v>
      </c>
      <c r="AS88" s="3">
        <f>$H88*factors!AM$3</f>
        <v>0.38162590942320002</v>
      </c>
      <c r="AT88" s="3">
        <f>$H88*factors!AN$3</f>
        <v>0.39363931685520009</v>
      </c>
      <c r="AU88" s="3">
        <f>$H88*factors!AO$3</f>
        <v>0.41686523789039998</v>
      </c>
      <c r="AV88" s="3">
        <f>$H88*factors!AP$3</f>
        <v>0.39403976376960004</v>
      </c>
      <c r="AW88" s="3">
        <f>$H88*factors!AQ$3</f>
        <v>0.39003529462559999</v>
      </c>
      <c r="AX88" s="3">
        <f>$H88*factors!AR$3</f>
        <v>0.41246032183200004</v>
      </c>
      <c r="AY88" s="3">
        <f>$H88*factors!AS$3</f>
        <v>0.38042456868000002</v>
      </c>
      <c r="AZ88" s="3">
        <f>$H88*factors!AT$3</f>
        <v>0.40765495885920011</v>
      </c>
      <c r="BA88" s="3">
        <f>$H88*factors!AU$3</f>
        <v>0.39884512674240002</v>
      </c>
      <c r="BB88" s="3">
        <f>$H88*factors!AV$3</f>
        <v>0.39363931685520009</v>
      </c>
      <c r="BC88" s="3">
        <f>$H88*factors!AW$3</f>
        <v>0.41646479097600009</v>
      </c>
      <c r="BD88" s="3">
        <f>$H88*factors!AX$3</f>
        <v>0.38442903782400001</v>
      </c>
      <c r="BE88" s="3">
        <f>$H88*factors!AY$3</f>
        <v>0.45196366836919999</v>
      </c>
      <c r="BF88" s="3">
        <f>$H88*factors!AZ$3</f>
        <v>0.42089936976879999</v>
      </c>
      <c r="BG88" s="3">
        <f>$H88*factors!BA$3</f>
        <v>0.42702472442239997</v>
      </c>
      <c r="BH88" s="3">
        <f>$H88*factors!BB$3</f>
        <v>0.43271255374360001</v>
      </c>
      <c r="BI88" s="3">
        <f>$H88*factors!BC$3</f>
        <v>0.44846346570999995</v>
      </c>
      <c r="BJ88" s="3">
        <f>$H88*factors!BD$3</f>
        <v>0.4283373004196</v>
      </c>
      <c r="BK88" s="3">
        <f>$H88*factors!BE$3</f>
        <v>0.42921235108439998</v>
      </c>
      <c r="BL88" s="3">
        <f>$H88*factors!BF$3</f>
        <v>0.42439957242799997</v>
      </c>
      <c r="BM88" s="3">
        <f>$H88*factors!BG$3</f>
        <v>0.45327624436640002</v>
      </c>
      <c r="BN88" s="3">
        <f>$H88*factors!BH$3</f>
        <v>0.44758841504519997</v>
      </c>
      <c r="BO88" s="3">
        <f>$H88*factors!BI$3</f>
        <v>0.42089936976879999</v>
      </c>
      <c r="BP88" s="3">
        <f>$H88*factors!BJ$3</f>
        <v>0.41958679377159996</v>
      </c>
      <c r="BQ88" s="3">
        <f>$H88*factors!BK$3</f>
        <v>0.42658719908999998</v>
      </c>
      <c r="BR88" s="3">
        <f>$H88*factors!BL$3</f>
        <v>0.44190058572400004</v>
      </c>
      <c r="BS88" s="3">
        <f>$H88*factors!BM$3</f>
        <v>0.4489009910424</v>
      </c>
      <c r="BT88" s="3">
        <f>$H88*factors!BN$3</f>
        <v>0.45021356703959997</v>
      </c>
      <c r="BU88" s="3">
        <f>$H88*factors!BO$3</f>
        <v>0.45765149769040003</v>
      </c>
      <c r="BV88" s="3">
        <f>$H88*factors!BP$3</f>
        <v>0.4257121484252</v>
      </c>
      <c r="BW88" s="3">
        <f>$H88*factors!BQ$3</f>
        <v>0.43533770573800001</v>
      </c>
      <c r="BX88" s="3">
        <f>$H88*factors!BR$3</f>
        <v>0.42702472442239997</v>
      </c>
      <c r="BY88" s="3">
        <f>$H88*factors!BS$3</f>
        <v>0.44671336438039994</v>
      </c>
      <c r="BZ88" s="3">
        <f>$H88*factors!BT$3</f>
        <v>0.43840038306479995</v>
      </c>
      <c r="CA88" s="3">
        <f>$H88*factors!BU$3</f>
        <v>0.43271255374360001</v>
      </c>
      <c r="CB88" s="3">
        <f>$H88*factors!BV$3</f>
        <v>0.41871174310679998</v>
      </c>
      <c r="CC88" s="3">
        <f>$H88*factors!BW$3</f>
        <v>0.430962452414</v>
      </c>
      <c r="CD88" s="3">
        <f>$H88*factors!BX$3</f>
        <v>0.43227502841120002</v>
      </c>
      <c r="CE88" s="3">
        <f>$H88*factors!BY$3</f>
        <v>0.43840038306479995</v>
      </c>
      <c r="CF88" s="3">
        <f>$H88*factors!BZ$3</f>
        <v>0.43183750307880003</v>
      </c>
      <c r="CG88" s="3">
        <f>$H88*factors!CA$3</f>
        <v>0.41739916710959996</v>
      </c>
      <c r="CH88" s="3">
        <f>$H88*factors!CB$3</f>
        <v>0.41783669244199995</v>
      </c>
      <c r="CI88" s="3">
        <f>$H88*factors!CC$3</f>
        <v>0.41564906577999999</v>
      </c>
      <c r="CJ88" s="3">
        <f>$H88*factors!CD$3</f>
        <v>0.43271255374360001</v>
      </c>
      <c r="CK88" s="3">
        <f>$H88*factors!CE$3</f>
        <v>0.45196366836919999</v>
      </c>
      <c r="CL88" s="3">
        <f>$H88*factors!CF$3</f>
        <v>0.42352452176319999</v>
      </c>
      <c r="CM88" s="3">
        <f>$H88*factors!CG$3</f>
        <v>0.4335876044084</v>
      </c>
      <c r="CN88" s="3">
        <f>$H88*factors!CH$3</f>
        <v>0.41914926843919997</v>
      </c>
      <c r="CO88" s="3">
        <f>$H88*factors!CI$3</f>
        <v>0.42221194576599996</v>
      </c>
      <c r="CP88" s="3">
        <f>$H88*factors!CJ$3</f>
        <v>0.44233811105639992</v>
      </c>
      <c r="CQ88" s="3">
        <f>$H88*factors!CK$3</f>
        <v>0.42921235108439998</v>
      </c>
      <c r="CR88" s="3">
        <f>$H88*factors!CL$3</f>
        <v>0.44277563638879996</v>
      </c>
      <c r="CS88" s="3">
        <f>$H88*factors!CM$3</f>
        <v>0.4567764470256</v>
      </c>
      <c r="CT88" s="3">
        <f>$H88*factors!CN$3</f>
        <v>0.4515261430368</v>
      </c>
      <c r="CU88" s="3">
        <f>$H88*factors!CO$3</f>
        <v>0.44146306039159994</v>
      </c>
      <c r="CV88" s="3">
        <f>$H88*factors!CP$3</f>
        <v>0.45940159902</v>
      </c>
      <c r="CW88" s="3">
        <f>$H88*factors!CQ$3</f>
        <v>0.43446265507320003</v>
      </c>
      <c r="CX88" s="3">
        <f>$H88*factors!CR$3</f>
        <v>0.42789977508720001</v>
      </c>
      <c r="CY88" s="3">
        <f>$H88*factors!CS$3</f>
        <v>0.42396204709559998</v>
      </c>
      <c r="CZ88" s="3">
        <f>$H88*factors!CT$3</f>
        <v>0.41783669244199995</v>
      </c>
      <c r="DA88" s="3">
        <f>$H88*factors!CU$3</f>
        <v>0.43381749060000002</v>
      </c>
      <c r="DB88" s="3">
        <f>$H88*factors!CV$3</f>
        <v>0.46184877460800006</v>
      </c>
      <c r="DC88" s="3">
        <f>$H88*factors!CW$3</f>
        <v>0.44227136990399996</v>
      </c>
      <c r="DD88" s="3">
        <f>$H88*factors!CX$3</f>
        <v>0.43915678279199999</v>
      </c>
      <c r="DE88" s="3">
        <f>$H88*factors!CY$3</f>
        <v>0.45206007225600003</v>
      </c>
      <c r="DF88" s="3">
        <f>$H88*factors!CZ$3</f>
        <v>0.45117019022399996</v>
      </c>
      <c r="DG88" s="3">
        <f>$H88*factors!DA$3</f>
        <v>0.44939042616000002</v>
      </c>
      <c r="DH88" s="3">
        <f>$H88*factors!DB$3</f>
        <v>0.44939042616000002</v>
      </c>
      <c r="DI88" s="3">
        <f>$H88*factors!DC$3</f>
        <v>0.43248266755199999</v>
      </c>
      <c r="DJ88" s="3">
        <f>$H88*factors!DD$3</f>
        <v>0.45828924648000002</v>
      </c>
      <c r="DK88" s="3">
        <f>$H88*factors!DE$3</f>
        <v>0.45828924648000002</v>
      </c>
      <c r="DL88" s="3">
        <f>$H88*factors!DF$3</f>
        <v>0.45294995428800006</v>
      </c>
      <c r="DM88" s="3">
        <f>$H88*factors!DG$3</f>
        <v>0.42669843434399995</v>
      </c>
      <c r="DN88" s="3">
        <f>$H88*factors!DH$3</f>
        <v>0.44761066209600003</v>
      </c>
      <c r="DO88" s="3">
        <f>$H88*factors!DI$3</f>
        <v>0.46229371562400001</v>
      </c>
      <c r="DP88" s="3">
        <f>$H88*factors!DJ$3</f>
        <v>0.45828924648000002</v>
      </c>
      <c r="DQ88" s="3">
        <f>$H88*factors!DK$3</f>
        <v>0.43693207771199999</v>
      </c>
      <c r="DR88" s="3">
        <f>$H88*factors!DL$3</f>
        <v>0.43203772653600003</v>
      </c>
      <c r="DS88" s="3">
        <f>$H88*factors!DM$3</f>
        <v>0.46674312578400001</v>
      </c>
      <c r="DT88" s="3">
        <f>$H88*factors!DN$3</f>
        <v>0.43871184177600003</v>
      </c>
      <c r="DU88" s="3">
        <f>$H88*factors!DO$3</f>
        <v>0.45917912851199999</v>
      </c>
      <c r="DV88" s="3">
        <f>$H88*factors!DP$3</f>
        <v>0.448500544128</v>
      </c>
      <c r="DW88" s="3">
        <f>$H88*factors!DQ$3</f>
        <v>0.42803325739199999</v>
      </c>
      <c r="DX88" s="3">
        <f>$H88*factors!DR$3</f>
        <v>0.45339489530399996</v>
      </c>
      <c r="DY88" s="3">
        <f>$H88*factors!DS$3</f>
        <v>0.43025796247199999</v>
      </c>
      <c r="DZ88" s="3">
        <f>$H88*factors!DT$3</f>
        <v>0.46006901054400001</v>
      </c>
      <c r="EA88" s="3">
        <f>$H88*factors!DU$3</f>
        <v>0.43337254958399996</v>
      </c>
      <c r="EB88" s="3">
        <f>$H88*factors!DV$3</f>
        <v>0.42269396519999997</v>
      </c>
      <c r="EC88" s="3">
        <f>$H88*factors!DW$3</f>
        <v>0.45472971835199999</v>
      </c>
      <c r="ED88" s="3">
        <f>$H88*factors!DX$3</f>
        <v>0.42669843434399995</v>
      </c>
      <c r="EE88" s="3">
        <f>$H88*factors!DY$3</f>
        <v>0.43025796247199999</v>
      </c>
      <c r="EF88" s="3">
        <f>$H88*factors!DZ$3</f>
        <v>0.46674312578400001</v>
      </c>
      <c r="EG88" s="3">
        <f>$H88*factors!EA$3</f>
        <v>0.43604219568000002</v>
      </c>
      <c r="EH88" s="3">
        <f>$H88*factors!EB$3</f>
        <v>0.437377018728</v>
      </c>
      <c r="EI88" s="3">
        <f>$H88*factors!EC$3</f>
        <v>0.43648713669600003</v>
      </c>
      <c r="EJ88" s="3">
        <f>$H88*factors!ED$3</f>
        <v>0.42536361129600003</v>
      </c>
      <c r="EK88" s="3">
        <f>$H88*factors!EE$3</f>
        <v>0.45472971835199999</v>
      </c>
      <c r="EL88" s="3">
        <f>$H88*factors!EF$3</f>
        <v>0.43248266755199999</v>
      </c>
      <c r="EM88" s="3">
        <f>$H88*factors!EG$3</f>
        <v>0.44983536717599998</v>
      </c>
      <c r="EN88" s="3">
        <f>$H88*factors!EH$3</f>
        <v>0.42269396519999997</v>
      </c>
      <c r="EO88" s="3">
        <f>$H88*factors!EI$3</f>
        <v>0.42892313942399996</v>
      </c>
      <c r="EP88" s="3">
        <f>$H88*factors!EJ$3</f>
        <v>0.45250501327199999</v>
      </c>
      <c r="EQ88" s="3">
        <f>$H88*factors!EK$3</f>
        <v>0.44004666482399996</v>
      </c>
      <c r="ER88" s="3">
        <f>$H88*factors!EL$3</f>
        <v>0.45828924648000002</v>
      </c>
      <c r="ES88" s="3">
        <f>$H88*factors!EM$3</f>
        <v>0.45250501327199999</v>
      </c>
      <c r="ET88" s="3">
        <f>$H88*factors!EN$3</f>
        <v>0.46273865664000002</v>
      </c>
      <c r="EU88" s="3">
        <f>$H88*factors!EO$3</f>
        <v>0.46718806680000002</v>
      </c>
      <c r="EV88" s="3">
        <f>$H88*factors!EP$3</f>
        <v>0.43782195974399996</v>
      </c>
      <c r="EW88" s="3">
        <f>$H88*factors!EQ$3</f>
        <v>0.48155595377499999</v>
      </c>
      <c r="EX88" s="3">
        <f>$H88*factors!ER$3</f>
        <v>0.47645767130000005</v>
      </c>
      <c r="EY88" s="3">
        <f>$H88*factors!ES$3</f>
        <v>0.48619075602499995</v>
      </c>
      <c r="EZ88" s="3">
        <f>$H88*factors!ET$3</f>
        <v>0.48155595377499999</v>
      </c>
      <c r="FA88" s="3">
        <f>$H88*factors!EU$3</f>
        <v>0.44262361487499996</v>
      </c>
      <c r="FB88" s="3">
        <f>$H88*factors!EV$3</f>
        <v>0.46255326455000007</v>
      </c>
      <c r="FC88" s="3">
        <f>$H88*factors!EW$3</f>
        <v>0.47553071085000004</v>
      </c>
      <c r="FD88" s="3">
        <f>$H88*factors!EX$3</f>
        <v>0.45884542275000006</v>
      </c>
      <c r="FE88" s="3">
        <f>$H88*factors!EY$3</f>
        <v>0.48340987467500002</v>
      </c>
      <c r="FF88" s="3">
        <f>$H88*factors!EZ$3</f>
        <v>0.48387335490000011</v>
      </c>
      <c r="FG88" s="3">
        <f>$H88*factors!FA$3</f>
        <v>0.44262361487499996</v>
      </c>
      <c r="FH88" s="3">
        <f>$H88*factors!FB$3</f>
        <v>0.46579762612499997</v>
      </c>
      <c r="FI88" s="3">
        <f>$H88*factors!FC$3</f>
        <v>0.48526379557499999</v>
      </c>
      <c r="FJ88" s="3">
        <f>$H88*factors!FD$3</f>
        <v>0.46579762612499997</v>
      </c>
      <c r="FK88" s="3">
        <f>$H88*factors!FE$3</f>
        <v>0.47367678995000007</v>
      </c>
      <c r="FL88" s="3">
        <f>$H88*factors!FF$3</f>
        <v>0.475067230625</v>
      </c>
      <c r="FM88" s="3">
        <f>$H88*factors!FG$3</f>
        <v>0.4801655131</v>
      </c>
      <c r="FN88" s="3">
        <f>$H88*factors!FH$3</f>
        <v>0.449112338025</v>
      </c>
      <c r="FO88" s="3">
        <f>$H88*factors!FI$3</f>
        <v>0.47692115152499998</v>
      </c>
      <c r="FP88" s="3">
        <f>$H88*factors!FJ$3</f>
        <v>0.46348022500000002</v>
      </c>
      <c r="FQ88" s="3">
        <f>$H88*factors!FK$3</f>
        <v>0.45884542275000006</v>
      </c>
      <c r="FR88" s="3">
        <f>$H88*factors!FL$3</f>
        <v>0.46811502724999998</v>
      </c>
      <c r="FS88" s="3">
        <f>$H88*factors!FM$3</f>
        <v>0.4653341459</v>
      </c>
      <c r="FT88" s="3">
        <f>$H88*factors!FN$3</f>
        <v>0.47553071085000004</v>
      </c>
      <c r="FU88" s="3">
        <f>$H88*factors!FO$3</f>
        <v>0.45699150184999998</v>
      </c>
      <c r="FV88" s="3">
        <f>$H88*factors!FP$3</f>
        <v>0.45328366004999998</v>
      </c>
      <c r="FW88" s="3">
        <f>$H88*factors!FQ$3</f>
        <v>0.48526379557499999</v>
      </c>
      <c r="FX88" s="3">
        <f>$H88*factors!FR$3</f>
        <v>0.47645767130000005</v>
      </c>
      <c r="FY88" s="3">
        <f>$H88*factors!FS$3</f>
        <v>0.46672458657499993</v>
      </c>
      <c r="FZ88" s="3">
        <f>$H88*factors!FT$3</f>
        <v>0.44355057532500003</v>
      </c>
      <c r="GA88" s="3">
        <f>$H88*factors!FU$3</f>
        <v>0.46672458657499993</v>
      </c>
      <c r="GB88" s="3">
        <f>$H88*factors!FV$3</f>
        <v>0.48387335490000011</v>
      </c>
      <c r="GC88" s="3">
        <f>$H88*factors!FW$3</f>
        <v>0.45328366004999998</v>
      </c>
      <c r="GD88" s="3">
        <f>$H88*factors!FX$3</f>
        <v>0.46116282387500002</v>
      </c>
      <c r="GE88" s="3">
        <f>$H88*factors!FY$3</f>
        <v>0.46116282387500002</v>
      </c>
      <c r="GF88" s="3">
        <f>$H88*factors!FZ$3</f>
        <v>0.45977238320000002</v>
      </c>
      <c r="GG88" s="3">
        <f>$H88*factors!GA$3</f>
        <v>0.441696654425</v>
      </c>
      <c r="GH88" s="3">
        <f>$H88*factors!GB$3</f>
        <v>0.46996894815000007</v>
      </c>
      <c r="GI88" s="3">
        <f>$H88*factors!GC$3</f>
        <v>0.44076969397499999</v>
      </c>
      <c r="GJ88" s="3">
        <f>$H88*factors!GD$3</f>
        <v>0.441696654425</v>
      </c>
      <c r="GK88" s="3">
        <f>$H88*factors!GE$3</f>
        <v>0.452820179825</v>
      </c>
      <c r="GL88" s="3">
        <f>$H88*factors!GF$3</f>
        <v>0.47970203287500002</v>
      </c>
      <c r="GM88" s="3">
        <f>$H88*factors!GG$3</f>
        <v>0.45467410072500003</v>
      </c>
      <c r="GN88" s="3">
        <f>$H88*factors!GH$3</f>
        <v>0.46904198770000005</v>
      </c>
      <c r="GO88" s="3">
        <f>$H88*factors!GI$3</f>
        <v>0.44308709509999994</v>
      </c>
      <c r="GP88" s="3">
        <f>$H88*factors!GJ$3</f>
        <v>0.475067230625</v>
      </c>
      <c r="GQ88" s="3">
        <f>$H88*factors!GK$3</f>
        <v>0.48480031535000007</v>
      </c>
      <c r="GR88" s="3">
        <f>$H88*factors!GL$3</f>
        <v>0.47553071085000004</v>
      </c>
      <c r="GS88" s="3">
        <f>$H88*factors!GM$3</f>
        <v>0.44970559271300004</v>
      </c>
      <c r="GT88" s="3">
        <f>$H88*factors!GN$3</f>
        <v>0.46006530270220003</v>
      </c>
      <c r="GU88" s="3">
        <f>$H88*factors!GO$3</f>
        <v>0.47089590860000002</v>
      </c>
      <c r="GV88" s="3">
        <f>$H88*factors!GP$3</f>
        <v>0.45206007225600003</v>
      </c>
      <c r="GW88" s="3">
        <f>$H88*factors!GQ$3</f>
        <v>0.46807053314840003</v>
      </c>
      <c r="GX88" s="3">
        <f>$H88*factors!GR$3</f>
        <v>0.46053619861080003</v>
      </c>
      <c r="GY88" s="3">
        <f>$H88*factors!GS$3</f>
        <v>0.45818171906780003</v>
      </c>
      <c r="GZ88" s="3">
        <f>$H88*factors!GT$3</f>
        <v>0.47513397177739997</v>
      </c>
      <c r="HA88" s="3">
        <f>$H88*factors!GU$3</f>
        <v>0.45959440679360003</v>
      </c>
      <c r="HB88" s="3">
        <f>$H88*factors!GV$3</f>
        <v>0.47513397177739997</v>
      </c>
      <c r="HC88" s="3">
        <f>$H88*factors!GW$3</f>
        <v>0.46336157406239997</v>
      </c>
      <c r="HD88" s="3">
        <f>$H88*factors!GX$3</f>
        <v>0.47701755541179997</v>
      </c>
      <c r="HE88" s="3">
        <f>$H88*factors!GY$3</f>
        <v>0.47089590860000002</v>
      </c>
      <c r="HF88" s="3">
        <f>$H88*factors!GZ$3</f>
        <v>0.48549368176660002</v>
      </c>
      <c r="HG88" s="3">
        <f>$H88*factors!HA$3</f>
        <v>0.46665784542260003</v>
      </c>
      <c r="HH88" s="3">
        <f>$H88*factors!HB$3</f>
        <v>0.46053619861080003</v>
      </c>
      <c r="HI88" s="3">
        <f>$H88*factors!HC$3</f>
        <v>0.45488544770760003</v>
      </c>
      <c r="HJ88" s="3">
        <f>$H88*factors!HD$3</f>
        <v>0.44970559271300004</v>
      </c>
      <c r="HK88" s="3">
        <f>$H88*factors!HE$3</f>
        <v>0.47560486768600002</v>
      </c>
      <c r="HL88" s="3">
        <f>$H88*factors!HF$3</f>
        <v>0.44829290498719998</v>
      </c>
      <c r="HM88" s="3">
        <f>$H88*factors!HG$3</f>
        <v>0.45300186407320003</v>
      </c>
      <c r="HN88" s="3">
        <f>$H88*factors!HH$3</f>
        <v>0.48313920222360007</v>
      </c>
      <c r="HO88" s="3">
        <f>$H88*factors!HI$3</f>
        <v>0.46336157406239997</v>
      </c>
      <c r="HP88" s="3">
        <f>$H88*factors!HJ$3</f>
        <v>0.49444070403000007</v>
      </c>
      <c r="HQ88" s="3">
        <f>$H88*factors!HK$3</f>
        <v>0.45206007225600003</v>
      </c>
      <c r="HR88" s="3">
        <f>$H88*factors!HL$3</f>
        <v>0.47937203495480007</v>
      </c>
      <c r="HS88" s="3">
        <f>$H88*factors!HM$3</f>
        <v>0.48784816130960001</v>
      </c>
      <c r="HT88" s="3">
        <f>$H88*factors!HN$3</f>
        <v>0.45488544770760003</v>
      </c>
      <c r="HU88" s="3">
        <f>$H88*factors!HO$3</f>
        <v>0.45959440679360003</v>
      </c>
      <c r="HV88" s="3">
        <f>$H88*factors!HP$3</f>
        <v>0.46524515769680008</v>
      </c>
      <c r="HW88" s="3">
        <f>$H88*factors!HQ$3</f>
        <v>0.47183770041720002</v>
      </c>
      <c r="HX88" s="3">
        <f>$H88*factors!HR$3</f>
        <v>0.49114443266979996</v>
      </c>
      <c r="HY88" s="3">
        <f>$H88*factors!HS$3</f>
        <v>0.46665784542260003</v>
      </c>
      <c r="HZ88" s="3">
        <f>$H88*factors!HT$3</f>
        <v>0.48455188994940002</v>
      </c>
      <c r="IA88" s="3">
        <f>$H88*factors!HU$3</f>
        <v>0.46100709451940003</v>
      </c>
      <c r="IB88" s="3">
        <f>$H88*factors!HV$3</f>
        <v>0.47701755541179997</v>
      </c>
      <c r="IC88" s="3">
        <f>$H88*factors!HW$3</f>
        <v>0.48172651449780002</v>
      </c>
      <c r="ID88" s="3">
        <f>$H88*factors!HX$3</f>
        <v>0.44735111316999998</v>
      </c>
      <c r="IE88" s="3">
        <f>$H88*factors!HY$3</f>
        <v>0.47513397177739997</v>
      </c>
      <c r="IF88" s="3">
        <f>$H88*factors!HZ$3</f>
        <v>0.47230859632579997</v>
      </c>
      <c r="IG88" s="3">
        <f>$H88*factors!IA$3</f>
        <v>0.46807053314840003</v>
      </c>
      <c r="IH88" s="3">
        <f>$H88*factors!IB$3</f>
        <v>0.48549368176660002</v>
      </c>
      <c r="II88" s="3">
        <f>$H88*factors!IC$3</f>
        <v>0.46477426178820003</v>
      </c>
      <c r="IJ88" s="3">
        <f>$H88*factors!ID$3</f>
        <v>0.46901232496560002</v>
      </c>
      <c r="IK88" s="3">
        <f>$H88*factors!IE$3</f>
        <v>0.48596457767520002</v>
      </c>
      <c r="IL88" s="3">
        <f>$H88*factors!IF$3</f>
        <v>0.46524515769680008</v>
      </c>
      <c r="IM88" s="3">
        <f>$H88*factors!IG$3</f>
        <v>0.46100709451940003</v>
      </c>
      <c r="IN88" s="3">
        <f>$H88*factors!IH$3</f>
        <v>0.46383246997100003</v>
      </c>
      <c r="IO88" s="3">
        <f>$H88*factors!II$3</f>
        <v>0.46854142905700003</v>
      </c>
      <c r="IP88" s="3">
        <f>$H88*factors!IJ$3</f>
        <v>0.45300186407320003</v>
      </c>
      <c r="IQ88" s="3">
        <f>$H88*factors!IK$3</f>
        <v>0.45158917634740003</v>
      </c>
      <c r="IR88" s="3">
        <f>$H88*factors!IL$3</f>
        <v>0.46477426178820003</v>
      </c>
      <c r="IS88" s="3">
        <f>$H88*factors!IM$3</f>
        <v>0.46854142905700003</v>
      </c>
      <c r="IT88" s="3">
        <f>$H88*factors!IN$3</f>
        <v>0.47183770041720002</v>
      </c>
      <c r="IU88" s="3">
        <f>$H88*factors!IO$3</f>
        <v>0.48219741040640007</v>
      </c>
      <c r="IV88" s="3">
        <f>$H88*factors!IP$3</f>
        <v>0.48831905721819996</v>
      </c>
      <c r="IW88" s="3">
        <f>$H88*factors!IQ$3</f>
        <v>0.46147799042799997</v>
      </c>
      <c r="IX88" s="3">
        <f>$H88*factors!IR$3</f>
        <v>0.48219741040640007</v>
      </c>
      <c r="IY88" s="3">
        <f>$H88*factors!IS$3</f>
        <v>0.47513397177739997</v>
      </c>
      <c r="IZ88" s="3">
        <f>$H88*factors!IT$3</f>
        <v>0.48313920222360007</v>
      </c>
      <c r="JA88" s="3">
        <f>$H88*factors!IU$3</f>
        <v>0.45629813543339998</v>
      </c>
      <c r="JB88" s="3">
        <f>$H88*factors!IV$3</f>
        <v>0.46477426178820003</v>
      </c>
      <c r="JC88" s="3">
        <f>$H88*factors!IW$3</f>
        <v>0.45394365589040003</v>
      </c>
      <c r="JD88" s="3">
        <f>$H88*factors!IX$3</f>
        <v>0.49444070403000007</v>
      </c>
      <c r="JE88" s="3">
        <f>$H88*factors!IY$3</f>
        <v>0.45535634361619998</v>
      </c>
      <c r="JF88" s="3">
        <f>$H88*factors!IZ$3</f>
        <v>0.47795934722899996</v>
      </c>
      <c r="JG88" s="3">
        <f>$H88*factors!JA$3</f>
        <v>0.46948322087419997</v>
      </c>
      <c r="JH88" s="3">
        <f>$H88*factors!JB$3</f>
        <v>0.47843024313760008</v>
      </c>
      <c r="JI88" s="3">
        <f>$H88*factors!JC$3</f>
        <v>0.44782200907860004</v>
      </c>
      <c r="JJ88" s="3">
        <f>$H88*factors!JD$3</f>
        <v>0.48219741040640007</v>
      </c>
      <c r="JK88" s="3">
        <f>$H88*factors!JE$3</f>
        <v>0.46665784542260003</v>
      </c>
      <c r="JL88" s="3">
        <f>$H88*factors!JF$3</f>
        <v>0.48549368176660002</v>
      </c>
      <c r="JM88" s="3">
        <f>$H88*factors!JG$3</f>
        <v>0.45300186407320003</v>
      </c>
      <c r="JN88" s="3">
        <f>$H88*factors!JH$3</f>
        <v>0.45300186407320003</v>
      </c>
      <c r="JO88" s="3">
        <f>$H88*factors!JI$3</f>
        <v>0.44735111316999998</v>
      </c>
      <c r="JP88" s="3">
        <f>$H88*factors!JJ$3</f>
        <v>0.48361009813220002</v>
      </c>
      <c r="JQ88" s="3">
        <f>$H88*factors!JK$3</f>
        <v>0.47136680450859997</v>
      </c>
      <c r="JR88" s="3">
        <f>$H88*factors!JL$3</f>
        <v>0.48973174494400001</v>
      </c>
      <c r="JS88" s="3">
        <f>$H88*factors!JM$3</f>
        <v>0.44735111316999998</v>
      </c>
      <c r="JT88" s="3">
        <f>$H88*factors!JN$3</f>
        <v>0.46995411678280002</v>
      </c>
      <c r="JU88" s="3">
        <f>$H88*factors!JO$3</f>
        <v>0.45441455179899998</v>
      </c>
      <c r="JV88" s="3">
        <f>$H88*factors!JP$3</f>
        <v>0.46194888633660003</v>
      </c>
      <c r="JW88" s="3">
        <f>$H88*factors!JQ$3</f>
        <v>0.49349891221280007</v>
      </c>
      <c r="JX88" s="3">
        <f>$H88*factors!JR$3</f>
        <v>0.48878995312680001</v>
      </c>
      <c r="JY88" s="3">
        <f>$H88*factors!JS$3</f>
        <v>0.46006530270220003</v>
      </c>
      <c r="JZ88" s="3">
        <f>$H88*factors!JT$3</f>
        <v>0.46524515769680008</v>
      </c>
      <c r="KA88" s="3">
        <f>$H88*factors!JU$3</f>
        <v>0.46712874133120003</v>
      </c>
      <c r="KB88" s="3">
        <f>$H88*factors!JV$3</f>
        <v>0.45158917634740003</v>
      </c>
      <c r="KC88" s="3">
        <f>$H88*factors!JW$3</f>
        <v>0.45394365589040003</v>
      </c>
      <c r="KD88" s="3">
        <f>$H88*factors!JX$3</f>
        <v>0.45441455179899998</v>
      </c>
      <c r="KE88" s="3">
        <f>$H88*factors!JY$3</f>
        <v>0.48361009813220002</v>
      </c>
      <c r="KF88" s="3">
        <f>$H88*factors!JZ$3</f>
        <v>0.48926084903539996</v>
      </c>
      <c r="KG88" s="3">
        <f>$H88*factors!KA$3</f>
        <v>0.47183770041720002</v>
      </c>
      <c r="KH88" s="3">
        <f>$H88*factors!KB$3</f>
        <v>0.46147799042799997</v>
      </c>
      <c r="KI88" s="3">
        <f>$H88*factors!KC$3</f>
        <v>0.45723992725059998</v>
      </c>
    </row>
    <row r="89" spans="1:295" x14ac:dyDescent="0.55000000000000004">
      <c r="A89" t="s">
        <v>466</v>
      </c>
      <c r="B89">
        <v>88</v>
      </c>
      <c r="C89">
        <v>230</v>
      </c>
      <c r="D89" t="s">
        <v>377</v>
      </c>
      <c r="E89">
        <v>3.3409999999999998E-3</v>
      </c>
      <c r="F89">
        <v>88</v>
      </c>
      <c r="G89">
        <f>VLOOKUP(D89,demand_forecasted!$A$2:$G$11,2)</f>
        <v>11098</v>
      </c>
      <c r="H89" s="3">
        <f t="shared" si="2"/>
        <v>0.37078418000000002</v>
      </c>
      <c r="I89" s="3">
        <f>$H89*factors!C$3</f>
        <v>0.41045808725999999</v>
      </c>
      <c r="J89" s="3">
        <f>$H89*factors!D$3</f>
        <v>0.39564155142720003</v>
      </c>
      <c r="K89" s="3">
        <f>$H89*factors!E$3</f>
        <v>0.38883395388240005</v>
      </c>
      <c r="L89" s="3">
        <f>$H89*factors!F$3</f>
        <v>0.38763261313920006</v>
      </c>
      <c r="M89" s="3">
        <f>$H89*factors!G$3</f>
        <v>0.3872321662248</v>
      </c>
      <c r="N89" s="3">
        <f>$H89*factors!H$3</f>
        <v>0.39844467982800003</v>
      </c>
      <c r="O89" s="3">
        <f>$H89*factors!I$3</f>
        <v>0.4072545119448</v>
      </c>
      <c r="P89" s="3">
        <f>$H89*factors!J$3</f>
        <v>0.41205987491760004</v>
      </c>
      <c r="Q89" s="3">
        <f>$H89*factors!K$3</f>
        <v>0.3868317193104</v>
      </c>
      <c r="R89" s="3">
        <f>$H89*factors!L$3</f>
        <v>0.38042456868000002</v>
      </c>
      <c r="S89" s="3">
        <f>$H89*factors!M$3</f>
        <v>0.39604199834160003</v>
      </c>
      <c r="T89" s="3">
        <f>$H89*factors!N$3</f>
        <v>0.40965719343120005</v>
      </c>
      <c r="U89" s="3">
        <f>$H89*factors!O$3</f>
        <v>0.38803306005360005</v>
      </c>
      <c r="V89" s="3">
        <f>$H89*factors!P$3</f>
        <v>0.40365048971520007</v>
      </c>
      <c r="W89" s="3">
        <f>$H89*factors!Q$3</f>
        <v>0.4072545119448</v>
      </c>
      <c r="X89" s="3">
        <f>$H89*factors!R$3</f>
        <v>0.38963484771119999</v>
      </c>
      <c r="Y89" s="3">
        <f>$H89*factors!S$3</f>
        <v>0.38603082548160006</v>
      </c>
      <c r="Z89" s="3">
        <f>$H89*factors!T$3</f>
        <v>0.41646479097600009</v>
      </c>
      <c r="AA89" s="3">
        <f>$H89*factors!U$3</f>
        <v>0.39323886994079998</v>
      </c>
      <c r="AB89" s="3">
        <f>$H89*factors!V$3</f>
        <v>0.39363931685520009</v>
      </c>
      <c r="AC89" s="3">
        <f>$H89*factors!W$3</f>
        <v>0.39403976376960004</v>
      </c>
      <c r="AD89" s="3">
        <f>$H89*factors!X$3</f>
        <v>0.38563037856720006</v>
      </c>
      <c r="AE89" s="3">
        <f>$H89*factors!Y$3</f>
        <v>0.38883395388240005</v>
      </c>
      <c r="AF89" s="3">
        <f>$H89*factors!Z$3</f>
        <v>0.39684289217040009</v>
      </c>
      <c r="AG89" s="3">
        <f>$H89*factors!AA$3</f>
        <v>0.3868317193104</v>
      </c>
      <c r="AH89" s="3">
        <f>$H89*factors!AB$3</f>
        <v>0.38522993165280006</v>
      </c>
      <c r="AI89" s="3">
        <f>$H89*factors!AC$3</f>
        <v>0.39764378599920003</v>
      </c>
      <c r="AJ89" s="3">
        <f>$H89*factors!AD$3</f>
        <v>0.41286076874640004</v>
      </c>
      <c r="AK89" s="3">
        <f>$H89*factors!AE$3</f>
        <v>0.39724333908480003</v>
      </c>
      <c r="AL89" s="3">
        <f>$H89*factors!AF$3</f>
        <v>0.38162590942320002</v>
      </c>
      <c r="AM89" s="3">
        <f>$H89*factors!AG$3</f>
        <v>0.39243797611200004</v>
      </c>
      <c r="AN89" s="3">
        <f>$H89*factors!AH$3</f>
        <v>0.38603082548160006</v>
      </c>
      <c r="AO89" s="3">
        <f>$H89*factors!AI$3</f>
        <v>0.40445138354400001</v>
      </c>
      <c r="AP89" s="3">
        <f>$H89*factors!AJ$3</f>
        <v>0.38763261313920006</v>
      </c>
      <c r="AQ89" s="3">
        <f>$H89*factors!AK$3</f>
        <v>0.40004646748560008</v>
      </c>
      <c r="AR89" s="3">
        <f>$H89*factors!AL$3</f>
        <v>0.39123663536880005</v>
      </c>
      <c r="AS89" s="3">
        <f>$H89*factors!AM$3</f>
        <v>0.38162590942320002</v>
      </c>
      <c r="AT89" s="3">
        <f>$H89*factors!AN$3</f>
        <v>0.39363931685520009</v>
      </c>
      <c r="AU89" s="3">
        <f>$H89*factors!AO$3</f>
        <v>0.41686523789039998</v>
      </c>
      <c r="AV89" s="3">
        <f>$H89*factors!AP$3</f>
        <v>0.39403976376960004</v>
      </c>
      <c r="AW89" s="3">
        <f>$H89*factors!AQ$3</f>
        <v>0.39003529462559999</v>
      </c>
      <c r="AX89" s="3">
        <f>$H89*factors!AR$3</f>
        <v>0.41246032183200004</v>
      </c>
      <c r="AY89" s="3">
        <f>$H89*factors!AS$3</f>
        <v>0.38042456868000002</v>
      </c>
      <c r="AZ89" s="3">
        <f>$H89*factors!AT$3</f>
        <v>0.40765495885920011</v>
      </c>
      <c r="BA89" s="3">
        <f>$H89*factors!AU$3</f>
        <v>0.39884512674240002</v>
      </c>
      <c r="BB89" s="3">
        <f>$H89*factors!AV$3</f>
        <v>0.39363931685520009</v>
      </c>
      <c r="BC89" s="3">
        <f>$H89*factors!AW$3</f>
        <v>0.41646479097600009</v>
      </c>
      <c r="BD89" s="3">
        <f>$H89*factors!AX$3</f>
        <v>0.38442903782400001</v>
      </c>
      <c r="BE89" s="3">
        <f>$H89*factors!AY$3</f>
        <v>0.45196366836919999</v>
      </c>
      <c r="BF89" s="3">
        <f>$H89*factors!AZ$3</f>
        <v>0.42089936976879999</v>
      </c>
      <c r="BG89" s="3">
        <f>$H89*factors!BA$3</f>
        <v>0.42702472442239997</v>
      </c>
      <c r="BH89" s="3">
        <f>$H89*factors!BB$3</f>
        <v>0.43271255374360001</v>
      </c>
      <c r="BI89" s="3">
        <f>$H89*factors!BC$3</f>
        <v>0.44846346570999995</v>
      </c>
      <c r="BJ89" s="3">
        <f>$H89*factors!BD$3</f>
        <v>0.4283373004196</v>
      </c>
      <c r="BK89" s="3">
        <f>$H89*factors!BE$3</f>
        <v>0.42921235108439998</v>
      </c>
      <c r="BL89" s="3">
        <f>$H89*factors!BF$3</f>
        <v>0.42439957242799997</v>
      </c>
      <c r="BM89" s="3">
        <f>$H89*factors!BG$3</f>
        <v>0.45327624436640002</v>
      </c>
      <c r="BN89" s="3">
        <f>$H89*factors!BH$3</f>
        <v>0.44758841504519997</v>
      </c>
      <c r="BO89" s="3">
        <f>$H89*factors!BI$3</f>
        <v>0.42089936976879999</v>
      </c>
      <c r="BP89" s="3">
        <f>$H89*factors!BJ$3</f>
        <v>0.41958679377159996</v>
      </c>
      <c r="BQ89" s="3">
        <f>$H89*factors!BK$3</f>
        <v>0.42658719908999998</v>
      </c>
      <c r="BR89" s="3">
        <f>$H89*factors!BL$3</f>
        <v>0.44190058572400004</v>
      </c>
      <c r="BS89" s="3">
        <f>$H89*factors!BM$3</f>
        <v>0.4489009910424</v>
      </c>
      <c r="BT89" s="3">
        <f>$H89*factors!BN$3</f>
        <v>0.45021356703959997</v>
      </c>
      <c r="BU89" s="3">
        <f>$H89*factors!BO$3</f>
        <v>0.45765149769040003</v>
      </c>
      <c r="BV89" s="3">
        <f>$H89*factors!BP$3</f>
        <v>0.4257121484252</v>
      </c>
      <c r="BW89" s="3">
        <f>$H89*factors!BQ$3</f>
        <v>0.43533770573800001</v>
      </c>
      <c r="BX89" s="3">
        <f>$H89*factors!BR$3</f>
        <v>0.42702472442239997</v>
      </c>
      <c r="BY89" s="3">
        <f>$H89*factors!BS$3</f>
        <v>0.44671336438039994</v>
      </c>
      <c r="BZ89" s="3">
        <f>$H89*factors!BT$3</f>
        <v>0.43840038306479995</v>
      </c>
      <c r="CA89" s="3">
        <f>$H89*factors!BU$3</f>
        <v>0.43271255374360001</v>
      </c>
      <c r="CB89" s="3">
        <f>$H89*factors!BV$3</f>
        <v>0.41871174310679998</v>
      </c>
      <c r="CC89" s="3">
        <f>$H89*factors!BW$3</f>
        <v>0.430962452414</v>
      </c>
      <c r="CD89" s="3">
        <f>$H89*factors!BX$3</f>
        <v>0.43227502841120002</v>
      </c>
      <c r="CE89" s="3">
        <f>$H89*factors!BY$3</f>
        <v>0.43840038306479995</v>
      </c>
      <c r="CF89" s="3">
        <f>$H89*factors!BZ$3</f>
        <v>0.43183750307880003</v>
      </c>
      <c r="CG89" s="3">
        <f>$H89*factors!CA$3</f>
        <v>0.41739916710959996</v>
      </c>
      <c r="CH89" s="3">
        <f>$H89*factors!CB$3</f>
        <v>0.41783669244199995</v>
      </c>
      <c r="CI89" s="3">
        <f>$H89*factors!CC$3</f>
        <v>0.41564906577999999</v>
      </c>
      <c r="CJ89" s="3">
        <f>$H89*factors!CD$3</f>
        <v>0.43271255374360001</v>
      </c>
      <c r="CK89" s="3">
        <f>$H89*factors!CE$3</f>
        <v>0.45196366836919999</v>
      </c>
      <c r="CL89" s="3">
        <f>$H89*factors!CF$3</f>
        <v>0.42352452176319999</v>
      </c>
      <c r="CM89" s="3">
        <f>$H89*factors!CG$3</f>
        <v>0.4335876044084</v>
      </c>
      <c r="CN89" s="3">
        <f>$H89*factors!CH$3</f>
        <v>0.41914926843919997</v>
      </c>
      <c r="CO89" s="3">
        <f>$H89*factors!CI$3</f>
        <v>0.42221194576599996</v>
      </c>
      <c r="CP89" s="3">
        <f>$H89*factors!CJ$3</f>
        <v>0.44233811105639992</v>
      </c>
      <c r="CQ89" s="3">
        <f>$H89*factors!CK$3</f>
        <v>0.42921235108439998</v>
      </c>
      <c r="CR89" s="3">
        <f>$H89*factors!CL$3</f>
        <v>0.44277563638879996</v>
      </c>
      <c r="CS89" s="3">
        <f>$H89*factors!CM$3</f>
        <v>0.4567764470256</v>
      </c>
      <c r="CT89" s="3">
        <f>$H89*factors!CN$3</f>
        <v>0.4515261430368</v>
      </c>
      <c r="CU89" s="3">
        <f>$H89*factors!CO$3</f>
        <v>0.44146306039159994</v>
      </c>
      <c r="CV89" s="3">
        <f>$H89*factors!CP$3</f>
        <v>0.45940159902</v>
      </c>
      <c r="CW89" s="3">
        <f>$H89*factors!CQ$3</f>
        <v>0.43446265507320003</v>
      </c>
      <c r="CX89" s="3">
        <f>$H89*factors!CR$3</f>
        <v>0.42789977508720001</v>
      </c>
      <c r="CY89" s="3">
        <f>$H89*factors!CS$3</f>
        <v>0.42396204709559998</v>
      </c>
      <c r="CZ89" s="3">
        <f>$H89*factors!CT$3</f>
        <v>0.41783669244199995</v>
      </c>
      <c r="DA89" s="3">
        <f>$H89*factors!CU$3</f>
        <v>0.43381749060000002</v>
      </c>
      <c r="DB89" s="3">
        <f>$H89*factors!CV$3</f>
        <v>0.46184877460800006</v>
      </c>
      <c r="DC89" s="3">
        <f>$H89*factors!CW$3</f>
        <v>0.44227136990399996</v>
      </c>
      <c r="DD89" s="3">
        <f>$H89*factors!CX$3</f>
        <v>0.43915678279199999</v>
      </c>
      <c r="DE89" s="3">
        <f>$H89*factors!CY$3</f>
        <v>0.45206007225600003</v>
      </c>
      <c r="DF89" s="3">
        <f>$H89*factors!CZ$3</f>
        <v>0.45117019022399996</v>
      </c>
      <c r="DG89" s="3">
        <f>$H89*factors!DA$3</f>
        <v>0.44939042616000002</v>
      </c>
      <c r="DH89" s="3">
        <f>$H89*factors!DB$3</f>
        <v>0.44939042616000002</v>
      </c>
      <c r="DI89" s="3">
        <f>$H89*factors!DC$3</f>
        <v>0.43248266755199999</v>
      </c>
      <c r="DJ89" s="3">
        <f>$H89*factors!DD$3</f>
        <v>0.45828924648000002</v>
      </c>
      <c r="DK89" s="3">
        <f>$H89*factors!DE$3</f>
        <v>0.45828924648000002</v>
      </c>
      <c r="DL89" s="3">
        <f>$H89*factors!DF$3</f>
        <v>0.45294995428800006</v>
      </c>
      <c r="DM89" s="3">
        <f>$H89*factors!DG$3</f>
        <v>0.42669843434399995</v>
      </c>
      <c r="DN89" s="3">
        <f>$H89*factors!DH$3</f>
        <v>0.44761066209600003</v>
      </c>
      <c r="DO89" s="3">
        <f>$H89*factors!DI$3</f>
        <v>0.46229371562400001</v>
      </c>
      <c r="DP89" s="3">
        <f>$H89*factors!DJ$3</f>
        <v>0.45828924648000002</v>
      </c>
      <c r="DQ89" s="3">
        <f>$H89*factors!DK$3</f>
        <v>0.43693207771199999</v>
      </c>
      <c r="DR89" s="3">
        <f>$H89*factors!DL$3</f>
        <v>0.43203772653600003</v>
      </c>
      <c r="DS89" s="3">
        <f>$H89*factors!DM$3</f>
        <v>0.46674312578400001</v>
      </c>
      <c r="DT89" s="3">
        <f>$H89*factors!DN$3</f>
        <v>0.43871184177600003</v>
      </c>
      <c r="DU89" s="3">
        <f>$H89*factors!DO$3</f>
        <v>0.45917912851199999</v>
      </c>
      <c r="DV89" s="3">
        <f>$H89*factors!DP$3</f>
        <v>0.448500544128</v>
      </c>
      <c r="DW89" s="3">
        <f>$H89*factors!DQ$3</f>
        <v>0.42803325739199999</v>
      </c>
      <c r="DX89" s="3">
        <f>$H89*factors!DR$3</f>
        <v>0.45339489530399996</v>
      </c>
      <c r="DY89" s="3">
        <f>$H89*factors!DS$3</f>
        <v>0.43025796247199999</v>
      </c>
      <c r="DZ89" s="3">
        <f>$H89*factors!DT$3</f>
        <v>0.46006901054400001</v>
      </c>
      <c r="EA89" s="3">
        <f>$H89*factors!DU$3</f>
        <v>0.43337254958399996</v>
      </c>
      <c r="EB89" s="3">
        <f>$H89*factors!DV$3</f>
        <v>0.42269396519999997</v>
      </c>
      <c r="EC89" s="3">
        <f>$H89*factors!DW$3</f>
        <v>0.45472971835199999</v>
      </c>
      <c r="ED89" s="3">
        <f>$H89*factors!DX$3</f>
        <v>0.42669843434399995</v>
      </c>
      <c r="EE89" s="3">
        <f>$H89*factors!DY$3</f>
        <v>0.43025796247199999</v>
      </c>
      <c r="EF89" s="3">
        <f>$H89*factors!DZ$3</f>
        <v>0.46674312578400001</v>
      </c>
      <c r="EG89" s="3">
        <f>$H89*factors!EA$3</f>
        <v>0.43604219568000002</v>
      </c>
      <c r="EH89" s="3">
        <f>$H89*factors!EB$3</f>
        <v>0.437377018728</v>
      </c>
      <c r="EI89" s="3">
        <f>$H89*factors!EC$3</f>
        <v>0.43648713669600003</v>
      </c>
      <c r="EJ89" s="3">
        <f>$H89*factors!ED$3</f>
        <v>0.42536361129600003</v>
      </c>
      <c r="EK89" s="3">
        <f>$H89*factors!EE$3</f>
        <v>0.45472971835199999</v>
      </c>
      <c r="EL89" s="3">
        <f>$H89*factors!EF$3</f>
        <v>0.43248266755199999</v>
      </c>
      <c r="EM89" s="3">
        <f>$H89*factors!EG$3</f>
        <v>0.44983536717599998</v>
      </c>
      <c r="EN89" s="3">
        <f>$H89*factors!EH$3</f>
        <v>0.42269396519999997</v>
      </c>
      <c r="EO89" s="3">
        <f>$H89*factors!EI$3</f>
        <v>0.42892313942399996</v>
      </c>
      <c r="EP89" s="3">
        <f>$H89*factors!EJ$3</f>
        <v>0.45250501327199999</v>
      </c>
      <c r="EQ89" s="3">
        <f>$H89*factors!EK$3</f>
        <v>0.44004666482399996</v>
      </c>
      <c r="ER89" s="3">
        <f>$H89*factors!EL$3</f>
        <v>0.45828924648000002</v>
      </c>
      <c r="ES89" s="3">
        <f>$H89*factors!EM$3</f>
        <v>0.45250501327199999</v>
      </c>
      <c r="ET89" s="3">
        <f>$H89*factors!EN$3</f>
        <v>0.46273865664000002</v>
      </c>
      <c r="EU89" s="3">
        <f>$H89*factors!EO$3</f>
        <v>0.46718806680000002</v>
      </c>
      <c r="EV89" s="3">
        <f>$H89*factors!EP$3</f>
        <v>0.43782195974399996</v>
      </c>
      <c r="EW89" s="3">
        <f>$H89*factors!EQ$3</f>
        <v>0.48155595377499999</v>
      </c>
      <c r="EX89" s="3">
        <f>$H89*factors!ER$3</f>
        <v>0.47645767130000005</v>
      </c>
      <c r="EY89" s="3">
        <f>$H89*factors!ES$3</f>
        <v>0.48619075602499995</v>
      </c>
      <c r="EZ89" s="3">
        <f>$H89*factors!ET$3</f>
        <v>0.48155595377499999</v>
      </c>
      <c r="FA89" s="3">
        <f>$H89*factors!EU$3</f>
        <v>0.44262361487499996</v>
      </c>
      <c r="FB89" s="3">
        <f>$H89*factors!EV$3</f>
        <v>0.46255326455000007</v>
      </c>
      <c r="FC89" s="3">
        <f>$H89*factors!EW$3</f>
        <v>0.47553071085000004</v>
      </c>
      <c r="FD89" s="3">
        <f>$H89*factors!EX$3</f>
        <v>0.45884542275000006</v>
      </c>
      <c r="FE89" s="3">
        <f>$H89*factors!EY$3</f>
        <v>0.48340987467500002</v>
      </c>
      <c r="FF89" s="3">
        <f>$H89*factors!EZ$3</f>
        <v>0.48387335490000011</v>
      </c>
      <c r="FG89" s="3">
        <f>$H89*factors!FA$3</f>
        <v>0.44262361487499996</v>
      </c>
      <c r="FH89" s="3">
        <f>$H89*factors!FB$3</f>
        <v>0.46579762612499997</v>
      </c>
      <c r="FI89" s="3">
        <f>$H89*factors!FC$3</f>
        <v>0.48526379557499999</v>
      </c>
      <c r="FJ89" s="3">
        <f>$H89*factors!FD$3</f>
        <v>0.46579762612499997</v>
      </c>
      <c r="FK89" s="3">
        <f>$H89*factors!FE$3</f>
        <v>0.47367678995000007</v>
      </c>
      <c r="FL89" s="3">
        <f>$H89*factors!FF$3</f>
        <v>0.475067230625</v>
      </c>
      <c r="FM89" s="3">
        <f>$H89*factors!FG$3</f>
        <v>0.4801655131</v>
      </c>
      <c r="FN89" s="3">
        <f>$H89*factors!FH$3</f>
        <v>0.449112338025</v>
      </c>
      <c r="FO89" s="3">
        <f>$H89*factors!FI$3</f>
        <v>0.47692115152499998</v>
      </c>
      <c r="FP89" s="3">
        <f>$H89*factors!FJ$3</f>
        <v>0.46348022500000002</v>
      </c>
      <c r="FQ89" s="3">
        <f>$H89*factors!FK$3</f>
        <v>0.45884542275000006</v>
      </c>
      <c r="FR89" s="3">
        <f>$H89*factors!FL$3</f>
        <v>0.46811502724999998</v>
      </c>
      <c r="FS89" s="3">
        <f>$H89*factors!FM$3</f>
        <v>0.4653341459</v>
      </c>
      <c r="FT89" s="3">
        <f>$H89*factors!FN$3</f>
        <v>0.47553071085000004</v>
      </c>
      <c r="FU89" s="3">
        <f>$H89*factors!FO$3</f>
        <v>0.45699150184999998</v>
      </c>
      <c r="FV89" s="3">
        <f>$H89*factors!FP$3</f>
        <v>0.45328366004999998</v>
      </c>
      <c r="FW89" s="3">
        <f>$H89*factors!FQ$3</f>
        <v>0.48526379557499999</v>
      </c>
      <c r="FX89" s="3">
        <f>$H89*factors!FR$3</f>
        <v>0.47645767130000005</v>
      </c>
      <c r="FY89" s="3">
        <f>$H89*factors!FS$3</f>
        <v>0.46672458657499993</v>
      </c>
      <c r="FZ89" s="3">
        <f>$H89*factors!FT$3</f>
        <v>0.44355057532500003</v>
      </c>
      <c r="GA89" s="3">
        <f>$H89*factors!FU$3</f>
        <v>0.46672458657499993</v>
      </c>
      <c r="GB89" s="3">
        <f>$H89*factors!FV$3</f>
        <v>0.48387335490000011</v>
      </c>
      <c r="GC89" s="3">
        <f>$H89*factors!FW$3</f>
        <v>0.45328366004999998</v>
      </c>
      <c r="GD89" s="3">
        <f>$H89*factors!FX$3</f>
        <v>0.46116282387500002</v>
      </c>
      <c r="GE89" s="3">
        <f>$H89*factors!FY$3</f>
        <v>0.46116282387500002</v>
      </c>
      <c r="GF89" s="3">
        <f>$H89*factors!FZ$3</f>
        <v>0.45977238320000002</v>
      </c>
      <c r="GG89" s="3">
        <f>$H89*factors!GA$3</f>
        <v>0.441696654425</v>
      </c>
      <c r="GH89" s="3">
        <f>$H89*factors!GB$3</f>
        <v>0.46996894815000007</v>
      </c>
      <c r="GI89" s="3">
        <f>$H89*factors!GC$3</f>
        <v>0.44076969397499999</v>
      </c>
      <c r="GJ89" s="3">
        <f>$H89*factors!GD$3</f>
        <v>0.441696654425</v>
      </c>
      <c r="GK89" s="3">
        <f>$H89*factors!GE$3</f>
        <v>0.452820179825</v>
      </c>
      <c r="GL89" s="3">
        <f>$H89*factors!GF$3</f>
        <v>0.47970203287500002</v>
      </c>
      <c r="GM89" s="3">
        <f>$H89*factors!GG$3</f>
        <v>0.45467410072500003</v>
      </c>
      <c r="GN89" s="3">
        <f>$H89*factors!GH$3</f>
        <v>0.46904198770000005</v>
      </c>
      <c r="GO89" s="3">
        <f>$H89*factors!GI$3</f>
        <v>0.44308709509999994</v>
      </c>
      <c r="GP89" s="3">
        <f>$H89*factors!GJ$3</f>
        <v>0.475067230625</v>
      </c>
      <c r="GQ89" s="3">
        <f>$H89*factors!GK$3</f>
        <v>0.48480031535000007</v>
      </c>
      <c r="GR89" s="3">
        <f>$H89*factors!GL$3</f>
        <v>0.47553071085000004</v>
      </c>
      <c r="GS89" s="3">
        <f>$H89*factors!GM$3</f>
        <v>0.44970559271300004</v>
      </c>
      <c r="GT89" s="3">
        <f>$H89*factors!GN$3</f>
        <v>0.46006530270220003</v>
      </c>
      <c r="GU89" s="3">
        <f>$H89*factors!GO$3</f>
        <v>0.47089590860000002</v>
      </c>
      <c r="GV89" s="3">
        <f>$H89*factors!GP$3</f>
        <v>0.45206007225600003</v>
      </c>
      <c r="GW89" s="3">
        <f>$H89*factors!GQ$3</f>
        <v>0.46807053314840003</v>
      </c>
      <c r="GX89" s="3">
        <f>$H89*factors!GR$3</f>
        <v>0.46053619861080003</v>
      </c>
      <c r="GY89" s="3">
        <f>$H89*factors!GS$3</f>
        <v>0.45818171906780003</v>
      </c>
      <c r="GZ89" s="3">
        <f>$H89*factors!GT$3</f>
        <v>0.47513397177739997</v>
      </c>
      <c r="HA89" s="3">
        <f>$H89*factors!GU$3</f>
        <v>0.45959440679360003</v>
      </c>
      <c r="HB89" s="3">
        <f>$H89*factors!GV$3</f>
        <v>0.47513397177739997</v>
      </c>
      <c r="HC89" s="3">
        <f>$H89*factors!GW$3</f>
        <v>0.46336157406239997</v>
      </c>
      <c r="HD89" s="3">
        <f>$H89*factors!GX$3</f>
        <v>0.47701755541179997</v>
      </c>
      <c r="HE89" s="3">
        <f>$H89*factors!GY$3</f>
        <v>0.47089590860000002</v>
      </c>
      <c r="HF89" s="3">
        <f>$H89*factors!GZ$3</f>
        <v>0.48549368176660002</v>
      </c>
      <c r="HG89" s="3">
        <f>$H89*factors!HA$3</f>
        <v>0.46665784542260003</v>
      </c>
      <c r="HH89" s="3">
        <f>$H89*factors!HB$3</f>
        <v>0.46053619861080003</v>
      </c>
      <c r="HI89" s="3">
        <f>$H89*factors!HC$3</f>
        <v>0.45488544770760003</v>
      </c>
      <c r="HJ89" s="3">
        <f>$H89*factors!HD$3</f>
        <v>0.44970559271300004</v>
      </c>
      <c r="HK89" s="3">
        <f>$H89*factors!HE$3</f>
        <v>0.47560486768600002</v>
      </c>
      <c r="HL89" s="3">
        <f>$H89*factors!HF$3</f>
        <v>0.44829290498719998</v>
      </c>
      <c r="HM89" s="3">
        <f>$H89*factors!HG$3</f>
        <v>0.45300186407320003</v>
      </c>
      <c r="HN89" s="3">
        <f>$H89*factors!HH$3</f>
        <v>0.48313920222360007</v>
      </c>
      <c r="HO89" s="3">
        <f>$H89*factors!HI$3</f>
        <v>0.46336157406239997</v>
      </c>
      <c r="HP89" s="3">
        <f>$H89*factors!HJ$3</f>
        <v>0.49444070403000007</v>
      </c>
      <c r="HQ89" s="3">
        <f>$H89*factors!HK$3</f>
        <v>0.45206007225600003</v>
      </c>
      <c r="HR89" s="3">
        <f>$H89*factors!HL$3</f>
        <v>0.47937203495480007</v>
      </c>
      <c r="HS89" s="3">
        <f>$H89*factors!HM$3</f>
        <v>0.48784816130960001</v>
      </c>
      <c r="HT89" s="3">
        <f>$H89*factors!HN$3</f>
        <v>0.45488544770760003</v>
      </c>
      <c r="HU89" s="3">
        <f>$H89*factors!HO$3</f>
        <v>0.45959440679360003</v>
      </c>
      <c r="HV89" s="3">
        <f>$H89*factors!HP$3</f>
        <v>0.46524515769680008</v>
      </c>
      <c r="HW89" s="3">
        <f>$H89*factors!HQ$3</f>
        <v>0.47183770041720002</v>
      </c>
      <c r="HX89" s="3">
        <f>$H89*factors!HR$3</f>
        <v>0.49114443266979996</v>
      </c>
      <c r="HY89" s="3">
        <f>$H89*factors!HS$3</f>
        <v>0.46665784542260003</v>
      </c>
      <c r="HZ89" s="3">
        <f>$H89*factors!HT$3</f>
        <v>0.48455188994940002</v>
      </c>
      <c r="IA89" s="3">
        <f>$H89*factors!HU$3</f>
        <v>0.46100709451940003</v>
      </c>
      <c r="IB89" s="3">
        <f>$H89*factors!HV$3</f>
        <v>0.47701755541179997</v>
      </c>
      <c r="IC89" s="3">
        <f>$H89*factors!HW$3</f>
        <v>0.48172651449780002</v>
      </c>
      <c r="ID89" s="3">
        <f>$H89*factors!HX$3</f>
        <v>0.44735111316999998</v>
      </c>
      <c r="IE89" s="3">
        <f>$H89*factors!HY$3</f>
        <v>0.47513397177739997</v>
      </c>
      <c r="IF89" s="3">
        <f>$H89*factors!HZ$3</f>
        <v>0.47230859632579997</v>
      </c>
      <c r="IG89" s="3">
        <f>$H89*factors!IA$3</f>
        <v>0.46807053314840003</v>
      </c>
      <c r="IH89" s="3">
        <f>$H89*factors!IB$3</f>
        <v>0.48549368176660002</v>
      </c>
      <c r="II89" s="3">
        <f>$H89*factors!IC$3</f>
        <v>0.46477426178820003</v>
      </c>
      <c r="IJ89" s="3">
        <f>$H89*factors!ID$3</f>
        <v>0.46901232496560002</v>
      </c>
      <c r="IK89" s="3">
        <f>$H89*factors!IE$3</f>
        <v>0.48596457767520002</v>
      </c>
      <c r="IL89" s="3">
        <f>$H89*factors!IF$3</f>
        <v>0.46524515769680008</v>
      </c>
      <c r="IM89" s="3">
        <f>$H89*factors!IG$3</f>
        <v>0.46100709451940003</v>
      </c>
      <c r="IN89" s="3">
        <f>$H89*factors!IH$3</f>
        <v>0.46383246997100003</v>
      </c>
      <c r="IO89" s="3">
        <f>$H89*factors!II$3</f>
        <v>0.46854142905700003</v>
      </c>
      <c r="IP89" s="3">
        <f>$H89*factors!IJ$3</f>
        <v>0.45300186407320003</v>
      </c>
      <c r="IQ89" s="3">
        <f>$H89*factors!IK$3</f>
        <v>0.45158917634740003</v>
      </c>
      <c r="IR89" s="3">
        <f>$H89*factors!IL$3</f>
        <v>0.46477426178820003</v>
      </c>
      <c r="IS89" s="3">
        <f>$H89*factors!IM$3</f>
        <v>0.46854142905700003</v>
      </c>
      <c r="IT89" s="3">
        <f>$H89*factors!IN$3</f>
        <v>0.47183770041720002</v>
      </c>
      <c r="IU89" s="3">
        <f>$H89*factors!IO$3</f>
        <v>0.48219741040640007</v>
      </c>
      <c r="IV89" s="3">
        <f>$H89*factors!IP$3</f>
        <v>0.48831905721819996</v>
      </c>
      <c r="IW89" s="3">
        <f>$H89*factors!IQ$3</f>
        <v>0.46147799042799997</v>
      </c>
      <c r="IX89" s="3">
        <f>$H89*factors!IR$3</f>
        <v>0.48219741040640007</v>
      </c>
      <c r="IY89" s="3">
        <f>$H89*factors!IS$3</f>
        <v>0.47513397177739997</v>
      </c>
      <c r="IZ89" s="3">
        <f>$H89*factors!IT$3</f>
        <v>0.48313920222360007</v>
      </c>
      <c r="JA89" s="3">
        <f>$H89*factors!IU$3</f>
        <v>0.45629813543339998</v>
      </c>
      <c r="JB89" s="3">
        <f>$H89*factors!IV$3</f>
        <v>0.46477426178820003</v>
      </c>
      <c r="JC89" s="3">
        <f>$H89*factors!IW$3</f>
        <v>0.45394365589040003</v>
      </c>
      <c r="JD89" s="3">
        <f>$H89*factors!IX$3</f>
        <v>0.49444070403000007</v>
      </c>
      <c r="JE89" s="3">
        <f>$H89*factors!IY$3</f>
        <v>0.45535634361619998</v>
      </c>
      <c r="JF89" s="3">
        <f>$H89*factors!IZ$3</f>
        <v>0.47795934722899996</v>
      </c>
      <c r="JG89" s="3">
        <f>$H89*factors!JA$3</f>
        <v>0.46948322087419997</v>
      </c>
      <c r="JH89" s="3">
        <f>$H89*factors!JB$3</f>
        <v>0.47843024313760008</v>
      </c>
      <c r="JI89" s="3">
        <f>$H89*factors!JC$3</f>
        <v>0.44782200907860004</v>
      </c>
      <c r="JJ89" s="3">
        <f>$H89*factors!JD$3</f>
        <v>0.48219741040640007</v>
      </c>
      <c r="JK89" s="3">
        <f>$H89*factors!JE$3</f>
        <v>0.46665784542260003</v>
      </c>
      <c r="JL89" s="3">
        <f>$H89*factors!JF$3</f>
        <v>0.48549368176660002</v>
      </c>
      <c r="JM89" s="3">
        <f>$H89*factors!JG$3</f>
        <v>0.45300186407320003</v>
      </c>
      <c r="JN89" s="3">
        <f>$H89*factors!JH$3</f>
        <v>0.45300186407320003</v>
      </c>
      <c r="JO89" s="3">
        <f>$H89*factors!JI$3</f>
        <v>0.44735111316999998</v>
      </c>
      <c r="JP89" s="3">
        <f>$H89*factors!JJ$3</f>
        <v>0.48361009813220002</v>
      </c>
      <c r="JQ89" s="3">
        <f>$H89*factors!JK$3</f>
        <v>0.47136680450859997</v>
      </c>
      <c r="JR89" s="3">
        <f>$H89*factors!JL$3</f>
        <v>0.48973174494400001</v>
      </c>
      <c r="JS89" s="3">
        <f>$H89*factors!JM$3</f>
        <v>0.44735111316999998</v>
      </c>
      <c r="JT89" s="3">
        <f>$H89*factors!JN$3</f>
        <v>0.46995411678280002</v>
      </c>
      <c r="JU89" s="3">
        <f>$H89*factors!JO$3</f>
        <v>0.45441455179899998</v>
      </c>
      <c r="JV89" s="3">
        <f>$H89*factors!JP$3</f>
        <v>0.46194888633660003</v>
      </c>
      <c r="JW89" s="3">
        <f>$H89*factors!JQ$3</f>
        <v>0.49349891221280007</v>
      </c>
      <c r="JX89" s="3">
        <f>$H89*factors!JR$3</f>
        <v>0.48878995312680001</v>
      </c>
      <c r="JY89" s="3">
        <f>$H89*factors!JS$3</f>
        <v>0.46006530270220003</v>
      </c>
      <c r="JZ89" s="3">
        <f>$H89*factors!JT$3</f>
        <v>0.46524515769680008</v>
      </c>
      <c r="KA89" s="3">
        <f>$H89*factors!JU$3</f>
        <v>0.46712874133120003</v>
      </c>
      <c r="KB89" s="3">
        <f>$H89*factors!JV$3</f>
        <v>0.45158917634740003</v>
      </c>
      <c r="KC89" s="3">
        <f>$H89*factors!JW$3</f>
        <v>0.45394365589040003</v>
      </c>
      <c r="KD89" s="3">
        <f>$H89*factors!JX$3</f>
        <v>0.45441455179899998</v>
      </c>
      <c r="KE89" s="3">
        <f>$H89*factors!JY$3</f>
        <v>0.48361009813220002</v>
      </c>
      <c r="KF89" s="3">
        <f>$H89*factors!JZ$3</f>
        <v>0.48926084903539996</v>
      </c>
      <c r="KG89" s="3">
        <f>$H89*factors!KA$3</f>
        <v>0.47183770041720002</v>
      </c>
      <c r="KH89" s="3">
        <f>$H89*factors!KB$3</f>
        <v>0.46147799042799997</v>
      </c>
      <c r="KI89" s="3">
        <f>$H89*factors!KC$3</f>
        <v>0.45723992725059998</v>
      </c>
    </row>
    <row r="90" spans="1:295" x14ac:dyDescent="0.55000000000000004">
      <c r="A90" t="s">
        <v>467</v>
      </c>
      <c r="B90">
        <v>89</v>
      </c>
      <c r="C90">
        <v>230</v>
      </c>
      <c r="D90" t="s">
        <v>377</v>
      </c>
      <c r="E90">
        <v>2.748E-3</v>
      </c>
      <c r="F90">
        <v>89</v>
      </c>
      <c r="G90">
        <f>VLOOKUP(D90,demand_forecasted!$A$2:$G$11,2)</f>
        <v>11098</v>
      </c>
      <c r="H90" s="3">
        <f t="shared" si="2"/>
        <v>0.30497303999999997</v>
      </c>
      <c r="I90" s="3">
        <f>$H90*factors!C$3</f>
        <v>0.33760515527999996</v>
      </c>
      <c r="J90" s="3">
        <f>$H90*factors!D$3</f>
        <v>0.32541843260159997</v>
      </c>
      <c r="K90" s="3">
        <f>$H90*factors!E$3</f>
        <v>0.31981912758719999</v>
      </c>
      <c r="L90" s="3">
        <f>$H90*factors!F$3</f>
        <v>0.31883101493760002</v>
      </c>
      <c r="M90" s="3">
        <f>$H90*factors!G$3</f>
        <v>0.31850164405439996</v>
      </c>
      <c r="N90" s="3">
        <f>$H90*factors!H$3</f>
        <v>0.32772402878399998</v>
      </c>
      <c r="O90" s="3">
        <f>$H90*factors!I$3</f>
        <v>0.33497018821439994</v>
      </c>
      <c r="P90" s="3">
        <f>$H90*factors!J$3</f>
        <v>0.33892263881279999</v>
      </c>
      <c r="Q90" s="3">
        <f>$H90*factors!K$3</f>
        <v>0.31817227317119995</v>
      </c>
      <c r="R90" s="3">
        <f>$H90*factors!L$3</f>
        <v>0.31290233903999998</v>
      </c>
      <c r="S90" s="3">
        <f>$H90*factors!M$3</f>
        <v>0.32574780348479998</v>
      </c>
      <c r="T90" s="3">
        <f>$H90*factors!N$3</f>
        <v>0.3369464135136</v>
      </c>
      <c r="U90" s="3">
        <f>$H90*factors!O$3</f>
        <v>0.31916038582080003</v>
      </c>
      <c r="V90" s="3">
        <f>$H90*factors!P$3</f>
        <v>0.33200585026559998</v>
      </c>
      <c r="W90" s="3">
        <f>$H90*factors!Q$3</f>
        <v>0.33497018821439994</v>
      </c>
      <c r="X90" s="3">
        <f>$H90*factors!R$3</f>
        <v>0.32047786935359995</v>
      </c>
      <c r="Y90" s="3">
        <f>$H90*factors!S$3</f>
        <v>0.31751353140479999</v>
      </c>
      <c r="Z90" s="3">
        <f>$H90*factors!T$3</f>
        <v>0.34254571852800003</v>
      </c>
      <c r="AA90" s="3">
        <f>$H90*factors!U$3</f>
        <v>0.32344220730239998</v>
      </c>
      <c r="AB90" s="3">
        <f>$H90*factors!V$3</f>
        <v>0.32377157818560004</v>
      </c>
      <c r="AC90" s="3">
        <f>$H90*factors!W$3</f>
        <v>0.32410094906879999</v>
      </c>
      <c r="AD90" s="3">
        <f>$H90*factors!X$3</f>
        <v>0.31718416052159998</v>
      </c>
      <c r="AE90" s="3">
        <f>$H90*factors!Y$3</f>
        <v>0.31981912758719999</v>
      </c>
      <c r="AF90" s="3">
        <f>$H90*factors!Z$3</f>
        <v>0.3264065452512</v>
      </c>
      <c r="AG90" s="3">
        <f>$H90*factors!AA$3</f>
        <v>0.31817227317119995</v>
      </c>
      <c r="AH90" s="3">
        <f>$H90*factors!AB$3</f>
        <v>0.31685478963840003</v>
      </c>
      <c r="AI90" s="3">
        <f>$H90*factors!AC$3</f>
        <v>0.32706528701760001</v>
      </c>
      <c r="AJ90" s="3">
        <f>$H90*factors!AD$3</f>
        <v>0.33958138057919995</v>
      </c>
      <c r="AK90" s="3">
        <f>$H90*factors!AE$3</f>
        <v>0.32673591613440001</v>
      </c>
      <c r="AL90" s="3">
        <f>$H90*factors!AF$3</f>
        <v>0.31389045168959995</v>
      </c>
      <c r="AM90" s="3">
        <f>$H90*factors!AG$3</f>
        <v>0.32278346553599996</v>
      </c>
      <c r="AN90" s="3">
        <f>$H90*factors!AH$3</f>
        <v>0.31751353140479999</v>
      </c>
      <c r="AO90" s="3">
        <f>$H90*factors!AI$3</f>
        <v>0.33266459203199999</v>
      </c>
      <c r="AP90" s="3">
        <f>$H90*factors!AJ$3</f>
        <v>0.31883101493760002</v>
      </c>
      <c r="AQ90" s="3">
        <f>$H90*factors!AK$3</f>
        <v>0.32904151231680001</v>
      </c>
      <c r="AR90" s="3">
        <f>$H90*factors!AL$3</f>
        <v>0.32179535288639999</v>
      </c>
      <c r="AS90" s="3">
        <f>$H90*factors!AM$3</f>
        <v>0.31389045168959995</v>
      </c>
      <c r="AT90" s="3">
        <f>$H90*factors!AN$3</f>
        <v>0.32377157818560004</v>
      </c>
      <c r="AU90" s="3">
        <f>$H90*factors!AO$3</f>
        <v>0.34287508941119993</v>
      </c>
      <c r="AV90" s="3">
        <f>$H90*factors!AP$3</f>
        <v>0.32410094906879999</v>
      </c>
      <c r="AW90" s="3">
        <f>$H90*factors!AQ$3</f>
        <v>0.32080724023679996</v>
      </c>
      <c r="AX90" s="3">
        <f>$H90*factors!AR$3</f>
        <v>0.339252009696</v>
      </c>
      <c r="AY90" s="3">
        <f>$H90*factors!AS$3</f>
        <v>0.31290233903999998</v>
      </c>
      <c r="AZ90" s="3">
        <f>$H90*factors!AT$3</f>
        <v>0.33529955909760001</v>
      </c>
      <c r="BA90" s="3">
        <f>$H90*factors!AU$3</f>
        <v>0.32805339966719999</v>
      </c>
      <c r="BB90" s="3">
        <f>$H90*factors!AV$3</f>
        <v>0.32377157818560004</v>
      </c>
      <c r="BC90" s="3">
        <f>$H90*factors!AW$3</f>
        <v>0.34254571852800003</v>
      </c>
      <c r="BD90" s="3">
        <f>$H90*factors!AX$3</f>
        <v>0.31619604787199995</v>
      </c>
      <c r="BE90" s="3">
        <f>$H90*factors!AY$3</f>
        <v>0.37174383737759992</v>
      </c>
      <c r="BF90" s="3">
        <f>$H90*factors!AZ$3</f>
        <v>0.34619319608639998</v>
      </c>
      <c r="BG90" s="3">
        <f>$H90*factors!BA$3</f>
        <v>0.35123135070719991</v>
      </c>
      <c r="BH90" s="3">
        <f>$H90*factors!BB$3</f>
        <v>0.35590963714079993</v>
      </c>
      <c r="BI90" s="3">
        <f>$H90*factors!BC$3</f>
        <v>0.36886489187999988</v>
      </c>
      <c r="BJ90" s="3">
        <f>$H90*factors!BD$3</f>
        <v>0.35231095526879996</v>
      </c>
      <c r="BK90" s="3">
        <f>$H90*factors!BE$3</f>
        <v>0.35303069164319989</v>
      </c>
      <c r="BL90" s="3">
        <f>$H90*factors!BF$3</f>
        <v>0.34907214158399991</v>
      </c>
      <c r="BM90" s="3">
        <f>$H90*factors!BG$3</f>
        <v>0.37282344193919997</v>
      </c>
      <c r="BN90" s="3">
        <f>$H90*factors!BH$3</f>
        <v>0.36814515550559995</v>
      </c>
      <c r="BO90" s="3">
        <f>$H90*factors!BI$3</f>
        <v>0.34619319608639998</v>
      </c>
      <c r="BP90" s="3">
        <f>$H90*factors!BJ$3</f>
        <v>0.34511359152479992</v>
      </c>
      <c r="BQ90" s="3">
        <f>$H90*factors!BK$3</f>
        <v>0.35087148251999994</v>
      </c>
      <c r="BR90" s="3">
        <f>$H90*factors!BL$3</f>
        <v>0.36346686907199993</v>
      </c>
      <c r="BS90" s="3">
        <f>$H90*factors!BM$3</f>
        <v>0.36922476006719995</v>
      </c>
      <c r="BT90" s="3">
        <f>$H90*factors!BN$3</f>
        <v>0.3703043646287999</v>
      </c>
      <c r="BU90" s="3">
        <f>$H90*factors!BO$3</f>
        <v>0.37642212381119999</v>
      </c>
      <c r="BV90" s="3">
        <f>$H90*factors!BP$3</f>
        <v>0.35015174614559996</v>
      </c>
      <c r="BW90" s="3">
        <f>$H90*factors!BQ$3</f>
        <v>0.35806884626399993</v>
      </c>
      <c r="BX90" s="3">
        <f>$H90*factors!BR$3</f>
        <v>0.35123135070719991</v>
      </c>
      <c r="BY90" s="3">
        <f>$H90*factors!BS$3</f>
        <v>0.36742541913119992</v>
      </c>
      <c r="BZ90" s="3">
        <f>$H90*factors!BT$3</f>
        <v>0.36058792357439995</v>
      </c>
      <c r="CA90" s="3">
        <f>$H90*factors!BU$3</f>
        <v>0.35590963714079993</v>
      </c>
      <c r="CB90" s="3">
        <f>$H90*factors!BV$3</f>
        <v>0.34439385515039994</v>
      </c>
      <c r="CC90" s="3">
        <f>$H90*factors!BW$3</f>
        <v>0.35447016439199991</v>
      </c>
      <c r="CD90" s="3">
        <f>$H90*factors!BX$3</f>
        <v>0.35554976895359997</v>
      </c>
      <c r="CE90" s="3">
        <f>$H90*factors!BY$3</f>
        <v>0.36058792357439995</v>
      </c>
      <c r="CF90" s="3">
        <f>$H90*factors!BZ$3</f>
        <v>0.3551899007664</v>
      </c>
      <c r="CG90" s="3">
        <f>$H90*factors!CA$3</f>
        <v>0.34331425058879994</v>
      </c>
      <c r="CH90" s="3">
        <f>$H90*factors!CB$3</f>
        <v>0.3436741187759999</v>
      </c>
      <c r="CI90" s="3">
        <f>$H90*factors!CC$3</f>
        <v>0.34187477783999998</v>
      </c>
      <c r="CJ90" s="3">
        <f>$H90*factors!CD$3</f>
        <v>0.35590963714079993</v>
      </c>
      <c r="CK90" s="3">
        <f>$H90*factors!CE$3</f>
        <v>0.37174383737759992</v>
      </c>
      <c r="CL90" s="3">
        <f>$H90*factors!CF$3</f>
        <v>0.34835240520959992</v>
      </c>
      <c r="CM90" s="3">
        <f>$H90*factors!CG$3</f>
        <v>0.35662937351519991</v>
      </c>
      <c r="CN90" s="3">
        <f>$H90*factors!CH$3</f>
        <v>0.34475372333759996</v>
      </c>
      <c r="CO90" s="3">
        <f>$H90*factors!CI$3</f>
        <v>0.34727280064799992</v>
      </c>
      <c r="CP90" s="3">
        <f>$H90*factors!CJ$3</f>
        <v>0.36382673725919989</v>
      </c>
      <c r="CQ90" s="3">
        <f>$H90*factors!CK$3</f>
        <v>0.35303069164319989</v>
      </c>
      <c r="CR90" s="3">
        <f>$H90*factors!CL$3</f>
        <v>0.36418660544639991</v>
      </c>
      <c r="CS90" s="3">
        <f>$H90*factors!CM$3</f>
        <v>0.37570238743679996</v>
      </c>
      <c r="CT90" s="3">
        <f>$H90*factors!CN$3</f>
        <v>0.37138396919039995</v>
      </c>
      <c r="CU90" s="3">
        <f>$H90*factors!CO$3</f>
        <v>0.36310700088479991</v>
      </c>
      <c r="CV90" s="3">
        <f>$H90*factors!CP$3</f>
        <v>0.37786159655999996</v>
      </c>
      <c r="CW90" s="3">
        <f>$H90*factors!CQ$3</f>
        <v>0.35734910988959995</v>
      </c>
      <c r="CX90" s="3">
        <f>$H90*factors!CR$3</f>
        <v>0.35195108708159994</v>
      </c>
      <c r="CY90" s="3">
        <f>$H90*factors!CS$3</f>
        <v>0.34871227339679994</v>
      </c>
      <c r="CZ90" s="3">
        <f>$H90*factors!CT$3</f>
        <v>0.3436741187759999</v>
      </c>
      <c r="DA90" s="3">
        <f>$H90*factors!CU$3</f>
        <v>0.35681845679999996</v>
      </c>
      <c r="DB90" s="3">
        <f>$H90*factors!CV$3</f>
        <v>0.37987441862399995</v>
      </c>
      <c r="DC90" s="3">
        <f>$H90*factors!CW$3</f>
        <v>0.36377184211199992</v>
      </c>
      <c r="DD90" s="3">
        <f>$H90*factors!CX$3</f>
        <v>0.36121006857599991</v>
      </c>
      <c r="DE90" s="3">
        <f>$H90*factors!CY$3</f>
        <v>0.37182313036799997</v>
      </c>
      <c r="DF90" s="3">
        <f>$H90*factors!CZ$3</f>
        <v>0.37109119507199995</v>
      </c>
      <c r="DG90" s="3">
        <f>$H90*factors!DA$3</f>
        <v>0.36962732447999996</v>
      </c>
      <c r="DH90" s="3">
        <f>$H90*factors!DB$3</f>
        <v>0.36962732447999996</v>
      </c>
      <c r="DI90" s="3">
        <f>$H90*factors!DC$3</f>
        <v>0.35572055385599993</v>
      </c>
      <c r="DJ90" s="3">
        <f>$H90*factors!DD$3</f>
        <v>0.37694667743999999</v>
      </c>
      <c r="DK90" s="3">
        <f>$H90*factors!DE$3</f>
        <v>0.37694667743999999</v>
      </c>
      <c r="DL90" s="3">
        <f>$H90*factors!DF$3</f>
        <v>0.37255506566399998</v>
      </c>
      <c r="DM90" s="3">
        <f>$H90*factors!DG$3</f>
        <v>0.35096297443199992</v>
      </c>
      <c r="DN90" s="3">
        <f>$H90*factors!DH$3</f>
        <v>0.36816345388799998</v>
      </c>
      <c r="DO90" s="3">
        <f>$H90*factors!DI$3</f>
        <v>0.38024038627199996</v>
      </c>
      <c r="DP90" s="3">
        <f>$H90*factors!DJ$3</f>
        <v>0.37694667743999999</v>
      </c>
      <c r="DQ90" s="3">
        <f>$H90*factors!DK$3</f>
        <v>0.35938023033599992</v>
      </c>
      <c r="DR90" s="3">
        <f>$H90*factors!DL$3</f>
        <v>0.35535458620799998</v>
      </c>
      <c r="DS90" s="3">
        <f>$H90*factors!DM$3</f>
        <v>0.38390006275199995</v>
      </c>
      <c r="DT90" s="3">
        <f>$H90*factors!DN$3</f>
        <v>0.36084410092799996</v>
      </c>
      <c r="DU90" s="3">
        <f>$H90*factors!DO$3</f>
        <v>0.37767861273599995</v>
      </c>
      <c r="DV90" s="3">
        <f>$H90*factors!DP$3</f>
        <v>0.36889538918399994</v>
      </c>
      <c r="DW90" s="3">
        <f>$H90*factors!DQ$3</f>
        <v>0.35206087737599995</v>
      </c>
      <c r="DX90" s="3">
        <f>$H90*factors!DR$3</f>
        <v>0.37292103331199994</v>
      </c>
      <c r="DY90" s="3">
        <f>$H90*factors!DS$3</f>
        <v>0.35389071561599994</v>
      </c>
      <c r="DZ90" s="3">
        <f>$H90*factors!DT$3</f>
        <v>0.37841054803199992</v>
      </c>
      <c r="EA90" s="3">
        <f>$H90*factors!DU$3</f>
        <v>0.3564524891519999</v>
      </c>
      <c r="EB90" s="3">
        <f>$H90*factors!DV$3</f>
        <v>0.34766926559999994</v>
      </c>
      <c r="EC90" s="3">
        <f>$H90*factors!DW$3</f>
        <v>0.37401893625599997</v>
      </c>
      <c r="ED90" s="3">
        <f>$H90*factors!DX$3</f>
        <v>0.35096297443199992</v>
      </c>
      <c r="EE90" s="3">
        <f>$H90*factors!DY$3</f>
        <v>0.35389071561599994</v>
      </c>
      <c r="EF90" s="3">
        <f>$H90*factors!DZ$3</f>
        <v>0.38390006275199995</v>
      </c>
      <c r="EG90" s="3">
        <f>$H90*factors!EA$3</f>
        <v>0.35864829503999995</v>
      </c>
      <c r="EH90" s="3">
        <f>$H90*factors!EB$3</f>
        <v>0.35974619798399998</v>
      </c>
      <c r="EI90" s="3">
        <f>$H90*factors!EC$3</f>
        <v>0.35901426268799996</v>
      </c>
      <c r="EJ90" s="3">
        <f>$H90*factors!ED$3</f>
        <v>0.34986507148799995</v>
      </c>
      <c r="EK90" s="3">
        <f>$H90*factors!EE$3</f>
        <v>0.37401893625599997</v>
      </c>
      <c r="EL90" s="3">
        <f>$H90*factors!EF$3</f>
        <v>0.35572055385599993</v>
      </c>
      <c r="EM90" s="3">
        <f>$H90*factors!EG$3</f>
        <v>0.36999329212799992</v>
      </c>
      <c r="EN90" s="3">
        <f>$H90*factors!EH$3</f>
        <v>0.34766926559999994</v>
      </c>
      <c r="EO90" s="3">
        <f>$H90*factors!EI$3</f>
        <v>0.35279281267199991</v>
      </c>
      <c r="EP90" s="3">
        <f>$H90*factors!EJ$3</f>
        <v>0.37218909801599992</v>
      </c>
      <c r="EQ90" s="3">
        <f>$H90*factors!EK$3</f>
        <v>0.36194200387199993</v>
      </c>
      <c r="ER90" s="3">
        <f>$H90*factors!EL$3</f>
        <v>0.37694667743999999</v>
      </c>
      <c r="ES90" s="3">
        <f>$H90*factors!EM$3</f>
        <v>0.37218909801599992</v>
      </c>
      <c r="ET90" s="3">
        <f>$H90*factors!EN$3</f>
        <v>0.38060635391999997</v>
      </c>
      <c r="EU90" s="3">
        <f>$H90*factors!EO$3</f>
        <v>0.38426603039999996</v>
      </c>
      <c r="EV90" s="3">
        <f>$H90*factors!EP$3</f>
        <v>0.36011216563199994</v>
      </c>
      <c r="EW90" s="3">
        <f>$H90*factors!EQ$3</f>
        <v>0.39608373569999994</v>
      </c>
      <c r="EX90" s="3">
        <f>$H90*factors!ER$3</f>
        <v>0.39189035640000003</v>
      </c>
      <c r="EY90" s="3">
        <f>$H90*factors!ES$3</f>
        <v>0.39989589869999992</v>
      </c>
      <c r="EZ90" s="3">
        <f>$H90*factors!ET$3</f>
        <v>0.39608373569999994</v>
      </c>
      <c r="FA90" s="3">
        <f>$H90*factors!EU$3</f>
        <v>0.36406156649999993</v>
      </c>
      <c r="FB90" s="3">
        <f>$H90*factors!EV$3</f>
        <v>0.38045386739999998</v>
      </c>
      <c r="FC90" s="3">
        <f>$H90*factors!EW$3</f>
        <v>0.39112792379999994</v>
      </c>
      <c r="FD90" s="3">
        <f>$H90*factors!EX$3</f>
        <v>0.37740413699999997</v>
      </c>
      <c r="FE90" s="3">
        <f>$H90*factors!EY$3</f>
        <v>0.39760860089999994</v>
      </c>
      <c r="FF90" s="3">
        <f>$H90*factors!EZ$3</f>
        <v>0.39798981720000004</v>
      </c>
      <c r="FG90" s="3">
        <f>$H90*factors!FA$3</f>
        <v>0.36406156649999993</v>
      </c>
      <c r="FH90" s="3">
        <f>$H90*factors!FB$3</f>
        <v>0.38312238149999994</v>
      </c>
      <c r="FI90" s="3">
        <f>$H90*factors!FC$3</f>
        <v>0.39913346609999995</v>
      </c>
      <c r="FJ90" s="3">
        <f>$H90*factors!FD$3</f>
        <v>0.38312238149999994</v>
      </c>
      <c r="FK90" s="3">
        <f>$H90*factors!FE$3</f>
        <v>0.3896030586</v>
      </c>
      <c r="FL90" s="3">
        <f>$H90*factors!FF$3</f>
        <v>0.39074670749999996</v>
      </c>
      <c r="FM90" s="3">
        <f>$H90*factors!FG$3</f>
        <v>0.39494008679999992</v>
      </c>
      <c r="FN90" s="3">
        <f>$H90*factors!FH$3</f>
        <v>0.36939859469999997</v>
      </c>
      <c r="FO90" s="3">
        <f>$H90*factors!FI$3</f>
        <v>0.39227157269999996</v>
      </c>
      <c r="FP90" s="3">
        <f>$H90*factors!FJ$3</f>
        <v>0.38121629999999995</v>
      </c>
      <c r="FQ90" s="3">
        <f>$H90*factors!FK$3</f>
        <v>0.37740413699999997</v>
      </c>
      <c r="FR90" s="3">
        <f>$H90*factors!FL$3</f>
        <v>0.38502846299999993</v>
      </c>
      <c r="FS90" s="3">
        <f>$H90*factors!FM$3</f>
        <v>0.38274116519999996</v>
      </c>
      <c r="FT90" s="3">
        <f>$H90*factors!FN$3</f>
        <v>0.39112792379999994</v>
      </c>
      <c r="FU90" s="3">
        <f>$H90*factors!FO$3</f>
        <v>0.37587927179999997</v>
      </c>
      <c r="FV90" s="3">
        <f>$H90*factors!FP$3</f>
        <v>0.37282954139999996</v>
      </c>
      <c r="FW90" s="3">
        <f>$H90*factors!FQ$3</f>
        <v>0.39913346609999995</v>
      </c>
      <c r="FX90" s="3">
        <f>$H90*factors!FR$3</f>
        <v>0.39189035640000003</v>
      </c>
      <c r="FY90" s="3">
        <f>$H90*factors!FS$3</f>
        <v>0.38388481409999992</v>
      </c>
      <c r="FZ90" s="3">
        <f>$H90*factors!FT$3</f>
        <v>0.36482399909999996</v>
      </c>
      <c r="GA90" s="3">
        <f>$H90*factors!FU$3</f>
        <v>0.38388481409999992</v>
      </c>
      <c r="GB90" s="3">
        <f>$H90*factors!FV$3</f>
        <v>0.39798981720000004</v>
      </c>
      <c r="GC90" s="3">
        <f>$H90*factors!FW$3</f>
        <v>0.37282954139999996</v>
      </c>
      <c r="GD90" s="3">
        <f>$H90*factors!FX$3</f>
        <v>0.37931021849999996</v>
      </c>
      <c r="GE90" s="3">
        <f>$H90*factors!FY$3</f>
        <v>0.37931021849999996</v>
      </c>
      <c r="GF90" s="3">
        <f>$H90*factors!FZ$3</f>
        <v>0.37816656959999995</v>
      </c>
      <c r="GG90" s="3">
        <f>$H90*factors!GA$3</f>
        <v>0.36329913389999996</v>
      </c>
      <c r="GH90" s="3">
        <f>$H90*factors!GB$3</f>
        <v>0.38655332819999999</v>
      </c>
      <c r="GI90" s="3">
        <f>$H90*factors!GC$3</f>
        <v>0.36253670129999999</v>
      </c>
      <c r="GJ90" s="3">
        <f>$H90*factors!GD$3</f>
        <v>0.36329913389999996</v>
      </c>
      <c r="GK90" s="3">
        <f>$H90*factors!GE$3</f>
        <v>0.37244832509999998</v>
      </c>
      <c r="GL90" s="3">
        <f>$H90*factors!GF$3</f>
        <v>0.39455887049999994</v>
      </c>
      <c r="GM90" s="3">
        <f>$H90*factors!GG$3</f>
        <v>0.37397319029999998</v>
      </c>
      <c r="GN90" s="3">
        <f>$H90*factors!GH$3</f>
        <v>0.38579089560000002</v>
      </c>
      <c r="GO90" s="3">
        <f>$H90*factors!GI$3</f>
        <v>0.36444278279999992</v>
      </c>
      <c r="GP90" s="3">
        <f>$H90*factors!GJ$3</f>
        <v>0.39074670749999996</v>
      </c>
      <c r="GQ90" s="3">
        <f>$H90*factors!GK$3</f>
        <v>0.39875224980000001</v>
      </c>
      <c r="GR90" s="3">
        <f>$H90*factors!GL$3</f>
        <v>0.39112792379999994</v>
      </c>
      <c r="GS90" s="3">
        <f>$H90*factors!GM$3</f>
        <v>0.36988655156399997</v>
      </c>
      <c r="GT90" s="3">
        <f>$H90*factors!GN$3</f>
        <v>0.37840749830159998</v>
      </c>
      <c r="GU90" s="3">
        <f>$H90*factors!GO$3</f>
        <v>0.38731576079999996</v>
      </c>
      <c r="GV90" s="3">
        <f>$H90*factors!GP$3</f>
        <v>0.37182313036799997</v>
      </c>
      <c r="GW90" s="3">
        <f>$H90*factors!GQ$3</f>
        <v>0.38499186623519999</v>
      </c>
      <c r="GX90" s="3">
        <f>$H90*factors!GR$3</f>
        <v>0.37879481406239995</v>
      </c>
      <c r="GY90" s="3">
        <f>$H90*factors!GS$3</f>
        <v>0.37685823525840001</v>
      </c>
      <c r="GZ90" s="3">
        <f>$H90*factors!GT$3</f>
        <v>0.39080160264719993</v>
      </c>
      <c r="HA90" s="3">
        <f>$H90*factors!GU$3</f>
        <v>0.37802018254079994</v>
      </c>
      <c r="HB90" s="3">
        <f>$H90*factors!GV$3</f>
        <v>0.39080160264719993</v>
      </c>
      <c r="HC90" s="3">
        <f>$H90*factors!GW$3</f>
        <v>0.38111870862719993</v>
      </c>
      <c r="HD90" s="3">
        <f>$H90*factors!GX$3</f>
        <v>0.3923508656903999</v>
      </c>
      <c r="HE90" s="3">
        <f>$H90*factors!GY$3</f>
        <v>0.38731576079999996</v>
      </c>
      <c r="HF90" s="3">
        <f>$H90*factors!GZ$3</f>
        <v>0.39932254938479994</v>
      </c>
      <c r="HG90" s="3">
        <f>$H90*factors!HA$3</f>
        <v>0.38382991895279994</v>
      </c>
      <c r="HH90" s="3">
        <f>$H90*factors!HB$3</f>
        <v>0.37879481406239995</v>
      </c>
      <c r="HI90" s="3">
        <f>$H90*factors!HC$3</f>
        <v>0.3741470249328</v>
      </c>
      <c r="HJ90" s="3">
        <f>$H90*factors!HD$3</f>
        <v>0.36988655156399997</v>
      </c>
      <c r="HK90" s="3">
        <f>$H90*factors!HE$3</f>
        <v>0.39118891840799996</v>
      </c>
      <c r="HL90" s="3">
        <f>$H90*factors!HF$3</f>
        <v>0.36872460428159992</v>
      </c>
      <c r="HM90" s="3">
        <f>$H90*factors!HG$3</f>
        <v>0.37259776188959998</v>
      </c>
      <c r="HN90" s="3">
        <f>$H90*factors!HH$3</f>
        <v>0.3973859705808</v>
      </c>
      <c r="HO90" s="3">
        <f>$H90*factors!HI$3</f>
        <v>0.38111870862719993</v>
      </c>
      <c r="HP90" s="3">
        <f>$H90*factors!HJ$3</f>
        <v>0.40668154884000002</v>
      </c>
      <c r="HQ90" s="3">
        <f>$H90*factors!HK$3</f>
        <v>0.37182313036799997</v>
      </c>
      <c r="HR90" s="3">
        <f>$H90*factors!HL$3</f>
        <v>0.39428744449440001</v>
      </c>
      <c r="HS90" s="3">
        <f>$H90*factors!HM$3</f>
        <v>0.40125912818879994</v>
      </c>
      <c r="HT90" s="3">
        <f>$H90*factors!HN$3</f>
        <v>0.3741470249328</v>
      </c>
      <c r="HU90" s="3">
        <f>$H90*factors!HO$3</f>
        <v>0.37802018254079994</v>
      </c>
      <c r="HV90" s="3">
        <f>$H90*factors!HP$3</f>
        <v>0.38266797167040001</v>
      </c>
      <c r="HW90" s="3">
        <f>$H90*factors!HQ$3</f>
        <v>0.38809039232159998</v>
      </c>
      <c r="HX90" s="3">
        <f>$H90*factors!HR$3</f>
        <v>0.4039703385143999</v>
      </c>
      <c r="HY90" s="3">
        <f>$H90*factors!HS$3</f>
        <v>0.38382991895279994</v>
      </c>
      <c r="HZ90" s="3">
        <f>$H90*factors!HT$3</f>
        <v>0.39854791786319993</v>
      </c>
      <c r="IA90" s="3">
        <f>$H90*factors!HU$3</f>
        <v>0.37918212982319999</v>
      </c>
      <c r="IB90" s="3">
        <f>$H90*factors!HV$3</f>
        <v>0.3923508656903999</v>
      </c>
      <c r="IC90" s="3">
        <f>$H90*factors!HW$3</f>
        <v>0.39622402329839995</v>
      </c>
      <c r="ID90" s="3">
        <f>$H90*factors!HX$3</f>
        <v>0.36794997275999997</v>
      </c>
      <c r="IE90" s="3">
        <f>$H90*factors!HY$3</f>
        <v>0.39080160264719993</v>
      </c>
      <c r="IF90" s="3">
        <f>$H90*factors!HZ$3</f>
        <v>0.38847770808239995</v>
      </c>
      <c r="IG90" s="3">
        <f>$H90*factors!IA$3</f>
        <v>0.38499186623519999</v>
      </c>
      <c r="IH90" s="3">
        <f>$H90*factors!IB$3</f>
        <v>0.39932254938479994</v>
      </c>
      <c r="II90" s="3">
        <f>$H90*factors!IC$3</f>
        <v>0.38228065590959998</v>
      </c>
      <c r="IJ90" s="3">
        <f>$H90*factors!ID$3</f>
        <v>0.3857664977568</v>
      </c>
      <c r="IK90" s="3">
        <f>$H90*factors!IE$3</f>
        <v>0.39970986514559997</v>
      </c>
      <c r="IL90" s="3">
        <f>$H90*factors!IF$3</f>
        <v>0.38266797167040001</v>
      </c>
      <c r="IM90" s="3">
        <f>$H90*factors!IG$3</f>
        <v>0.37918212982319999</v>
      </c>
      <c r="IN90" s="3">
        <f>$H90*factors!IH$3</f>
        <v>0.38150602438799996</v>
      </c>
      <c r="IO90" s="3">
        <f>$H90*factors!II$3</f>
        <v>0.38537918199599996</v>
      </c>
      <c r="IP90" s="3">
        <f>$H90*factors!IJ$3</f>
        <v>0.37259776188959998</v>
      </c>
      <c r="IQ90" s="3">
        <f>$H90*factors!IK$3</f>
        <v>0.37143581460719993</v>
      </c>
      <c r="IR90" s="3">
        <f>$H90*factors!IL$3</f>
        <v>0.38228065590959998</v>
      </c>
      <c r="IS90" s="3">
        <f>$H90*factors!IM$3</f>
        <v>0.38537918199599996</v>
      </c>
      <c r="IT90" s="3">
        <f>$H90*factors!IN$3</f>
        <v>0.38809039232159998</v>
      </c>
      <c r="IU90" s="3">
        <f>$H90*factors!IO$3</f>
        <v>0.39661133905919999</v>
      </c>
      <c r="IV90" s="3">
        <f>$H90*factors!IP$3</f>
        <v>0.40164644394959992</v>
      </c>
      <c r="IW90" s="3">
        <f>$H90*factors!IQ$3</f>
        <v>0.37956944558399996</v>
      </c>
      <c r="IX90" s="3">
        <f>$H90*factors!IR$3</f>
        <v>0.39661133905919999</v>
      </c>
      <c r="IY90" s="3">
        <f>$H90*factors!IS$3</f>
        <v>0.39080160264719993</v>
      </c>
      <c r="IZ90" s="3">
        <f>$H90*factors!IT$3</f>
        <v>0.3973859705808</v>
      </c>
      <c r="JA90" s="3">
        <f>$H90*factors!IU$3</f>
        <v>0.37530897221519993</v>
      </c>
      <c r="JB90" s="3">
        <f>$H90*factors!IV$3</f>
        <v>0.38228065590959998</v>
      </c>
      <c r="JC90" s="3">
        <f>$H90*factors!IW$3</f>
        <v>0.37337239341119999</v>
      </c>
      <c r="JD90" s="3">
        <f>$H90*factors!IX$3</f>
        <v>0.40668154884000002</v>
      </c>
      <c r="JE90" s="3">
        <f>$H90*factors!IY$3</f>
        <v>0.37453434069359992</v>
      </c>
      <c r="JF90" s="3">
        <f>$H90*factors!IZ$3</f>
        <v>0.39312549721199991</v>
      </c>
      <c r="JG90" s="3">
        <f>$H90*factors!JA$3</f>
        <v>0.38615381351759992</v>
      </c>
      <c r="JH90" s="3">
        <f>$H90*factors!JB$3</f>
        <v>0.3935128129728</v>
      </c>
      <c r="JI90" s="3">
        <f>$H90*factors!JC$3</f>
        <v>0.36833728852079994</v>
      </c>
      <c r="JJ90" s="3">
        <f>$H90*factors!JD$3</f>
        <v>0.39661133905919999</v>
      </c>
      <c r="JK90" s="3">
        <f>$H90*factors!JE$3</f>
        <v>0.38382991895279994</v>
      </c>
      <c r="JL90" s="3">
        <f>$H90*factors!JF$3</f>
        <v>0.39932254938479994</v>
      </c>
      <c r="JM90" s="3">
        <f>$H90*factors!JG$3</f>
        <v>0.37259776188959998</v>
      </c>
      <c r="JN90" s="3">
        <f>$H90*factors!JH$3</f>
        <v>0.37259776188959998</v>
      </c>
      <c r="JO90" s="3">
        <f>$H90*factors!JI$3</f>
        <v>0.36794997275999997</v>
      </c>
      <c r="JP90" s="3">
        <f>$H90*factors!JJ$3</f>
        <v>0.39777328634159997</v>
      </c>
      <c r="JQ90" s="3">
        <f>$H90*factors!JK$3</f>
        <v>0.38770307656079994</v>
      </c>
      <c r="JR90" s="3">
        <f>$H90*factors!JL$3</f>
        <v>0.40280839123199996</v>
      </c>
      <c r="JS90" s="3">
        <f>$H90*factors!JM$3</f>
        <v>0.36794997275999997</v>
      </c>
      <c r="JT90" s="3">
        <f>$H90*factors!JN$3</f>
        <v>0.38654112927839995</v>
      </c>
      <c r="JU90" s="3">
        <f>$H90*factors!JO$3</f>
        <v>0.37375970917199997</v>
      </c>
      <c r="JV90" s="3">
        <f>$H90*factors!JP$3</f>
        <v>0.3799567613448</v>
      </c>
      <c r="JW90" s="3">
        <f>$H90*factors!JQ$3</f>
        <v>0.40590691731840001</v>
      </c>
      <c r="JX90" s="3">
        <f>$H90*factors!JR$3</f>
        <v>0.40203375971039995</v>
      </c>
      <c r="JY90" s="3">
        <f>$H90*factors!JS$3</f>
        <v>0.37840749830159998</v>
      </c>
      <c r="JZ90" s="3">
        <f>$H90*factors!JT$3</f>
        <v>0.38266797167040001</v>
      </c>
      <c r="KA90" s="3">
        <f>$H90*factors!JU$3</f>
        <v>0.38421723471359998</v>
      </c>
      <c r="KB90" s="3">
        <f>$H90*factors!JV$3</f>
        <v>0.37143581460719993</v>
      </c>
      <c r="KC90" s="3">
        <f>$H90*factors!JW$3</f>
        <v>0.37337239341119999</v>
      </c>
      <c r="KD90" s="3">
        <f>$H90*factors!JX$3</f>
        <v>0.37375970917199997</v>
      </c>
      <c r="KE90" s="3">
        <f>$H90*factors!JY$3</f>
        <v>0.39777328634159997</v>
      </c>
      <c r="KF90" s="3">
        <f>$H90*factors!JZ$3</f>
        <v>0.40242107547119993</v>
      </c>
      <c r="KG90" s="3">
        <f>$H90*factors!KA$3</f>
        <v>0.38809039232159998</v>
      </c>
      <c r="KH90" s="3">
        <f>$H90*factors!KB$3</f>
        <v>0.37956944558399996</v>
      </c>
      <c r="KI90" s="3">
        <f>$H90*factors!KC$3</f>
        <v>0.37608360373679994</v>
      </c>
    </row>
    <row r="91" spans="1:295" x14ac:dyDescent="0.55000000000000004">
      <c r="A91" t="s">
        <v>468</v>
      </c>
      <c r="B91">
        <v>90</v>
      </c>
      <c r="C91">
        <v>230</v>
      </c>
      <c r="D91" t="s">
        <v>377</v>
      </c>
      <c r="E91">
        <v>3.3409999999999998E-3</v>
      </c>
      <c r="F91">
        <v>90</v>
      </c>
      <c r="G91">
        <f>VLOOKUP(D91,demand_forecasted!$A$2:$G$11,2)</f>
        <v>11098</v>
      </c>
      <c r="H91" s="3">
        <f t="shared" si="2"/>
        <v>0.37078418000000002</v>
      </c>
      <c r="I91" s="3">
        <f>$H91*factors!C$3</f>
        <v>0.41045808725999999</v>
      </c>
      <c r="J91" s="3">
        <f>$H91*factors!D$3</f>
        <v>0.39564155142720003</v>
      </c>
      <c r="K91" s="3">
        <f>$H91*factors!E$3</f>
        <v>0.38883395388240005</v>
      </c>
      <c r="L91" s="3">
        <f>$H91*factors!F$3</f>
        <v>0.38763261313920006</v>
      </c>
      <c r="M91" s="3">
        <f>$H91*factors!G$3</f>
        <v>0.3872321662248</v>
      </c>
      <c r="N91" s="3">
        <f>$H91*factors!H$3</f>
        <v>0.39844467982800003</v>
      </c>
      <c r="O91" s="3">
        <f>$H91*factors!I$3</f>
        <v>0.4072545119448</v>
      </c>
      <c r="P91" s="3">
        <f>$H91*factors!J$3</f>
        <v>0.41205987491760004</v>
      </c>
      <c r="Q91" s="3">
        <f>$H91*factors!K$3</f>
        <v>0.3868317193104</v>
      </c>
      <c r="R91" s="3">
        <f>$H91*factors!L$3</f>
        <v>0.38042456868000002</v>
      </c>
      <c r="S91" s="3">
        <f>$H91*factors!M$3</f>
        <v>0.39604199834160003</v>
      </c>
      <c r="T91" s="3">
        <f>$H91*factors!N$3</f>
        <v>0.40965719343120005</v>
      </c>
      <c r="U91" s="3">
        <f>$H91*factors!O$3</f>
        <v>0.38803306005360005</v>
      </c>
      <c r="V91" s="3">
        <f>$H91*factors!P$3</f>
        <v>0.40365048971520007</v>
      </c>
      <c r="W91" s="3">
        <f>$H91*factors!Q$3</f>
        <v>0.4072545119448</v>
      </c>
      <c r="X91" s="3">
        <f>$H91*factors!R$3</f>
        <v>0.38963484771119999</v>
      </c>
      <c r="Y91" s="3">
        <f>$H91*factors!S$3</f>
        <v>0.38603082548160006</v>
      </c>
      <c r="Z91" s="3">
        <f>$H91*factors!T$3</f>
        <v>0.41646479097600009</v>
      </c>
      <c r="AA91" s="3">
        <f>$H91*factors!U$3</f>
        <v>0.39323886994079998</v>
      </c>
      <c r="AB91" s="3">
        <f>$H91*factors!V$3</f>
        <v>0.39363931685520009</v>
      </c>
      <c r="AC91" s="3">
        <f>$H91*factors!W$3</f>
        <v>0.39403976376960004</v>
      </c>
      <c r="AD91" s="3">
        <f>$H91*factors!X$3</f>
        <v>0.38563037856720006</v>
      </c>
      <c r="AE91" s="3">
        <f>$H91*factors!Y$3</f>
        <v>0.38883395388240005</v>
      </c>
      <c r="AF91" s="3">
        <f>$H91*factors!Z$3</f>
        <v>0.39684289217040009</v>
      </c>
      <c r="AG91" s="3">
        <f>$H91*factors!AA$3</f>
        <v>0.3868317193104</v>
      </c>
      <c r="AH91" s="3">
        <f>$H91*factors!AB$3</f>
        <v>0.38522993165280006</v>
      </c>
      <c r="AI91" s="3">
        <f>$H91*factors!AC$3</f>
        <v>0.39764378599920003</v>
      </c>
      <c r="AJ91" s="3">
        <f>$H91*factors!AD$3</f>
        <v>0.41286076874640004</v>
      </c>
      <c r="AK91" s="3">
        <f>$H91*factors!AE$3</f>
        <v>0.39724333908480003</v>
      </c>
      <c r="AL91" s="3">
        <f>$H91*factors!AF$3</f>
        <v>0.38162590942320002</v>
      </c>
      <c r="AM91" s="3">
        <f>$H91*factors!AG$3</f>
        <v>0.39243797611200004</v>
      </c>
      <c r="AN91" s="3">
        <f>$H91*factors!AH$3</f>
        <v>0.38603082548160006</v>
      </c>
      <c r="AO91" s="3">
        <f>$H91*factors!AI$3</f>
        <v>0.40445138354400001</v>
      </c>
      <c r="AP91" s="3">
        <f>$H91*factors!AJ$3</f>
        <v>0.38763261313920006</v>
      </c>
      <c r="AQ91" s="3">
        <f>$H91*factors!AK$3</f>
        <v>0.40004646748560008</v>
      </c>
      <c r="AR91" s="3">
        <f>$H91*factors!AL$3</f>
        <v>0.39123663536880005</v>
      </c>
      <c r="AS91" s="3">
        <f>$H91*factors!AM$3</f>
        <v>0.38162590942320002</v>
      </c>
      <c r="AT91" s="3">
        <f>$H91*factors!AN$3</f>
        <v>0.39363931685520009</v>
      </c>
      <c r="AU91" s="3">
        <f>$H91*factors!AO$3</f>
        <v>0.41686523789039998</v>
      </c>
      <c r="AV91" s="3">
        <f>$H91*factors!AP$3</f>
        <v>0.39403976376960004</v>
      </c>
      <c r="AW91" s="3">
        <f>$H91*factors!AQ$3</f>
        <v>0.39003529462559999</v>
      </c>
      <c r="AX91" s="3">
        <f>$H91*factors!AR$3</f>
        <v>0.41246032183200004</v>
      </c>
      <c r="AY91" s="3">
        <f>$H91*factors!AS$3</f>
        <v>0.38042456868000002</v>
      </c>
      <c r="AZ91" s="3">
        <f>$H91*factors!AT$3</f>
        <v>0.40765495885920011</v>
      </c>
      <c r="BA91" s="3">
        <f>$H91*factors!AU$3</f>
        <v>0.39884512674240002</v>
      </c>
      <c r="BB91" s="3">
        <f>$H91*factors!AV$3</f>
        <v>0.39363931685520009</v>
      </c>
      <c r="BC91" s="3">
        <f>$H91*factors!AW$3</f>
        <v>0.41646479097600009</v>
      </c>
      <c r="BD91" s="3">
        <f>$H91*factors!AX$3</f>
        <v>0.38442903782400001</v>
      </c>
      <c r="BE91" s="3">
        <f>$H91*factors!AY$3</f>
        <v>0.45196366836919999</v>
      </c>
      <c r="BF91" s="3">
        <f>$H91*factors!AZ$3</f>
        <v>0.42089936976879999</v>
      </c>
      <c r="BG91" s="3">
        <f>$H91*factors!BA$3</f>
        <v>0.42702472442239997</v>
      </c>
      <c r="BH91" s="3">
        <f>$H91*factors!BB$3</f>
        <v>0.43271255374360001</v>
      </c>
      <c r="BI91" s="3">
        <f>$H91*factors!BC$3</f>
        <v>0.44846346570999995</v>
      </c>
      <c r="BJ91" s="3">
        <f>$H91*factors!BD$3</f>
        <v>0.4283373004196</v>
      </c>
      <c r="BK91" s="3">
        <f>$H91*factors!BE$3</f>
        <v>0.42921235108439998</v>
      </c>
      <c r="BL91" s="3">
        <f>$H91*factors!BF$3</f>
        <v>0.42439957242799997</v>
      </c>
      <c r="BM91" s="3">
        <f>$H91*factors!BG$3</f>
        <v>0.45327624436640002</v>
      </c>
      <c r="BN91" s="3">
        <f>$H91*factors!BH$3</f>
        <v>0.44758841504519997</v>
      </c>
      <c r="BO91" s="3">
        <f>$H91*factors!BI$3</f>
        <v>0.42089936976879999</v>
      </c>
      <c r="BP91" s="3">
        <f>$H91*factors!BJ$3</f>
        <v>0.41958679377159996</v>
      </c>
      <c r="BQ91" s="3">
        <f>$H91*factors!BK$3</f>
        <v>0.42658719908999998</v>
      </c>
      <c r="BR91" s="3">
        <f>$H91*factors!BL$3</f>
        <v>0.44190058572400004</v>
      </c>
      <c r="BS91" s="3">
        <f>$H91*factors!BM$3</f>
        <v>0.4489009910424</v>
      </c>
      <c r="BT91" s="3">
        <f>$H91*factors!BN$3</f>
        <v>0.45021356703959997</v>
      </c>
      <c r="BU91" s="3">
        <f>$H91*factors!BO$3</f>
        <v>0.45765149769040003</v>
      </c>
      <c r="BV91" s="3">
        <f>$H91*factors!BP$3</f>
        <v>0.4257121484252</v>
      </c>
      <c r="BW91" s="3">
        <f>$H91*factors!BQ$3</f>
        <v>0.43533770573800001</v>
      </c>
      <c r="BX91" s="3">
        <f>$H91*factors!BR$3</f>
        <v>0.42702472442239997</v>
      </c>
      <c r="BY91" s="3">
        <f>$H91*factors!BS$3</f>
        <v>0.44671336438039994</v>
      </c>
      <c r="BZ91" s="3">
        <f>$H91*factors!BT$3</f>
        <v>0.43840038306479995</v>
      </c>
      <c r="CA91" s="3">
        <f>$H91*factors!BU$3</f>
        <v>0.43271255374360001</v>
      </c>
      <c r="CB91" s="3">
        <f>$H91*factors!BV$3</f>
        <v>0.41871174310679998</v>
      </c>
      <c r="CC91" s="3">
        <f>$H91*factors!BW$3</f>
        <v>0.430962452414</v>
      </c>
      <c r="CD91" s="3">
        <f>$H91*factors!BX$3</f>
        <v>0.43227502841120002</v>
      </c>
      <c r="CE91" s="3">
        <f>$H91*factors!BY$3</f>
        <v>0.43840038306479995</v>
      </c>
      <c r="CF91" s="3">
        <f>$H91*factors!BZ$3</f>
        <v>0.43183750307880003</v>
      </c>
      <c r="CG91" s="3">
        <f>$H91*factors!CA$3</f>
        <v>0.41739916710959996</v>
      </c>
      <c r="CH91" s="3">
        <f>$H91*factors!CB$3</f>
        <v>0.41783669244199995</v>
      </c>
      <c r="CI91" s="3">
        <f>$H91*factors!CC$3</f>
        <v>0.41564906577999999</v>
      </c>
      <c r="CJ91" s="3">
        <f>$H91*factors!CD$3</f>
        <v>0.43271255374360001</v>
      </c>
      <c r="CK91" s="3">
        <f>$H91*factors!CE$3</f>
        <v>0.45196366836919999</v>
      </c>
      <c r="CL91" s="3">
        <f>$H91*factors!CF$3</f>
        <v>0.42352452176319999</v>
      </c>
      <c r="CM91" s="3">
        <f>$H91*factors!CG$3</f>
        <v>0.4335876044084</v>
      </c>
      <c r="CN91" s="3">
        <f>$H91*factors!CH$3</f>
        <v>0.41914926843919997</v>
      </c>
      <c r="CO91" s="3">
        <f>$H91*factors!CI$3</f>
        <v>0.42221194576599996</v>
      </c>
      <c r="CP91" s="3">
        <f>$H91*factors!CJ$3</f>
        <v>0.44233811105639992</v>
      </c>
      <c r="CQ91" s="3">
        <f>$H91*factors!CK$3</f>
        <v>0.42921235108439998</v>
      </c>
      <c r="CR91" s="3">
        <f>$H91*factors!CL$3</f>
        <v>0.44277563638879996</v>
      </c>
      <c r="CS91" s="3">
        <f>$H91*factors!CM$3</f>
        <v>0.4567764470256</v>
      </c>
      <c r="CT91" s="3">
        <f>$H91*factors!CN$3</f>
        <v>0.4515261430368</v>
      </c>
      <c r="CU91" s="3">
        <f>$H91*factors!CO$3</f>
        <v>0.44146306039159994</v>
      </c>
      <c r="CV91" s="3">
        <f>$H91*factors!CP$3</f>
        <v>0.45940159902</v>
      </c>
      <c r="CW91" s="3">
        <f>$H91*factors!CQ$3</f>
        <v>0.43446265507320003</v>
      </c>
      <c r="CX91" s="3">
        <f>$H91*factors!CR$3</f>
        <v>0.42789977508720001</v>
      </c>
      <c r="CY91" s="3">
        <f>$H91*factors!CS$3</f>
        <v>0.42396204709559998</v>
      </c>
      <c r="CZ91" s="3">
        <f>$H91*factors!CT$3</f>
        <v>0.41783669244199995</v>
      </c>
      <c r="DA91" s="3">
        <f>$H91*factors!CU$3</f>
        <v>0.43381749060000002</v>
      </c>
      <c r="DB91" s="3">
        <f>$H91*factors!CV$3</f>
        <v>0.46184877460800006</v>
      </c>
      <c r="DC91" s="3">
        <f>$H91*factors!CW$3</f>
        <v>0.44227136990399996</v>
      </c>
      <c r="DD91" s="3">
        <f>$H91*factors!CX$3</f>
        <v>0.43915678279199999</v>
      </c>
      <c r="DE91" s="3">
        <f>$H91*factors!CY$3</f>
        <v>0.45206007225600003</v>
      </c>
      <c r="DF91" s="3">
        <f>$H91*factors!CZ$3</f>
        <v>0.45117019022399996</v>
      </c>
      <c r="DG91" s="3">
        <f>$H91*factors!DA$3</f>
        <v>0.44939042616000002</v>
      </c>
      <c r="DH91" s="3">
        <f>$H91*factors!DB$3</f>
        <v>0.44939042616000002</v>
      </c>
      <c r="DI91" s="3">
        <f>$H91*factors!DC$3</f>
        <v>0.43248266755199999</v>
      </c>
      <c r="DJ91" s="3">
        <f>$H91*factors!DD$3</f>
        <v>0.45828924648000002</v>
      </c>
      <c r="DK91" s="3">
        <f>$H91*factors!DE$3</f>
        <v>0.45828924648000002</v>
      </c>
      <c r="DL91" s="3">
        <f>$H91*factors!DF$3</f>
        <v>0.45294995428800006</v>
      </c>
      <c r="DM91" s="3">
        <f>$H91*factors!DG$3</f>
        <v>0.42669843434399995</v>
      </c>
      <c r="DN91" s="3">
        <f>$H91*factors!DH$3</f>
        <v>0.44761066209600003</v>
      </c>
      <c r="DO91" s="3">
        <f>$H91*factors!DI$3</f>
        <v>0.46229371562400001</v>
      </c>
      <c r="DP91" s="3">
        <f>$H91*factors!DJ$3</f>
        <v>0.45828924648000002</v>
      </c>
      <c r="DQ91" s="3">
        <f>$H91*factors!DK$3</f>
        <v>0.43693207771199999</v>
      </c>
      <c r="DR91" s="3">
        <f>$H91*factors!DL$3</f>
        <v>0.43203772653600003</v>
      </c>
      <c r="DS91" s="3">
        <f>$H91*factors!DM$3</f>
        <v>0.46674312578400001</v>
      </c>
      <c r="DT91" s="3">
        <f>$H91*factors!DN$3</f>
        <v>0.43871184177600003</v>
      </c>
      <c r="DU91" s="3">
        <f>$H91*factors!DO$3</f>
        <v>0.45917912851199999</v>
      </c>
      <c r="DV91" s="3">
        <f>$H91*factors!DP$3</f>
        <v>0.448500544128</v>
      </c>
      <c r="DW91" s="3">
        <f>$H91*factors!DQ$3</f>
        <v>0.42803325739199999</v>
      </c>
      <c r="DX91" s="3">
        <f>$H91*factors!DR$3</f>
        <v>0.45339489530399996</v>
      </c>
      <c r="DY91" s="3">
        <f>$H91*factors!DS$3</f>
        <v>0.43025796247199999</v>
      </c>
      <c r="DZ91" s="3">
        <f>$H91*factors!DT$3</f>
        <v>0.46006901054400001</v>
      </c>
      <c r="EA91" s="3">
        <f>$H91*factors!DU$3</f>
        <v>0.43337254958399996</v>
      </c>
      <c r="EB91" s="3">
        <f>$H91*factors!DV$3</f>
        <v>0.42269396519999997</v>
      </c>
      <c r="EC91" s="3">
        <f>$H91*factors!DW$3</f>
        <v>0.45472971835199999</v>
      </c>
      <c r="ED91" s="3">
        <f>$H91*factors!DX$3</f>
        <v>0.42669843434399995</v>
      </c>
      <c r="EE91" s="3">
        <f>$H91*factors!DY$3</f>
        <v>0.43025796247199999</v>
      </c>
      <c r="EF91" s="3">
        <f>$H91*factors!DZ$3</f>
        <v>0.46674312578400001</v>
      </c>
      <c r="EG91" s="3">
        <f>$H91*factors!EA$3</f>
        <v>0.43604219568000002</v>
      </c>
      <c r="EH91" s="3">
        <f>$H91*factors!EB$3</f>
        <v>0.437377018728</v>
      </c>
      <c r="EI91" s="3">
        <f>$H91*factors!EC$3</f>
        <v>0.43648713669600003</v>
      </c>
      <c r="EJ91" s="3">
        <f>$H91*factors!ED$3</f>
        <v>0.42536361129600003</v>
      </c>
      <c r="EK91" s="3">
        <f>$H91*factors!EE$3</f>
        <v>0.45472971835199999</v>
      </c>
      <c r="EL91" s="3">
        <f>$H91*factors!EF$3</f>
        <v>0.43248266755199999</v>
      </c>
      <c r="EM91" s="3">
        <f>$H91*factors!EG$3</f>
        <v>0.44983536717599998</v>
      </c>
      <c r="EN91" s="3">
        <f>$H91*factors!EH$3</f>
        <v>0.42269396519999997</v>
      </c>
      <c r="EO91" s="3">
        <f>$H91*factors!EI$3</f>
        <v>0.42892313942399996</v>
      </c>
      <c r="EP91" s="3">
        <f>$H91*factors!EJ$3</f>
        <v>0.45250501327199999</v>
      </c>
      <c r="EQ91" s="3">
        <f>$H91*factors!EK$3</f>
        <v>0.44004666482399996</v>
      </c>
      <c r="ER91" s="3">
        <f>$H91*factors!EL$3</f>
        <v>0.45828924648000002</v>
      </c>
      <c r="ES91" s="3">
        <f>$H91*factors!EM$3</f>
        <v>0.45250501327199999</v>
      </c>
      <c r="ET91" s="3">
        <f>$H91*factors!EN$3</f>
        <v>0.46273865664000002</v>
      </c>
      <c r="EU91" s="3">
        <f>$H91*factors!EO$3</f>
        <v>0.46718806680000002</v>
      </c>
      <c r="EV91" s="3">
        <f>$H91*factors!EP$3</f>
        <v>0.43782195974399996</v>
      </c>
      <c r="EW91" s="3">
        <f>$H91*factors!EQ$3</f>
        <v>0.48155595377499999</v>
      </c>
      <c r="EX91" s="3">
        <f>$H91*factors!ER$3</f>
        <v>0.47645767130000005</v>
      </c>
      <c r="EY91" s="3">
        <f>$H91*factors!ES$3</f>
        <v>0.48619075602499995</v>
      </c>
      <c r="EZ91" s="3">
        <f>$H91*factors!ET$3</f>
        <v>0.48155595377499999</v>
      </c>
      <c r="FA91" s="3">
        <f>$H91*factors!EU$3</f>
        <v>0.44262361487499996</v>
      </c>
      <c r="FB91" s="3">
        <f>$H91*factors!EV$3</f>
        <v>0.46255326455000007</v>
      </c>
      <c r="FC91" s="3">
        <f>$H91*factors!EW$3</f>
        <v>0.47553071085000004</v>
      </c>
      <c r="FD91" s="3">
        <f>$H91*factors!EX$3</f>
        <v>0.45884542275000006</v>
      </c>
      <c r="FE91" s="3">
        <f>$H91*factors!EY$3</f>
        <v>0.48340987467500002</v>
      </c>
      <c r="FF91" s="3">
        <f>$H91*factors!EZ$3</f>
        <v>0.48387335490000011</v>
      </c>
      <c r="FG91" s="3">
        <f>$H91*factors!FA$3</f>
        <v>0.44262361487499996</v>
      </c>
      <c r="FH91" s="3">
        <f>$H91*factors!FB$3</f>
        <v>0.46579762612499997</v>
      </c>
      <c r="FI91" s="3">
        <f>$H91*factors!FC$3</f>
        <v>0.48526379557499999</v>
      </c>
      <c r="FJ91" s="3">
        <f>$H91*factors!FD$3</f>
        <v>0.46579762612499997</v>
      </c>
      <c r="FK91" s="3">
        <f>$H91*factors!FE$3</f>
        <v>0.47367678995000007</v>
      </c>
      <c r="FL91" s="3">
        <f>$H91*factors!FF$3</f>
        <v>0.475067230625</v>
      </c>
      <c r="FM91" s="3">
        <f>$H91*factors!FG$3</f>
        <v>0.4801655131</v>
      </c>
      <c r="FN91" s="3">
        <f>$H91*factors!FH$3</f>
        <v>0.449112338025</v>
      </c>
      <c r="FO91" s="3">
        <f>$H91*factors!FI$3</f>
        <v>0.47692115152499998</v>
      </c>
      <c r="FP91" s="3">
        <f>$H91*factors!FJ$3</f>
        <v>0.46348022500000002</v>
      </c>
      <c r="FQ91" s="3">
        <f>$H91*factors!FK$3</f>
        <v>0.45884542275000006</v>
      </c>
      <c r="FR91" s="3">
        <f>$H91*factors!FL$3</f>
        <v>0.46811502724999998</v>
      </c>
      <c r="FS91" s="3">
        <f>$H91*factors!FM$3</f>
        <v>0.4653341459</v>
      </c>
      <c r="FT91" s="3">
        <f>$H91*factors!FN$3</f>
        <v>0.47553071085000004</v>
      </c>
      <c r="FU91" s="3">
        <f>$H91*factors!FO$3</f>
        <v>0.45699150184999998</v>
      </c>
      <c r="FV91" s="3">
        <f>$H91*factors!FP$3</f>
        <v>0.45328366004999998</v>
      </c>
      <c r="FW91" s="3">
        <f>$H91*factors!FQ$3</f>
        <v>0.48526379557499999</v>
      </c>
      <c r="FX91" s="3">
        <f>$H91*factors!FR$3</f>
        <v>0.47645767130000005</v>
      </c>
      <c r="FY91" s="3">
        <f>$H91*factors!FS$3</f>
        <v>0.46672458657499993</v>
      </c>
      <c r="FZ91" s="3">
        <f>$H91*factors!FT$3</f>
        <v>0.44355057532500003</v>
      </c>
      <c r="GA91" s="3">
        <f>$H91*factors!FU$3</f>
        <v>0.46672458657499993</v>
      </c>
      <c r="GB91" s="3">
        <f>$H91*factors!FV$3</f>
        <v>0.48387335490000011</v>
      </c>
      <c r="GC91" s="3">
        <f>$H91*factors!FW$3</f>
        <v>0.45328366004999998</v>
      </c>
      <c r="GD91" s="3">
        <f>$H91*factors!FX$3</f>
        <v>0.46116282387500002</v>
      </c>
      <c r="GE91" s="3">
        <f>$H91*factors!FY$3</f>
        <v>0.46116282387500002</v>
      </c>
      <c r="GF91" s="3">
        <f>$H91*factors!FZ$3</f>
        <v>0.45977238320000002</v>
      </c>
      <c r="GG91" s="3">
        <f>$H91*factors!GA$3</f>
        <v>0.441696654425</v>
      </c>
      <c r="GH91" s="3">
        <f>$H91*factors!GB$3</f>
        <v>0.46996894815000007</v>
      </c>
      <c r="GI91" s="3">
        <f>$H91*factors!GC$3</f>
        <v>0.44076969397499999</v>
      </c>
      <c r="GJ91" s="3">
        <f>$H91*factors!GD$3</f>
        <v>0.441696654425</v>
      </c>
      <c r="GK91" s="3">
        <f>$H91*factors!GE$3</f>
        <v>0.452820179825</v>
      </c>
      <c r="GL91" s="3">
        <f>$H91*factors!GF$3</f>
        <v>0.47970203287500002</v>
      </c>
      <c r="GM91" s="3">
        <f>$H91*factors!GG$3</f>
        <v>0.45467410072500003</v>
      </c>
      <c r="GN91" s="3">
        <f>$H91*factors!GH$3</f>
        <v>0.46904198770000005</v>
      </c>
      <c r="GO91" s="3">
        <f>$H91*factors!GI$3</f>
        <v>0.44308709509999994</v>
      </c>
      <c r="GP91" s="3">
        <f>$H91*factors!GJ$3</f>
        <v>0.475067230625</v>
      </c>
      <c r="GQ91" s="3">
        <f>$H91*factors!GK$3</f>
        <v>0.48480031535000007</v>
      </c>
      <c r="GR91" s="3">
        <f>$H91*factors!GL$3</f>
        <v>0.47553071085000004</v>
      </c>
      <c r="GS91" s="3">
        <f>$H91*factors!GM$3</f>
        <v>0.44970559271300004</v>
      </c>
      <c r="GT91" s="3">
        <f>$H91*factors!GN$3</f>
        <v>0.46006530270220003</v>
      </c>
      <c r="GU91" s="3">
        <f>$H91*factors!GO$3</f>
        <v>0.47089590860000002</v>
      </c>
      <c r="GV91" s="3">
        <f>$H91*factors!GP$3</f>
        <v>0.45206007225600003</v>
      </c>
      <c r="GW91" s="3">
        <f>$H91*factors!GQ$3</f>
        <v>0.46807053314840003</v>
      </c>
      <c r="GX91" s="3">
        <f>$H91*factors!GR$3</f>
        <v>0.46053619861080003</v>
      </c>
      <c r="GY91" s="3">
        <f>$H91*factors!GS$3</f>
        <v>0.45818171906780003</v>
      </c>
      <c r="GZ91" s="3">
        <f>$H91*factors!GT$3</f>
        <v>0.47513397177739997</v>
      </c>
      <c r="HA91" s="3">
        <f>$H91*factors!GU$3</f>
        <v>0.45959440679360003</v>
      </c>
      <c r="HB91" s="3">
        <f>$H91*factors!GV$3</f>
        <v>0.47513397177739997</v>
      </c>
      <c r="HC91" s="3">
        <f>$H91*factors!GW$3</f>
        <v>0.46336157406239997</v>
      </c>
      <c r="HD91" s="3">
        <f>$H91*factors!GX$3</f>
        <v>0.47701755541179997</v>
      </c>
      <c r="HE91" s="3">
        <f>$H91*factors!GY$3</f>
        <v>0.47089590860000002</v>
      </c>
      <c r="HF91" s="3">
        <f>$H91*factors!GZ$3</f>
        <v>0.48549368176660002</v>
      </c>
      <c r="HG91" s="3">
        <f>$H91*factors!HA$3</f>
        <v>0.46665784542260003</v>
      </c>
      <c r="HH91" s="3">
        <f>$H91*factors!HB$3</f>
        <v>0.46053619861080003</v>
      </c>
      <c r="HI91" s="3">
        <f>$H91*factors!HC$3</f>
        <v>0.45488544770760003</v>
      </c>
      <c r="HJ91" s="3">
        <f>$H91*factors!HD$3</f>
        <v>0.44970559271300004</v>
      </c>
      <c r="HK91" s="3">
        <f>$H91*factors!HE$3</f>
        <v>0.47560486768600002</v>
      </c>
      <c r="HL91" s="3">
        <f>$H91*factors!HF$3</f>
        <v>0.44829290498719998</v>
      </c>
      <c r="HM91" s="3">
        <f>$H91*factors!HG$3</f>
        <v>0.45300186407320003</v>
      </c>
      <c r="HN91" s="3">
        <f>$H91*factors!HH$3</f>
        <v>0.48313920222360007</v>
      </c>
      <c r="HO91" s="3">
        <f>$H91*factors!HI$3</f>
        <v>0.46336157406239997</v>
      </c>
      <c r="HP91" s="3">
        <f>$H91*factors!HJ$3</f>
        <v>0.49444070403000007</v>
      </c>
      <c r="HQ91" s="3">
        <f>$H91*factors!HK$3</f>
        <v>0.45206007225600003</v>
      </c>
      <c r="HR91" s="3">
        <f>$H91*factors!HL$3</f>
        <v>0.47937203495480007</v>
      </c>
      <c r="HS91" s="3">
        <f>$H91*factors!HM$3</f>
        <v>0.48784816130960001</v>
      </c>
      <c r="HT91" s="3">
        <f>$H91*factors!HN$3</f>
        <v>0.45488544770760003</v>
      </c>
      <c r="HU91" s="3">
        <f>$H91*factors!HO$3</f>
        <v>0.45959440679360003</v>
      </c>
      <c r="HV91" s="3">
        <f>$H91*factors!HP$3</f>
        <v>0.46524515769680008</v>
      </c>
      <c r="HW91" s="3">
        <f>$H91*factors!HQ$3</f>
        <v>0.47183770041720002</v>
      </c>
      <c r="HX91" s="3">
        <f>$H91*factors!HR$3</f>
        <v>0.49114443266979996</v>
      </c>
      <c r="HY91" s="3">
        <f>$H91*factors!HS$3</f>
        <v>0.46665784542260003</v>
      </c>
      <c r="HZ91" s="3">
        <f>$H91*factors!HT$3</f>
        <v>0.48455188994940002</v>
      </c>
      <c r="IA91" s="3">
        <f>$H91*factors!HU$3</f>
        <v>0.46100709451940003</v>
      </c>
      <c r="IB91" s="3">
        <f>$H91*factors!HV$3</f>
        <v>0.47701755541179997</v>
      </c>
      <c r="IC91" s="3">
        <f>$H91*factors!HW$3</f>
        <v>0.48172651449780002</v>
      </c>
      <c r="ID91" s="3">
        <f>$H91*factors!HX$3</f>
        <v>0.44735111316999998</v>
      </c>
      <c r="IE91" s="3">
        <f>$H91*factors!HY$3</f>
        <v>0.47513397177739997</v>
      </c>
      <c r="IF91" s="3">
        <f>$H91*factors!HZ$3</f>
        <v>0.47230859632579997</v>
      </c>
      <c r="IG91" s="3">
        <f>$H91*factors!IA$3</f>
        <v>0.46807053314840003</v>
      </c>
      <c r="IH91" s="3">
        <f>$H91*factors!IB$3</f>
        <v>0.48549368176660002</v>
      </c>
      <c r="II91" s="3">
        <f>$H91*factors!IC$3</f>
        <v>0.46477426178820003</v>
      </c>
      <c r="IJ91" s="3">
        <f>$H91*factors!ID$3</f>
        <v>0.46901232496560002</v>
      </c>
      <c r="IK91" s="3">
        <f>$H91*factors!IE$3</f>
        <v>0.48596457767520002</v>
      </c>
      <c r="IL91" s="3">
        <f>$H91*factors!IF$3</f>
        <v>0.46524515769680008</v>
      </c>
      <c r="IM91" s="3">
        <f>$H91*factors!IG$3</f>
        <v>0.46100709451940003</v>
      </c>
      <c r="IN91" s="3">
        <f>$H91*factors!IH$3</f>
        <v>0.46383246997100003</v>
      </c>
      <c r="IO91" s="3">
        <f>$H91*factors!II$3</f>
        <v>0.46854142905700003</v>
      </c>
      <c r="IP91" s="3">
        <f>$H91*factors!IJ$3</f>
        <v>0.45300186407320003</v>
      </c>
      <c r="IQ91" s="3">
        <f>$H91*factors!IK$3</f>
        <v>0.45158917634740003</v>
      </c>
      <c r="IR91" s="3">
        <f>$H91*factors!IL$3</f>
        <v>0.46477426178820003</v>
      </c>
      <c r="IS91" s="3">
        <f>$H91*factors!IM$3</f>
        <v>0.46854142905700003</v>
      </c>
      <c r="IT91" s="3">
        <f>$H91*factors!IN$3</f>
        <v>0.47183770041720002</v>
      </c>
      <c r="IU91" s="3">
        <f>$H91*factors!IO$3</f>
        <v>0.48219741040640007</v>
      </c>
      <c r="IV91" s="3">
        <f>$H91*factors!IP$3</f>
        <v>0.48831905721819996</v>
      </c>
      <c r="IW91" s="3">
        <f>$H91*factors!IQ$3</f>
        <v>0.46147799042799997</v>
      </c>
      <c r="IX91" s="3">
        <f>$H91*factors!IR$3</f>
        <v>0.48219741040640007</v>
      </c>
      <c r="IY91" s="3">
        <f>$H91*factors!IS$3</f>
        <v>0.47513397177739997</v>
      </c>
      <c r="IZ91" s="3">
        <f>$H91*factors!IT$3</f>
        <v>0.48313920222360007</v>
      </c>
      <c r="JA91" s="3">
        <f>$H91*factors!IU$3</f>
        <v>0.45629813543339998</v>
      </c>
      <c r="JB91" s="3">
        <f>$H91*factors!IV$3</f>
        <v>0.46477426178820003</v>
      </c>
      <c r="JC91" s="3">
        <f>$H91*factors!IW$3</f>
        <v>0.45394365589040003</v>
      </c>
      <c r="JD91" s="3">
        <f>$H91*factors!IX$3</f>
        <v>0.49444070403000007</v>
      </c>
      <c r="JE91" s="3">
        <f>$H91*factors!IY$3</f>
        <v>0.45535634361619998</v>
      </c>
      <c r="JF91" s="3">
        <f>$H91*factors!IZ$3</f>
        <v>0.47795934722899996</v>
      </c>
      <c r="JG91" s="3">
        <f>$H91*factors!JA$3</f>
        <v>0.46948322087419997</v>
      </c>
      <c r="JH91" s="3">
        <f>$H91*factors!JB$3</f>
        <v>0.47843024313760008</v>
      </c>
      <c r="JI91" s="3">
        <f>$H91*factors!JC$3</f>
        <v>0.44782200907860004</v>
      </c>
      <c r="JJ91" s="3">
        <f>$H91*factors!JD$3</f>
        <v>0.48219741040640007</v>
      </c>
      <c r="JK91" s="3">
        <f>$H91*factors!JE$3</f>
        <v>0.46665784542260003</v>
      </c>
      <c r="JL91" s="3">
        <f>$H91*factors!JF$3</f>
        <v>0.48549368176660002</v>
      </c>
      <c r="JM91" s="3">
        <f>$H91*factors!JG$3</f>
        <v>0.45300186407320003</v>
      </c>
      <c r="JN91" s="3">
        <f>$H91*factors!JH$3</f>
        <v>0.45300186407320003</v>
      </c>
      <c r="JO91" s="3">
        <f>$H91*factors!JI$3</f>
        <v>0.44735111316999998</v>
      </c>
      <c r="JP91" s="3">
        <f>$H91*factors!JJ$3</f>
        <v>0.48361009813220002</v>
      </c>
      <c r="JQ91" s="3">
        <f>$H91*factors!JK$3</f>
        <v>0.47136680450859997</v>
      </c>
      <c r="JR91" s="3">
        <f>$H91*factors!JL$3</f>
        <v>0.48973174494400001</v>
      </c>
      <c r="JS91" s="3">
        <f>$H91*factors!JM$3</f>
        <v>0.44735111316999998</v>
      </c>
      <c r="JT91" s="3">
        <f>$H91*factors!JN$3</f>
        <v>0.46995411678280002</v>
      </c>
      <c r="JU91" s="3">
        <f>$H91*factors!JO$3</f>
        <v>0.45441455179899998</v>
      </c>
      <c r="JV91" s="3">
        <f>$H91*factors!JP$3</f>
        <v>0.46194888633660003</v>
      </c>
      <c r="JW91" s="3">
        <f>$H91*factors!JQ$3</f>
        <v>0.49349891221280007</v>
      </c>
      <c r="JX91" s="3">
        <f>$H91*factors!JR$3</f>
        <v>0.48878995312680001</v>
      </c>
      <c r="JY91" s="3">
        <f>$H91*factors!JS$3</f>
        <v>0.46006530270220003</v>
      </c>
      <c r="JZ91" s="3">
        <f>$H91*factors!JT$3</f>
        <v>0.46524515769680008</v>
      </c>
      <c r="KA91" s="3">
        <f>$H91*factors!JU$3</f>
        <v>0.46712874133120003</v>
      </c>
      <c r="KB91" s="3">
        <f>$H91*factors!JV$3</f>
        <v>0.45158917634740003</v>
      </c>
      <c r="KC91" s="3">
        <f>$H91*factors!JW$3</f>
        <v>0.45394365589040003</v>
      </c>
      <c r="KD91" s="3">
        <f>$H91*factors!JX$3</f>
        <v>0.45441455179899998</v>
      </c>
      <c r="KE91" s="3">
        <f>$H91*factors!JY$3</f>
        <v>0.48361009813220002</v>
      </c>
      <c r="KF91" s="3">
        <f>$H91*factors!JZ$3</f>
        <v>0.48926084903539996</v>
      </c>
      <c r="KG91" s="3">
        <f>$H91*factors!KA$3</f>
        <v>0.47183770041720002</v>
      </c>
      <c r="KH91" s="3">
        <f>$H91*factors!KB$3</f>
        <v>0.46147799042799997</v>
      </c>
      <c r="KI91" s="3">
        <f>$H91*factors!KC$3</f>
        <v>0.45723992725059998</v>
      </c>
    </row>
    <row r="92" spans="1:295" x14ac:dyDescent="0.55000000000000004">
      <c r="A92" t="s">
        <v>469</v>
      </c>
      <c r="B92">
        <v>91</v>
      </c>
      <c r="C92">
        <v>230</v>
      </c>
      <c r="D92" t="s">
        <v>377</v>
      </c>
      <c r="E92">
        <v>3.3409999999999998E-3</v>
      </c>
      <c r="F92">
        <v>91</v>
      </c>
      <c r="G92">
        <f>VLOOKUP(D92,demand_forecasted!$A$2:$G$11,2)</f>
        <v>11098</v>
      </c>
      <c r="H92" s="3">
        <f t="shared" si="2"/>
        <v>0.37078418000000002</v>
      </c>
      <c r="I92" s="3">
        <f>$H92*factors!C$3</f>
        <v>0.41045808725999999</v>
      </c>
      <c r="J92" s="3">
        <f>$H92*factors!D$3</f>
        <v>0.39564155142720003</v>
      </c>
      <c r="K92" s="3">
        <f>$H92*factors!E$3</f>
        <v>0.38883395388240005</v>
      </c>
      <c r="L92" s="3">
        <f>$H92*factors!F$3</f>
        <v>0.38763261313920006</v>
      </c>
      <c r="M92" s="3">
        <f>$H92*factors!G$3</f>
        <v>0.3872321662248</v>
      </c>
      <c r="N92" s="3">
        <f>$H92*factors!H$3</f>
        <v>0.39844467982800003</v>
      </c>
      <c r="O92" s="3">
        <f>$H92*factors!I$3</f>
        <v>0.4072545119448</v>
      </c>
      <c r="P92" s="3">
        <f>$H92*factors!J$3</f>
        <v>0.41205987491760004</v>
      </c>
      <c r="Q92" s="3">
        <f>$H92*factors!K$3</f>
        <v>0.3868317193104</v>
      </c>
      <c r="R92" s="3">
        <f>$H92*factors!L$3</f>
        <v>0.38042456868000002</v>
      </c>
      <c r="S92" s="3">
        <f>$H92*factors!M$3</f>
        <v>0.39604199834160003</v>
      </c>
      <c r="T92" s="3">
        <f>$H92*factors!N$3</f>
        <v>0.40965719343120005</v>
      </c>
      <c r="U92" s="3">
        <f>$H92*factors!O$3</f>
        <v>0.38803306005360005</v>
      </c>
      <c r="V92" s="3">
        <f>$H92*factors!P$3</f>
        <v>0.40365048971520007</v>
      </c>
      <c r="W92" s="3">
        <f>$H92*factors!Q$3</f>
        <v>0.4072545119448</v>
      </c>
      <c r="X92" s="3">
        <f>$H92*factors!R$3</f>
        <v>0.38963484771119999</v>
      </c>
      <c r="Y92" s="3">
        <f>$H92*factors!S$3</f>
        <v>0.38603082548160006</v>
      </c>
      <c r="Z92" s="3">
        <f>$H92*factors!T$3</f>
        <v>0.41646479097600009</v>
      </c>
      <c r="AA92" s="3">
        <f>$H92*factors!U$3</f>
        <v>0.39323886994079998</v>
      </c>
      <c r="AB92" s="3">
        <f>$H92*factors!V$3</f>
        <v>0.39363931685520009</v>
      </c>
      <c r="AC92" s="3">
        <f>$H92*factors!W$3</f>
        <v>0.39403976376960004</v>
      </c>
      <c r="AD92" s="3">
        <f>$H92*factors!X$3</f>
        <v>0.38563037856720006</v>
      </c>
      <c r="AE92" s="3">
        <f>$H92*factors!Y$3</f>
        <v>0.38883395388240005</v>
      </c>
      <c r="AF92" s="3">
        <f>$H92*factors!Z$3</f>
        <v>0.39684289217040009</v>
      </c>
      <c r="AG92" s="3">
        <f>$H92*factors!AA$3</f>
        <v>0.3868317193104</v>
      </c>
      <c r="AH92" s="3">
        <f>$H92*factors!AB$3</f>
        <v>0.38522993165280006</v>
      </c>
      <c r="AI92" s="3">
        <f>$H92*factors!AC$3</f>
        <v>0.39764378599920003</v>
      </c>
      <c r="AJ92" s="3">
        <f>$H92*factors!AD$3</f>
        <v>0.41286076874640004</v>
      </c>
      <c r="AK92" s="3">
        <f>$H92*factors!AE$3</f>
        <v>0.39724333908480003</v>
      </c>
      <c r="AL92" s="3">
        <f>$H92*factors!AF$3</f>
        <v>0.38162590942320002</v>
      </c>
      <c r="AM92" s="3">
        <f>$H92*factors!AG$3</f>
        <v>0.39243797611200004</v>
      </c>
      <c r="AN92" s="3">
        <f>$H92*factors!AH$3</f>
        <v>0.38603082548160006</v>
      </c>
      <c r="AO92" s="3">
        <f>$H92*factors!AI$3</f>
        <v>0.40445138354400001</v>
      </c>
      <c r="AP92" s="3">
        <f>$H92*factors!AJ$3</f>
        <v>0.38763261313920006</v>
      </c>
      <c r="AQ92" s="3">
        <f>$H92*factors!AK$3</f>
        <v>0.40004646748560008</v>
      </c>
      <c r="AR92" s="3">
        <f>$H92*factors!AL$3</f>
        <v>0.39123663536880005</v>
      </c>
      <c r="AS92" s="3">
        <f>$H92*factors!AM$3</f>
        <v>0.38162590942320002</v>
      </c>
      <c r="AT92" s="3">
        <f>$H92*factors!AN$3</f>
        <v>0.39363931685520009</v>
      </c>
      <c r="AU92" s="3">
        <f>$H92*factors!AO$3</f>
        <v>0.41686523789039998</v>
      </c>
      <c r="AV92" s="3">
        <f>$H92*factors!AP$3</f>
        <v>0.39403976376960004</v>
      </c>
      <c r="AW92" s="3">
        <f>$H92*factors!AQ$3</f>
        <v>0.39003529462559999</v>
      </c>
      <c r="AX92" s="3">
        <f>$H92*factors!AR$3</f>
        <v>0.41246032183200004</v>
      </c>
      <c r="AY92" s="3">
        <f>$H92*factors!AS$3</f>
        <v>0.38042456868000002</v>
      </c>
      <c r="AZ92" s="3">
        <f>$H92*factors!AT$3</f>
        <v>0.40765495885920011</v>
      </c>
      <c r="BA92" s="3">
        <f>$H92*factors!AU$3</f>
        <v>0.39884512674240002</v>
      </c>
      <c r="BB92" s="3">
        <f>$H92*factors!AV$3</f>
        <v>0.39363931685520009</v>
      </c>
      <c r="BC92" s="3">
        <f>$H92*factors!AW$3</f>
        <v>0.41646479097600009</v>
      </c>
      <c r="BD92" s="3">
        <f>$H92*factors!AX$3</f>
        <v>0.38442903782400001</v>
      </c>
      <c r="BE92" s="3">
        <f>$H92*factors!AY$3</f>
        <v>0.45196366836919999</v>
      </c>
      <c r="BF92" s="3">
        <f>$H92*factors!AZ$3</f>
        <v>0.42089936976879999</v>
      </c>
      <c r="BG92" s="3">
        <f>$H92*factors!BA$3</f>
        <v>0.42702472442239997</v>
      </c>
      <c r="BH92" s="3">
        <f>$H92*factors!BB$3</f>
        <v>0.43271255374360001</v>
      </c>
      <c r="BI92" s="3">
        <f>$H92*factors!BC$3</f>
        <v>0.44846346570999995</v>
      </c>
      <c r="BJ92" s="3">
        <f>$H92*factors!BD$3</f>
        <v>0.4283373004196</v>
      </c>
      <c r="BK92" s="3">
        <f>$H92*factors!BE$3</f>
        <v>0.42921235108439998</v>
      </c>
      <c r="BL92" s="3">
        <f>$H92*factors!BF$3</f>
        <v>0.42439957242799997</v>
      </c>
      <c r="BM92" s="3">
        <f>$H92*factors!BG$3</f>
        <v>0.45327624436640002</v>
      </c>
      <c r="BN92" s="3">
        <f>$H92*factors!BH$3</f>
        <v>0.44758841504519997</v>
      </c>
      <c r="BO92" s="3">
        <f>$H92*factors!BI$3</f>
        <v>0.42089936976879999</v>
      </c>
      <c r="BP92" s="3">
        <f>$H92*factors!BJ$3</f>
        <v>0.41958679377159996</v>
      </c>
      <c r="BQ92" s="3">
        <f>$H92*factors!BK$3</f>
        <v>0.42658719908999998</v>
      </c>
      <c r="BR92" s="3">
        <f>$H92*factors!BL$3</f>
        <v>0.44190058572400004</v>
      </c>
      <c r="BS92" s="3">
        <f>$H92*factors!BM$3</f>
        <v>0.4489009910424</v>
      </c>
      <c r="BT92" s="3">
        <f>$H92*factors!BN$3</f>
        <v>0.45021356703959997</v>
      </c>
      <c r="BU92" s="3">
        <f>$H92*factors!BO$3</f>
        <v>0.45765149769040003</v>
      </c>
      <c r="BV92" s="3">
        <f>$H92*factors!BP$3</f>
        <v>0.4257121484252</v>
      </c>
      <c r="BW92" s="3">
        <f>$H92*factors!BQ$3</f>
        <v>0.43533770573800001</v>
      </c>
      <c r="BX92" s="3">
        <f>$H92*factors!BR$3</f>
        <v>0.42702472442239997</v>
      </c>
      <c r="BY92" s="3">
        <f>$H92*factors!BS$3</f>
        <v>0.44671336438039994</v>
      </c>
      <c r="BZ92" s="3">
        <f>$H92*factors!BT$3</f>
        <v>0.43840038306479995</v>
      </c>
      <c r="CA92" s="3">
        <f>$H92*factors!BU$3</f>
        <v>0.43271255374360001</v>
      </c>
      <c r="CB92" s="3">
        <f>$H92*factors!BV$3</f>
        <v>0.41871174310679998</v>
      </c>
      <c r="CC92" s="3">
        <f>$H92*factors!BW$3</f>
        <v>0.430962452414</v>
      </c>
      <c r="CD92" s="3">
        <f>$H92*factors!BX$3</f>
        <v>0.43227502841120002</v>
      </c>
      <c r="CE92" s="3">
        <f>$H92*factors!BY$3</f>
        <v>0.43840038306479995</v>
      </c>
      <c r="CF92" s="3">
        <f>$H92*factors!BZ$3</f>
        <v>0.43183750307880003</v>
      </c>
      <c r="CG92" s="3">
        <f>$H92*factors!CA$3</f>
        <v>0.41739916710959996</v>
      </c>
      <c r="CH92" s="3">
        <f>$H92*factors!CB$3</f>
        <v>0.41783669244199995</v>
      </c>
      <c r="CI92" s="3">
        <f>$H92*factors!CC$3</f>
        <v>0.41564906577999999</v>
      </c>
      <c r="CJ92" s="3">
        <f>$H92*factors!CD$3</f>
        <v>0.43271255374360001</v>
      </c>
      <c r="CK92" s="3">
        <f>$H92*factors!CE$3</f>
        <v>0.45196366836919999</v>
      </c>
      <c r="CL92" s="3">
        <f>$H92*factors!CF$3</f>
        <v>0.42352452176319999</v>
      </c>
      <c r="CM92" s="3">
        <f>$H92*factors!CG$3</f>
        <v>0.4335876044084</v>
      </c>
      <c r="CN92" s="3">
        <f>$H92*factors!CH$3</f>
        <v>0.41914926843919997</v>
      </c>
      <c r="CO92" s="3">
        <f>$H92*factors!CI$3</f>
        <v>0.42221194576599996</v>
      </c>
      <c r="CP92" s="3">
        <f>$H92*factors!CJ$3</f>
        <v>0.44233811105639992</v>
      </c>
      <c r="CQ92" s="3">
        <f>$H92*factors!CK$3</f>
        <v>0.42921235108439998</v>
      </c>
      <c r="CR92" s="3">
        <f>$H92*factors!CL$3</f>
        <v>0.44277563638879996</v>
      </c>
      <c r="CS92" s="3">
        <f>$H92*factors!CM$3</f>
        <v>0.4567764470256</v>
      </c>
      <c r="CT92" s="3">
        <f>$H92*factors!CN$3</f>
        <v>0.4515261430368</v>
      </c>
      <c r="CU92" s="3">
        <f>$H92*factors!CO$3</f>
        <v>0.44146306039159994</v>
      </c>
      <c r="CV92" s="3">
        <f>$H92*factors!CP$3</f>
        <v>0.45940159902</v>
      </c>
      <c r="CW92" s="3">
        <f>$H92*factors!CQ$3</f>
        <v>0.43446265507320003</v>
      </c>
      <c r="CX92" s="3">
        <f>$H92*factors!CR$3</f>
        <v>0.42789977508720001</v>
      </c>
      <c r="CY92" s="3">
        <f>$H92*factors!CS$3</f>
        <v>0.42396204709559998</v>
      </c>
      <c r="CZ92" s="3">
        <f>$H92*factors!CT$3</f>
        <v>0.41783669244199995</v>
      </c>
      <c r="DA92" s="3">
        <f>$H92*factors!CU$3</f>
        <v>0.43381749060000002</v>
      </c>
      <c r="DB92" s="3">
        <f>$H92*factors!CV$3</f>
        <v>0.46184877460800006</v>
      </c>
      <c r="DC92" s="3">
        <f>$H92*factors!CW$3</f>
        <v>0.44227136990399996</v>
      </c>
      <c r="DD92" s="3">
        <f>$H92*factors!CX$3</f>
        <v>0.43915678279199999</v>
      </c>
      <c r="DE92" s="3">
        <f>$H92*factors!CY$3</f>
        <v>0.45206007225600003</v>
      </c>
      <c r="DF92" s="3">
        <f>$H92*factors!CZ$3</f>
        <v>0.45117019022399996</v>
      </c>
      <c r="DG92" s="3">
        <f>$H92*factors!DA$3</f>
        <v>0.44939042616000002</v>
      </c>
      <c r="DH92" s="3">
        <f>$H92*factors!DB$3</f>
        <v>0.44939042616000002</v>
      </c>
      <c r="DI92" s="3">
        <f>$H92*factors!DC$3</f>
        <v>0.43248266755199999</v>
      </c>
      <c r="DJ92" s="3">
        <f>$H92*factors!DD$3</f>
        <v>0.45828924648000002</v>
      </c>
      <c r="DK92" s="3">
        <f>$H92*factors!DE$3</f>
        <v>0.45828924648000002</v>
      </c>
      <c r="DL92" s="3">
        <f>$H92*factors!DF$3</f>
        <v>0.45294995428800006</v>
      </c>
      <c r="DM92" s="3">
        <f>$H92*factors!DG$3</f>
        <v>0.42669843434399995</v>
      </c>
      <c r="DN92" s="3">
        <f>$H92*factors!DH$3</f>
        <v>0.44761066209600003</v>
      </c>
      <c r="DO92" s="3">
        <f>$H92*factors!DI$3</f>
        <v>0.46229371562400001</v>
      </c>
      <c r="DP92" s="3">
        <f>$H92*factors!DJ$3</f>
        <v>0.45828924648000002</v>
      </c>
      <c r="DQ92" s="3">
        <f>$H92*factors!DK$3</f>
        <v>0.43693207771199999</v>
      </c>
      <c r="DR92" s="3">
        <f>$H92*factors!DL$3</f>
        <v>0.43203772653600003</v>
      </c>
      <c r="DS92" s="3">
        <f>$H92*factors!DM$3</f>
        <v>0.46674312578400001</v>
      </c>
      <c r="DT92" s="3">
        <f>$H92*factors!DN$3</f>
        <v>0.43871184177600003</v>
      </c>
      <c r="DU92" s="3">
        <f>$H92*factors!DO$3</f>
        <v>0.45917912851199999</v>
      </c>
      <c r="DV92" s="3">
        <f>$H92*factors!DP$3</f>
        <v>0.448500544128</v>
      </c>
      <c r="DW92" s="3">
        <f>$H92*factors!DQ$3</f>
        <v>0.42803325739199999</v>
      </c>
      <c r="DX92" s="3">
        <f>$H92*factors!DR$3</f>
        <v>0.45339489530399996</v>
      </c>
      <c r="DY92" s="3">
        <f>$H92*factors!DS$3</f>
        <v>0.43025796247199999</v>
      </c>
      <c r="DZ92" s="3">
        <f>$H92*factors!DT$3</f>
        <v>0.46006901054400001</v>
      </c>
      <c r="EA92" s="3">
        <f>$H92*factors!DU$3</f>
        <v>0.43337254958399996</v>
      </c>
      <c r="EB92" s="3">
        <f>$H92*factors!DV$3</f>
        <v>0.42269396519999997</v>
      </c>
      <c r="EC92" s="3">
        <f>$H92*factors!DW$3</f>
        <v>0.45472971835199999</v>
      </c>
      <c r="ED92" s="3">
        <f>$H92*factors!DX$3</f>
        <v>0.42669843434399995</v>
      </c>
      <c r="EE92" s="3">
        <f>$H92*factors!DY$3</f>
        <v>0.43025796247199999</v>
      </c>
      <c r="EF92" s="3">
        <f>$H92*factors!DZ$3</f>
        <v>0.46674312578400001</v>
      </c>
      <c r="EG92" s="3">
        <f>$H92*factors!EA$3</f>
        <v>0.43604219568000002</v>
      </c>
      <c r="EH92" s="3">
        <f>$H92*factors!EB$3</f>
        <v>0.437377018728</v>
      </c>
      <c r="EI92" s="3">
        <f>$H92*factors!EC$3</f>
        <v>0.43648713669600003</v>
      </c>
      <c r="EJ92" s="3">
        <f>$H92*factors!ED$3</f>
        <v>0.42536361129600003</v>
      </c>
      <c r="EK92" s="3">
        <f>$H92*factors!EE$3</f>
        <v>0.45472971835199999</v>
      </c>
      <c r="EL92" s="3">
        <f>$H92*factors!EF$3</f>
        <v>0.43248266755199999</v>
      </c>
      <c r="EM92" s="3">
        <f>$H92*factors!EG$3</f>
        <v>0.44983536717599998</v>
      </c>
      <c r="EN92" s="3">
        <f>$H92*factors!EH$3</f>
        <v>0.42269396519999997</v>
      </c>
      <c r="EO92" s="3">
        <f>$H92*factors!EI$3</f>
        <v>0.42892313942399996</v>
      </c>
      <c r="EP92" s="3">
        <f>$H92*factors!EJ$3</f>
        <v>0.45250501327199999</v>
      </c>
      <c r="EQ92" s="3">
        <f>$H92*factors!EK$3</f>
        <v>0.44004666482399996</v>
      </c>
      <c r="ER92" s="3">
        <f>$H92*factors!EL$3</f>
        <v>0.45828924648000002</v>
      </c>
      <c r="ES92" s="3">
        <f>$H92*factors!EM$3</f>
        <v>0.45250501327199999</v>
      </c>
      <c r="ET92" s="3">
        <f>$H92*factors!EN$3</f>
        <v>0.46273865664000002</v>
      </c>
      <c r="EU92" s="3">
        <f>$H92*factors!EO$3</f>
        <v>0.46718806680000002</v>
      </c>
      <c r="EV92" s="3">
        <f>$H92*factors!EP$3</f>
        <v>0.43782195974399996</v>
      </c>
      <c r="EW92" s="3">
        <f>$H92*factors!EQ$3</f>
        <v>0.48155595377499999</v>
      </c>
      <c r="EX92" s="3">
        <f>$H92*factors!ER$3</f>
        <v>0.47645767130000005</v>
      </c>
      <c r="EY92" s="3">
        <f>$H92*factors!ES$3</f>
        <v>0.48619075602499995</v>
      </c>
      <c r="EZ92" s="3">
        <f>$H92*factors!ET$3</f>
        <v>0.48155595377499999</v>
      </c>
      <c r="FA92" s="3">
        <f>$H92*factors!EU$3</f>
        <v>0.44262361487499996</v>
      </c>
      <c r="FB92" s="3">
        <f>$H92*factors!EV$3</f>
        <v>0.46255326455000007</v>
      </c>
      <c r="FC92" s="3">
        <f>$H92*factors!EW$3</f>
        <v>0.47553071085000004</v>
      </c>
      <c r="FD92" s="3">
        <f>$H92*factors!EX$3</f>
        <v>0.45884542275000006</v>
      </c>
      <c r="FE92" s="3">
        <f>$H92*factors!EY$3</f>
        <v>0.48340987467500002</v>
      </c>
      <c r="FF92" s="3">
        <f>$H92*factors!EZ$3</f>
        <v>0.48387335490000011</v>
      </c>
      <c r="FG92" s="3">
        <f>$H92*factors!FA$3</f>
        <v>0.44262361487499996</v>
      </c>
      <c r="FH92" s="3">
        <f>$H92*factors!FB$3</f>
        <v>0.46579762612499997</v>
      </c>
      <c r="FI92" s="3">
        <f>$H92*factors!FC$3</f>
        <v>0.48526379557499999</v>
      </c>
      <c r="FJ92" s="3">
        <f>$H92*factors!FD$3</f>
        <v>0.46579762612499997</v>
      </c>
      <c r="FK92" s="3">
        <f>$H92*factors!FE$3</f>
        <v>0.47367678995000007</v>
      </c>
      <c r="FL92" s="3">
        <f>$H92*factors!FF$3</f>
        <v>0.475067230625</v>
      </c>
      <c r="FM92" s="3">
        <f>$H92*factors!FG$3</f>
        <v>0.4801655131</v>
      </c>
      <c r="FN92" s="3">
        <f>$H92*factors!FH$3</f>
        <v>0.449112338025</v>
      </c>
      <c r="FO92" s="3">
        <f>$H92*factors!FI$3</f>
        <v>0.47692115152499998</v>
      </c>
      <c r="FP92" s="3">
        <f>$H92*factors!FJ$3</f>
        <v>0.46348022500000002</v>
      </c>
      <c r="FQ92" s="3">
        <f>$H92*factors!FK$3</f>
        <v>0.45884542275000006</v>
      </c>
      <c r="FR92" s="3">
        <f>$H92*factors!FL$3</f>
        <v>0.46811502724999998</v>
      </c>
      <c r="FS92" s="3">
        <f>$H92*factors!FM$3</f>
        <v>0.4653341459</v>
      </c>
      <c r="FT92" s="3">
        <f>$H92*factors!FN$3</f>
        <v>0.47553071085000004</v>
      </c>
      <c r="FU92" s="3">
        <f>$H92*factors!FO$3</f>
        <v>0.45699150184999998</v>
      </c>
      <c r="FV92" s="3">
        <f>$H92*factors!FP$3</f>
        <v>0.45328366004999998</v>
      </c>
      <c r="FW92" s="3">
        <f>$H92*factors!FQ$3</f>
        <v>0.48526379557499999</v>
      </c>
      <c r="FX92" s="3">
        <f>$H92*factors!FR$3</f>
        <v>0.47645767130000005</v>
      </c>
      <c r="FY92" s="3">
        <f>$H92*factors!FS$3</f>
        <v>0.46672458657499993</v>
      </c>
      <c r="FZ92" s="3">
        <f>$H92*factors!FT$3</f>
        <v>0.44355057532500003</v>
      </c>
      <c r="GA92" s="3">
        <f>$H92*factors!FU$3</f>
        <v>0.46672458657499993</v>
      </c>
      <c r="GB92" s="3">
        <f>$H92*factors!FV$3</f>
        <v>0.48387335490000011</v>
      </c>
      <c r="GC92" s="3">
        <f>$H92*factors!FW$3</f>
        <v>0.45328366004999998</v>
      </c>
      <c r="GD92" s="3">
        <f>$H92*factors!FX$3</f>
        <v>0.46116282387500002</v>
      </c>
      <c r="GE92" s="3">
        <f>$H92*factors!FY$3</f>
        <v>0.46116282387500002</v>
      </c>
      <c r="GF92" s="3">
        <f>$H92*factors!FZ$3</f>
        <v>0.45977238320000002</v>
      </c>
      <c r="GG92" s="3">
        <f>$H92*factors!GA$3</f>
        <v>0.441696654425</v>
      </c>
      <c r="GH92" s="3">
        <f>$H92*factors!GB$3</f>
        <v>0.46996894815000007</v>
      </c>
      <c r="GI92" s="3">
        <f>$H92*factors!GC$3</f>
        <v>0.44076969397499999</v>
      </c>
      <c r="GJ92" s="3">
        <f>$H92*factors!GD$3</f>
        <v>0.441696654425</v>
      </c>
      <c r="GK92" s="3">
        <f>$H92*factors!GE$3</f>
        <v>0.452820179825</v>
      </c>
      <c r="GL92" s="3">
        <f>$H92*factors!GF$3</f>
        <v>0.47970203287500002</v>
      </c>
      <c r="GM92" s="3">
        <f>$H92*factors!GG$3</f>
        <v>0.45467410072500003</v>
      </c>
      <c r="GN92" s="3">
        <f>$H92*factors!GH$3</f>
        <v>0.46904198770000005</v>
      </c>
      <c r="GO92" s="3">
        <f>$H92*factors!GI$3</f>
        <v>0.44308709509999994</v>
      </c>
      <c r="GP92" s="3">
        <f>$H92*factors!GJ$3</f>
        <v>0.475067230625</v>
      </c>
      <c r="GQ92" s="3">
        <f>$H92*factors!GK$3</f>
        <v>0.48480031535000007</v>
      </c>
      <c r="GR92" s="3">
        <f>$H92*factors!GL$3</f>
        <v>0.47553071085000004</v>
      </c>
      <c r="GS92" s="3">
        <f>$H92*factors!GM$3</f>
        <v>0.44970559271300004</v>
      </c>
      <c r="GT92" s="3">
        <f>$H92*factors!GN$3</f>
        <v>0.46006530270220003</v>
      </c>
      <c r="GU92" s="3">
        <f>$H92*factors!GO$3</f>
        <v>0.47089590860000002</v>
      </c>
      <c r="GV92" s="3">
        <f>$H92*factors!GP$3</f>
        <v>0.45206007225600003</v>
      </c>
      <c r="GW92" s="3">
        <f>$H92*factors!GQ$3</f>
        <v>0.46807053314840003</v>
      </c>
      <c r="GX92" s="3">
        <f>$H92*factors!GR$3</f>
        <v>0.46053619861080003</v>
      </c>
      <c r="GY92" s="3">
        <f>$H92*factors!GS$3</f>
        <v>0.45818171906780003</v>
      </c>
      <c r="GZ92" s="3">
        <f>$H92*factors!GT$3</f>
        <v>0.47513397177739997</v>
      </c>
      <c r="HA92" s="3">
        <f>$H92*factors!GU$3</f>
        <v>0.45959440679360003</v>
      </c>
      <c r="HB92" s="3">
        <f>$H92*factors!GV$3</f>
        <v>0.47513397177739997</v>
      </c>
      <c r="HC92" s="3">
        <f>$H92*factors!GW$3</f>
        <v>0.46336157406239997</v>
      </c>
      <c r="HD92" s="3">
        <f>$H92*factors!GX$3</f>
        <v>0.47701755541179997</v>
      </c>
      <c r="HE92" s="3">
        <f>$H92*factors!GY$3</f>
        <v>0.47089590860000002</v>
      </c>
      <c r="HF92" s="3">
        <f>$H92*factors!GZ$3</f>
        <v>0.48549368176660002</v>
      </c>
      <c r="HG92" s="3">
        <f>$H92*factors!HA$3</f>
        <v>0.46665784542260003</v>
      </c>
      <c r="HH92" s="3">
        <f>$H92*factors!HB$3</f>
        <v>0.46053619861080003</v>
      </c>
      <c r="HI92" s="3">
        <f>$H92*factors!HC$3</f>
        <v>0.45488544770760003</v>
      </c>
      <c r="HJ92" s="3">
        <f>$H92*factors!HD$3</f>
        <v>0.44970559271300004</v>
      </c>
      <c r="HK92" s="3">
        <f>$H92*factors!HE$3</f>
        <v>0.47560486768600002</v>
      </c>
      <c r="HL92" s="3">
        <f>$H92*factors!HF$3</f>
        <v>0.44829290498719998</v>
      </c>
      <c r="HM92" s="3">
        <f>$H92*factors!HG$3</f>
        <v>0.45300186407320003</v>
      </c>
      <c r="HN92" s="3">
        <f>$H92*factors!HH$3</f>
        <v>0.48313920222360007</v>
      </c>
      <c r="HO92" s="3">
        <f>$H92*factors!HI$3</f>
        <v>0.46336157406239997</v>
      </c>
      <c r="HP92" s="3">
        <f>$H92*factors!HJ$3</f>
        <v>0.49444070403000007</v>
      </c>
      <c r="HQ92" s="3">
        <f>$H92*factors!HK$3</f>
        <v>0.45206007225600003</v>
      </c>
      <c r="HR92" s="3">
        <f>$H92*factors!HL$3</f>
        <v>0.47937203495480007</v>
      </c>
      <c r="HS92" s="3">
        <f>$H92*factors!HM$3</f>
        <v>0.48784816130960001</v>
      </c>
      <c r="HT92" s="3">
        <f>$H92*factors!HN$3</f>
        <v>0.45488544770760003</v>
      </c>
      <c r="HU92" s="3">
        <f>$H92*factors!HO$3</f>
        <v>0.45959440679360003</v>
      </c>
      <c r="HV92" s="3">
        <f>$H92*factors!HP$3</f>
        <v>0.46524515769680008</v>
      </c>
      <c r="HW92" s="3">
        <f>$H92*factors!HQ$3</f>
        <v>0.47183770041720002</v>
      </c>
      <c r="HX92" s="3">
        <f>$H92*factors!HR$3</f>
        <v>0.49114443266979996</v>
      </c>
      <c r="HY92" s="3">
        <f>$H92*factors!HS$3</f>
        <v>0.46665784542260003</v>
      </c>
      <c r="HZ92" s="3">
        <f>$H92*factors!HT$3</f>
        <v>0.48455188994940002</v>
      </c>
      <c r="IA92" s="3">
        <f>$H92*factors!HU$3</f>
        <v>0.46100709451940003</v>
      </c>
      <c r="IB92" s="3">
        <f>$H92*factors!HV$3</f>
        <v>0.47701755541179997</v>
      </c>
      <c r="IC92" s="3">
        <f>$H92*factors!HW$3</f>
        <v>0.48172651449780002</v>
      </c>
      <c r="ID92" s="3">
        <f>$H92*factors!HX$3</f>
        <v>0.44735111316999998</v>
      </c>
      <c r="IE92" s="3">
        <f>$H92*factors!HY$3</f>
        <v>0.47513397177739997</v>
      </c>
      <c r="IF92" s="3">
        <f>$H92*factors!HZ$3</f>
        <v>0.47230859632579997</v>
      </c>
      <c r="IG92" s="3">
        <f>$H92*factors!IA$3</f>
        <v>0.46807053314840003</v>
      </c>
      <c r="IH92" s="3">
        <f>$H92*factors!IB$3</f>
        <v>0.48549368176660002</v>
      </c>
      <c r="II92" s="3">
        <f>$H92*factors!IC$3</f>
        <v>0.46477426178820003</v>
      </c>
      <c r="IJ92" s="3">
        <f>$H92*factors!ID$3</f>
        <v>0.46901232496560002</v>
      </c>
      <c r="IK92" s="3">
        <f>$H92*factors!IE$3</f>
        <v>0.48596457767520002</v>
      </c>
      <c r="IL92" s="3">
        <f>$H92*factors!IF$3</f>
        <v>0.46524515769680008</v>
      </c>
      <c r="IM92" s="3">
        <f>$H92*factors!IG$3</f>
        <v>0.46100709451940003</v>
      </c>
      <c r="IN92" s="3">
        <f>$H92*factors!IH$3</f>
        <v>0.46383246997100003</v>
      </c>
      <c r="IO92" s="3">
        <f>$H92*factors!II$3</f>
        <v>0.46854142905700003</v>
      </c>
      <c r="IP92" s="3">
        <f>$H92*factors!IJ$3</f>
        <v>0.45300186407320003</v>
      </c>
      <c r="IQ92" s="3">
        <f>$H92*factors!IK$3</f>
        <v>0.45158917634740003</v>
      </c>
      <c r="IR92" s="3">
        <f>$H92*factors!IL$3</f>
        <v>0.46477426178820003</v>
      </c>
      <c r="IS92" s="3">
        <f>$H92*factors!IM$3</f>
        <v>0.46854142905700003</v>
      </c>
      <c r="IT92" s="3">
        <f>$H92*factors!IN$3</f>
        <v>0.47183770041720002</v>
      </c>
      <c r="IU92" s="3">
        <f>$H92*factors!IO$3</f>
        <v>0.48219741040640007</v>
      </c>
      <c r="IV92" s="3">
        <f>$H92*factors!IP$3</f>
        <v>0.48831905721819996</v>
      </c>
      <c r="IW92" s="3">
        <f>$H92*factors!IQ$3</f>
        <v>0.46147799042799997</v>
      </c>
      <c r="IX92" s="3">
        <f>$H92*factors!IR$3</f>
        <v>0.48219741040640007</v>
      </c>
      <c r="IY92" s="3">
        <f>$H92*factors!IS$3</f>
        <v>0.47513397177739997</v>
      </c>
      <c r="IZ92" s="3">
        <f>$H92*factors!IT$3</f>
        <v>0.48313920222360007</v>
      </c>
      <c r="JA92" s="3">
        <f>$H92*factors!IU$3</f>
        <v>0.45629813543339998</v>
      </c>
      <c r="JB92" s="3">
        <f>$H92*factors!IV$3</f>
        <v>0.46477426178820003</v>
      </c>
      <c r="JC92" s="3">
        <f>$H92*factors!IW$3</f>
        <v>0.45394365589040003</v>
      </c>
      <c r="JD92" s="3">
        <f>$H92*factors!IX$3</f>
        <v>0.49444070403000007</v>
      </c>
      <c r="JE92" s="3">
        <f>$H92*factors!IY$3</f>
        <v>0.45535634361619998</v>
      </c>
      <c r="JF92" s="3">
        <f>$H92*factors!IZ$3</f>
        <v>0.47795934722899996</v>
      </c>
      <c r="JG92" s="3">
        <f>$H92*factors!JA$3</f>
        <v>0.46948322087419997</v>
      </c>
      <c r="JH92" s="3">
        <f>$H92*factors!JB$3</f>
        <v>0.47843024313760008</v>
      </c>
      <c r="JI92" s="3">
        <f>$H92*factors!JC$3</f>
        <v>0.44782200907860004</v>
      </c>
      <c r="JJ92" s="3">
        <f>$H92*factors!JD$3</f>
        <v>0.48219741040640007</v>
      </c>
      <c r="JK92" s="3">
        <f>$H92*factors!JE$3</f>
        <v>0.46665784542260003</v>
      </c>
      <c r="JL92" s="3">
        <f>$H92*factors!JF$3</f>
        <v>0.48549368176660002</v>
      </c>
      <c r="JM92" s="3">
        <f>$H92*factors!JG$3</f>
        <v>0.45300186407320003</v>
      </c>
      <c r="JN92" s="3">
        <f>$H92*factors!JH$3</f>
        <v>0.45300186407320003</v>
      </c>
      <c r="JO92" s="3">
        <f>$H92*factors!JI$3</f>
        <v>0.44735111316999998</v>
      </c>
      <c r="JP92" s="3">
        <f>$H92*factors!JJ$3</f>
        <v>0.48361009813220002</v>
      </c>
      <c r="JQ92" s="3">
        <f>$H92*factors!JK$3</f>
        <v>0.47136680450859997</v>
      </c>
      <c r="JR92" s="3">
        <f>$H92*factors!JL$3</f>
        <v>0.48973174494400001</v>
      </c>
      <c r="JS92" s="3">
        <f>$H92*factors!JM$3</f>
        <v>0.44735111316999998</v>
      </c>
      <c r="JT92" s="3">
        <f>$H92*factors!JN$3</f>
        <v>0.46995411678280002</v>
      </c>
      <c r="JU92" s="3">
        <f>$H92*factors!JO$3</f>
        <v>0.45441455179899998</v>
      </c>
      <c r="JV92" s="3">
        <f>$H92*factors!JP$3</f>
        <v>0.46194888633660003</v>
      </c>
      <c r="JW92" s="3">
        <f>$H92*factors!JQ$3</f>
        <v>0.49349891221280007</v>
      </c>
      <c r="JX92" s="3">
        <f>$H92*factors!JR$3</f>
        <v>0.48878995312680001</v>
      </c>
      <c r="JY92" s="3">
        <f>$H92*factors!JS$3</f>
        <v>0.46006530270220003</v>
      </c>
      <c r="JZ92" s="3">
        <f>$H92*factors!JT$3</f>
        <v>0.46524515769680008</v>
      </c>
      <c r="KA92" s="3">
        <f>$H92*factors!JU$3</f>
        <v>0.46712874133120003</v>
      </c>
      <c r="KB92" s="3">
        <f>$H92*factors!JV$3</f>
        <v>0.45158917634740003</v>
      </c>
      <c r="KC92" s="3">
        <f>$H92*factors!JW$3</f>
        <v>0.45394365589040003</v>
      </c>
      <c r="KD92" s="3">
        <f>$H92*factors!JX$3</f>
        <v>0.45441455179899998</v>
      </c>
      <c r="KE92" s="3">
        <f>$H92*factors!JY$3</f>
        <v>0.48361009813220002</v>
      </c>
      <c r="KF92" s="3">
        <f>$H92*factors!JZ$3</f>
        <v>0.48926084903539996</v>
      </c>
      <c r="KG92" s="3">
        <f>$H92*factors!KA$3</f>
        <v>0.47183770041720002</v>
      </c>
      <c r="KH92" s="3">
        <f>$H92*factors!KB$3</f>
        <v>0.46147799042799997</v>
      </c>
      <c r="KI92" s="3">
        <f>$H92*factors!KC$3</f>
        <v>0.45723992725059998</v>
      </c>
    </row>
    <row r="93" spans="1:295" x14ac:dyDescent="0.55000000000000004">
      <c r="A93" t="s">
        <v>470</v>
      </c>
      <c r="B93">
        <v>92</v>
      </c>
      <c r="C93">
        <v>230</v>
      </c>
      <c r="D93" t="s">
        <v>377</v>
      </c>
      <c r="E93">
        <v>1.5035E-2</v>
      </c>
      <c r="F93">
        <v>92</v>
      </c>
      <c r="G93">
        <f>VLOOKUP(D93,demand_forecasted!$A$2:$G$11,2)</f>
        <v>11098</v>
      </c>
      <c r="H93" s="3">
        <f t="shared" si="2"/>
        <v>1.6685843</v>
      </c>
      <c r="I93" s="3">
        <f>$H93*factors!C$3</f>
        <v>1.8471228201000001</v>
      </c>
      <c r="J93" s="3">
        <f>$H93*factors!D$3</f>
        <v>1.780446191472</v>
      </c>
      <c r="K93" s="3">
        <f>$H93*factors!E$3</f>
        <v>1.7498109837240001</v>
      </c>
      <c r="L93" s="3">
        <f>$H93*factors!F$3</f>
        <v>1.7444047705920003</v>
      </c>
      <c r="M93" s="3">
        <f>$H93*factors!G$3</f>
        <v>1.742602699548</v>
      </c>
      <c r="N93" s="3">
        <f>$H93*factors!H$3</f>
        <v>1.79306068878</v>
      </c>
      <c r="O93" s="3">
        <f>$H93*factors!I$3</f>
        <v>1.8327062517479999</v>
      </c>
      <c r="P93" s="3">
        <f>$H93*factors!J$3</f>
        <v>1.8543311042760002</v>
      </c>
      <c r="Q93" s="3">
        <f>$H93*factors!K$3</f>
        <v>1.7408006285040001</v>
      </c>
      <c r="R93" s="3">
        <f>$H93*factors!L$3</f>
        <v>1.7119674918000001</v>
      </c>
      <c r="S93" s="3">
        <f>$H93*factors!M$3</f>
        <v>1.7822482625159999</v>
      </c>
      <c r="T93" s="3">
        <f>$H93*factors!N$3</f>
        <v>1.8435186780120001</v>
      </c>
      <c r="U93" s="3">
        <f>$H93*factors!O$3</f>
        <v>1.7462068416360002</v>
      </c>
      <c r="V93" s="3">
        <f>$H93*factors!P$3</f>
        <v>1.8164876123520002</v>
      </c>
      <c r="W93" s="3">
        <f>$H93*factors!Q$3</f>
        <v>1.8327062517479999</v>
      </c>
      <c r="X93" s="3">
        <f>$H93*factors!R$3</f>
        <v>1.7534151258120001</v>
      </c>
      <c r="Y93" s="3">
        <f>$H93*factors!S$3</f>
        <v>1.7371964864160001</v>
      </c>
      <c r="Z93" s="3">
        <f>$H93*factors!T$3</f>
        <v>1.8741538857600004</v>
      </c>
      <c r="AA93" s="3">
        <f>$H93*factors!U$3</f>
        <v>1.7696337652079999</v>
      </c>
      <c r="AB93" s="3">
        <f>$H93*factors!V$3</f>
        <v>1.7714358362520002</v>
      </c>
      <c r="AC93" s="3">
        <f>$H93*factors!W$3</f>
        <v>1.7732379072960003</v>
      </c>
      <c r="AD93" s="3">
        <f>$H93*factors!X$3</f>
        <v>1.7353944153720002</v>
      </c>
      <c r="AE93" s="3">
        <f>$H93*factors!Y$3</f>
        <v>1.7498109837240001</v>
      </c>
      <c r="AF93" s="3">
        <f>$H93*factors!Z$3</f>
        <v>1.7858524046040003</v>
      </c>
      <c r="AG93" s="3">
        <f>$H93*factors!AA$3</f>
        <v>1.7408006285040001</v>
      </c>
      <c r="AH93" s="3">
        <f>$H93*factors!AB$3</f>
        <v>1.7335923443280001</v>
      </c>
      <c r="AI93" s="3">
        <f>$H93*factors!AC$3</f>
        <v>1.789456546692</v>
      </c>
      <c r="AJ93" s="3">
        <f>$H93*factors!AD$3</f>
        <v>1.857935246364</v>
      </c>
      <c r="AK93" s="3">
        <f>$H93*factors!AE$3</f>
        <v>1.7876544756480002</v>
      </c>
      <c r="AL93" s="3">
        <f>$H93*factors!AF$3</f>
        <v>1.7173737049319999</v>
      </c>
      <c r="AM93" s="3">
        <f>$H93*factors!AG$3</f>
        <v>1.7660296231200001</v>
      </c>
      <c r="AN93" s="3">
        <f>$H93*factors!AH$3</f>
        <v>1.7371964864160001</v>
      </c>
      <c r="AO93" s="3">
        <f>$H93*factors!AI$3</f>
        <v>1.8200917544399999</v>
      </c>
      <c r="AP93" s="3">
        <f>$H93*factors!AJ$3</f>
        <v>1.7444047705920003</v>
      </c>
      <c r="AQ93" s="3">
        <f>$H93*factors!AK$3</f>
        <v>1.8002689729560002</v>
      </c>
      <c r="AR93" s="3">
        <f>$H93*factors!AL$3</f>
        <v>1.7606234099880003</v>
      </c>
      <c r="AS93" s="3">
        <f>$H93*factors!AM$3</f>
        <v>1.7173737049319999</v>
      </c>
      <c r="AT93" s="3">
        <f>$H93*factors!AN$3</f>
        <v>1.7714358362520002</v>
      </c>
      <c r="AU93" s="3">
        <f>$H93*factors!AO$3</f>
        <v>1.8759559568039998</v>
      </c>
      <c r="AV93" s="3">
        <f>$H93*factors!AP$3</f>
        <v>1.7732379072960003</v>
      </c>
      <c r="AW93" s="3">
        <f>$H93*factors!AQ$3</f>
        <v>1.755217196856</v>
      </c>
      <c r="AX93" s="3">
        <f>$H93*factors!AR$3</f>
        <v>1.8561331753200001</v>
      </c>
      <c r="AY93" s="3">
        <f>$H93*factors!AS$3</f>
        <v>1.7119674918000001</v>
      </c>
      <c r="AZ93" s="3">
        <f>$H93*factors!AT$3</f>
        <v>1.8345083227920003</v>
      </c>
      <c r="BA93" s="3">
        <f>$H93*factors!AU$3</f>
        <v>1.7948627598239999</v>
      </c>
      <c r="BB93" s="3">
        <f>$H93*factors!AV$3</f>
        <v>1.7714358362520002</v>
      </c>
      <c r="BC93" s="3">
        <f>$H93*factors!AW$3</f>
        <v>1.8741538857600004</v>
      </c>
      <c r="BD93" s="3">
        <f>$H93*factors!AX$3</f>
        <v>1.7299882022399999</v>
      </c>
      <c r="BE93" s="3">
        <f>$H93*factors!AY$3</f>
        <v>2.033904146642</v>
      </c>
      <c r="BF93" s="3">
        <f>$H93*factors!AZ$3</f>
        <v>1.8941101539879999</v>
      </c>
      <c r="BG93" s="3">
        <f>$H93*factors!BA$3</f>
        <v>1.9216751666239997</v>
      </c>
      <c r="BH93" s="3">
        <f>$H93*factors!BB$3</f>
        <v>1.9472712497859999</v>
      </c>
      <c r="BI93" s="3">
        <f>$H93*factors!BC$3</f>
        <v>2.0181527108499995</v>
      </c>
      <c r="BJ93" s="3">
        <f>$H93*factors!BD$3</f>
        <v>1.9275819550459998</v>
      </c>
      <c r="BK93" s="3">
        <f>$H93*factors!BE$3</f>
        <v>1.9315198139939997</v>
      </c>
      <c r="BL93" s="3">
        <f>$H93*factors!BF$3</f>
        <v>1.9098615897799998</v>
      </c>
      <c r="BM93" s="3">
        <f>$H93*factors!BG$3</f>
        <v>2.0398109350640001</v>
      </c>
      <c r="BN93" s="3">
        <f>$H93*factors!BH$3</f>
        <v>2.014214851902</v>
      </c>
      <c r="BO93" s="3">
        <f>$H93*factors!BI$3</f>
        <v>1.8941101539879999</v>
      </c>
      <c r="BP93" s="3">
        <f>$H93*factors!BJ$3</f>
        <v>1.8882033655659998</v>
      </c>
      <c r="BQ93" s="3">
        <f>$H93*factors!BK$3</f>
        <v>1.9197062371499998</v>
      </c>
      <c r="BR93" s="3">
        <f>$H93*factors!BL$3</f>
        <v>1.9886187687399999</v>
      </c>
      <c r="BS93" s="3">
        <f>$H93*factors!BM$3</f>
        <v>2.0201216403240001</v>
      </c>
      <c r="BT93" s="3">
        <f>$H93*factors!BN$3</f>
        <v>2.0260284287459998</v>
      </c>
      <c r="BU93" s="3">
        <f>$H93*factors!BO$3</f>
        <v>2.0595002298040002</v>
      </c>
      <c r="BV93" s="3">
        <f>$H93*factors!BP$3</f>
        <v>1.9157683782019999</v>
      </c>
      <c r="BW93" s="3">
        <f>$H93*factors!BQ$3</f>
        <v>1.9590848266299998</v>
      </c>
      <c r="BX93" s="3">
        <f>$H93*factors!BR$3</f>
        <v>1.9216751666239997</v>
      </c>
      <c r="BY93" s="3">
        <f>$H93*factors!BS$3</f>
        <v>2.0102769929539996</v>
      </c>
      <c r="BZ93" s="3">
        <f>$H93*factors!BT$3</f>
        <v>1.9728673329479998</v>
      </c>
      <c r="CA93" s="3">
        <f>$H93*factors!BU$3</f>
        <v>1.9472712497859999</v>
      </c>
      <c r="CB93" s="3">
        <f>$H93*factors!BV$3</f>
        <v>1.8842655066179999</v>
      </c>
      <c r="CC93" s="3">
        <f>$H93*factors!BW$3</f>
        <v>1.9393955318899998</v>
      </c>
      <c r="CD93" s="3">
        <f>$H93*factors!BX$3</f>
        <v>1.9453023203119999</v>
      </c>
      <c r="CE93" s="3">
        <f>$H93*factors!BY$3</f>
        <v>1.9728673329479998</v>
      </c>
      <c r="CF93" s="3">
        <f>$H93*factors!BZ$3</f>
        <v>1.9433333908380002</v>
      </c>
      <c r="CG93" s="3">
        <f>$H93*factors!CA$3</f>
        <v>1.8783587181959998</v>
      </c>
      <c r="CH93" s="3">
        <f>$H93*factors!CB$3</f>
        <v>1.8803276476699997</v>
      </c>
      <c r="CI93" s="3">
        <f>$H93*factors!CC$3</f>
        <v>1.8704830002999999</v>
      </c>
      <c r="CJ93" s="3">
        <f>$H93*factors!CD$3</f>
        <v>1.9472712497859999</v>
      </c>
      <c r="CK93" s="3">
        <f>$H93*factors!CE$3</f>
        <v>2.033904146642</v>
      </c>
      <c r="CL93" s="3">
        <f>$H93*factors!CF$3</f>
        <v>1.9059237308319998</v>
      </c>
      <c r="CM93" s="3">
        <f>$H93*factors!CG$3</f>
        <v>1.9512091087339998</v>
      </c>
      <c r="CN93" s="3">
        <f>$H93*factors!CH$3</f>
        <v>1.8862344360919998</v>
      </c>
      <c r="CO93" s="3">
        <f>$H93*factors!CI$3</f>
        <v>1.9000169424099997</v>
      </c>
      <c r="CP93" s="3">
        <f>$H93*factors!CJ$3</f>
        <v>1.9905876982139996</v>
      </c>
      <c r="CQ93" s="3">
        <f>$H93*factors!CK$3</f>
        <v>1.9315198139939997</v>
      </c>
      <c r="CR93" s="3">
        <f>$H93*factors!CL$3</f>
        <v>1.9925566276879998</v>
      </c>
      <c r="CS93" s="3">
        <f>$H93*factors!CM$3</f>
        <v>2.0555623708559998</v>
      </c>
      <c r="CT93" s="3">
        <f>$H93*factors!CN$3</f>
        <v>2.0319352171679999</v>
      </c>
      <c r="CU93" s="3">
        <f>$H93*factors!CO$3</f>
        <v>1.9866498392659997</v>
      </c>
      <c r="CV93" s="3">
        <f>$H93*factors!CP$3</f>
        <v>2.0673759477</v>
      </c>
      <c r="CW93" s="3">
        <f>$H93*factors!CQ$3</f>
        <v>1.9551469676820001</v>
      </c>
      <c r="CX93" s="3">
        <f>$H93*factors!CR$3</f>
        <v>1.9256130255719999</v>
      </c>
      <c r="CY93" s="3">
        <f>$H93*factors!CS$3</f>
        <v>1.9078926603059998</v>
      </c>
      <c r="CZ93" s="3">
        <f>$H93*factors!CT$3</f>
        <v>1.8803276476699997</v>
      </c>
      <c r="DA93" s="3">
        <f>$H93*factors!CU$3</f>
        <v>1.952243631</v>
      </c>
      <c r="DB93" s="3">
        <f>$H93*factors!CV$3</f>
        <v>2.0783886040800001</v>
      </c>
      <c r="DC93" s="3">
        <f>$H93*factors!CW$3</f>
        <v>1.9902873530399998</v>
      </c>
      <c r="DD93" s="3">
        <f>$H93*factors!CX$3</f>
        <v>1.9762712449199999</v>
      </c>
      <c r="DE93" s="3">
        <f>$H93*factors!CY$3</f>
        <v>2.03433797856</v>
      </c>
      <c r="DF93" s="3">
        <f>$H93*factors!CZ$3</f>
        <v>2.0303333762399998</v>
      </c>
      <c r="DG93" s="3">
        <f>$H93*factors!DA$3</f>
        <v>2.0223241715999998</v>
      </c>
      <c r="DH93" s="3">
        <f>$H93*factors!DB$3</f>
        <v>2.0223241715999998</v>
      </c>
      <c r="DI93" s="3">
        <f>$H93*factors!DC$3</f>
        <v>1.9462367275199999</v>
      </c>
      <c r="DJ93" s="3">
        <f>$H93*factors!DD$3</f>
        <v>2.0623701948000002</v>
      </c>
      <c r="DK93" s="3">
        <f>$H93*factors!DE$3</f>
        <v>2.0623701948000002</v>
      </c>
      <c r="DL93" s="3">
        <f>$H93*factors!DF$3</f>
        <v>2.0383425808800002</v>
      </c>
      <c r="DM93" s="3">
        <f>$H93*factors!DG$3</f>
        <v>1.9202068124399998</v>
      </c>
      <c r="DN93" s="3">
        <f>$H93*factors!DH$3</f>
        <v>2.0143149669600002</v>
      </c>
      <c r="DO93" s="3">
        <f>$H93*factors!DI$3</f>
        <v>2.0803909052399998</v>
      </c>
      <c r="DP93" s="3">
        <f>$H93*factors!DJ$3</f>
        <v>2.0623701948000002</v>
      </c>
      <c r="DQ93" s="3">
        <f>$H93*factors!DK$3</f>
        <v>1.9662597391199998</v>
      </c>
      <c r="DR93" s="3">
        <f>$H93*factors!DL$3</f>
        <v>1.94423442636</v>
      </c>
      <c r="DS93" s="3">
        <f>$H93*factors!DM$3</f>
        <v>2.10041391684</v>
      </c>
      <c r="DT93" s="3">
        <f>$H93*factors!DN$3</f>
        <v>1.9742689437600001</v>
      </c>
      <c r="DU93" s="3">
        <f>$H93*factors!DO$3</f>
        <v>2.0663747971199999</v>
      </c>
      <c r="DV93" s="3">
        <f>$H93*factors!DP$3</f>
        <v>2.01831956928</v>
      </c>
      <c r="DW93" s="3">
        <f>$H93*factors!DQ$3</f>
        <v>1.9262137159199999</v>
      </c>
      <c r="DX93" s="3">
        <f>$H93*factors!DR$3</f>
        <v>2.0403448820399999</v>
      </c>
      <c r="DY93" s="3">
        <f>$H93*factors!DS$3</f>
        <v>1.9362252217199998</v>
      </c>
      <c r="DZ93" s="3">
        <f>$H93*factors!DT$3</f>
        <v>2.0703793994399997</v>
      </c>
      <c r="EA93" s="3">
        <f>$H93*factors!DU$3</f>
        <v>1.9502413298399996</v>
      </c>
      <c r="EB93" s="3">
        <f>$H93*factors!DV$3</f>
        <v>1.9021861019999999</v>
      </c>
      <c r="EC93" s="3">
        <f>$H93*factors!DW$3</f>
        <v>2.0463517855199997</v>
      </c>
      <c r="ED93" s="3">
        <f>$H93*factors!DX$3</f>
        <v>1.9202068124399998</v>
      </c>
      <c r="EE93" s="3">
        <f>$H93*factors!DY$3</f>
        <v>1.9362252217199998</v>
      </c>
      <c r="EF93" s="3">
        <f>$H93*factors!DZ$3</f>
        <v>2.10041391684</v>
      </c>
      <c r="EG93" s="3">
        <f>$H93*factors!EA$3</f>
        <v>1.9622551367999999</v>
      </c>
      <c r="EH93" s="3">
        <f>$H93*factors!EB$3</f>
        <v>1.96826204028</v>
      </c>
      <c r="EI93" s="3">
        <f>$H93*factors!EC$3</f>
        <v>1.96425743796</v>
      </c>
      <c r="EJ93" s="3">
        <f>$H93*factors!ED$3</f>
        <v>1.9141999089599999</v>
      </c>
      <c r="EK93" s="3">
        <f>$H93*factors!EE$3</f>
        <v>2.0463517855199997</v>
      </c>
      <c r="EL93" s="3">
        <f>$H93*factors!EF$3</f>
        <v>1.9462367275199999</v>
      </c>
      <c r="EM93" s="3">
        <f>$H93*factors!EG$3</f>
        <v>2.0243264727599999</v>
      </c>
      <c r="EN93" s="3">
        <f>$H93*factors!EH$3</f>
        <v>1.9021861019999999</v>
      </c>
      <c r="EO93" s="3">
        <f>$H93*factors!EI$3</f>
        <v>1.9302183182399997</v>
      </c>
      <c r="EP93" s="3">
        <f>$H93*factors!EJ$3</f>
        <v>2.0363402797200001</v>
      </c>
      <c r="EQ93" s="3">
        <f>$H93*factors!EK$3</f>
        <v>1.9802758472399997</v>
      </c>
      <c r="ER93" s="3">
        <f>$H93*factors!EL$3</f>
        <v>2.0623701948000002</v>
      </c>
      <c r="ES93" s="3">
        <f>$H93*factors!EM$3</f>
        <v>2.0363402797200001</v>
      </c>
      <c r="ET93" s="3">
        <f>$H93*factors!EN$3</f>
        <v>2.0823932063999999</v>
      </c>
      <c r="EU93" s="3">
        <f>$H93*factors!EO$3</f>
        <v>2.1024162180000001</v>
      </c>
      <c r="EV93" s="3">
        <f>$H93*factors!EP$3</f>
        <v>1.9702643414399998</v>
      </c>
      <c r="EW93" s="3">
        <f>$H93*factors!EQ$3</f>
        <v>2.1670738596249999</v>
      </c>
      <c r="EX93" s="3">
        <f>$H93*factors!ER$3</f>
        <v>2.1441308255000004</v>
      </c>
      <c r="EY93" s="3">
        <f>$H93*factors!ES$3</f>
        <v>2.1879311633749996</v>
      </c>
      <c r="EZ93" s="3">
        <f>$H93*factors!ET$3</f>
        <v>2.1670738596249999</v>
      </c>
      <c r="FA93" s="3">
        <f>$H93*factors!EU$3</f>
        <v>1.9918725081249997</v>
      </c>
      <c r="FB93" s="3">
        <f>$H93*factors!EV$3</f>
        <v>2.0815589142499999</v>
      </c>
      <c r="FC93" s="3">
        <f>$H93*factors!EW$3</f>
        <v>2.1399593647500001</v>
      </c>
      <c r="FD93" s="3">
        <f>$H93*factors!EX$3</f>
        <v>2.0648730712500001</v>
      </c>
      <c r="FE93" s="3">
        <f>$H93*factors!EY$3</f>
        <v>2.175416781125</v>
      </c>
      <c r="FF93" s="3">
        <f>$H93*factors!EZ$3</f>
        <v>2.1775025115000002</v>
      </c>
      <c r="FG93" s="3">
        <f>$H93*factors!FA$3</f>
        <v>1.9918725081249997</v>
      </c>
      <c r="FH93" s="3">
        <f>$H93*factors!FB$3</f>
        <v>2.0961590268749997</v>
      </c>
      <c r="FI93" s="3">
        <f>$H93*factors!FC$3</f>
        <v>2.1837597026249997</v>
      </c>
      <c r="FJ93" s="3">
        <f>$H93*factors!FD$3</f>
        <v>2.0961590268749997</v>
      </c>
      <c r="FK93" s="3">
        <f>$H93*factors!FE$3</f>
        <v>2.13161644325</v>
      </c>
      <c r="FL93" s="3">
        <f>$H93*factors!FF$3</f>
        <v>2.137873634375</v>
      </c>
      <c r="FM93" s="3">
        <f>$H93*factors!FG$3</f>
        <v>2.1608166684999999</v>
      </c>
      <c r="FN93" s="3">
        <f>$H93*factors!FH$3</f>
        <v>2.021072733375</v>
      </c>
      <c r="FO93" s="3">
        <f>$H93*factors!FI$3</f>
        <v>2.1462165558749997</v>
      </c>
      <c r="FP93" s="3">
        <f>$H93*factors!FJ$3</f>
        <v>2.0857303749999998</v>
      </c>
      <c r="FQ93" s="3">
        <f>$H93*factors!FK$3</f>
        <v>2.0648730712500001</v>
      </c>
      <c r="FR93" s="3">
        <f>$H93*factors!FL$3</f>
        <v>2.10658767875</v>
      </c>
      <c r="FS93" s="3">
        <f>$H93*factors!FM$3</f>
        <v>2.0940732965</v>
      </c>
      <c r="FT93" s="3">
        <f>$H93*factors!FN$3</f>
        <v>2.1399593647500001</v>
      </c>
      <c r="FU93" s="3">
        <f>$H93*factors!FO$3</f>
        <v>2.0565301497499999</v>
      </c>
      <c r="FV93" s="3">
        <f>$H93*factors!FP$3</f>
        <v>2.0398443067500001</v>
      </c>
      <c r="FW93" s="3">
        <f>$H93*factors!FQ$3</f>
        <v>2.1837597026249997</v>
      </c>
      <c r="FX93" s="3">
        <f>$H93*factors!FR$3</f>
        <v>2.1441308255000004</v>
      </c>
      <c r="FY93" s="3">
        <f>$H93*factors!FS$3</f>
        <v>2.1003304876249995</v>
      </c>
      <c r="FZ93" s="3">
        <f>$H93*factors!FT$3</f>
        <v>1.996043968875</v>
      </c>
      <c r="GA93" s="3">
        <f>$H93*factors!FU$3</f>
        <v>2.1003304876249995</v>
      </c>
      <c r="GB93" s="3">
        <f>$H93*factors!FV$3</f>
        <v>2.1775025115000002</v>
      </c>
      <c r="GC93" s="3">
        <f>$H93*factors!FW$3</f>
        <v>2.0398443067500001</v>
      </c>
      <c r="GD93" s="3">
        <f>$H93*factors!FX$3</f>
        <v>2.0753017231249999</v>
      </c>
      <c r="GE93" s="3">
        <f>$H93*factors!FY$3</f>
        <v>2.0753017231249999</v>
      </c>
      <c r="GF93" s="3">
        <f>$H93*factors!FZ$3</f>
        <v>2.0690445319999999</v>
      </c>
      <c r="GG93" s="3">
        <f>$H93*factors!GA$3</f>
        <v>1.9877010473749999</v>
      </c>
      <c r="GH93" s="3">
        <f>$H93*factors!GB$3</f>
        <v>2.1149306002500001</v>
      </c>
      <c r="GI93" s="3">
        <f>$H93*factors!GC$3</f>
        <v>1.983529586625</v>
      </c>
      <c r="GJ93" s="3">
        <f>$H93*factors!GD$3</f>
        <v>1.9877010473749999</v>
      </c>
      <c r="GK93" s="3">
        <f>$H93*factors!GE$3</f>
        <v>2.0377585763749999</v>
      </c>
      <c r="GL93" s="3">
        <f>$H93*factors!GF$3</f>
        <v>2.1587309381250002</v>
      </c>
      <c r="GM93" s="3">
        <f>$H93*factors!GG$3</f>
        <v>2.0461014978750001</v>
      </c>
      <c r="GN93" s="3">
        <f>$H93*factors!GH$3</f>
        <v>2.1107591395000003</v>
      </c>
      <c r="GO93" s="3">
        <f>$H93*factors!GI$3</f>
        <v>1.9939582384999996</v>
      </c>
      <c r="GP93" s="3">
        <f>$H93*factors!GJ$3</f>
        <v>2.137873634375</v>
      </c>
      <c r="GQ93" s="3">
        <f>$H93*factors!GK$3</f>
        <v>2.18167397225</v>
      </c>
      <c r="GR93" s="3">
        <f>$H93*factors!GL$3</f>
        <v>2.1399593647500001</v>
      </c>
      <c r="GS93" s="3">
        <f>$H93*factors!GM$3</f>
        <v>2.023742468255</v>
      </c>
      <c r="GT93" s="3">
        <f>$H93*factors!GN$3</f>
        <v>2.070362713597</v>
      </c>
      <c r="GU93" s="3">
        <f>$H93*factors!GO$3</f>
        <v>2.119102061</v>
      </c>
      <c r="GV93" s="3">
        <f>$H93*factors!GP$3</f>
        <v>2.03433797856</v>
      </c>
      <c r="GW93" s="3">
        <f>$H93*factors!GQ$3</f>
        <v>2.106387448634</v>
      </c>
      <c r="GX93" s="3">
        <f>$H93*factors!GR$3</f>
        <v>2.072481815658</v>
      </c>
      <c r="GY93" s="3">
        <f>$H93*factors!GS$3</f>
        <v>2.0618863053530001</v>
      </c>
      <c r="GZ93" s="3">
        <f>$H93*factors!GT$3</f>
        <v>2.1381739795489998</v>
      </c>
      <c r="HA93" s="3">
        <f>$H93*factors!GU$3</f>
        <v>2.0682436115359999</v>
      </c>
      <c r="HB93" s="3">
        <f>$H93*factors!GV$3</f>
        <v>2.1381739795489998</v>
      </c>
      <c r="HC93" s="3">
        <f>$H93*factors!GW$3</f>
        <v>2.0851964280240001</v>
      </c>
      <c r="HD93" s="3">
        <f>$H93*factors!GX$3</f>
        <v>2.1466503877929997</v>
      </c>
      <c r="HE93" s="3">
        <f>$H93*factors!GY$3</f>
        <v>2.119102061</v>
      </c>
      <c r="HF93" s="3">
        <f>$H93*factors!GZ$3</f>
        <v>2.1847942248909997</v>
      </c>
      <c r="HG93" s="3">
        <f>$H93*factors!HA$3</f>
        <v>2.1000301424510002</v>
      </c>
      <c r="HH93" s="3">
        <f>$H93*factors!HB$3</f>
        <v>2.072481815658</v>
      </c>
      <c r="HI93" s="3">
        <f>$H93*factors!HC$3</f>
        <v>2.047052590926</v>
      </c>
      <c r="HJ93" s="3">
        <f>$H93*factors!HD$3</f>
        <v>2.023742468255</v>
      </c>
      <c r="HK93" s="3">
        <f>$H93*factors!HE$3</f>
        <v>2.1402930816099999</v>
      </c>
      <c r="HL93" s="3">
        <f>$H93*factors!HF$3</f>
        <v>2.0173851620719998</v>
      </c>
      <c r="HM93" s="3">
        <f>$H93*factors!HG$3</f>
        <v>2.0385761826820001</v>
      </c>
      <c r="HN93" s="3">
        <f>$H93*factors!HH$3</f>
        <v>2.1741987145860002</v>
      </c>
      <c r="HO93" s="3">
        <f>$H93*factors!HI$3</f>
        <v>2.0851964280240001</v>
      </c>
      <c r="HP93" s="3">
        <f>$H93*factors!HJ$3</f>
        <v>2.2250571640500003</v>
      </c>
      <c r="HQ93" s="3">
        <f>$H93*factors!HK$3</f>
        <v>2.03433797856</v>
      </c>
      <c r="HR93" s="3">
        <f>$H93*factors!HL$3</f>
        <v>2.157245898098</v>
      </c>
      <c r="HS93" s="3">
        <f>$H93*factors!HM$3</f>
        <v>2.1953897351960001</v>
      </c>
      <c r="HT93" s="3">
        <f>$H93*factors!HN$3</f>
        <v>2.047052590926</v>
      </c>
      <c r="HU93" s="3">
        <f>$H93*factors!HO$3</f>
        <v>2.0682436115359999</v>
      </c>
      <c r="HV93" s="3">
        <f>$H93*factors!HP$3</f>
        <v>2.0936728362680004</v>
      </c>
      <c r="HW93" s="3">
        <f>$H93*factors!HQ$3</f>
        <v>2.1233402651220001</v>
      </c>
      <c r="HX93" s="3">
        <f>$H93*factors!HR$3</f>
        <v>2.2102234496229998</v>
      </c>
      <c r="HY93" s="3">
        <f>$H93*factors!HS$3</f>
        <v>2.1000301424510002</v>
      </c>
      <c r="HZ93" s="3">
        <f>$H93*factors!HT$3</f>
        <v>2.180556020769</v>
      </c>
      <c r="IA93" s="3">
        <f>$H93*factors!HU$3</f>
        <v>2.0746009177190001</v>
      </c>
      <c r="IB93" s="3">
        <f>$H93*factors!HV$3</f>
        <v>2.1466503877929997</v>
      </c>
      <c r="IC93" s="3">
        <f>$H93*factors!HW$3</f>
        <v>2.167841408403</v>
      </c>
      <c r="ID93" s="3">
        <f>$H93*factors!HX$3</f>
        <v>2.0131469579499996</v>
      </c>
      <c r="IE93" s="3">
        <f>$H93*factors!HY$3</f>
        <v>2.1381739795489998</v>
      </c>
      <c r="IF93" s="3">
        <f>$H93*factors!HZ$3</f>
        <v>2.1254593671829998</v>
      </c>
      <c r="IG93" s="3">
        <f>$H93*factors!IA$3</f>
        <v>2.106387448634</v>
      </c>
      <c r="IH93" s="3">
        <f>$H93*factors!IB$3</f>
        <v>2.1847942248909997</v>
      </c>
      <c r="II93" s="3">
        <f>$H93*factors!IC$3</f>
        <v>2.0915537342069999</v>
      </c>
      <c r="IJ93" s="3">
        <f>$H93*factors!ID$3</f>
        <v>2.1106256527560001</v>
      </c>
      <c r="IK93" s="3">
        <f>$H93*factors!IE$3</f>
        <v>2.1869133269520002</v>
      </c>
      <c r="IL93" s="3">
        <f>$H93*factors!IF$3</f>
        <v>2.0936728362680004</v>
      </c>
      <c r="IM93" s="3">
        <f>$H93*factors!IG$3</f>
        <v>2.0746009177190001</v>
      </c>
      <c r="IN93" s="3">
        <f>$H93*factors!IH$3</f>
        <v>2.0873155300850001</v>
      </c>
      <c r="IO93" s="3">
        <f>$H93*factors!II$3</f>
        <v>2.108506550695</v>
      </c>
      <c r="IP93" s="3">
        <f>$H93*factors!IJ$3</f>
        <v>2.0385761826820001</v>
      </c>
      <c r="IQ93" s="3">
        <f>$H93*factors!IK$3</f>
        <v>2.0322188764989999</v>
      </c>
      <c r="IR93" s="3">
        <f>$H93*factors!IL$3</f>
        <v>2.0915537342069999</v>
      </c>
      <c r="IS93" s="3">
        <f>$H93*factors!IM$3</f>
        <v>2.108506550695</v>
      </c>
      <c r="IT93" s="3">
        <f>$H93*factors!IN$3</f>
        <v>2.1233402651220001</v>
      </c>
      <c r="IU93" s="3">
        <f>$H93*factors!IO$3</f>
        <v>2.1699605104640001</v>
      </c>
      <c r="IV93" s="3">
        <f>$H93*factors!IP$3</f>
        <v>2.1975088372569997</v>
      </c>
      <c r="IW93" s="3">
        <f>$H93*factors!IQ$3</f>
        <v>2.0767200197799998</v>
      </c>
      <c r="IX93" s="3">
        <f>$H93*factors!IR$3</f>
        <v>2.1699605104640001</v>
      </c>
      <c r="IY93" s="3">
        <f>$H93*factors!IS$3</f>
        <v>2.1381739795489998</v>
      </c>
      <c r="IZ93" s="3">
        <f>$H93*factors!IT$3</f>
        <v>2.1741987145860002</v>
      </c>
      <c r="JA93" s="3">
        <f>$H93*factors!IU$3</f>
        <v>2.0534098971089998</v>
      </c>
      <c r="JB93" s="3">
        <f>$H93*factors!IV$3</f>
        <v>2.0915537342069999</v>
      </c>
      <c r="JC93" s="3">
        <f>$H93*factors!IW$3</f>
        <v>2.0428143868040003</v>
      </c>
      <c r="JD93" s="3">
        <f>$H93*factors!IX$3</f>
        <v>2.2250571640500003</v>
      </c>
      <c r="JE93" s="3">
        <f>$H93*factors!IY$3</f>
        <v>2.0491716929870001</v>
      </c>
      <c r="JF93" s="3">
        <f>$H93*factors!IZ$3</f>
        <v>2.1508885919149998</v>
      </c>
      <c r="JG93" s="3">
        <f>$H93*factors!JA$3</f>
        <v>2.1127447548169997</v>
      </c>
      <c r="JH93" s="3">
        <f>$H93*factors!JB$3</f>
        <v>2.1530076939760003</v>
      </c>
      <c r="JI93" s="3">
        <f>$H93*factors!JC$3</f>
        <v>2.0152660600110002</v>
      </c>
      <c r="JJ93" s="3">
        <f>$H93*factors!JD$3</f>
        <v>2.1699605104640001</v>
      </c>
      <c r="JK93" s="3">
        <f>$H93*factors!JE$3</f>
        <v>2.1000301424510002</v>
      </c>
      <c r="JL93" s="3">
        <f>$H93*factors!JF$3</f>
        <v>2.1847942248909997</v>
      </c>
      <c r="JM93" s="3">
        <f>$H93*factors!JG$3</f>
        <v>2.0385761826820001</v>
      </c>
      <c r="JN93" s="3">
        <f>$H93*factors!JH$3</f>
        <v>2.0385761826820001</v>
      </c>
      <c r="JO93" s="3">
        <f>$H93*factors!JI$3</f>
        <v>2.0131469579499996</v>
      </c>
      <c r="JP93" s="3">
        <f>$H93*factors!JJ$3</f>
        <v>2.1763178166469999</v>
      </c>
      <c r="JQ93" s="3">
        <f>$H93*factors!JK$3</f>
        <v>2.1212211630610001</v>
      </c>
      <c r="JR93" s="3">
        <f>$H93*factors!JL$3</f>
        <v>2.20386614344</v>
      </c>
      <c r="JS93" s="3">
        <f>$H93*factors!JM$3</f>
        <v>2.0131469579499996</v>
      </c>
      <c r="JT93" s="3">
        <f>$H93*factors!JN$3</f>
        <v>2.1148638568780003</v>
      </c>
      <c r="JU93" s="3">
        <f>$H93*factors!JO$3</f>
        <v>2.0449334888649999</v>
      </c>
      <c r="JV93" s="3">
        <f>$H93*factors!JP$3</f>
        <v>2.0788391218410003</v>
      </c>
      <c r="JW93" s="3">
        <f>$H93*factors!JQ$3</f>
        <v>2.2208189599280002</v>
      </c>
      <c r="JX93" s="3">
        <f>$H93*factors!JR$3</f>
        <v>2.1996279393179998</v>
      </c>
      <c r="JY93" s="3">
        <f>$H93*factors!JS$3</f>
        <v>2.070362713597</v>
      </c>
      <c r="JZ93" s="3">
        <f>$H93*factors!JT$3</f>
        <v>2.0936728362680004</v>
      </c>
      <c r="KA93" s="3">
        <f>$H93*factors!JU$3</f>
        <v>2.1021492445120002</v>
      </c>
      <c r="KB93" s="3">
        <f>$H93*factors!JV$3</f>
        <v>2.0322188764989999</v>
      </c>
      <c r="KC93" s="3">
        <f>$H93*factors!JW$3</f>
        <v>2.0428143868040003</v>
      </c>
      <c r="KD93" s="3">
        <f>$H93*factors!JX$3</f>
        <v>2.0449334888649999</v>
      </c>
      <c r="KE93" s="3">
        <f>$H93*factors!JY$3</f>
        <v>2.1763178166469999</v>
      </c>
      <c r="KF93" s="3">
        <f>$H93*factors!JZ$3</f>
        <v>2.2017470413789999</v>
      </c>
      <c r="KG93" s="3">
        <f>$H93*factors!KA$3</f>
        <v>2.1233402651220001</v>
      </c>
      <c r="KH93" s="3">
        <f>$H93*factors!KB$3</f>
        <v>2.0767200197799998</v>
      </c>
      <c r="KI93" s="3">
        <f>$H93*factors!KC$3</f>
        <v>2.0576481012309999</v>
      </c>
    </row>
    <row r="94" spans="1:295" x14ac:dyDescent="0.55000000000000004">
      <c r="A94" t="s">
        <v>471</v>
      </c>
      <c r="B94">
        <v>93</v>
      </c>
      <c r="C94">
        <v>230</v>
      </c>
      <c r="D94" t="s">
        <v>377</v>
      </c>
      <c r="E94">
        <v>3.3409999999999998E-3</v>
      </c>
      <c r="F94">
        <v>93</v>
      </c>
      <c r="G94">
        <f>VLOOKUP(D94,demand_forecasted!$A$2:$G$11,2)</f>
        <v>11098</v>
      </c>
      <c r="H94" s="3">
        <f t="shared" si="2"/>
        <v>0.37078418000000002</v>
      </c>
      <c r="I94" s="3">
        <f>$H94*factors!C$3</f>
        <v>0.41045808725999999</v>
      </c>
      <c r="J94" s="3">
        <f>$H94*factors!D$3</f>
        <v>0.39564155142720003</v>
      </c>
      <c r="K94" s="3">
        <f>$H94*factors!E$3</f>
        <v>0.38883395388240005</v>
      </c>
      <c r="L94" s="3">
        <f>$H94*factors!F$3</f>
        <v>0.38763261313920006</v>
      </c>
      <c r="M94" s="3">
        <f>$H94*factors!G$3</f>
        <v>0.3872321662248</v>
      </c>
      <c r="N94" s="3">
        <f>$H94*factors!H$3</f>
        <v>0.39844467982800003</v>
      </c>
      <c r="O94" s="3">
        <f>$H94*factors!I$3</f>
        <v>0.4072545119448</v>
      </c>
      <c r="P94" s="3">
        <f>$H94*factors!J$3</f>
        <v>0.41205987491760004</v>
      </c>
      <c r="Q94" s="3">
        <f>$H94*factors!K$3</f>
        <v>0.3868317193104</v>
      </c>
      <c r="R94" s="3">
        <f>$H94*factors!L$3</f>
        <v>0.38042456868000002</v>
      </c>
      <c r="S94" s="3">
        <f>$H94*factors!M$3</f>
        <v>0.39604199834160003</v>
      </c>
      <c r="T94" s="3">
        <f>$H94*factors!N$3</f>
        <v>0.40965719343120005</v>
      </c>
      <c r="U94" s="3">
        <f>$H94*factors!O$3</f>
        <v>0.38803306005360005</v>
      </c>
      <c r="V94" s="3">
        <f>$H94*factors!P$3</f>
        <v>0.40365048971520007</v>
      </c>
      <c r="W94" s="3">
        <f>$H94*factors!Q$3</f>
        <v>0.4072545119448</v>
      </c>
      <c r="X94" s="3">
        <f>$H94*factors!R$3</f>
        <v>0.38963484771119999</v>
      </c>
      <c r="Y94" s="3">
        <f>$H94*factors!S$3</f>
        <v>0.38603082548160006</v>
      </c>
      <c r="Z94" s="3">
        <f>$H94*factors!T$3</f>
        <v>0.41646479097600009</v>
      </c>
      <c r="AA94" s="3">
        <f>$H94*factors!U$3</f>
        <v>0.39323886994079998</v>
      </c>
      <c r="AB94" s="3">
        <f>$H94*factors!V$3</f>
        <v>0.39363931685520009</v>
      </c>
      <c r="AC94" s="3">
        <f>$H94*factors!W$3</f>
        <v>0.39403976376960004</v>
      </c>
      <c r="AD94" s="3">
        <f>$H94*factors!X$3</f>
        <v>0.38563037856720006</v>
      </c>
      <c r="AE94" s="3">
        <f>$H94*factors!Y$3</f>
        <v>0.38883395388240005</v>
      </c>
      <c r="AF94" s="3">
        <f>$H94*factors!Z$3</f>
        <v>0.39684289217040009</v>
      </c>
      <c r="AG94" s="3">
        <f>$H94*factors!AA$3</f>
        <v>0.3868317193104</v>
      </c>
      <c r="AH94" s="3">
        <f>$H94*factors!AB$3</f>
        <v>0.38522993165280006</v>
      </c>
      <c r="AI94" s="3">
        <f>$H94*factors!AC$3</f>
        <v>0.39764378599920003</v>
      </c>
      <c r="AJ94" s="3">
        <f>$H94*factors!AD$3</f>
        <v>0.41286076874640004</v>
      </c>
      <c r="AK94" s="3">
        <f>$H94*factors!AE$3</f>
        <v>0.39724333908480003</v>
      </c>
      <c r="AL94" s="3">
        <f>$H94*factors!AF$3</f>
        <v>0.38162590942320002</v>
      </c>
      <c r="AM94" s="3">
        <f>$H94*factors!AG$3</f>
        <v>0.39243797611200004</v>
      </c>
      <c r="AN94" s="3">
        <f>$H94*factors!AH$3</f>
        <v>0.38603082548160006</v>
      </c>
      <c r="AO94" s="3">
        <f>$H94*factors!AI$3</f>
        <v>0.40445138354400001</v>
      </c>
      <c r="AP94" s="3">
        <f>$H94*factors!AJ$3</f>
        <v>0.38763261313920006</v>
      </c>
      <c r="AQ94" s="3">
        <f>$H94*factors!AK$3</f>
        <v>0.40004646748560008</v>
      </c>
      <c r="AR94" s="3">
        <f>$H94*factors!AL$3</f>
        <v>0.39123663536880005</v>
      </c>
      <c r="AS94" s="3">
        <f>$H94*factors!AM$3</f>
        <v>0.38162590942320002</v>
      </c>
      <c r="AT94" s="3">
        <f>$H94*factors!AN$3</f>
        <v>0.39363931685520009</v>
      </c>
      <c r="AU94" s="3">
        <f>$H94*factors!AO$3</f>
        <v>0.41686523789039998</v>
      </c>
      <c r="AV94" s="3">
        <f>$H94*factors!AP$3</f>
        <v>0.39403976376960004</v>
      </c>
      <c r="AW94" s="3">
        <f>$H94*factors!AQ$3</f>
        <v>0.39003529462559999</v>
      </c>
      <c r="AX94" s="3">
        <f>$H94*factors!AR$3</f>
        <v>0.41246032183200004</v>
      </c>
      <c r="AY94" s="3">
        <f>$H94*factors!AS$3</f>
        <v>0.38042456868000002</v>
      </c>
      <c r="AZ94" s="3">
        <f>$H94*factors!AT$3</f>
        <v>0.40765495885920011</v>
      </c>
      <c r="BA94" s="3">
        <f>$H94*factors!AU$3</f>
        <v>0.39884512674240002</v>
      </c>
      <c r="BB94" s="3">
        <f>$H94*factors!AV$3</f>
        <v>0.39363931685520009</v>
      </c>
      <c r="BC94" s="3">
        <f>$H94*factors!AW$3</f>
        <v>0.41646479097600009</v>
      </c>
      <c r="BD94" s="3">
        <f>$H94*factors!AX$3</f>
        <v>0.38442903782400001</v>
      </c>
      <c r="BE94" s="3">
        <f>$H94*factors!AY$3</f>
        <v>0.45196366836919999</v>
      </c>
      <c r="BF94" s="3">
        <f>$H94*factors!AZ$3</f>
        <v>0.42089936976879999</v>
      </c>
      <c r="BG94" s="3">
        <f>$H94*factors!BA$3</f>
        <v>0.42702472442239997</v>
      </c>
      <c r="BH94" s="3">
        <f>$H94*factors!BB$3</f>
        <v>0.43271255374360001</v>
      </c>
      <c r="BI94" s="3">
        <f>$H94*factors!BC$3</f>
        <v>0.44846346570999995</v>
      </c>
      <c r="BJ94" s="3">
        <f>$H94*factors!BD$3</f>
        <v>0.4283373004196</v>
      </c>
      <c r="BK94" s="3">
        <f>$H94*factors!BE$3</f>
        <v>0.42921235108439998</v>
      </c>
      <c r="BL94" s="3">
        <f>$H94*factors!BF$3</f>
        <v>0.42439957242799997</v>
      </c>
      <c r="BM94" s="3">
        <f>$H94*factors!BG$3</f>
        <v>0.45327624436640002</v>
      </c>
      <c r="BN94" s="3">
        <f>$H94*factors!BH$3</f>
        <v>0.44758841504519997</v>
      </c>
      <c r="BO94" s="3">
        <f>$H94*factors!BI$3</f>
        <v>0.42089936976879999</v>
      </c>
      <c r="BP94" s="3">
        <f>$H94*factors!BJ$3</f>
        <v>0.41958679377159996</v>
      </c>
      <c r="BQ94" s="3">
        <f>$H94*factors!BK$3</f>
        <v>0.42658719908999998</v>
      </c>
      <c r="BR94" s="3">
        <f>$H94*factors!BL$3</f>
        <v>0.44190058572400004</v>
      </c>
      <c r="BS94" s="3">
        <f>$H94*factors!BM$3</f>
        <v>0.4489009910424</v>
      </c>
      <c r="BT94" s="3">
        <f>$H94*factors!BN$3</f>
        <v>0.45021356703959997</v>
      </c>
      <c r="BU94" s="3">
        <f>$H94*factors!BO$3</f>
        <v>0.45765149769040003</v>
      </c>
      <c r="BV94" s="3">
        <f>$H94*factors!BP$3</f>
        <v>0.4257121484252</v>
      </c>
      <c r="BW94" s="3">
        <f>$H94*factors!BQ$3</f>
        <v>0.43533770573800001</v>
      </c>
      <c r="BX94" s="3">
        <f>$H94*factors!BR$3</f>
        <v>0.42702472442239997</v>
      </c>
      <c r="BY94" s="3">
        <f>$H94*factors!BS$3</f>
        <v>0.44671336438039994</v>
      </c>
      <c r="BZ94" s="3">
        <f>$H94*factors!BT$3</f>
        <v>0.43840038306479995</v>
      </c>
      <c r="CA94" s="3">
        <f>$H94*factors!BU$3</f>
        <v>0.43271255374360001</v>
      </c>
      <c r="CB94" s="3">
        <f>$H94*factors!BV$3</f>
        <v>0.41871174310679998</v>
      </c>
      <c r="CC94" s="3">
        <f>$H94*factors!BW$3</f>
        <v>0.430962452414</v>
      </c>
      <c r="CD94" s="3">
        <f>$H94*factors!BX$3</f>
        <v>0.43227502841120002</v>
      </c>
      <c r="CE94" s="3">
        <f>$H94*factors!BY$3</f>
        <v>0.43840038306479995</v>
      </c>
      <c r="CF94" s="3">
        <f>$H94*factors!BZ$3</f>
        <v>0.43183750307880003</v>
      </c>
      <c r="CG94" s="3">
        <f>$H94*factors!CA$3</f>
        <v>0.41739916710959996</v>
      </c>
      <c r="CH94" s="3">
        <f>$H94*factors!CB$3</f>
        <v>0.41783669244199995</v>
      </c>
      <c r="CI94" s="3">
        <f>$H94*factors!CC$3</f>
        <v>0.41564906577999999</v>
      </c>
      <c r="CJ94" s="3">
        <f>$H94*factors!CD$3</f>
        <v>0.43271255374360001</v>
      </c>
      <c r="CK94" s="3">
        <f>$H94*factors!CE$3</f>
        <v>0.45196366836919999</v>
      </c>
      <c r="CL94" s="3">
        <f>$H94*factors!CF$3</f>
        <v>0.42352452176319999</v>
      </c>
      <c r="CM94" s="3">
        <f>$H94*factors!CG$3</f>
        <v>0.4335876044084</v>
      </c>
      <c r="CN94" s="3">
        <f>$H94*factors!CH$3</f>
        <v>0.41914926843919997</v>
      </c>
      <c r="CO94" s="3">
        <f>$H94*factors!CI$3</f>
        <v>0.42221194576599996</v>
      </c>
      <c r="CP94" s="3">
        <f>$H94*factors!CJ$3</f>
        <v>0.44233811105639992</v>
      </c>
      <c r="CQ94" s="3">
        <f>$H94*factors!CK$3</f>
        <v>0.42921235108439998</v>
      </c>
      <c r="CR94" s="3">
        <f>$H94*factors!CL$3</f>
        <v>0.44277563638879996</v>
      </c>
      <c r="CS94" s="3">
        <f>$H94*factors!CM$3</f>
        <v>0.4567764470256</v>
      </c>
      <c r="CT94" s="3">
        <f>$H94*factors!CN$3</f>
        <v>0.4515261430368</v>
      </c>
      <c r="CU94" s="3">
        <f>$H94*factors!CO$3</f>
        <v>0.44146306039159994</v>
      </c>
      <c r="CV94" s="3">
        <f>$H94*factors!CP$3</f>
        <v>0.45940159902</v>
      </c>
      <c r="CW94" s="3">
        <f>$H94*factors!CQ$3</f>
        <v>0.43446265507320003</v>
      </c>
      <c r="CX94" s="3">
        <f>$H94*factors!CR$3</f>
        <v>0.42789977508720001</v>
      </c>
      <c r="CY94" s="3">
        <f>$H94*factors!CS$3</f>
        <v>0.42396204709559998</v>
      </c>
      <c r="CZ94" s="3">
        <f>$H94*factors!CT$3</f>
        <v>0.41783669244199995</v>
      </c>
      <c r="DA94" s="3">
        <f>$H94*factors!CU$3</f>
        <v>0.43381749060000002</v>
      </c>
      <c r="DB94" s="3">
        <f>$H94*factors!CV$3</f>
        <v>0.46184877460800006</v>
      </c>
      <c r="DC94" s="3">
        <f>$H94*factors!CW$3</f>
        <v>0.44227136990399996</v>
      </c>
      <c r="DD94" s="3">
        <f>$H94*factors!CX$3</f>
        <v>0.43915678279199999</v>
      </c>
      <c r="DE94" s="3">
        <f>$H94*factors!CY$3</f>
        <v>0.45206007225600003</v>
      </c>
      <c r="DF94" s="3">
        <f>$H94*factors!CZ$3</f>
        <v>0.45117019022399996</v>
      </c>
      <c r="DG94" s="3">
        <f>$H94*factors!DA$3</f>
        <v>0.44939042616000002</v>
      </c>
      <c r="DH94" s="3">
        <f>$H94*factors!DB$3</f>
        <v>0.44939042616000002</v>
      </c>
      <c r="DI94" s="3">
        <f>$H94*factors!DC$3</f>
        <v>0.43248266755199999</v>
      </c>
      <c r="DJ94" s="3">
        <f>$H94*factors!DD$3</f>
        <v>0.45828924648000002</v>
      </c>
      <c r="DK94" s="3">
        <f>$H94*factors!DE$3</f>
        <v>0.45828924648000002</v>
      </c>
      <c r="DL94" s="3">
        <f>$H94*factors!DF$3</f>
        <v>0.45294995428800006</v>
      </c>
      <c r="DM94" s="3">
        <f>$H94*factors!DG$3</f>
        <v>0.42669843434399995</v>
      </c>
      <c r="DN94" s="3">
        <f>$H94*factors!DH$3</f>
        <v>0.44761066209600003</v>
      </c>
      <c r="DO94" s="3">
        <f>$H94*factors!DI$3</f>
        <v>0.46229371562400001</v>
      </c>
      <c r="DP94" s="3">
        <f>$H94*factors!DJ$3</f>
        <v>0.45828924648000002</v>
      </c>
      <c r="DQ94" s="3">
        <f>$H94*factors!DK$3</f>
        <v>0.43693207771199999</v>
      </c>
      <c r="DR94" s="3">
        <f>$H94*factors!DL$3</f>
        <v>0.43203772653600003</v>
      </c>
      <c r="DS94" s="3">
        <f>$H94*factors!DM$3</f>
        <v>0.46674312578400001</v>
      </c>
      <c r="DT94" s="3">
        <f>$H94*factors!DN$3</f>
        <v>0.43871184177600003</v>
      </c>
      <c r="DU94" s="3">
        <f>$H94*factors!DO$3</f>
        <v>0.45917912851199999</v>
      </c>
      <c r="DV94" s="3">
        <f>$H94*factors!DP$3</f>
        <v>0.448500544128</v>
      </c>
      <c r="DW94" s="3">
        <f>$H94*factors!DQ$3</f>
        <v>0.42803325739199999</v>
      </c>
      <c r="DX94" s="3">
        <f>$H94*factors!DR$3</f>
        <v>0.45339489530399996</v>
      </c>
      <c r="DY94" s="3">
        <f>$H94*factors!DS$3</f>
        <v>0.43025796247199999</v>
      </c>
      <c r="DZ94" s="3">
        <f>$H94*factors!DT$3</f>
        <v>0.46006901054400001</v>
      </c>
      <c r="EA94" s="3">
        <f>$H94*factors!DU$3</f>
        <v>0.43337254958399996</v>
      </c>
      <c r="EB94" s="3">
        <f>$H94*factors!DV$3</f>
        <v>0.42269396519999997</v>
      </c>
      <c r="EC94" s="3">
        <f>$H94*factors!DW$3</f>
        <v>0.45472971835199999</v>
      </c>
      <c r="ED94" s="3">
        <f>$H94*factors!DX$3</f>
        <v>0.42669843434399995</v>
      </c>
      <c r="EE94" s="3">
        <f>$H94*factors!DY$3</f>
        <v>0.43025796247199999</v>
      </c>
      <c r="EF94" s="3">
        <f>$H94*factors!DZ$3</f>
        <v>0.46674312578400001</v>
      </c>
      <c r="EG94" s="3">
        <f>$H94*factors!EA$3</f>
        <v>0.43604219568000002</v>
      </c>
      <c r="EH94" s="3">
        <f>$H94*factors!EB$3</f>
        <v>0.437377018728</v>
      </c>
      <c r="EI94" s="3">
        <f>$H94*factors!EC$3</f>
        <v>0.43648713669600003</v>
      </c>
      <c r="EJ94" s="3">
        <f>$H94*factors!ED$3</f>
        <v>0.42536361129600003</v>
      </c>
      <c r="EK94" s="3">
        <f>$H94*factors!EE$3</f>
        <v>0.45472971835199999</v>
      </c>
      <c r="EL94" s="3">
        <f>$H94*factors!EF$3</f>
        <v>0.43248266755199999</v>
      </c>
      <c r="EM94" s="3">
        <f>$H94*factors!EG$3</f>
        <v>0.44983536717599998</v>
      </c>
      <c r="EN94" s="3">
        <f>$H94*factors!EH$3</f>
        <v>0.42269396519999997</v>
      </c>
      <c r="EO94" s="3">
        <f>$H94*factors!EI$3</f>
        <v>0.42892313942399996</v>
      </c>
      <c r="EP94" s="3">
        <f>$H94*factors!EJ$3</f>
        <v>0.45250501327199999</v>
      </c>
      <c r="EQ94" s="3">
        <f>$H94*factors!EK$3</f>
        <v>0.44004666482399996</v>
      </c>
      <c r="ER94" s="3">
        <f>$H94*factors!EL$3</f>
        <v>0.45828924648000002</v>
      </c>
      <c r="ES94" s="3">
        <f>$H94*factors!EM$3</f>
        <v>0.45250501327199999</v>
      </c>
      <c r="ET94" s="3">
        <f>$H94*factors!EN$3</f>
        <v>0.46273865664000002</v>
      </c>
      <c r="EU94" s="3">
        <f>$H94*factors!EO$3</f>
        <v>0.46718806680000002</v>
      </c>
      <c r="EV94" s="3">
        <f>$H94*factors!EP$3</f>
        <v>0.43782195974399996</v>
      </c>
      <c r="EW94" s="3">
        <f>$H94*factors!EQ$3</f>
        <v>0.48155595377499999</v>
      </c>
      <c r="EX94" s="3">
        <f>$H94*factors!ER$3</f>
        <v>0.47645767130000005</v>
      </c>
      <c r="EY94" s="3">
        <f>$H94*factors!ES$3</f>
        <v>0.48619075602499995</v>
      </c>
      <c r="EZ94" s="3">
        <f>$H94*factors!ET$3</f>
        <v>0.48155595377499999</v>
      </c>
      <c r="FA94" s="3">
        <f>$H94*factors!EU$3</f>
        <v>0.44262361487499996</v>
      </c>
      <c r="FB94" s="3">
        <f>$H94*factors!EV$3</f>
        <v>0.46255326455000007</v>
      </c>
      <c r="FC94" s="3">
        <f>$H94*factors!EW$3</f>
        <v>0.47553071085000004</v>
      </c>
      <c r="FD94" s="3">
        <f>$H94*factors!EX$3</f>
        <v>0.45884542275000006</v>
      </c>
      <c r="FE94" s="3">
        <f>$H94*factors!EY$3</f>
        <v>0.48340987467500002</v>
      </c>
      <c r="FF94" s="3">
        <f>$H94*factors!EZ$3</f>
        <v>0.48387335490000011</v>
      </c>
      <c r="FG94" s="3">
        <f>$H94*factors!FA$3</f>
        <v>0.44262361487499996</v>
      </c>
      <c r="FH94" s="3">
        <f>$H94*factors!FB$3</f>
        <v>0.46579762612499997</v>
      </c>
      <c r="FI94" s="3">
        <f>$H94*factors!FC$3</f>
        <v>0.48526379557499999</v>
      </c>
      <c r="FJ94" s="3">
        <f>$H94*factors!FD$3</f>
        <v>0.46579762612499997</v>
      </c>
      <c r="FK94" s="3">
        <f>$H94*factors!FE$3</f>
        <v>0.47367678995000007</v>
      </c>
      <c r="FL94" s="3">
        <f>$H94*factors!FF$3</f>
        <v>0.475067230625</v>
      </c>
      <c r="FM94" s="3">
        <f>$H94*factors!FG$3</f>
        <v>0.4801655131</v>
      </c>
      <c r="FN94" s="3">
        <f>$H94*factors!FH$3</f>
        <v>0.449112338025</v>
      </c>
      <c r="FO94" s="3">
        <f>$H94*factors!FI$3</f>
        <v>0.47692115152499998</v>
      </c>
      <c r="FP94" s="3">
        <f>$H94*factors!FJ$3</f>
        <v>0.46348022500000002</v>
      </c>
      <c r="FQ94" s="3">
        <f>$H94*factors!FK$3</f>
        <v>0.45884542275000006</v>
      </c>
      <c r="FR94" s="3">
        <f>$H94*factors!FL$3</f>
        <v>0.46811502724999998</v>
      </c>
      <c r="FS94" s="3">
        <f>$H94*factors!FM$3</f>
        <v>0.4653341459</v>
      </c>
      <c r="FT94" s="3">
        <f>$H94*factors!FN$3</f>
        <v>0.47553071085000004</v>
      </c>
      <c r="FU94" s="3">
        <f>$H94*factors!FO$3</f>
        <v>0.45699150184999998</v>
      </c>
      <c r="FV94" s="3">
        <f>$H94*factors!FP$3</f>
        <v>0.45328366004999998</v>
      </c>
      <c r="FW94" s="3">
        <f>$H94*factors!FQ$3</f>
        <v>0.48526379557499999</v>
      </c>
      <c r="FX94" s="3">
        <f>$H94*factors!FR$3</f>
        <v>0.47645767130000005</v>
      </c>
      <c r="FY94" s="3">
        <f>$H94*factors!FS$3</f>
        <v>0.46672458657499993</v>
      </c>
      <c r="FZ94" s="3">
        <f>$H94*factors!FT$3</f>
        <v>0.44355057532500003</v>
      </c>
      <c r="GA94" s="3">
        <f>$H94*factors!FU$3</f>
        <v>0.46672458657499993</v>
      </c>
      <c r="GB94" s="3">
        <f>$H94*factors!FV$3</f>
        <v>0.48387335490000011</v>
      </c>
      <c r="GC94" s="3">
        <f>$H94*factors!FW$3</f>
        <v>0.45328366004999998</v>
      </c>
      <c r="GD94" s="3">
        <f>$H94*factors!FX$3</f>
        <v>0.46116282387500002</v>
      </c>
      <c r="GE94" s="3">
        <f>$H94*factors!FY$3</f>
        <v>0.46116282387500002</v>
      </c>
      <c r="GF94" s="3">
        <f>$H94*factors!FZ$3</f>
        <v>0.45977238320000002</v>
      </c>
      <c r="GG94" s="3">
        <f>$H94*factors!GA$3</f>
        <v>0.441696654425</v>
      </c>
      <c r="GH94" s="3">
        <f>$H94*factors!GB$3</f>
        <v>0.46996894815000007</v>
      </c>
      <c r="GI94" s="3">
        <f>$H94*factors!GC$3</f>
        <v>0.44076969397499999</v>
      </c>
      <c r="GJ94" s="3">
        <f>$H94*factors!GD$3</f>
        <v>0.441696654425</v>
      </c>
      <c r="GK94" s="3">
        <f>$H94*factors!GE$3</f>
        <v>0.452820179825</v>
      </c>
      <c r="GL94" s="3">
        <f>$H94*factors!GF$3</f>
        <v>0.47970203287500002</v>
      </c>
      <c r="GM94" s="3">
        <f>$H94*factors!GG$3</f>
        <v>0.45467410072500003</v>
      </c>
      <c r="GN94" s="3">
        <f>$H94*factors!GH$3</f>
        <v>0.46904198770000005</v>
      </c>
      <c r="GO94" s="3">
        <f>$H94*factors!GI$3</f>
        <v>0.44308709509999994</v>
      </c>
      <c r="GP94" s="3">
        <f>$H94*factors!GJ$3</f>
        <v>0.475067230625</v>
      </c>
      <c r="GQ94" s="3">
        <f>$H94*factors!GK$3</f>
        <v>0.48480031535000007</v>
      </c>
      <c r="GR94" s="3">
        <f>$H94*factors!GL$3</f>
        <v>0.47553071085000004</v>
      </c>
      <c r="GS94" s="3">
        <f>$H94*factors!GM$3</f>
        <v>0.44970559271300004</v>
      </c>
      <c r="GT94" s="3">
        <f>$H94*factors!GN$3</f>
        <v>0.46006530270220003</v>
      </c>
      <c r="GU94" s="3">
        <f>$H94*factors!GO$3</f>
        <v>0.47089590860000002</v>
      </c>
      <c r="GV94" s="3">
        <f>$H94*factors!GP$3</f>
        <v>0.45206007225600003</v>
      </c>
      <c r="GW94" s="3">
        <f>$H94*factors!GQ$3</f>
        <v>0.46807053314840003</v>
      </c>
      <c r="GX94" s="3">
        <f>$H94*factors!GR$3</f>
        <v>0.46053619861080003</v>
      </c>
      <c r="GY94" s="3">
        <f>$H94*factors!GS$3</f>
        <v>0.45818171906780003</v>
      </c>
      <c r="GZ94" s="3">
        <f>$H94*factors!GT$3</f>
        <v>0.47513397177739997</v>
      </c>
      <c r="HA94" s="3">
        <f>$H94*factors!GU$3</f>
        <v>0.45959440679360003</v>
      </c>
      <c r="HB94" s="3">
        <f>$H94*factors!GV$3</f>
        <v>0.47513397177739997</v>
      </c>
      <c r="HC94" s="3">
        <f>$H94*factors!GW$3</f>
        <v>0.46336157406239997</v>
      </c>
      <c r="HD94" s="3">
        <f>$H94*factors!GX$3</f>
        <v>0.47701755541179997</v>
      </c>
      <c r="HE94" s="3">
        <f>$H94*factors!GY$3</f>
        <v>0.47089590860000002</v>
      </c>
      <c r="HF94" s="3">
        <f>$H94*factors!GZ$3</f>
        <v>0.48549368176660002</v>
      </c>
      <c r="HG94" s="3">
        <f>$H94*factors!HA$3</f>
        <v>0.46665784542260003</v>
      </c>
      <c r="HH94" s="3">
        <f>$H94*factors!HB$3</f>
        <v>0.46053619861080003</v>
      </c>
      <c r="HI94" s="3">
        <f>$H94*factors!HC$3</f>
        <v>0.45488544770760003</v>
      </c>
      <c r="HJ94" s="3">
        <f>$H94*factors!HD$3</f>
        <v>0.44970559271300004</v>
      </c>
      <c r="HK94" s="3">
        <f>$H94*factors!HE$3</f>
        <v>0.47560486768600002</v>
      </c>
      <c r="HL94" s="3">
        <f>$H94*factors!HF$3</f>
        <v>0.44829290498719998</v>
      </c>
      <c r="HM94" s="3">
        <f>$H94*factors!HG$3</f>
        <v>0.45300186407320003</v>
      </c>
      <c r="HN94" s="3">
        <f>$H94*factors!HH$3</f>
        <v>0.48313920222360007</v>
      </c>
      <c r="HO94" s="3">
        <f>$H94*factors!HI$3</f>
        <v>0.46336157406239997</v>
      </c>
      <c r="HP94" s="3">
        <f>$H94*factors!HJ$3</f>
        <v>0.49444070403000007</v>
      </c>
      <c r="HQ94" s="3">
        <f>$H94*factors!HK$3</f>
        <v>0.45206007225600003</v>
      </c>
      <c r="HR94" s="3">
        <f>$H94*factors!HL$3</f>
        <v>0.47937203495480007</v>
      </c>
      <c r="HS94" s="3">
        <f>$H94*factors!HM$3</f>
        <v>0.48784816130960001</v>
      </c>
      <c r="HT94" s="3">
        <f>$H94*factors!HN$3</f>
        <v>0.45488544770760003</v>
      </c>
      <c r="HU94" s="3">
        <f>$H94*factors!HO$3</f>
        <v>0.45959440679360003</v>
      </c>
      <c r="HV94" s="3">
        <f>$H94*factors!HP$3</f>
        <v>0.46524515769680008</v>
      </c>
      <c r="HW94" s="3">
        <f>$H94*factors!HQ$3</f>
        <v>0.47183770041720002</v>
      </c>
      <c r="HX94" s="3">
        <f>$H94*factors!HR$3</f>
        <v>0.49114443266979996</v>
      </c>
      <c r="HY94" s="3">
        <f>$H94*factors!HS$3</f>
        <v>0.46665784542260003</v>
      </c>
      <c r="HZ94" s="3">
        <f>$H94*factors!HT$3</f>
        <v>0.48455188994940002</v>
      </c>
      <c r="IA94" s="3">
        <f>$H94*factors!HU$3</f>
        <v>0.46100709451940003</v>
      </c>
      <c r="IB94" s="3">
        <f>$H94*factors!HV$3</f>
        <v>0.47701755541179997</v>
      </c>
      <c r="IC94" s="3">
        <f>$H94*factors!HW$3</f>
        <v>0.48172651449780002</v>
      </c>
      <c r="ID94" s="3">
        <f>$H94*factors!HX$3</f>
        <v>0.44735111316999998</v>
      </c>
      <c r="IE94" s="3">
        <f>$H94*factors!HY$3</f>
        <v>0.47513397177739997</v>
      </c>
      <c r="IF94" s="3">
        <f>$H94*factors!HZ$3</f>
        <v>0.47230859632579997</v>
      </c>
      <c r="IG94" s="3">
        <f>$H94*factors!IA$3</f>
        <v>0.46807053314840003</v>
      </c>
      <c r="IH94" s="3">
        <f>$H94*factors!IB$3</f>
        <v>0.48549368176660002</v>
      </c>
      <c r="II94" s="3">
        <f>$H94*factors!IC$3</f>
        <v>0.46477426178820003</v>
      </c>
      <c r="IJ94" s="3">
        <f>$H94*factors!ID$3</f>
        <v>0.46901232496560002</v>
      </c>
      <c r="IK94" s="3">
        <f>$H94*factors!IE$3</f>
        <v>0.48596457767520002</v>
      </c>
      <c r="IL94" s="3">
        <f>$H94*factors!IF$3</f>
        <v>0.46524515769680008</v>
      </c>
      <c r="IM94" s="3">
        <f>$H94*factors!IG$3</f>
        <v>0.46100709451940003</v>
      </c>
      <c r="IN94" s="3">
        <f>$H94*factors!IH$3</f>
        <v>0.46383246997100003</v>
      </c>
      <c r="IO94" s="3">
        <f>$H94*factors!II$3</f>
        <v>0.46854142905700003</v>
      </c>
      <c r="IP94" s="3">
        <f>$H94*factors!IJ$3</f>
        <v>0.45300186407320003</v>
      </c>
      <c r="IQ94" s="3">
        <f>$H94*factors!IK$3</f>
        <v>0.45158917634740003</v>
      </c>
      <c r="IR94" s="3">
        <f>$H94*factors!IL$3</f>
        <v>0.46477426178820003</v>
      </c>
      <c r="IS94" s="3">
        <f>$H94*factors!IM$3</f>
        <v>0.46854142905700003</v>
      </c>
      <c r="IT94" s="3">
        <f>$H94*factors!IN$3</f>
        <v>0.47183770041720002</v>
      </c>
      <c r="IU94" s="3">
        <f>$H94*factors!IO$3</f>
        <v>0.48219741040640007</v>
      </c>
      <c r="IV94" s="3">
        <f>$H94*factors!IP$3</f>
        <v>0.48831905721819996</v>
      </c>
      <c r="IW94" s="3">
        <f>$H94*factors!IQ$3</f>
        <v>0.46147799042799997</v>
      </c>
      <c r="IX94" s="3">
        <f>$H94*factors!IR$3</f>
        <v>0.48219741040640007</v>
      </c>
      <c r="IY94" s="3">
        <f>$H94*factors!IS$3</f>
        <v>0.47513397177739997</v>
      </c>
      <c r="IZ94" s="3">
        <f>$H94*factors!IT$3</f>
        <v>0.48313920222360007</v>
      </c>
      <c r="JA94" s="3">
        <f>$H94*factors!IU$3</f>
        <v>0.45629813543339998</v>
      </c>
      <c r="JB94" s="3">
        <f>$H94*factors!IV$3</f>
        <v>0.46477426178820003</v>
      </c>
      <c r="JC94" s="3">
        <f>$H94*factors!IW$3</f>
        <v>0.45394365589040003</v>
      </c>
      <c r="JD94" s="3">
        <f>$H94*factors!IX$3</f>
        <v>0.49444070403000007</v>
      </c>
      <c r="JE94" s="3">
        <f>$H94*factors!IY$3</f>
        <v>0.45535634361619998</v>
      </c>
      <c r="JF94" s="3">
        <f>$H94*factors!IZ$3</f>
        <v>0.47795934722899996</v>
      </c>
      <c r="JG94" s="3">
        <f>$H94*factors!JA$3</f>
        <v>0.46948322087419997</v>
      </c>
      <c r="JH94" s="3">
        <f>$H94*factors!JB$3</f>
        <v>0.47843024313760008</v>
      </c>
      <c r="JI94" s="3">
        <f>$H94*factors!JC$3</f>
        <v>0.44782200907860004</v>
      </c>
      <c r="JJ94" s="3">
        <f>$H94*factors!JD$3</f>
        <v>0.48219741040640007</v>
      </c>
      <c r="JK94" s="3">
        <f>$H94*factors!JE$3</f>
        <v>0.46665784542260003</v>
      </c>
      <c r="JL94" s="3">
        <f>$H94*factors!JF$3</f>
        <v>0.48549368176660002</v>
      </c>
      <c r="JM94" s="3">
        <f>$H94*factors!JG$3</f>
        <v>0.45300186407320003</v>
      </c>
      <c r="JN94" s="3">
        <f>$H94*factors!JH$3</f>
        <v>0.45300186407320003</v>
      </c>
      <c r="JO94" s="3">
        <f>$H94*factors!JI$3</f>
        <v>0.44735111316999998</v>
      </c>
      <c r="JP94" s="3">
        <f>$H94*factors!JJ$3</f>
        <v>0.48361009813220002</v>
      </c>
      <c r="JQ94" s="3">
        <f>$H94*factors!JK$3</f>
        <v>0.47136680450859997</v>
      </c>
      <c r="JR94" s="3">
        <f>$H94*factors!JL$3</f>
        <v>0.48973174494400001</v>
      </c>
      <c r="JS94" s="3">
        <f>$H94*factors!JM$3</f>
        <v>0.44735111316999998</v>
      </c>
      <c r="JT94" s="3">
        <f>$H94*factors!JN$3</f>
        <v>0.46995411678280002</v>
      </c>
      <c r="JU94" s="3">
        <f>$H94*factors!JO$3</f>
        <v>0.45441455179899998</v>
      </c>
      <c r="JV94" s="3">
        <f>$H94*factors!JP$3</f>
        <v>0.46194888633660003</v>
      </c>
      <c r="JW94" s="3">
        <f>$H94*factors!JQ$3</f>
        <v>0.49349891221280007</v>
      </c>
      <c r="JX94" s="3">
        <f>$H94*factors!JR$3</f>
        <v>0.48878995312680001</v>
      </c>
      <c r="JY94" s="3">
        <f>$H94*factors!JS$3</f>
        <v>0.46006530270220003</v>
      </c>
      <c r="JZ94" s="3">
        <f>$H94*factors!JT$3</f>
        <v>0.46524515769680008</v>
      </c>
      <c r="KA94" s="3">
        <f>$H94*factors!JU$3</f>
        <v>0.46712874133120003</v>
      </c>
      <c r="KB94" s="3">
        <f>$H94*factors!JV$3</f>
        <v>0.45158917634740003</v>
      </c>
      <c r="KC94" s="3">
        <f>$H94*factors!JW$3</f>
        <v>0.45394365589040003</v>
      </c>
      <c r="KD94" s="3">
        <f>$H94*factors!JX$3</f>
        <v>0.45441455179899998</v>
      </c>
      <c r="KE94" s="3">
        <f>$H94*factors!JY$3</f>
        <v>0.48361009813220002</v>
      </c>
      <c r="KF94" s="3">
        <f>$H94*factors!JZ$3</f>
        <v>0.48926084903539996</v>
      </c>
      <c r="KG94" s="3">
        <f>$H94*factors!KA$3</f>
        <v>0.47183770041720002</v>
      </c>
      <c r="KH94" s="3">
        <f>$H94*factors!KB$3</f>
        <v>0.46147799042799997</v>
      </c>
      <c r="KI94" s="3">
        <f>$H94*factors!KC$3</f>
        <v>0.45723992725059998</v>
      </c>
    </row>
    <row r="95" spans="1:295" x14ac:dyDescent="0.55000000000000004">
      <c r="A95" t="s">
        <v>472</v>
      </c>
      <c r="B95">
        <v>94</v>
      </c>
      <c r="C95">
        <v>230</v>
      </c>
      <c r="D95" t="s">
        <v>377</v>
      </c>
      <c r="E95">
        <v>3.3409999999999998E-3</v>
      </c>
      <c r="F95">
        <v>94</v>
      </c>
      <c r="G95">
        <f>VLOOKUP(D95,demand_forecasted!$A$2:$G$11,2)</f>
        <v>11098</v>
      </c>
      <c r="H95" s="3">
        <f t="shared" si="2"/>
        <v>0.37078418000000002</v>
      </c>
      <c r="I95" s="3">
        <f>$H95*factors!C$3</f>
        <v>0.41045808725999999</v>
      </c>
      <c r="J95" s="3">
        <f>$H95*factors!D$3</f>
        <v>0.39564155142720003</v>
      </c>
      <c r="K95" s="3">
        <f>$H95*factors!E$3</f>
        <v>0.38883395388240005</v>
      </c>
      <c r="L95" s="3">
        <f>$H95*factors!F$3</f>
        <v>0.38763261313920006</v>
      </c>
      <c r="M95" s="3">
        <f>$H95*factors!G$3</f>
        <v>0.3872321662248</v>
      </c>
      <c r="N95" s="3">
        <f>$H95*factors!H$3</f>
        <v>0.39844467982800003</v>
      </c>
      <c r="O95" s="3">
        <f>$H95*factors!I$3</f>
        <v>0.4072545119448</v>
      </c>
      <c r="P95" s="3">
        <f>$H95*factors!J$3</f>
        <v>0.41205987491760004</v>
      </c>
      <c r="Q95" s="3">
        <f>$H95*factors!K$3</f>
        <v>0.3868317193104</v>
      </c>
      <c r="R95" s="3">
        <f>$H95*factors!L$3</f>
        <v>0.38042456868000002</v>
      </c>
      <c r="S95" s="3">
        <f>$H95*factors!M$3</f>
        <v>0.39604199834160003</v>
      </c>
      <c r="T95" s="3">
        <f>$H95*factors!N$3</f>
        <v>0.40965719343120005</v>
      </c>
      <c r="U95" s="3">
        <f>$H95*factors!O$3</f>
        <v>0.38803306005360005</v>
      </c>
      <c r="V95" s="3">
        <f>$H95*factors!P$3</f>
        <v>0.40365048971520007</v>
      </c>
      <c r="W95" s="3">
        <f>$H95*factors!Q$3</f>
        <v>0.4072545119448</v>
      </c>
      <c r="X95" s="3">
        <f>$H95*factors!R$3</f>
        <v>0.38963484771119999</v>
      </c>
      <c r="Y95" s="3">
        <f>$H95*factors!S$3</f>
        <v>0.38603082548160006</v>
      </c>
      <c r="Z95" s="3">
        <f>$H95*factors!T$3</f>
        <v>0.41646479097600009</v>
      </c>
      <c r="AA95" s="3">
        <f>$H95*factors!U$3</f>
        <v>0.39323886994079998</v>
      </c>
      <c r="AB95" s="3">
        <f>$H95*factors!V$3</f>
        <v>0.39363931685520009</v>
      </c>
      <c r="AC95" s="3">
        <f>$H95*factors!W$3</f>
        <v>0.39403976376960004</v>
      </c>
      <c r="AD95" s="3">
        <f>$H95*factors!X$3</f>
        <v>0.38563037856720006</v>
      </c>
      <c r="AE95" s="3">
        <f>$H95*factors!Y$3</f>
        <v>0.38883395388240005</v>
      </c>
      <c r="AF95" s="3">
        <f>$H95*factors!Z$3</f>
        <v>0.39684289217040009</v>
      </c>
      <c r="AG95" s="3">
        <f>$H95*factors!AA$3</f>
        <v>0.3868317193104</v>
      </c>
      <c r="AH95" s="3">
        <f>$H95*factors!AB$3</f>
        <v>0.38522993165280006</v>
      </c>
      <c r="AI95" s="3">
        <f>$H95*factors!AC$3</f>
        <v>0.39764378599920003</v>
      </c>
      <c r="AJ95" s="3">
        <f>$H95*factors!AD$3</f>
        <v>0.41286076874640004</v>
      </c>
      <c r="AK95" s="3">
        <f>$H95*factors!AE$3</f>
        <v>0.39724333908480003</v>
      </c>
      <c r="AL95" s="3">
        <f>$H95*factors!AF$3</f>
        <v>0.38162590942320002</v>
      </c>
      <c r="AM95" s="3">
        <f>$H95*factors!AG$3</f>
        <v>0.39243797611200004</v>
      </c>
      <c r="AN95" s="3">
        <f>$H95*factors!AH$3</f>
        <v>0.38603082548160006</v>
      </c>
      <c r="AO95" s="3">
        <f>$H95*factors!AI$3</f>
        <v>0.40445138354400001</v>
      </c>
      <c r="AP95" s="3">
        <f>$H95*factors!AJ$3</f>
        <v>0.38763261313920006</v>
      </c>
      <c r="AQ95" s="3">
        <f>$H95*factors!AK$3</f>
        <v>0.40004646748560008</v>
      </c>
      <c r="AR95" s="3">
        <f>$H95*factors!AL$3</f>
        <v>0.39123663536880005</v>
      </c>
      <c r="AS95" s="3">
        <f>$H95*factors!AM$3</f>
        <v>0.38162590942320002</v>
      </c>
      <c r="AT95" s="3">
        <f>$H95*factors!AN$3</f>
        <v>0.39363931685520009</v>
      </c>
      <c r="AU95" s="3">
        <f>$H95*factors!AO$3</f>
        <v>0.41686523789039998</v>
      </c>
      <c r="AV95" s="3">
        <f>$H95*factors!AP$3</f>
        <v>0.39403976376960004</v>
      </c>
      <c r="AW95" s="3">
        <f>$H95*factors!AQ$3</f>
        <v>0.39003529462559999</v>
      </c>
      <c r="AX95" s="3">
        <f>$H95*factors!AR$3</f>
        <v>0.41246032183200004</v>
      </c>
      <c r="AY95" s="3">
        <f>$H95*factors!AS$3</f>
        <v>0.38042456868000002</v>
      </c>
      <c r="AZ95" s="3">
        <f>$H95*factors!AT$3</f>
        <v>0.40765495885920011</v>
      </c>
      <c r="BA95" s="3">
        <f>$H95*factors!AU$3</f>
        <v>0.39884512674240002</v>
      </c>
      <c r="BB95" s="3">
        <f>$H95*factors!AV$3</f>
        <v>0.39363931685520009</v>
      </c>
      <c r="BC95" s="3">
        <f>$H95*factors!AW$3</f>
        <v>0.41646479097600009</v>
      </c>
      <c r="BD95" s="3">
        <f>$H95*factors!AX$3</f>
        <v>0.38442903782400001</v>
      </c>
      <c r="BE95" s="3">
        <f>$H95*factors!AY$3</f>
        <v>0.45196366836919999</v>
      </c>
      <c r="BF95" s="3">
        <f>$H95*factors!AZ$3</f>
        <v>0.42089936976879999</v>
      </c>
      <c r="BG95" s="3">
        <f>$H95*factors!BA$3</f>
        <v>0.42702472442239997</v>
      </c>
      <c r="BH95" s="3">
        <f>$H95*factors!BB$3</f>
        <v>0.43271255374360001</v>
      </c>
      <c r="BI95" s="3">
        <f>$H95*factors!BC$3</f>
        <v>0.44846346570999995</v>
      </c>
      <c r="BJ95" s="3">
        <f>$H95*factors!BD$3</f>
        <v>0.4283373004196</v>
      </c>
      <c r="BK95" s="3">
        <f>$H95*factors!BE$3</f>
        <v>0.42921235108439998</v>
      </c>
      <c r="BL95" s="3">
        <f>$H95*factors!BF$3</f>
        <v>0.42439957242799997</v>
      </c>
      <c r="BM95" s="3">
        <f>$H95*factors!BG$3</f>
        <v>0.45327624436640002</v>
      </c>
      <c r="BN95" s="3">
        <f>$H95*factors!BH$3</f>
        <v>0.44758841504519997</v>
      </c>
      <c r="BO95" s="3">
        <f>$H95*factors!BI$3</f>
        <v>0.42089936976879999</v>
      </c>
      <c r="BP95" s="3">
        <f>$H95*factors!BJ$3</f>
        <v>0.41958679377159996</v>
      </c>
      <c r="BQ95" s="3">
        <f>$H95*factors!BK$3</f>
        <v>0.42658719908999998</v>
      </c>
      <c r="BR95" s="3">
        <f>$H95*factors!BL$3</f>
        <v>0.44190058572400004</v>
      </c>
      <c r="BS95" s="3">
        <f>$H95*factors!BM$3</f>
        <v>0.4489009910424</v>
      </c>
      <c r="BT95" s="3">
        <f>$H95*factors!BN$3</f>
        <v>0.45021356703959997</v>
      </c>
      <c r="BU95" s="3">
        <f>$H95*factors!BO$3</f>
        <v>0.45765149769040003</v>
      </c>
      <c r="BV95" s="3">
        <f>$H95*factors!BP$3</f>
        <v>0.4257121484252</v>
      </c>
      <c r="BW95" s="3">
        <f>$H95*factors!BQ$3</f>
        <v>0.43533770573800001</v>
      </c>
      <c r="BX95" s="3">
        <f>$H95*factors!BR$3</f>
        <v>0.42702472442239997</v>
      </c>
      <c r="BY95" s="3">
        <f>$H95*factors!BS$3</f>
        <v>0.44671336438039994</v>
      </c>
      <c r="BZ95" s="3">
        <f>$H95*factors!BT$3</f>
        <v>0.43840038306479995</v>
      </c>
      <c r="CA95" s="3">
        <f>$H95*factors!BU$3</f>
        <v>0.43271255374360001</v>
      </c>
      <c r="CB95" s="3">
        <f>$H95*factors!BV$3</f>
        <v>0.41871174310679998</v>
      </c>
      <c r="CC95" s="3">
        <f>$H95*factors!BW$3</f>
        <v>0.430962452414</v>
      </c>
      <c r="CD95" s="3">
        <f>$H95*factors!BX$3</f>
        <v>0.43227502841120002</v>
      </c>
      <c r="CE95" s="3">
        <f>$H95*factors!BY$3</f>
        <v>0.43840038306479995</v>
      </c>
      <c r="CF95" s="3">
        <f>$H95*factors!BZ$3</f>
        <v>0.43183750307880003</v>
      </c>
      <c r="CG95" s="3">
        <f>$H95*factors!CA$3</f>
        <v>0.41739916710959996</v>
      </c>
      <c r="CH95" s="3">
        <f>$H95*factors!CB$3</f>
        <v>0.41783669244199995</v>
      </c>
      <c r="CI95" s="3">
        <f>$H95*factors!CC$3</f>
        <v>0.41564906577999999</v>
      </c>
      <c r="CJ95" s="3">
        <f>$H95*factors!CD$3</f>
        <v>0.43271255374360001</v>
      </c>
      <c r="CK95" s="3">
        <f>$H95*factors!CE$3</f>
        <v>0.45196366836919999</v>
      </c>
      <c r="CL95" s="3">
        <f>$H95*factors!CF$3</f>
        <v>0.42352452176319999</v>
      </c>
      <c r="CM95" s="3">
        <f>$H95*factors!CG$3</f>
        <v>0.4335876044084</v>
      </c>
      <c r="CN95" s="3">
        <f>$H95*factors!CH$3</f>
        <v>0.41914926843919997</v>
      </c>
      <c r="CO95" s="3">
        <f>$H95*factors!CI$3</f>
        <v>0.42221194576599996</v>
      </c>
      <c r="CP95" s="3">
        <f>$H95*factors!CJ$3</f>
        <v>0.44233811105639992</v>
      </c>
      <c r="CQ95" s="3">
        <f>$H95*factors!CK$3</f>
        <v>0.42921235108439998</v>
      </c>
      <c r="CR95" s="3">
        <f>$H95*factors!CL$3</f>
        <v>0.44277563638879996</v>
      </c>
      <c r="CS95" s="3">
        <f>$H95*factors!CM$3</f>
        <v>0.4567764470256</v>
      </c>
      <c r="CT95" s="3">
        <f>$H95*factors!CN$3</f>
        <v>0.4515261430368</v>
      </c>
      <c r="CU95" s="3">
        <f>$H95*factors!CO$3</f>
        <v>0.44146306039159994</v>
      </c>
      <c r="CV95" s="3">
        <f>$H95*factors!CP$3</f>
        <v>0.45940159902</v>
      </c>
      <c r="CW95" s="3">
        <f>$H95*factors!CQ$3</f>
        <v>0.43446265507320003</v>
      </c>
      <c r="CX95" s="3">
        <f>$H95*factors!CR$3</f>
        <v>0.42789977508720001</v>
      </c>
      <c r="CY95" s="3">
        <f>$H95*factors!CS$3</f>
        <v>0.42396204709559998</v>
      </c>
      <c r="CZ95" s="3">
        <f>$H95*factors!CT$3</f>
        <v>0.41783669244199995</v>
      </c>
      <c r="DA95" s="3">
        <f>$H95*factors!CU$3</f>
        <v>0.43381749060000002</v>
      </c>
      <c r="DB95" s="3">
        <f>$H95*factors!CV$3</f>
        <v>0.46184877460800006</v>
      </c>
      <c r="DC95" s="3">
        <f>$H95*factors!CW$3</f>
        <v>0.44227136990399996</v>
      </c>
      <c r="DD95" s="3">
        <f>$H95*factors!CX$3</f>
        <v>0.43915678279199999</v>
      </c>
      <c r="DE95" s="3">
        <f>$H95*factors!CY$3</f>
        <v>0.45206007225600003</v>
      </c>
      <c r="DF95" s="3">
        <f>$H95*factors!CZ$3</f>
        <v>0.45117019022399996</v>
      </c>
      <c r="DG95" s="3">
        <f>$H95*factors!DA$3</f>
        <v>0.44939042616000002</v>
      </c>
      <c r="DH95" s="3">
        <f>$H95*factors!DB$3</f>
        <v>0.44939042616000002</v>
      </c>
      <c r="DI95" s="3">
        <f>$H95*factors!DC$3</f>
        <v>0.43248266755199999</v>
      </c>
      <c r="DJ95" s="3">
        <f>$H95*factors!DD$3</f>
        <v>0.45828924648000002</v>
      </c>
      <c r="DK95" s="3">
        <f>$H95*factors!DE$3</f>
        <v>0.45828924648000002</v>
      </c>
      <c r="DL95" s="3">
        <f>$H95*factors!DF$3</f>
        <v>0.45294995428800006</v>
      </c>
      <c r="DM95" s="3">
        <f>$H95*factors!DG$3</f>
        <v>0.42669843434399995</v>
      </c>
      <c r="DN95" s="3">
        <f>$H95*factors!DH$3</f>
        <v>0.44761066209600003</v>
      </c>
      <c r="DO95" s="3">
        <f>$H95*factors!DI$3</f>
        <v>0.46229371562400001</v>
      </c>
      <c r="DP95" s="3">
        <f>$H95*factors!DJ$3</f>
        <v>0.45828924648000002</v>
      </c>
      <c r="DQ95" s="3">
        <f>$H95*factors!DK$3</f>
        <v>0.43693207771199999</v>
      </c>
      <c r="DR95" s="3">
        <f>$H95*factors!DL$3</f>
        <v>0.43203772653600003</v>
      </c>
      <c r="DS95" s="3">
        <f>$H95*factors!DM$3</f>
        <v>0.46674312578400001</v>
      </c>
      <c r="DT95" s="3">
        <f>$H95*factors!DN$3</f>
        <v>0.43871184177600003</v>
      </c>
      <c r="DU95" s="3">
        <f>$H95*factors!DO$3</f>
        <v>0.45917912851199999</v>
      </c>
      <c r="DV95" s="3">
        <f>$H95*factors!DP$3</f>
        <v>0.448500544128</v>
      </c>
      <c r="DW95" s="3">
        <f>$H95*factors!DQ$3</f>
        <v>0.42803325739199999</v>
      </c>
      <c r="DX95" s="3">
        <f>$H95*factors!DR$3</f>
        <v>0.45339489530399996</v>
      </c>
      <c r="DY95" s="3">
        <f>$H95*factors!DS$3</f>
        <v>0.43025796247199999</v>
      </c>
      <c r="DZ95" s="3">
        <f>$H95*factors!DT$3</f>
        <v>0.46006901054400001</v>
      </c>
      <c r="EA95" s="3">
        <f>$H95*factors!DU$3</f>
        <v>0.43337254958399996</v>
      </c>
      <c r="EB95" s="3">
        <f>$H95*factors!DV$3</f>
        <v>0.42269396519999997</v>
      </c>
      <c r="EC95" s="3">
        <f>$H95*factors!DW$3</f>
        <v>0.45472971835199999</v>
      </c>
      <c r="ED95" s="3">
        <f>$H95*factors!DX$3</f>
        <v>0.42669843434399995</v>
      </c>
      <c r="EE95" s="3">
        <f>$H95*factors!DY$3</f>
        <v>0.43025796247199999</v>
      </c>
      <c r="EF95" s="3">
        <f>$H95*factors!DZ$3</f>
        <v>0.46674312578400001</v>
      </c>
      <c r="EG95" s="3">
        <f>$H95*factors!EA$3</f>
        <v>0.43604219568000002</v>
      </c>
      <c r="EH95" s="3">
        <f>$H95*factors!EB$3</f>
        <v>0.437377018728</v>
      </c>
      <c r="EI95" s="3">
        <f>$H95*factors!EC$3</f>
        <v>0.43648713669600003</v>
      </c>
      <c r="EJ95" s="3">
        <f>$H95*factors!ED$3</f>
        <v>0.42536361129600003</v>
      </c>
      <c r="EK95" s="3">
        <f>$H95*factors!EE$3</f>
        <v>0.45472971835199999</v>
      </c>
      <c r="EL95" s="3">
        <f>$H95*factors!EF$3</f>
        <v>0.43248266755199999</v>
      </c>
      <c r="EM95" s="3">
        <f>$H95*factors!EG$3</f>
        <v>0.44983536717599998</v>
      </c>
      <c r="EN95" s="3">
        <f>$H95*factors!EH$3</f>
        <v>0.42269396519999997</v>
      </c>
      <c r="EO95" s="3">
        <f>$H95*factors!EI$3</f>
        <v>0.42892313942399996</v>
      </c>
      <c r="EP95" s="3">
        <f>$H95*factors!EJ$3</f>
        <v>0.45250501327199999</v>
      </c>
      <c r="EQ95" s="3">
        <f>$H95*factors!EK$3</f>
        <v>0.44004666482399996</v>
      </c>
      <c r="ER95" s="3">
        <f>$H95*factors!EL$3</f>
        <v>0.45828924648000002</v>
      </c>
      <c r="ES95" s="3">
        <f>$H95*factors!EM$3</f>
        <v>0.45250501327199999</v>
      </c>
      <c r="ET95" s="3">
        <f>$H95*factors!EN$3</f>
        <v>0.46273865664000002</v>
      </c>
      <c r="EU95" s="3">
        <f>$H95*factors!EO$3</f>
        <v>0.46718806680000002</v>
      </c>
      <c r="EV95" s="3">
        <f>$H95*factors!EP$3</f>
        <v>0.43782195974399996</v>
      </c>
      <c r="EW95" s="3">
        <f>$H95*factors!EQ$3</f>
        <v>0.48155595377499999</v>
      </c>
      <c r="EX95" s="3">
        <f>$H95*factors!ER$3</f>
        <v>0.47645767130000005</v>
      </c>
      <c r="EY95" s="3">
        <f>$H95*factors!ES$3</f>
        <v>0.48619075602499995</v>
      </c>
      <c r="EZ95" s="3">
        <f>$H95*factors!ET$3</f>
        <v>0.48155595377499999</v>
      </c>
      <c r="FA95" s="3">
        <f>$H95*factors!EU$3</f>
        <v>0.44262361487499996</v>
      </c>
      <c r="FB95" s="3">
        <f>$H95*factors!EV$3</f>
        <v>0.46255326455000007</v>
      </c>
      <c r="FC95" s="3">
        <f>$H95*factors!EW$3</f>
        <v>0.47553071085000004</v>
      </c>
      <c r="FD95" s="3">
        <f>$H95*factors!EX$3</f>
        <v>0.45884542275000006</v>
      </c>
      <c r="FE95" s="3">
        <f>$H95*factors!EY$3</f>
        <v>0.48340987467500002</v>
      </c>
      <c r="FF95" s="3">
        <f>$H95*factors!EZ$3</f>
        <v>0.48387335490000011</v>
      </c>
      <c r="FG95" s="3">
        <f>$H95*factors!FA$3</f>
        <v>0.44262361487499996</v>
      </c>
      <c r="FH95" s="3">
        <f>$H95*factors!FB$3</f>
        <v>0.46579762612499997</v>
      </c>
      <c r="FI95" s="3">
        <f>$H95*factors!FC$3</f>
        <v>0.48526379557499999</v>
      </c>
      <c r="FJ95" s="3">
        <f>$H95*factors!FD$3</f>
        <v>0.46579762612499997</v>
      </c>
      <c r="FK95" s="3">
        <f>$H95*factors!FE$3</f>
        <v>0.47367678995000007</v>
      </c>
      <c r="FL95" s="3">
        <f>$H95*factors!FF$3</f>
        <v>0.475067230625</v>
      </c>
      <c r="FM95" s="3">
        <f>$H95*factors!FG$3</f>
        <v>0.4801655131</v>
      </c>
      <c r="FN95" s="3">
        <f>$H95*factors!FH$3</f>
        <v>0.449112338025</v>
      </c>
      <c r="FO95" s="3">
        <f>$H95*factors!FI$3</f>
        <v>0.47692115152499998</v>
      </c>
      <c r="FP95" s="3">
        <f>$H95*factors!FJ$3</f>
        <v>0.46348022500000002</v>
      </c>
      <c r="FQ95" s="3">
        <f>$H95*factors!FK$3</f>
        <v>0.45884542275000006</v>
      </c>
      <c r="FR95" s="3">
        <f>$H95*factors!FL$3</f>
        <v>0.46811502724999998</v>
      </c>
      <c r="FS95" s="3">
        <f>$H95*factors!FM$3</f>
        <v>0.4653341459</v>
      </c>
      <c r="FT95" s="3">
        <f>$H95*factors!FN$3</f>
        <v>0.47553071085000004</v>
      </c>
      <c r="FU95" s="3">
        <f>$H95*factors!FO$3</f>
        <v>0.45699150184999998</v>
      </c>
      <c r="FV95" s="3">
        <f>$H95*factors!FP$3</f>
        <v>0.45328366004999998</v>
      </c>
      <c r="FW95" s="3">
        <f>$H95*factors!FQ$3</f>
        <v>0.48526379557499999</v>
      </c>
      <c r="FX95" s="3">
        <f>$H95*factors!FR$3</f>
        <v>0.47645767130000005</v>
      </c>
      <c r="FY95" s="3">
        <f>$H95*factors!FS$3</f>
        <v>0.46672458657499993</v>
      </c>
      <c r="FZ95" s="3">
        <f>$H95*factors!FT$3</f>
        <v>0.44355057532500003</v>
      </c>
      <c r="GA95" s="3">
        <f>$H95*factors!FU$3</f>
        <v>0.46672458657499993</v>
      </c>
      <c r="GB95" s="3">
        <f>$H95*factors!FV$3</f>
        <v>0.48387335490000011</v>
      </c>
      <c r="GC95" s="3">
        <f>$H95*factors!FW$3</f>
        <v>0.45328366004999998</v>
      </c>
      <c r="GD95" s="3">
        <f>$H95*factors!FX$3</f>
        <v>0.46116282387500002</v>
      </c>
      <c r="GE95" s="3">
        <f>$H95*factors!FY$3</f>
        <v>0.46116282387500002</v>
      </c>
      <c r="GF95" s="3">
        <f>$H95*factors!FZ$3</f>
        <v>0.45977238320000002</v>
      </c>
      <c r="GG95" s="3">
        <f>$H95*factors!GA$3</f>
        <v>0.441696654425</v>
      </c>
      <c r="GH95" s="3">
        <f>$H95*factors!GB$3</f>
        <v>0.46996894815000007</v>
      </c>
      <c r="GI95" s="3">
        <f>$H95*factors!GC$3</f>
        <v>0.44076969397499999</v>
      </c>
      <c r="GJ95" s="3">
        <f>$H95*factors!GD$3</f>
        <v>0.441696654425</v>
      </c>
      <c r="GK95" s="3">
        <f>$H95*factors!GE$3</f>
        <v>0.452820179825</v>
      </c>
      <c r="GL95" s="3">
        <f>$H95*factors!GF$3</f>
        <v>0.47970203287500002</v>
      </c>
      <c r="GM95" s="3">
        <f>$H95*factors!GG$3</f>
        <v>0.45467410072500003</v>
      </c>
      <c r="GN95" s="3">
        <f>$H95*factors!GH$3</f>
        <v>0.46904198770000005</v>
      </c>
      <c r="GO95" s="3">
        <f>$H95*factors!GI$3</f>
        <v>0.44308709509999994</v>
      </c>
      <c r="GP95" s="3">
        <f>$H95*factors!GJ$3</f>
        <v>0.475067230625</v>
      </c>
      <c r="GQ95" s="3">
        <f>$H95*factors!GK$3</f>
        <v>0.48480031535000007</v>
      </c>
      <c r="GR95" s="3">
        <f>$H95*factors!GL$3</f>
        <v>0.47553071085000004</v>
      </c>
      <c r="GS95" s="3">
        <f>$H95*factors!GM$3</f>
        <v>0.44970559271300004</v>
      </c>
      <c r="GT95" s="3">
        <f>$H95*factors!GN$3</f>
        <v>0.46006530270220003</v>
      </c>
      <c r="GU95" s="3">
        <f>$H95*factors!GO$3</f>
        <v>0.47089590860000002</v>
      </c>
      <c r="GV95" s="3">
        <f>$H95*factors!GP$3</f>
        <v>0.45206007225600003</v>
      </c>
      <c r="GW95" s="3">
        <f>$H95*factors!GQ$3</f>
        <v>0.46807053314840003</v>
      </c>
      <c r="GX95" s="3">
        <f>$H95*factors!GR$3</f>
        <v>0.46053619861080003</v>
      </c>
      <c r="GY95" s="3">
        <f>$H95*factors!GS$3</f>
        <v>0.45818171906780003</v>
      </c>
      <c r="GZ95" s="3">
        <f>$H95*factors!GT$3</f>
        <v>0.47513397177739997</v>
      </c>
      <c r="HA95" s="3">
        <f>$H95*factors!GU$3</f>
        <v>0.45959440679360003</v>
      </c>
      <c r="HB95" s="3">
        <f>$H95*factors!GV$3</f>
        <v>0.47513397177739997</v>
      </c>
      <c r="HC95" s="3">
        <f>$H95*factors!GW$3</f>
        <v>0.46336157406239997</v>
      </c>
      <c r="HD95" s="3">
        <f>$H95*factors!GX$3</f>
        <v>0.47701755541179997</v>
      </c>
      <c r="HE95" s="3">
        <f>$H95*factors!GY$3</f>
        <v>0.47089590860000002</v>
      </c>
      <c r="HF95" s="3">
        <f>$H95*factors!GZ$3</f>
        <v>0.48549368176660002</v>
      </c>
      <c r="HG95" s="3">
        <f>$H95*factors!HA$3</f>
        <v>0.46665784542260003</v>
      </c>
      <c r="HH95" s="3">
        <f>$H95*factors!HB$3</f>
        <v>0.46053619861080003</v>
      </c>
      <c r="HI95" s="3">
        <f>$H95*factors!HC$3</f>
        <v>0.45488544770760003</v>
      </c>
      <c r="HJ95" s="3">
        <f>$H95*factors!HD$3</f>
        <v>0.44970559271300004</v>
      </c>
      <c r="HK95" s="3">
        <f>$H95*factors!HE$3</f>
        <v>0.47560486768600002</v>
      </c>
      <c r="HL95" s="3">
        <f>$H95*factors!HF$3</f>
        <v>0.44829290498719998</v>
      </c>
      <c r="HM95" s="3">
        <f>$H95*factors!HG$3</f>
        <v>0.45300186407320003</v>
      </c>
      <c r="HN95" s="3">
        <f>$H95*factors!HH$3</f>
        <v>0.48313920222360007</v>
      </c>
      <c r="HO95" s="3">
        <f>$H95*factors!HI$3</f>
        <v>0.46336157406239997</v>
      </c>
      <c r="HP95" s="3">
        <f>$H95*factors!HJ$3</f>
        <v>0.49444070403000007</v>
      </c>
      <c r="HQ95" s="3">
        <f>$H95*factors!HK$3</f>
        <v>0.45206007225600003</v>
      </c>
      <c r="HR95" s="3">
        <f>$H95*factors!HL$3</f>
        <v>0.47937203495480007</v>
      </c>
      <c r="HS95" s="3">
        <f>$H95*factors!HM$3</f>
        <v>0.48784816130960001</v>
      </c>
      <c r="HT95" s="3">
        <f>$H95*factors!HN$3</f>
        <v>0.45488544770760003</v>
      </c>
      <c r="HU95" s="3">
        <f>$H95*factors!HO$3</f>
        <v>0.45959440679360003</v>
      </c>
      <c r="HV95" s="3">
        <f>$H95*factors!HP$3</f>
        <v>0.46524515769680008</v>
      </c>
      <c r="HW95" s="3">
        <f>$H95*factors!HQ$3</f>
        <v>0.47183770041720002</v>
      </c>
      <c r="HX95" s="3">
        <f>$H95*factors!HR$3</f>
        <v>0.49114443266979996</v>
      </c>
      <c r="HY95" s="3">
        <f>$H95*factors!HS$3</f>
        <v>0.46665784542260003</v>
      </c>
      <c r="HZ95" s="3">
        <f>$H95*factors!HT$3</f>
        <v>0.48455188994940002</v>
      </c>
      <c r="IA95" s="3">
        <f>$H95*factors!HU$3</f>
        <v>0.46100709451940003</v>
      </c>
      <c r="IB95" s="3">
        <f>$H95*factors!HV$3</f>
        <v>0.47701755541179997</v>
      </c>
      <c r="IC95" s="3">
        <f>$H95*factors!HW$3</f>
        <v>0.48172651449780002</v>
      </c>
      <c r="ID95" s="3">
        <f>$H95*factors!HX$3</f>
        <v>0.44735111316999998</v>
      </c>
      <c r="IE95" s="3">
        <f>$H95*factors!HY$3</f>
        <v>0.47513397177739997</v>
      </c>
      <c r="IF95" s="3">
        <f>$H95*factors!HZ$3</f>
        <v>0.47230859632579997</v>
      </c>
      <c r="IG95" s="3">
        <f>$H95*factors!IA$3</f>
        <v>0.46807053314840003</v>
      </c>
      <c r="IH95" s="3">
        <f>$H95*factors!IB$3</f>
        <v>0.48549368176660002</v>
      </c>
      <c r="II95" s="3">
        <f>$H95*factors!IC$3</f>
        <v>0.46477426178820003</v>
      </c>
      <c r="IJ95" s="3">
        <f>$H95*factors!ID$3</f>
        <v>0.46901232496560002</v>
      </c>
      <c r="IK95" s="3">
        <f>$H95*factors!IE$3</f>
        <v>0.48596457767520002</v>
      </c>
      <c r="IL95" s="3">
        <f>$H95*factors!IF$3</f>
        <v>0.46524515769680008</v>
      </c>
      <c r="IM95" s="3">
        <f>$H95*factors!IG$3</f>
        <v>0.46100709451940003</v>
      </c>
      <c r="IN95" s="3">
        <f>$H95*factors!IH$3</f>
        <v>0.46383246997100003</v>
      </c>
      <c r="IO95" s="3">
        <f>$H95*factors!II$3</f>
        <v>0.46854142905700003</v>
      </c>
      <c r="IP95" s="3">
        <f>$H95*factors!IJ$3</f>
        <v>0.45300186407320003</v>
      </c>
      <c r="IQ95" s="3">
        <f>$H95*factors!IK$3</f>
        <v>0.45158917634740003</v>
      </c>
      <c r="IR95" s="3">
        <f>$H95*factors!IL$3</f>
        <v>0.46477426178820003</v>
      </c>
      <c r="IS95" s="3">
        <f>$H95*factors!IM$3</f>
        <v>0.46854142905700003</v>
      </c>
      <c r="IT95" s="3">
        <f>$H95*factors!IN$3</f>
        <v>0.47183770041720002</v>
      </c>
      <c r="IU95" s="3">
        <f>$H95*factors!IO$3</f>
        <v>0.48219741040640007</v>
      </c>
      <c r="IV95" s="3">
        <f>$H95*factors!IP$3</f>
        <v>0.48831905721819996</v>
      </c>
      <c r="IW95" s="3">
        <f>$H95*factors!IQ$3</f>
        <v>0.46147799042799997</v>
      </c>
      <c r="IX95" s="3">
        <f>$H95*factors!IR$3</f>
        <v>0.48219741040640007</v>
      </c>
      <c r="IY95" s="3">
        <f>$H95*factors!IS$3</f>
        <v>0.47513397177739997</v>
      </c>
      <c r="IZ95" s="3">
        <f>$H95*factors!IT$3</f>
        <v>0.48313920222360007</v>
      </c>
      <c r="JA95" s="3">
        <f>$H95*factors!IU$3</f>
        <v>0.45629813543339998</v>
      </c>
      <c r="JB95" s="3">
        <f>$H95*factors!IV$3</f>
        <v>0.46477426178820003</v>
      </c>
      <c r="JC95" s="3">
        <f>$H95*factors!IW$3</f>
        <v>0.45394365589040003</v>
      </c>
      <c r="JD95" s="3">
        <f>$H95*factors!IX$3</f>
        <v>0.49444070403000007</v>
      </c>
      <c r="JE95" s="3">
        <f>$H95*factors!IY$3</f>
        <v>0.45535634361619998</v>
      </c>
      <c r="JF95" s="3">
        <f>$H95*factors!IZ$3</f>
        <v>0.47795934722899996</v>
      </c>
      <c r="JG95" s="3">
        <f>$H95*factors!JA$3</f>
        <v>0.46948322087419997</v>
      </c>
      <c r="JH95" s="3">
        <f>$H95*factors!JB$3</f>
        <v>0.47843024313760008</v>
      </c>
      <c r="JI95" s="3">
        <f>$H95*factors!JC$3</f>
        <v>0.44782200907860004</v>
      </c>
      <c r="JJ95" s="3">
        <f>$H95*factors!JD$3</f>
        <v>0.48219741040640007</v>
      </c>
      <c r="JK95" s="3">
        <f>$H95*factors!JE$3</f>
        <v>0.46665784542260003</v>
      </c>
      <c r="JL95" s="3">
        <f>$H95*factors!JF$3</f>
        <v>0.48549368176660002</v>
      </c>
      <c r="JM95" s="3">
        <f>$H95*factors!JG$3</f>
        <v>0.45300186407320003</v>
      </c>
      <c r="JN95" s="3">
        <f>$H95*factors!JH$3</f>
        <v>0.45300186407320003</v>
      </c>
      <c r="JO95" s="3">
        <f>$H95*factors!JI$3</f>
        <v>0.44735111316999998</v>
      </c>
      <c r="JP95" s="3">
        <f>$H95*factors!JJ$3</f>
        <v>0.48361009813220002</v>
      </c>
      <c r="JQ95" s="3">
        <f>$H95*factors!JK$3</f>
        <v>0.47136680450859997</v>
      </c>
      <c r="JR95" s="3">
        <f>$H95*factors!JL$3</f>
        <v>0.48973174494400001</v>
      </c>
      <c r="JS95" s="3">
        <f>$H95*factors!JM$3</f>
        <v>0.44735111316999998</v>
      </c>
      <c r="JT95" s="3">
        <f>$H95*factors!JN$3</f>
        <v>0.46995411678280002</v>
      </c>
      <c r="JU95" s="3">
        <f>$H95*factors!JO$3</f>
        <v>0.45441455179899998</v>
      </c>
      <c r="JV95" s="3">
        <f>$H95*factors!JP$3</f>
        <v>0.46194888633660003</v>
      </c>
      <c r="JW95" s="3">
        <f>$H95*factors!JQ$3</f>
        <v>0.49349891221280007</v>
      </c>
      <c r="JX95" s="3">
        <f>$H95*factors!JR$3</f>
        <v>0.48878995312680001</v>
      </c>
      <c r="JY95" s="3">
        <f>$H95*factors!JS$3</f>
        <v>0.46006530270220003</v>
      </c>
      <c r="JZ95" s="3">
        <f>$H95*factors!JT$3</f>
        <v>0.46524515769680008</v>
      </c>
      <c r="KA95" s="3">
        <f>$H95*factors!JU$3</f>
        <v>0.46712874133120003</v>
      </c>
      <c r="KB95" s="3">
        <f>$H95*factors!JV$3</f>
        <v>0.45158917634740003</v>
      </c>
      <c r="KC95" s="3">
        <f>$H95*factors!JW$3</f>
        <v>0.45394365589040003</v>
      </c>
      <c r="KD95" s="3">
        <f>$H95*factors!JX$3</f>
        <v>0.45441455179899998</v>
      </c>
      <c r="KE95" s="3">
        <f>$H95*factors!JY$3</f>
        <v>0.48361009813220002</v>
      </c>
      <c r="KF95" s="3">
        <f>$H95*factors!JZ$3</f>
        <v>0.48926084903539996</v>
      </c>
      <c r="KG95" s="3">
        <f>$H95*factors!KA$3</f>
        <v>0.47183770041720002</v>
      </c>
      <c r="KH95" s="3">
        <f>$H95*factors!KB$3</f>
        <v>0.46147799042799997</v>
      </c>
      <c r="KI95" s="3">
        <f>$H95*factors!KC$3</f>
        <v>0.45723992725059998</v>
      </c>
    </row>
    <row r="96" spans="1:295" x14ac:dyDescent="0.55000000000000004">
      <c r="A96" t="s">
        <v>473</v>
      </c>
      <c r="B96">
        <v>95</v>
      </c>
      <c r="C96">
        <v>230</v>
      </c>
      <c r="D96" t="s">
        <v>377</v>
      </c>
      <c r="E96">
        <v>2.578E-3</v>
      </c>
      <c r="F96">
        <v>95</v>
      </c>
      <c r="G96">
        <f>VLOOKUP(D96,demand_forecasted!$A$2:$G$11,2)</f>
        <v>11098</v>
      </c>
      <c r="H96" s="3">
        <f t="shared" si="2"/>
        <v>0.28610644000000002</v>
      </c>
      <c r="I96" s="3">
        <f>$H96*factors!C$3</f>
        <v>0.31671982908000001</v>
      </c>
      <c r="J96" s="3">
        <f>$H96*factors!D$3</f>
        <v>0.30528701573760003</v>
      </c>
      <c r="K96" s="3">
        <f>$H96*factors!E$3</f>
        <v>0.30003410149920001</v>
      </c>
      <c r="L96" s="3">
        <f>$H96*factors!F$3</f>
        <v>0.29910711663360007</v>
      </c>
      <c r="M96" s="3">
        <f>$H96*factors!G$3</f>
        <v>0.29879812167840003</v>
      </c>
      <c r="N96" s="3">
        <f>$H96*factors!H$3</f>
        <v>0.30744998042400001</v>
      </c>
      <c r="O96" s="3">
        <f>$H96*factors!I$3</f>
        <v>0.3142478694384</v>
      </c>
      <c r="P96" s="3">
        <f>$H96*factors!J$3</f>
        <v>0.31795580890080005</v>
      </c>
      <c r="Q96" s="3">
        <f>$H96*factors!K$3</f>
        <v>0.29848912672319999</v>
      </c>
      <c r="R96" s="3">
        <f>$H96*factors!L$3</f>
        <v>0.29354520744000001</v>
      </c>
      <c r="S96" s="3">
        <f>$H96*factors!M$3</f>
        <v>0.30559601069280001</v>
      </c>
      <c r="T96" s="3">
        <f>$H96*factors!N$3</f>
        <v>0.31610183916960005</v>
      </c>
      <c r="U96" s="3">
        <f>$H96*factors!O$3</f>
        <v>0.29941611158880005</v>
      </c>
      <c r="V96" s="3">
        <f>$H96*factors!P$3</f>
        <v>0.31146691484160005</v>
      </c>
      <c r="W96" s="3">
        <f>$H96*factors!Q$3</f>
        <v>0.3142478694384</v>
      </c>
      <c r="X96" s="3">
        <f>$H96*factors!R$3</f>
        <v>0.30065209140960003</v>
      </c>
      <c r="Y96" s="3">
        <f>$H96*factors!S$3</f>
        <v>0.29787113681280003</v>
      </c>
      <c r="Z96" s="3">
        <f>$H96*factors!T$3</f>
        <v>0.32135475340800007</v>
      </c>
      <c r="AA96" s="3">
        <f>$H96*factors!U$3</f>
        <v>0.30343304600639998</v>
      </c>
      <c r="AB96" s="3">
        <f>$H96*factors!V$3</f>
        <v>0.30374204096160007</v>
      </c>
      <c r="AC96" s="3">
        <f>$H96*factors!W$3</f>
        <v>0.30405103591680005</v>
      </c>
      <c r="AD96" s="3">
        <f>$H96*factors!X$3</f>
        <v>0.29756214185760005</v>
      </c>
      <c r="AE96" s="3">
        <f>$H96*factors!Y$3</f>
        <v>0.30003410149920001</v>
      </c>
      <c r="AF96" s="3">
        <f>$H96*factors!Z$3</f>
        <v>0.30621400060320003</v>
      </c>
      <c r="AG96" s="3">
        <f>$H96*factors!AA$3</f>
        <v>0.29848912672319999</v>
      </c>
      <c r="AH96" s="3">
        <f>$H96*factors!AB$3</f>
        <v>0.29725314690240007</v>
      </c>
      <c r="AI96" s="3">
        <f>$H96*factors!AC$3</f>
        <v>0.30683199051360005</v>
      </c>
      <c r="AJ96" s="3">
        <f>$H96*factors!AD$3</f>
        <v>0.31857379881120002</v>
      </c>
      <c r="AK96" s="3">
        <f>$H96*factors!AE$3</f>
        <v>0.30652299555840007</v>
      </c>
      <c r="AL96" s="3">
        <f>$H96*factors!AF$3</f>
        <v>0.29447219230560001</v>
      </c>
      <c r="AM96" s="3">
        <f>$H96*factors!AG$3</f>
        <v>0.30281505609600001</v>
      </c>
      <c r="AN96" s="3">
        <f>$H96*factors!AH$3</f>
        <v>0.29787113681280003</v>
      </c>
      <c r="AO96" s="3">
        <f>$H96*factors!AI$3</f>
        <v>0.31208490475200001</v>
      </c>
      <c r="AP96" s="3">
        <f>$H96*factors!AJ$3</f>
        <v>0.29910711663360007</v>
      </c>
      <c r="AQ96" s="3">
        <f>$H96*factors!AK$3</f>
        <v>0.30868596024480005</v>
      </c>
      <c r="AR96" s="3">
        <f>$H96*factors!AL$3</f>
        <v>0.30188807123040007</v>
      </c>
      <c r="AS96" s="3">
        <f>$H96*factors!AM$3</f>
        <v>0.29447219230560001</v>
      </c>
      <c r="AT96" s="3">
        <f>$H96*factors!AN$3</f>
        <v>0.30374204096160007</v>
      </c>
      <c r="AU96" s="3">
        <f>$H96*factors!AO$3</f>
        <v>0.3216637483632</v>
      </c>
      <c r="AV96" s="3">
        <f>$H96*factors!AP$3</f>
        <v>0.30405103591680005</v>
      </c>
      <c r="AW96" s="3">
        <f>$H96*factors!AQ$3</f>
        <v>0.30096108636480001</v>
      </c>
      <c r="AX96" s="3">
        <f>$H96*factors!AR$3</f>
        <v>0.31826480385600003</v>
      </c>
      <c r="AY96" s="3">
        <f>$H96*factors!AS$3</f>
        <v>0.29354520744000001</v>
      </c>
      <c r="AZ96" s="3">
        <f>$H96*factors!AT$3</f>
        <v>0.31455686439360009</v>
      </c>
      <c r="BA96" s="3">
        <f>$H96*factors!AU$3</f>
        <v>0.30775897537919999</v>
      </c>
      <c r="BB96" s="3">
        <f>$H96*factors!AV$3</f>
        <v>0.30374204096160007</v>
      </c>
      <c r="BC96" s="3">
        <f>$H96*factors!AW$3</f>
        <v>0.32135475340800007</v>
      </c>
      <c r="BD96" s="3">
        <f>$H96*factors!AX$3</f>
        <v>0.29663515699199999</v>
      </c>
      <c r="BE96" s="3">
        <f>$H96*factors!AY$3</f>
        <v>0.34874658397359998</v>
      </c>
      <c r="BF96" s="3">
        <f>$H96*factors!AZ$3</f>
        <v>0.32477658643040003</v>
      </c>
      <c r="BG96" s="3">
        <f>$H96*factors!BA$3</f>
        <v>0.32950306481919994</v>
      </c>
      <c r="BH96" s="3">
        <f>$H96*factors!BB$3</f>
        <v>0.33389193760879998</v>
      </c>
      <c r="BI96" s="3">
        <f>$H96*factors!BC$3</f>
        <v>0.34604573917999998</v>
      </c>
      <c r="BJ96" s="3">
        <f>$H96*factors!BD$3</f>
        <v>0.33051588161680001</v>
      </c>
      <c r="BK96" s="3">
        <f>$H96*factors!BE$3</f>
        <v>0.33119109281519998</v>
      </c>
      <c r="BL96" s="3">
        <f>$H96*factors!BF$3</f>
        <v>0.32747743122399997</v>
      </c>
      <c r="BM96" s="3">
        <f>$H96*factors!BG$3</f>
        <v>0.34975940077120005</v>
      </c>
      <c r="BN96" s="3">
        <f>$H96*factors!BH$3</f>
        <v>0.34537052798160001</v>
      </c>
      <c r="BO96" s="3">
        <f>$H96*factors!BI$3</f>
        <v>0.32477658643040003</v>
      </c>
      <c r="BP96" s="3">
        <f>$H96*factors!BJ$3</f>
        <v>0.32376376963279996</v>
      </c>
      <c r="BQ96" s="3">
        <f>$H96*factors!BK$3</f>
        <v>0.32916545921999996</v>
      </c>
      <c r="BR96" s="3">
        <f>$H96*factors!BL$3</f>
        <v>0.34098165519200002</v>
      </c>
      <c r="BS96" s="3">
        <f>$H96*factors!BM$3</f>
        <v>0.34638334477920002</v>
      </c>
      <c r="BT96" s="3">
        <f>$H96*factors!BN$3</f>
        <v>0.34739616157679998</v>
      </c>
      <c r="BU96" s="3">
        <f>$H96*factors!BO$3</f>
        <v>0.35313545676320002</v>
      </c>
      <c r="BV96" s="3">
        <f>$H96*factors!BP$3</f>
        <v>0.32849024802159998</v>
      </c>
      <c r="BW96" s="3">
        <f>$H96*factors!BQ$3</f>
        <v>0.33591757120400001</v>
      </c>
      <c r="BX96" s="3">
        <f>$H96*factors!BR$3</f>
        <v>0.32950306481919994</v>
      </c>
      <c r="BY96" s="3">
        <f>$H96*factors!BS$3</f>
        <v>0.34469531678319992</v>
      </c>
      <c r="BZ96" s="3">
        <f>$H96*factors!BT$3</f>
        <v>0.33828081039839997</v>
      </c>
      <c r="CA96" s="3">
        <f>$H96*factors!BU$3</f>
        <v>0.33389193760879998</v>
      </c>
      <c r="CB96" s="3">
        <f>$H96*factors!BV$3</f>
        <v>0.32308855843439999</v>
      </c>
      <c r="CC96" s="3">
        <f>$H96*factors!BW$3</f>
        <v>0.33254151521199998</v>
      </c>
      <c r="CD96" s="3">
        <f>$H96*factors!BX$3</f>
        <v>0.3335543320096</v>
      </c>
      <c r="CE96" s="3">
        <f>$H96*factors!BY$3</f>
        <v>0.33828081039839997</v>
      </c>
      <c r="CF96" s="3">
        <f>$H96*factors!BZ$3</f>
        <v>0.33321672641040001</v>
      </c>
      <c r="CG96" s="3">
        <f>$H96*factors!CA$3</f>
        <v>0.32207574163679997</v>
      </c>
      <c r="CH96" s="3">
        <f>$H96*factors!CB$3</f>
        <v>0.32241334723599996</v>
      </c>
      <c r="CI96" s="3">
        <f>$H96*factors!CC$3</f>
        <v>0.32072531924000003</v>
      </c>
      <c r="CJ96" s="3">
        <f>$H96*factors!CD$3</f>
        <v>0.33389193760879998</v>
      </c>
      <c r="CK96" s="3">
        <f>$H96*factors!CE$3</f>
        <v>0.34874658397359998</v>
      </c>
      <c r="CL96" s="3">
        <f>$H96*factors!CF$3</f>
        <v>0.3268022200256</v>
      </c>
      <c r="CM96" s="3">
        <f>$H96*factors!CG$3</f>
        <v>0.33456714880719995</v>
      </c>
      <c r="CN96" s="3">
        <f>$H96*factors!CH$3</f>
        <v>0.32342616403359997</v>
      </c>
      <c r="CO96" s="3">
        <f>$H96*factors!CI$3</f>
        <v>0.32578940322799999</v>
      </c>
      <c r="CP96" s="3">
        <f>$H96*factors!CJ$3</f>
        <v>0.34131926079119995</v>
      </c>
      <c r="CQ96" s="3">
        <f>$H96*factors!CK$3</f>
        <v>0.33119109281519998</v>
      </c>
      <c r="CR96" s="3">
        <f>$H96*factors!CL$3</f>
        <v>0.34165686639039999</v>
      </c>
      <c r="CS96" s="3">
        <f>$H96*factors!CM$3</f>
        <v>0.35246024556479999</v>
      </c>
      <c r="CT96" s="3">
        <f>$H96*factors!CN$3</f>
        <v>0.34840897837439999</v>
      </c>
      <c r="CU96" s="3">
        <f>$H96*factors!CO$3</f>
        <v>0.34064404959279998</v>
      </c>
      <c r="CV96" s="3">
        <f>$H96*factors!CP$3</f>
        <v>0.35448587915999996</v>
      </c>
      <c r="CW96" s="3">
        <f>$H96*factors!CQ$3</f>
        <v>0.33524236000560004</v>
      </c>
      <c r="CX96" s="3">
        <f>$H96*factors!CR$3</f>
        <v>0.33017827601760003</v>
      </c>
      <c r="CY96" s="3">
        <f>$H96*factors!CS$3</f>
        <v>0.32713982562479998</v>
      </c>
      <c r="CZ96" s="3">
        <f>$H96*factors!CT$3</f>
        <v>0.32241334723599996</v>
      </c>
      <c r="DA96" s="3">
        <f>$H96*factors!CU$3</f>
        <v>0.33474453479999999</v>
      </c>
      <c r="DB96" s="3">
        <f>$H96*factors!CV$3</f>
        <v>0.35637418166400003</v>
      </c>
      <c r="DC96" s="3">
        <f>$H96*factors!CW$3</f>
        <v>0.34126776163199996</v>
      </c>
      <c r="DD96" s="3">
        <f>$H96*factors!CX$3</f>
        <v>0.33886446753599997</v>
      </c>
      <c r="DE96" s="3">
        <f>$H96*factors!CY$3</f>
        <v>0.34882097164800002</v>
      </c>
      <c r="DF96" s="3">
        <f>$H96*factors!CZ$3</f>
        <v>0.34813431619199997</v>
      </c>
      <c r="DG96" s="3">
        <f>$H96*factors!DA$3</f>
        <v>0.34676100528000003</v>
      </c>
      <c r="DH96" s="3">
        <f>$H96*factors!DB$3</f>
        <v>0.34676100528000003</v>
      </c>
      <c r="DI96" s="3">
        <f>$H96*factors!DC$3</f>
        <v>0.333714551616</v>
      </c>
      <c r="DJ96" s="3">
        <f>$H96*factors!DD$3</f>
        <v>0.35362755983999999</v>
      </c>
      <c r="DK96" s="3">
        <f>$H96*factors!DE$3</f>
        <v>0.35362755983999999</v>
      </c>
      <c r="DL96" s="3">
        <f>$H96*factors!DF$3</f>
        <v>0.34950762710400002</v>
      </c>
      <c r="DM96" s="3">
        <f>$H96*factors!DG$3</f>
        <v>0.32925129115199997</v>
      </c>
      <c r="DN96" s="3">
        <f>$H96*factors!DH$3</f>
        <v>0.34538769436800004</v>
      </c>
      <c r="DO96" s="3">
        <f>$H96*factors!DI$3</f>
        <v>0.35671750939199998</v>
      </c>
      <c r="DP96" s="3">
        <f>$H96*factors!DJ$3</f>
        <v>0.35362755983999999</v>
      </c>
      <c r="DQ96" s="3">
        <f>$H96*factors!DK$3</f>
        <v>0.33714782889599998</v>
      </c>
      <c r="DR96" s="3">
        <f>$H96*factors!DL$3</f>
        <v>0.333371223888</v>
      </c>
      <c r="DS96" s="3">
        <f>$H96*factors!DM$3</f>
        <v>0.36015078667200001</v>
      </c>
      <c r="DT96" s="3">
        <f>$H96*factors!DN$3</f>
        <v>0.33852113980800003</v>
      </c>
      <c r="DU96" s="3">
        <f>$H96*factors!DO$3</f>
        <v>0.35431421529599999</v>
      </c>
      <c r="DV96" s="3">
        <f>$H96*factors!DP$3</f>
        <v>0.34607434982400004</v>
      </c>
      <c r="DW96" s="3">
        <f>$H96*factors!DQ$3</f>
        <v>0.33028127433599996</v>
      </c>
      <c r="DX96" s="3">
        <f>$H96*factors!DR$3</f>
        <v>0.34985095483200002</v>
      </c>
      <c r="DY96" s="3">
        <f>$H96*factors!DS$3</f>
        <v>0.33199791297600001</v>
      </c>
      <c r="DZ96" s="3">
        <f>$H96*factors!DT$3</f>
        <v>0.35500087075199999</v>
      </c>
      <c r="EA96" s="3">
        <f>$H96*factors!DU$3</f>
        <v>0.334401207072</v>
      </c>
      <c r="EB96" s="3">
        <f>$H96*factors!DV$3</f>
        <v>0.32616134159999999</v>
      </c>
      <c r="EC96" s="3">
        <f>$H96*factors!DW$3</f>
        <v>0.35088093801600001</v>
      </c>
      <c r="ED96" s="3">
        <f>$H96*factors!DX$3</f>
        <v>0.32925129115199997</v>
      </c>
      <c r="EE96" s="3">
        <f>$H96*factors!DY$3</f>
        <v>0.33199791297600001</v>
      </c>
      <c r="EF96" s="3">
        <f>$H96*factors!DZ$3</f>
        <v>0.36015078667200001</v>
      </c>
      <c r="EG96" s="3">
        <f>$H96*factors!EA$3</f>
        <v>0.33646117343999998</v>
      </c>
      <c r="EH96" s="3">
        <f>$H96*factors!EB$3</f>
        <v>0.33749115662400003</v>
      </c>
      <c r="EI96" s="3">
        <f>$H96*factors!EC$3</f>
        <v>0.33680450116800004</v>
      </c>
      <c r="EJ96" s="3">
        <f>$H96*factors!ED$3</f>
        <v>0.32822130796800003</v>
      </c>
      <c r="EK96" s="3">
        <f>$H96*factors!EE$3</f>
        <v>0.35088093801600001</v>
      </c>
      <c r="EL96" s="3">
        <f>$H96*factors!EF$3</f>
        <v>0.333714551616</v>
      </c>
      <c r="EM96" s="3">
        <f>$H96*factors!EG$3</f>
        <v>0.34710433300799998</v>
      </c>
      <c r="EN96" s="3">
        <f>$H96*factors!EH$3</f>
        <v>0.32616134159999999</v>
      </c>
      <c r="EO96" s="3">
        <f>$H96*factors!EI$3</f>
        <v>0.33096792979199996</v>
      </c>
      <c r="EP96" s="3">
        <f>$H96*factors!EJ$3</f>
        <v>0.34916429937600002</v>
      </c>
      <c r="EQ96" s="3">
        <f>$H96*factors!EK$3</f>
        <v>0.33955112299199997</v>
      </c>
      <c r="ER96" s="3">
        <f>$H96*factors!EL$3</f>
        <v>0.35362755983999999</v>
      </c>
      <c r="ES96" s="3">
        <f>$H96*factors!EM$3</f>
        <v>0.34916429937600002</v>
      </c>
      <c r="ET96" s="3">
        <f>$H96*factors!EN$3</f>
        <v>0.35706083712000003</v>
      </c>
      <c r="EU96" s="3">
        <f>$H96*factors!EO$3</f>
        <v>0.36049411440000001</v>
      </c>
      <c r="EV96" s="3">
        <f>$H96*factors!EP$3</f>
        <v>0.33783448435199998</v>
      </c>
      <c r="EW96" s="3">
        <f>$H96*factors!EQ$3</f>
        <v>0.37158073894999999</v>
      </c>
      <c r="EX96" s="3">
        <f>$H96*factors!ER$3</f>
        <v>0.36764677540000007</v>
      </c>
      <c r="EY96" s="3">
        <f>$H96*factors!ES$3</f>
        <v>0.37515706944999999</v>
      </c>
      <c r="EZ96" s="3">
        <f>$H96*factors!ET$3</f>
        <v>0.37158073894999999</v>
      </c>
      <c r="FA96" s="3">
        <f>$H96*factors!EU$3</f>
        <v>0.34153956274999997</v>
      </c>
      <c r="FB96" s="3">
        <f>$H96*factors!EV$3</f>
        <v>0.35691778390000006</v>
      </c>
      <c r="FC96" s="3">
        <f>$H96*factors!EW$3</f>
        <v>0.36693150930000001</v>
      </c>
      <c r="FD96" s="3">
        <f>$H96*factors!EX$3</f>
        <v>0.35405671950000006</v>
      </c>
      <c r="FE96" s="3">
        <f>$H96*factors!EY$3</f>
        <v>0.37301127114999999</v>
      </c>
      <c r="FF96" s="3">
        <f>$H96*factors!EZ$3</f>
        <v>0.37336890420000007</v>
      </c>
      <c r="FG96" s="3">
        <f>$H96*factors!FA$3</f>
        <v>0.34153956274999997</v>
      </c>
      <c r="FH96" s="3">
        <f>$H96*factors!FB$3</f>
        <v>0.35942121524999998</v>
      </c>
      <c r="FI96" s="3">
        <f>$H96*factors!FC$3</f>
        <v>0.37444180334999999</v>
      </c>
      <c r="FJ96" s="3">
        <f>$H96*factors!FD$3</f>
        <v>0.35942121524999998</v>
      </c>
      <c r="FK96" s="3">
        <f>$H96*factors!FE$3</f>
        <v>0.36550097710000007</v>
      </c>
      <c r="FL96" s="3">
        <f>$H96*factors!FF$3</f>
        <v>0.36657387625000004</v>
      </c>
      <c r="FM96" s="3">
        <f>$H96*factors!FG$3</f>
        <v>0.37050783980000002</v>
      </c>
      <c r="FN96" s="3">
        <f>$H96*factors!FH$3</f>
        <v>0.34654642545000003</v>
      </c>
      <c r="FO96" s="3">
        <f>$H96*factors!FI$3</f>
        <v>0.36800440844999999</v>
      </c>
      <c r="FP96" s="3">
        <f>$H96*factors!FJ$3</f>
        <v>0.35763305000000001</v>
      </c>
      <c r="FQ96" s="3">
        <f>$H96*factors!FK$3</f>
        <v>0.35405671950000006</v>
      </c>
      <c r="FR96" s="3">
        <f>$H96*factors!FL$3</f>
        <v>0.36120938050000001</v>
      </c>
      <c r="FS96" s="3">
        <f>$H96*factors!FM$3</f>
        <v>0.35906358220000001</v>
      </c>
      <c r="FT96" s="3">
        <f>$H96*factors!FN$3</f>
        <v>0.36693150930000001</v>
      </c>
      <c r="FU96" s="3">
        <f>$H96*factors!FO$3</f>
        <v>0.3526261873</v>
      </c>
      <c r="FV96" s="3">
        <f>$H96*factors!FP$3</f>
        <v>0.3497651229</v>
      </c>
      <c r="FW96" s="3">
        <f>$H96*factors!FQ$3</f>
        <v>0.37444180334999999</v>
      </c>
      <c r="FX96" s="3">
        <f>$H96*factors!FR$3</f>
        <v>0.36764677540000007</v>
      </c>
      <c r="FY96" s="3">
        <f>$H96*factors!FS$3</f>
        <v>0.36013648134999998</v>
      </c>
      <c r="FZ96" s="3">
        <f>$H96*factors!FT$3</f>
        <v>0.34225482885000003</v>
      </c>
      <c r="GA96" s="3">
        <f>$H96*factors!FU$3</f>
        <v>0.36013648134999998</v>
      </c>
      <c r="GB96" s="3">
        <f>$H96*factors!FV$3</f>
        <v>0.37336890420000007</v>
      </c>
      <c r="GC96" s="3">
        <f>$H96*factors!FW$3</f>
        <v>0.3497651229</v>
      </c>
      <c r="GD96" s="3">
        <f>$H96*factors!FX$3</f>
        <v>0.35584488474999998</v>
      </c>
      <c r="GE96" s="3">
        <f>$H96*factors!FY$3</f>
        <v>0.35584488474999998</v>
      </c>
      <c r="GF96" s="3">
        <f>$H96*factors!FZ$3</f>
        <v>0.35477198560000001</v>
      </c>
      <c r="GG96" s="3">
        <f>$H96*factors!GA$3</f>
        <v>0.34082429665000002</v>
      </c>
      <c r="GH96" s="3">
        <f>$H96*factors!GB$3</f>
        <v>0.36263991270000007</v>
      </c>
      <c r="GI96" s="3">
        <f>$H96*factors!GC$3</f>
        <v>0.34010903055000002</v>
      </c>
      <c r="GJ96" s="3">
        <f>$H96*factors!GD$3</f>
        <v>0.34082429665000002</v>
      </c>
      <c r="GK96" s="3">
        <f>$H96*factors!GE$3</f>
        <v>0.34940748985000003</v>
      </c>
      <c r="GL96" s="3">
        <f>$H96*factors!GF$3</f>
        <v>0.37015020674999999</v>
      </c>
      <c r="GM96" s="3">
        <f>$H96*factors!GG$3</f>
        <v>0.35083802205000003</v>
      </c>
      <c r="GN96" s="3">
        <f>$H96*factors!GH$3</f>
        <v>0.36192464660000007</v>
      </c>
      <c r="GO96" s="3">
        <f>$H96*factors!GI$3</f>
        <v>0.3418971958</v>
      </c>
      <c r="GP96" s="3">
        <f>$H96*factors!GJ$3</f>
        <v>0.36657387625000004</v>
      </c>
      <c r="GQ96" s="3">
        <f>$H96*factors!GK$3</f>
        <v>0.37408417030000007</v>
      </c>
      <c r="GR96" s="3">
        <f>$H96*factors!GL$3</f>
        <v>0.36693150930000001</v>
      </c>
      <c r="GS96" s="3">
        <f>$H96*factors!GM$3</f>
        <v>0.34700419575399999</v>
      </c>
      <c r="GT96" s="3">
        <f>$H96*factors!GN$3</f>
        <v>0.35499800968760004</v>
      </c>
      <c r="GU96" s="3">
        <f>$H96*factors!GO$3</f>
        <v>0.36335517880000001</v>
      </c>
      <c r="GV96" s="3">
        <f>$H96*factors!GP$3</f>
        <v>0.34882097164800002</v>
      </c>
      <c r="GW96" s="3">
        <f>$H96*factors!GQ$3</f>
        <v>0.36117504772720005</v>
      </c>
      <c r="GX96" s="3">
        <f>$H96*factors!GR$3</f>
        <v>0.35536136486640002</v>
      </c>
      <c r="GY96" s="3">
        <f>$H96*factors!GS$3</f>
        <v>0.35354458897240004</v>
      </c>
      <c r="GZ96" s="3">
        <f>$H96*factors!GT$3</f>
        <v>0.36662537540919998</v>
      </c>
      <c r="HA96" s="3">
        <f>$H96*factors!GU$3</f>
        <v>0.3546346545088</v>
      </c>
      <c r="HB96" s="3">
        <f>$H96*factors!GV$3</f>
        <v>0.36662537540919998</v>
      </c>
      <c r="HC96" s="3">
        <f>$H96*factors!GW$3</f>
        <v>0.35754149593919998</v>
      </c>
      <c r="HD96" s="3">
        <f>$H96*factors!GX$3</f>
        <v>0.36807879612439998</v>
      </c>
      <c r="HE96" s="3">
        <f>$H96*factors!GY$3</f>
        <v>0.36335517880000001</v>
      </c>
      <c r="HF96" s="3">
        <f>$H96*factors!GZ$3</f>
        <v>0.37461918934279997</v>
      </c>
      <c r="HG96" s="3">
        <f>$H96*factors!HA$3</f>
        <v>0.36008498219079998</v>
      </c>
      <c r="HH96" s="3">
        <f>$H96*factors!HB$3</f>
        <v>0.35536136486640002</v>
      </c>
      <c r="HI96" s="3">
        <f>$H96*factors!HC$3</f>
        <v>0.35100110272080004</v>
      </c>
      <c r="HJ96" s="3">
        <f>$H96*factors!HD$3</f>
        <v>0.34700419575399999</v>
      </c>
      <c r="HK96" s="3">
        <f>$H96*factors!HE$3</f>
        <v>0.36698873058800002</v>
      </c>
      <c r="HL96" s="3">
        <f>$H96*factors!HF$3</f>
        <v>0.34591413021759998</v>
      </c>
      <c r="HM96" s="3">
        <f>$H96*factors!HG$3</f>
        <v>0.34954768200560005</v>
      </c>
      <c r="HN96" s="3">
        <f>$H96*factors!HH$3</f>
        <v>0.37280241344880005</v>
      </c>
      <c r="HO96" s="3">
        <f>$H96*factors!HI$3</f>
        <v>0.35754149593919998</v>
      </c>
      <c r="HP96" s="3">
        <f>$H96*factors!HJ$3</f>
        <v>0.38152293774000007</v>
      </c>
      <c r="HQ96" s="3">
        <f>$H96*factors!HK$3</f>
        <v>0.34882097164800002</v>
      </c>
      <c r="HR96" s="3">
        <f>$H96*factors!HL$3</f>
        <v>0.36989557201840007</v>
      </c>
      <c r="HS96" s="3">
        <f>$H96*factors!HM$3</f>
        <v>0.37643596523680001</v>
      </c>
      <c r="HT96" s="3">
        <f>$H96*factors!HN$3</f>
        <v>0.35100110272080004</v>
      </c>
      <c r="HU96" s="3">
        <f>$H96*factors!HO$3</f>
        <v>0.3546346545088</v>
      </c>
      <c r="HV96" s="3">
        <f>$H96*factors!HP$3</f>
        <v>0.35899491665440003</v>
      </c>
      <c r="HW96" s="3">
        <f>$H96*factors!HQ$3</f>
        <v>0.36408188915760004</v>
      </c>
      <c r="HX96" s="3">
        <f>$H96*factors!HR$3</f>
        <v>0.37897945148839995</v>
      </c>
      <c r="HY96" s="3">
        <f>$H96*factors!HS$3</f>
        <v>0.36008498219079998</v>
      </c>
      <c r="HZ96" s="3">
        <f>$H96*factors!HT$3</f>
        <v>0.37389247898520001</v>
      </c>
      <c r="IA96" s="3">
        <f>$H96*factors!HU$3</f>
        <v>0.35572472004520006</v>
      </c>
      <c r="IB96" s="3">
        <f>$H96*factors!HV$3</f>
        <v>0.36807879612439998</v>
      </c>
      <c r="IC96" s="3">
        <f>$H96*factors!HW$3</f>
        <v>0.37171234791240004</v>
      </c>
      <c r="ID96" s="3">
        <f>$H96*factors!HX$3</f>
        <v>0.34518741986000001</v>
      </c>
      <c r="IE96" s="3">
        <f>$H96*factors!HY$3</f>
        <v>0.36662537540919998</v>
      </c>
      <c r="IF96" s="3">
        <f>$H96*factors!HZ$3</f>
        <v>0.36444524433639996</v>
      </c>
      <c r="IG96" s="3">
        <f>$H96*factors!IA$3</f>
        <v>0.36117504772720005</v>
      </c>
      <c r="IH96" s="3">
        <f>$H96*factors!IB$3</f>
        <v>0.37461918934279997</v>
      </c>
      <c r="II96" s="3">
        <f>$H96*factors!IC$3</f>
        <v>0.35863156147560005</v>
      </c>
      <c r="IJ96" s="3">
        <f>$H96*factors!ID$3</f>
        <v>0.36190175808480002</v>
      </c>
      <c r="IK96" s="3">
        <f>$H96*factors!IE$3</f>
        <v>0.37498254452160001</v>
      </c>
      <c r="IL96" s="3">
        <f>$H96*factors!IF$3</f>
        <v>0.35899491665440003</v>
      </c>
      <c r="IM96" s="3">
        <f>$H96*factors!IG$3</f>
        <v>0.35572472004520006</v>
      </c>
      <c r="IN96" s="3">
        <f>$H96*factors!IH$3</f>
        <v>0.35790485111800002</v>
      </c>
      <c r="IO96" s="3">
        <f>$H96*factors!II$3</f>
        <v>0.36153840290599998</v>
      </c>
      <c r="IP96" s="3">
        <f>$H96*factors!IJ$3</f>
        <v>0.34954768200560005</v>
      </c>
      <c r="IQ96" s="3">
        <f>$H96*factors!IK$3</f>
        <v>0.34845761646919998</v>
      </c>
      <c r="IR96" s="3">
        <f>$H96*factors!IL$3</f>
        <v>0.35863156147560005</v>
      </c>
      <c r="IS96" s="3">
        <f>$H96*factors!IM$3</f>
        <v>0.36153840290599998</v>
      </c>
      <c r="IT96" s="3">
        <f>$H96*factors!IN$3</f>
        <v>0.36408188915760004</v>
      </c>
      <c r="IU96" s="3">
        <f>$H96*factors!IO$3</f>
        <v>0.37207570309120003</v>
      </c>
      <c r="IV96" s="3">
        <f>$H96*factors!IP$3</f>
        <v>0.37679932041559999</v>
      </c>
      <c r="IW96" s="3">
        <f>$H96*factors!IQ$3</f>
        <v>0.35608807522399999</v>
      </c>
      <c r="IX96" s="3">
        <f>$H96*factors!IR$3</f>
        <v>0.37207570309120003</v>
      </c>
      <c r="IY96" s="3">
        <f>$H96*factors!IS$3</f>
        <v>0.36662537540919998</v>
      </c>
      <c r="IZ96" s="3">
        <f>$H96*factors!IT$3</f>
        <v>0.37280241344880005</v>
      </c>
      <c r="JA96" s="3">
        <f>$H96*factors!IU$3</f>
        <v>0.35209116825719999</v>
      </c>
      <c r="JB96" s="3">
        <f>$H96*factors!IV$3</f>
        <v>0.35863156147560005</v>
      </c>
      <c r="JC96" s="3">
        <f>$H96*factors!IW$3</f>
        <v>0.35027439236320002</v>
      </c>
      <c r="JD96" s="3">
        <f>$H96*factors!IX$3</f>
        <v>0.38152293774000007</v>
      </c>
      <c r="JE96" s="3">
        <f>$H96*factors!IY$3</f>
        <v>0.35136445789959997</v>
      </c>
      <c r="JF96" s="3">
        <f>$H96*factors!IZ$3</f>
        <v>0.36880550648199995</v>
      </c>
      <c r="JG96" s="3">
        <f>$H96*factors!JA$3</f>
        <v>0.3622651132636</v>
      </c>
      <c r="JH96" s="3">
        <f>$H96*factors!JB$3</f>
        <v>0.36916886166080004</v>
      </c>
      <c r="JI96" s="3">
        <f>$H96*factors!JC$3</f>
        <v>0.34555077503880005</v>
      </c>
      <c r="JJ96" s="3">
        <f>$H96*factors!JD$3</f>
        <v>0.37207570309120003</v>
      </c>
      <c r="JK96" s="3">
        <f>$H96*factors!JE$3</f>
        <v>0.36008498219079998</v>
      </c>
      <c r="JL96" s="3">
        <f>$H96*factors!JF$3</f>
        <v>0.37461918934279997</v>
      </c>
      <c r="JM96" s="3">
        <f>$H96*factors!JG$3</f>
        <v>0.34954768200560005</v>
      </c>
      <c r="JN96" s="3">
        <f>$H96*factors!JH$3</f>
        <v>0.34954768200560005</v>
      </c>
      <c r="JO96" s="3">
        <f>$H96*factors!JI$3</f>
        <v>0.34518741986000001</v>
      </c>
      <c r="JP96" s="3">
        <f>$H96*factors!JJ$3</f>
        <v>0.37316576862759998</v>
      </c>
      <c r="JQ96" s="3">
        <f>$H96*factors!JK$3</f>
        <v>0.3637185339788</v>
      </c>
      <c r="JR96" s="3">
        <f>$H96*factors!JL$3</f>
        <v>0.377889385952</v>
      </c>
      <c r="JS96" s="3">
        <f>$H96*factors!JM$3</f>
        <v>0.34518741986000001</v>
      </c>
      <c r="JT96" s="3">
        <f>$H96*factors!JN$3</f>
        <v>0.36262846844240004</v>
      </c>
      <c r="JU96" s="3">
        <f>$H96*factors!JO$3</f>
        <v>0.350637747542</v>
      </c>
      <c r="JV96" s="3">
        <f>$H96*factors!JP$3</f>
        <v>0.35645143040280003</v>
      </c>
      <c r="JW96" s="3">
        <f>$H96*factors!JQ$3</f>
        <v>0.38079622738240004</v>
      </c>
      <c r="JX96" s="3">
        <f>$H96*factors!JR$3</f>
        <v>0.37716267559440003</v>
      </c>
      <c r="JY96" s="3">
        <f>$H96*factors!JS$3</f>
        <v>0.35499800968760004</v>
      </c>
      <c r="JZ96" s="3">
        <f>$H96*factors!JT$3</f>
        <v>0.35899491665440003</v>
      </c>
      <c r="KA96" s="3">
        <f>$H96*factors!JU$3</f>
        <v>0.36044833736960002</v>
      </c>
      <c r="KB96" s="3">
        <f>$H96*factors!JV$3</f>
        <v>0.34845761646919998</v>
      </c>
      <c r="KC96" s="3">
        <f>$H96*factors!JW$3</f>
        <v>0.35027439236320002</v>
      </c>
      <c r="KD96" s="3">
        <f>$H96*factors!JX$3</f>
        <v>0.350637747542</v>
      </c>
      <c r="KE96" s="3">
        <f>$H96*factors!JY$3</f>
        <v>0.37316576862759998</v>
      </c>
      <c r="KF96" s="3">
        <f>$H96*factors!JZ$3</f>
        <v>0.37752603077319996</v>
      </c>
      <c r="KG96" s="3">
        <f>$H96*factors!KA$3</f>
        <v>0.36408188915760004</v>
      </c>
      <c r="KH96" s="3">
        <f>$H96*factors!KB$3</f>
        <v>0.35608807522399999</v>
      </c>
      <c r="KI96" s="3">
        <f>$H96*factors!KC$3</f>
        <v>0.35281787861479996</v>
      </c>
    </row>
    <row r="97" spans="1:295" x14ac:dyDescent="0.55000000000000004">
      <c r="A97" t="s">
        <v>474</v>
      </c>
      <c r="B97">
        <v>96</v>
      </c>
      <c r="C97">
        <v>230</v>
      </c>
      <c r="D97" t="s">
        <v>377</v>
      </c>
      <c r="E97">
        <v>2.1940000000000002E-3</v>
      </c>
      <c r="F97">
        <v>96</v>
      </c>
      <c r="G97">
        <f>VLOOKUP(D97,demand_forecasted!$A$2:$G$11,2)</f>
        <v>11098</v>
      </c>
      <c r="H97" s="3">
        <f t="shared" si="2"/>
        <v>0.24349012000000003</v>
      </c>
      <c r="I97" s="3">
        <f>$H97*factors!C$3</f>
        <v>0.26954356284000003</v>
      </c>
      <c r="J97" s="3">
        <f>$H97*factors!D$3</f>
        <v>0.25981369764480006</v>
      </c>
      <c r="K97" s="3">
        <f>$H97*factors!E$3</f>
        <v>0.25534321904160007</v>
      </c>
      <c r="L97" s="3">
        <f>$H97*factors!F$3</f>
        <v>0.25455431105280008</v>
      </c>
      <c r="M97" s="3">
        <f>$H97*factors!G$3</f>
        <v>0.2542913417232</v>
      </c>
      <c r="N97" s="3">
        <f>$H97*factors!H$3</f>
        <v>0.26165448295200006</v>
      </c>
      <c r="O97" s="3">
        <f>$H97*factors!I$3</f>
        <v>0.26743980820320001</v>
      </c>
      <c r="P97" s="3">
        <f>$H97*factors!J$3</f>
        <v>0.27059544015840004</v>
      </c>
      <c r="Q97" s="3">
        <f>$H97*factors!K$3</f>
        <v>0.25402837239360004</v>
      </c>
      <c r="R97" s="3">
        <f>$H97*factors!L$3</f>
        <v>0.24982086312000004</v>
      </c>
      <c r="S97" s="3">
        <f>$H97*factors!M$3</f>
        <v>0.26007666697440002</v>
      </c>
      <c r="T97" s="3">
        <f>$H97*factors!N$3</f>
        <v>0.26901762418080005</v>
      </c>
      <c r="U97" s="3">
        <f>$H97*factors!O$3</f>
        <v>0.25481728038240004</v>
      </c>
      <c r="V97" s="3">
        <f>$H97*factors!P$3</f>
        <v>0.26507308423680004</v>
      </c>
      <c r="W97" s="3">
        <f>$H97*factors!Q$3</f>
        <v>0.26743980820320001</v>
      </c>
      <c r="X97" s="3">
        <f>$H97*factors!R$3</f>
        <v>0.25586915770080004</v>
      </c>
      <c r="Y97" s="3">
        <f>$H97*factors!S$3</f>
        <v>0.25350243373440007</v>
      </c>
      <c r="Z97" s="3">
        <f>$H97*factors!T$3</f>
        <v>0.2734881027840001</v>
      </c>
      <c r="AA97" s="3">
        <f>$H97*factors!U$3</f>
        <v>0.25823588166720002</v>
      </c>
      <c r="AB97" s="3">
        <f>$H97*factors!V$3</f>
        <v>0.25849885099680009</v>
      </c>
      <c r="AC97" s="3">
        <f>$H97*factors!W$3</f>
        <v>0.25876182032640005</v>
      </c>
      <c r="AD97" s="3">
        <f>$H97*factors!X$3</f>
        <v>0.25323946440480005</v>
      </c>
      <c r="AE97" s="3">
        <f>$H97*factors!Y$3</f>
        <v>0.25534321904160007</v>
      </c>
      <c r="AF97" s="3">
        <f>$H97*factors!Z$3</f>
        <v>0.26060260563360005</v>
      </c>
      <c r="AG97" s="3">
        <f>$H97*factors!AA$3</f>
        <v>0.25402837239360004</v>
      </c>
      <c r="AH97" s="3">
        <f>$H97*factors!AB$3</f>
        <v>0.25297649507520004</v>
      </c>
      <c r="AI97" s="3">
        <f>$H97*factors!AC$3</f>
        <v>0.26112854429280002</v>
      </c>
      <c r="AJ97" s="3">
        <f>$H97*factors!AD$3</f>
        <v>0.27112137881760007</v>
      </c>
      <c r="AK97" s="3">
        <f>$H97*factors!AE$3</f>
        <v>0.26086557496320006</v>
      </c>
      <c r="AL97" s="3">
        <f>$H97*factors!AF$3</f>
        <v>0.25060977110880001</v>
      </c>
      <c r="AM97" s="3">
        <f>$H97*factors!AG$3</f>
        <v>0.25770994300800004</v>
      </c>
      <c r="AN97" s="3">
        <f>$H97*factors!AH$3</f>
        <v>0.25350243373440007</v>
      </c>
      <c r="AO97" s="3">
        <f>$H97*factors!AI$3</f>
        <v>0.26559902289600001</v>
      </c>
      <c r="AP97" s="3">
        <f>$H97*factors!AJ$3</f>
        <v>0.25455431105280008</v>
      </c>
      <c r="AQ97" s="3">
        <f>$H97*factors!AK$3</f>
        <v>0.26270636027040006</v>
      </c>
      <c r="AR97" s="3">
        <f>$H97*factors!AL$3</f>
        <v>0.25692103501920005</v>
      </c>
      <c r="AS97" s="3">
        <f>$H97*factors!AM$3</f>
        <v>0.25060977110880001</v>
      </c>
      <c r="AT97" s="3">
        <f>$H97*factors!AN$3</f>
        <v>0.25849885099680009</v>
      </c>
      <c r="AU97" s="3">
        <f>$H97*factors!AO$3</f>
        <v>0.2737510721136</v>
      </c>
      <c r="AV97" s="3">
        <f>$H97*factors!AP$3</f>
        <v>0.25876182032640005</v>
      </c>
      <c r="AW97" s="3">
        <f>$H97*factors!AQ$3</f>
        <v>0.2561321270304</v>
      </c>
      <c r="AX97" s="3">
        <f>$H97*factors!AR$3</f>
        <v>0.27085840948800005</v>
      </c>
      <c r="AY97" s="3">
        <f>$H97*factors!AS$3</f>
        <v>0.24982086312000004</v>
      </c>
      <c r="AZ97" s="3">
        <f>$H97*factors!AT$3</f>
        <v>0.26770277753280008</v>
      </c>
      <c r="BA97" s="3">
        <f>$H97*factors!AU$3</f>
        <v>0.26191745228160002</v>
      </c>
      <c r="BB97" s="3">
        <f>$H97*factors!AV$3</f>
        <v>0.25849885099680009</v>
      </c>
      <c r="BC97" s="3">
        <f>$H97*factors!AW$3</f>
        <v>0.2734881027840001</v>
      </c>
      <c r="BD97" s="3">
        <f>$H97*factors!AX$3</f>
        <v>0.252450556416</v>
      </c>
      <c r="BE97" s="3">
        <f>$H97*factors!AY$3</f>
        <v>0.29679984687280003</v>
      </c>
      <c r="BF97" s="3">
        <f>$H97*factors!AZ$3</f>
        <v>0.27640024461920004</v>
      </c>
      <c r="BG97" s="3">
        <f>$H97*factors!BA$3</f>
        <v>0.28042270140159997</v>
      </c>
      <c r="BH97" s="3">
        <f>$H97*factors!BB$3</f>
        <v>0.28415783984240001</v>
      </c>
      <c r="BI97" s="3">
        <f>$H97*factors!BC$3</f>
        <v>0.29450130013999998</v>
      </c>
      <c r="BJ97" s="3">
        <f>$H97*factors!BD$3</f>
        <v>0.28128465642639999</v>
      </c>
      <c r="BK97" s="3">
        <f>$H97*factors!BE$3</f>
        <v>0.28185929310960001</v>
      </c>
      <c r="BL97" s="3">
        <f>$H97*factors!BF$3</f>
        <v>0.27869879135199999</v>
      </c>
      <c r="BM97" s="3">
        <f>$H97*factors!BG$3</f>
        <v>0.29766180189760005</v>
      </c>
      <c r="BN97" s="3">
        <f>$H97*factors!BH$3</f>
        <v>0.29392666345680002</v>
      </c>
      <c r="BO97" s="3">
        <f>$H97*factors!BI$3</f>
        <v>0.27640024461920004</v>
      </c>
      <c r="BP97" s="3">
        <f>$H97*factors!BJ$3</f>
        <v>0.27553828959440002</v>
      </c>
      <c r="BQ97" s="3">
        <f>$H97*factors!BK$3</f>
        <v>0.28013538306000002</v>
      </c>
      <c r="BR97" s="3">
        <f>$H97*factors!BL$3</f>
        <v>0.29019152501600004</v>
      </c>
      <c r="BS97" s="3">
        <f>$H97*factors!BM$3</f>
        <v>0.29478861848160004</v>
      </c>
      <c r="BT97" s="3">
        <f>$H97*factors!BN$3</f>
        <v>0.29565057350640001</v>
      </c>
      <c r="BU97" s="3">
        <f>$H97*factors!BO$3</f>
        <v>0.30053498531360007</v>
      </c>
      <c r="BV97" s="3">
        <f>$H97*factors!BP$3</f>
        <v>0.27956074637680001</v>
      </c>
      <c r="BW97" s="3">
        <f>$H97*factors!BQ$3</f>
        <v>0.28588174989199999</v>
      </c>
      <c r="BX97" s="3">
        <f>$H97*factors!BR$3</f>
        <v>0.28042270140159997</v>
      </c>
      <c r="BY97" s="3">
        <f>$H97*factors!BS$3</f>
        <v>0.29335202677359995</v>
      </c>
      <c r="BZ97" s="3">
        <f>$H97*factors!BT$3</f>
        <v>0.28789297828319999</v>
      </c>
      <c r="CA97" s="3">
        <f>$H97*factors!BU$3</f>
        <v>0.28415783984240001</v>
      </c>
      <c r="CB97" s="3">
        <f>$H97*factors!BV$3</f>
        <v>0.27496365291120001</v>
      </c>
      <c r="CC97" s="3">
        <f>$H97*factors!BW$3</f>
        <v>0.28300856647600003</v>
      </c>
      <c r="CD97" s="3">
        <f>$H97*factors!BX$3</f>
        <v>0.28387052150080005</v>
      </c>
      <c r="CE97" s="3">
        <f>$H97*factors!BY$3</f>
        <v>0.28789297828319999</v>
      </c>
      <c r="CF97" s="3">
        <f>$H97*factors!BZ$3</f>
        <v>0.28358320315920005</v>
      </c>
      <c r="CG97" s="3">
        <f>$H97*factors!CA$3</f>
        <v>0.27410169788639999</v>
      </c>
      <c r="CH97" s="3">
        <f>$H97*factors!CB$3</f>
        <v>0.27438901622799999</v>
      </c>
      <c r="CI97" s="3">
        <f>$H97*factors!CC$3</f>
        <v>0.27295242452000001</v>
      </c>
      <c r="CJ97" s="3">
        <f>$H97*factors!CD$3</f>
        <v>0.28415783984240001</v>
      </c>
      <c r="CK97" s="3">
        <f>$H97*factors!CE$3</f>
        <v>0.29679984687280003</v>
      </c>
      <c r="CL97" s="3">
        <f>$H97*factors!CF$3</f>
        <v>0.27812415466880003</v>
      </c>
      <c r="CM97" s="3">
        <f>$H97*factors!CG$3</f>
        <v>0.28473247652560002</v>
      </c>
      <c r="CN97" s="3">
        <f>$H97*factors!CH$3</f>
        <v>0.27525097125280001</v>
      </c>
      <c r="CO97" s="3">
        <f>$H97*factors!CI$3</f>
        <v>0.27726219964400001</v>
      </c>
      <c r="CP97" s="3">
        <f>$H97*factors!CJ$3</f>
        <v>0.29047884335759999</v>
      </c>
      <c r="CQ97" s="3">
        <f>$H97*factors!CK$3</f>
        <v>0.28185929310960001</v>
      </c>
      <c r="CR97" s="3">
        <f>$H97*factors!CL$3</f>
        <v>0.2907661616992</v>
      </c>
      <c r="CS97" s="3">
        <f>$H97*factors!CM$3</f>
        <v>0.2999603486304</v>
      </c>
      <c r="CT97" s="3">
        <f>$H97*factors!CN$3</f>
        <v>0.29651252853120003</v>
      </c>
      <c r="CU97" s="3">
        <f>$H97*factors!CO$3</f>
        <v>0.28990420667439998</v>
      </c>
      <c r="CV97" s="3">
        <f>$H97*factors!CP$3</f>
        <v>0.30168425867999998</v>
      </c>
      <c r="CW97" s="3">
        <f>$H97*factors!CQ$3</f>
        <v>0.28530711320880003</v>
      </c>
      <c r="CX97" s="3">
        <f>$H97*factors!CR$3</f>
        <v>0.28099733808480004</v>
      </c>
      <c r="CY97" s="3">
        <f>$H97*factors!CS$3</f>
        <v>0.27841147301040003</v>
      </c>
      <c r="CZ97" s="3">
        <f>$H97*factors!CT$3</f>
        <v>0.27438901622799999</v>
      </c>
      <c r="DA97" s="3">
        <f>$H97*factors!CU$3</f>
        <v>0.28488344040000002</v>
      </c>
      <c r="DB97" s="3">
        <f>$H97*factors!CV$3</f>
        <v>0.30329129347200007</v>
      </c>
      <c r="DC97" s="3">
        <f>$H97*factors!CW$3</f>
        <v>0.29043501513600001</v>
      </c>
      <c r="DD97" s="3">
        <f>$H97*factors!CX$3</f>
        <v>0.28838969812800003</v>
      </c>
      <c r="DE97" s="3">
        <f>$H97*factors!CY$3</f>
        <v>0.29686315430400007</v>
      </c>
      <c r="DF97" s="3">
        <f>$H97*factors!CZ$3</f>
        <v>0.296278778016</v>
      </c>
      <c r="DG97" s="3">
        <f>$H97*factors!DA$3</f>
        <v>0.29511002544000003</v>
      </c>
      <c r="DH97" s="3">
        <f>$H97*factors!DB$3</f>
        <v>0.29511002544000003</v>
      </c>
      <c r="DI97" s="3">
        <f>$H97*factors!DC$3</f>
        <v>0.28400687596800001</v>
      </c>
      <c r="DJ97" s="3">
        <f>$H97*factors!DD$3</f>
        <v>0.30095378832000003</v>
      </c>
      <c r="DK97" s="3">
        <f>$H97*factors!DE$3</f>
        <v>0.30095378832000003</v>
      </c>
      <c r="DL97" s="3">
        <f>$H97*factors!DF$3</f>
        <v>0.29744753059200002</v>
      </c>
      <c r="DM97" s="3">
        <f>$H97*factors!DG$3</f>
        <v>0.28020843009599999</v>
      </c>
      <c r="DN97" s="3">
        <f>$H97*factors!DH$3</f>
        <v>0.29394127286400007</v>
      </c>
      <c r="DO97" s="3">
        <f>$H97*factors!DI$3</f>
        <v>0.30358348161600002</v>
      </c>
      <c r="DP97" s="3">
        <f>$H97*factors!DJ$3</f>
        <v>0.30095378832000003</v>
      </c>
      <c r="DQ97" s="3">
        <f>$H97*factors!DK$3</f>
        <v>0.286928757408</v>
      </c>
      <c r="DR97" s="3">
        <f>$H97*factors!DL$3</f>
        <v>0.28371468782400006</v>
      </c>
      <c r="DS97" s="3">
        <f>$H97*factors!DM$3</f>
        <v>0.30650536305600001</v>
      </c>
      <c r="DT97" s="3">
        <f>$H97*factors!DN$3</f>
        <v>0.28809750998400002</v>
      </c>
      <c r="DU97" s="3">
        <f>$H97*factors!DO$3</f>
        <v>0.30153816460800004</v>
      </c>
      <c r="DV97" s="3">
        <f>$H97*factors!DP$3</f>
        <v>0.29452564915200002</v>
      </c>
      <c r="DW97" s="3">
        <f>$H97*factors!DQ$3</f>
        <v>0.28108499452800001</v>
      </c>
      <c r="DX97" s="3">
        <f>$H97*factors!DR$3</f>
        <v>0.29773971873600003</v>
      </c>
      <c r="DY97" s="3">
        <f>$H97*factors!DS$3</f>
        <v>0.28254593524799998</v>
      </c>
      <c r="DZ97" s="3">
        <f>$H97*factors!DT$3</f>
        <v>0.30212254089599999</v>
      </c>
      <c r="EA97" s="3">
        <f>$H97*factors!DU$3</f>
        <v>0.28459125225600002</v>
      </c>
      <c r="EB97" s="3">
        <f>$H97*factors!DV$3</f>
        <v>0.2775787368</v>
      </c>
      <c r="EC97" s="3">
        <f>$H97*factors!DW$3</f>
        <v>0.29861628316800004</v>
      </c>
      <c r="ED97" s="3">
        <f>$H97*factors!DX$3</f>
        <v>0.28020843009599999</v>
      </c>
      <c r="EE97" s="3">
        <f>$H97*factors!DY$3</f>
        <v>0.28254593524799998</v>
      </c>
      <c r="EF97" s="3">
        <f>$H97*factors!DZ$3</f>
        <v>0.30650536305600001</v>
      </c>
      <c r="EG97" s="3">
        <f>$H97*factors!EA$3</f>
        <v>0.28634438112000005</v>
      </c>
      <c r="EH97" s="3">
        <f>$H97*factors!EB$3</f>
        <v>0.28722094555200001</v>
      </c>
      <c r="EI97" s="3">
        <f>$H97*factors!EC$3</f>
        <v>0.28663656926400005</v>
      </c>
      <c r="EJ97" s="3">
        <f>$H97*factors!ED$3</f>
        <v>0.27933186566400003</v>
      </c>
      <c r="EK97" s="3">
        <f>$H97*factors!EE$3</f>
        <v>0.29861628316800004</v>
      </c>
      <c r="EL97" s="3">
        <f>$H97*factors!EF$3</f>
        <v>0.28400687596800001</v>
      </c>
      <c r="EM97" s="3">
        <f>$H97*factors!EG$3</f>
        <v>0.29540221358399998</v>
      </c>
      <c r="EN97" s="3">
        <f>$H97*factors!EH$3</f>
        <v>0.2775787368</v>
      </c>
      <c r="EO97" s="3">
        <f>$H97*factors!EI$3</f>
        <v>0.28166937081600002</v>
      </c>
      <c r="EP97" s="3">
        <f>$H97*factors!EJ$3</f>
        <v>0.29715534244800001</v>
      </c>
      <c r="EQ97" s="3">
        <f>$H97*factors!EK$3</f>
        <v>0.28897407441599998</v>
      </c>
      <c r="ER97" s="3">
        <f>$H97*factors!EL$3</f>
        <v>0.30095378832000003</v>
      </c>
      <c r="ES97" s="3">
        <f>$H97*factors!EM$3</f>
        <v>0.29715534244800001</v>
      </c>
      <c r="ET97" s="3">
        <f>$H97*factors!EN$3</f>
        <v>0.30387566976000002</v>
      </c>
      <c r="EU97" s="3">
        <f>$H97*factors!EO$3</f>
        <v>0.30679755120000002</v>
      </c>
      <c r="EV97" s="3">
        <f>$H97*factors!EP$3</f>
        <v>0.28751313369600001</v>
      </c>
      <c r="EW97" s="3">
        <f>$H97*factors!EQ$3</f>
        <v>0.31623279334999999</v>
      </c>
      <c r="EX97" s="3">
        <f>$H97*factors!ER$3</f>
        <v>0.31288480420000009</v>
      </c>
      <c r="EY97" s="3">
        <f>$H97*factors!ES$3</f>
        <v>0.31927641984999999</v>
      </c>
      <c r="EZ97" s="3">
        <f>$H97*factors!ET$3</f>
        <v>0.31623279334999999</v>
      </c>
      <c r="FA97" s="3">
        <f>$H97*factors!EU$3</f>
        <v>0.29066633074999998</v>
      </c>
      <c r="FB97" s="3">
        <f>$H97*factors!EV$3</f>
        <v>0.30375392470000007</v>
      </c>
      <c r="FC97" s="3">
        <f>$H97*factors!EW$3</f>
        <v>0.31227607890000003</v>
      </c>
      <c r="FD97" s="3">
        <f>$H97*factors!EX$3</f>
        <v>0.30131902350000006</v>
      </c>
      <c r="FE97" s="3">
        <f>$H97*factors!EY$3</f>
        <v>0.31745024395000004</v>
      </c>
      <c r="FF97" s="3">
        <f>$H97*factors!EZ$3</f>
        <v>0.3177546066000001</v>
      </c>
      <c r="FG97" s="3">
        <f>$H97*factors!FA$3</f>
        <v>0.29066633074999998</v>
      </c>
      <c r="FH97" s="3">
        <f>$H97*factors!FB$3</f>
        <v>0.30588446325000002</v>
      </c>
      <c r="FI97" s="3">
        <f>$H97*factors!FC$3</f>
        <v>0.31866769454999999</v>
      </c>
      <c r="FJ97" s="3">
        <f>$H97*factors!FD$3</f>
        <v>0.30588446325000002</v>
      </c>
      <c r="FK97" s="3">
        <f>$H97*factors!FE$3</f>
        <v>0.31105862830000008</v>
      </c>
      <c r="FL97" s="3">
        <f>$H97*factors!FF$3</f>
        <v>0.31197171625000003</v>
      </c>
      <c r="FM97" s="3">
        <f>$H97*factors!FG$3</f>
        <v>0.31531970540000004</v>
      </c>
      <c r="FN97" s="3">
        <f>$H97*factors!FH$3</f>
        <v>0.29492740785000005</v>
      </c>
      <c r="FO97" s="3">
        <f>$H97*factors!FI$3</f>
        <v>0.31318916685000003</v>
      </c>
      <c r="FP97" s="3">
        <f>$H97*factors!FJ$3</f>
        <v>0.30436265000000007</v>
      </c>
      <c r="FQ97" s="3">
        <f>$H97*factors!FK$3</f>
        <v>0.30131902350000006</v>
      </c>
      <c r="FR97" s="3">
        <f>$H97*factors!FL$3</f>
        <v>0.30740627650000002</v>
      </c>
      <c r="FS97" s="3">
        <f>$H97*factors!FM$3</f>
        <v>0.30558010060000002</v>
      </c>
      <c r="FT97" s="3">
        <f>$H97*factors!FN$3</f>
        <v>0.31227607890000003</v>
      </c>
      <c r="FU97" s="3">
        <f>$H97*factors!FO$3</f>
        <v>0.3001015729</v>
      </c>
      <c r="FV97" s="3">
        <f>$H97*factors!FP$3</f>
        <v>0.2976666717</v>
      </c>
      <c r="FW97" s="3">
        <f>$H97*factors!FQ$3</f>
        <v>0.31866769454999999</v>
      </c>
      <c r="FX97" s="3">
        <f>$H97*factors!FR$3</f>
        <v>0.31288480420000009</v>
      </c>
      <c r="FY97" s="3">
        <f>$H97*factors!FS$3</f>
        <v>0.30649318855000002</v>
      </c>
      <c r="FZ97" s="3">
        <f>$H97*factors!FT$3</f>
        <v>0.29127505605000004</v>
      </c>
      <c r="GA97" s="3">
        <f>$H97*factors!FU$3</f>
        <v>0.30649318855000002</v>
      </c>
      <c r="GB97" s="3">
        <f>$H97*factors!FV$3</f>
        <v>0.3177546066000001</v>
      </c>
      <c r="GC97" s="3">
        <f>$H97*factors!FW$3</f>
        <v>0.2976666717</v>
      </c>
      <c r="GD97" s="3">
        <f>$H97*factors!FX$3</f>
        <v>0.30284083675000001</v>
      </c>
      <c r="GE97" s="3">
        <f>$H97*factors!FY$3</f>
        <v>0.30284083675000001</v>
      </c>
      <c r="GF97" s="3">
        <f>$H97*factors!FZ$3</f>
        <v>0.30192774880000006</v>
      </c>
      <c r="GG97" s="3">
        <f>$H97*factors!GA$3</f>
        <v>0.29005760545000003</v>
      </c>
      <c r="GH97" s="3">
        <f>$H97*factors!GB$3</f>
        <v>0.30862372710000008</v>
      </c>
      <c r="GI97" s="3">
        <f>$H97*factors!GC$3</f>
        <v>0.28944888015000003</v>
      </c>
      <c r="GJ97" s="3">
        <f>$H97*factors!GD$3</f>
        <v>0.29005760545000003</v>
      </c>
      <c r="GK97" s="3">
        <f>$H97*factors!GE$3</f>
        <v>0.29736230905000005</v>
      </c>
      <c r="GL97" s="3">
        <f>$H97*factors!GF$3</f>
        <v>0.31501534275000004</v>
      </c>
      <c r="GM97" s="3">
        <f>$H97*factors!GG$3</f>
        <v>0.29857975965000005</v>
      </c>
      <c r="GN97" s="3">
        <f>$H97*factors!GH$3</f>
        <v>0.30801500180000008</v>
      </c>
      <c r="GO97" s="3">
        <f>$H97*factors!GI$3</f>
        <v>0.29097069339999998</v>
      </c>
      <c r="GP97" s="3">
        <f>$H97*factors!GJ$3</f>
        <v>0.31197171625000003</v>
      </c>
      <c r="GQ97" s="3">
        <f>$H97*factors!GK$3</f>
        <v>0.31836333190000005</v>
      </c>
      <c r="GR97" s="3">
        <f>$H97*factors!GL$3</f>
        <v>0.31227607890000003</v>
      </c>
      <c r="GS97" s="3">
        <f>$H97*factors!GM$3</f>
        <v>0.29531699204200001</v>
      </c>
      <c r="GT97" s="3">
        <f>$H97*factors!GN$3</f>
        <v>0.30212010599480005</v>
      </c>
      <c r="GU97" s="3">
        <f>$H97*factors!GO$3</f>
        <v>0.30923245240000002</v>
      </c>
      <c r="GV97" s="3">
        <f>$H97*factors!GP$3</f>
        <v>0.29686315430400007</v>
      </c>
      <c r="GW97" s="3">
        <f>$H97*factors!GQ$3</f>
        <v>0.30737705768560003</v>
      </c>
      <c r="GX97" s="3">
        <f>$H97*factors!GR$3</f>
        <v>0.30242933844720005</v>
      </c>
      <c r="GY97" s="3">
        <f>$H97*factors!GS$3</f>
        <v>0.30088317618520005</v>
      </c>
      <c r="GZ97" s="3">
        <f>$H97*factors!GT$3</f>
        <v>0.31201554447160001</v>
      </c>
      <c r="HA97" s="3">
        <f>$H97*factors!GU$3</f>
        <v>0.30181087354240005</v>
      </c>
      <c r="HB97" s="3">
        <f>$H97*factors!GV$3</f>
        <v>0.31201554447160001</v>
      </c>
      <c r="HC97" s="3">
        <f>$H97*factors!GW$3</f>
        <v>0.30428473316160004</v>
      </c>
      <c r="HD97" s="3">
        <f>$H97*factors!GX$3</f>
        <v>0.31325247428120001</v>
      </c>
      <c r="HE97" s="3">
        <f>$H97*factors!GY$3</f>
        <v>0.30923245240000002</v>
      </c>
      <c r="HF97" s="3">
        <f>$H97*factors!GZ$3</f>
        <v>0.31881865842440005</v>
      </c>
      <c r="HG97" s="3">
        <f>$H97*factors!HA$3</f>
        <v>0.30644936032840003</v>
      </c>
      <c r="HH97" s="3">
        <f>$H97*factors!HB$3</f>
        <v>0.30242933844720005</v>
      </c>
      <c r="HI97" s="3">
        <f>$H97*factors!HC$3</f>
        <v>0.29871854901840006</v>
      </c>
      <c r="HJ97" s="3">
        <f>$H97*factors!HD$3</f>
        <v>0.29531699204200001</v>
      </c>
      <c r="HK97" s="3">
        <f>$H97*factors!HE$3</f>
        <v>0.31232477692400001</v>
      </c>
      <c r="HL97" s="3">
        <f>$H97*factors!HF$3</f>
        <v>0.29438929468480002</v>
      </c>
      <c r="HM97" s="3">
        <f>$H97*factors!HG$3</f>
        <v>0.29748161920880006</v>
      </c>
      <c r="HN97" s="3">
        <f>$H97*factors!HH$3</f>
        <v>0.31727249616240005</v>
      </c>
      <c r="HO97" s="3">
        <f>$H97*factors!HI$3</f>
        <v>0.30428473316160004</v>
      </c>
      <c r="HP97" s="3">
        <f>$H97*factors!HJ$3</f>
        <v>0.32469407502000008</v>
      </c>
      <c r="HQ97" s="3">
        <f>$H97*factors!HK$3</f>
        <v>0.29686315430400007</v>
      </c>
      <c r="HR97" s="3">
        <f>$H97*factors!HL$3</f>
        <v>0.31479863654320006</v>
      </c>
      <c r="HS97" s="3">
        <f>$H97*factors!HM$3</f>
        <v>0.32036482068640004</v>
      </c>
      <c r="HT97" s="3">
        <f>$H97*factors!HN$3</f>
        <v>0.29871854901840006</v>
      </c>
      <c r="HU97" s="3">
        <f>$H97*factors!HO$3</f>
        <v>0.30181087354240005</v>
      </c>
      <c r="HV97" s="3">
        <f>$H97*factors!HP$3</f>
        <v>0.30552166297120004</v>
      </c>
      <c r="HW97" s="3">
        <f>$H97*factors!HQ$3</f>
        <v>0.30985091730480002</v>
      </c>
      <c r="HX97" s="3">
        <f>$H97*factors!HR$3</f>
        <v>0.32252944785319998</v>
      </c>
      <c r="HY97" s="3">
        <f>$H97*factors!HS$3</f>
        <v>0.30644936032840003</v>
      </c>
      <c r="HZ97" s="3">
        <f>$H97*factors!HT$3</f>
        <v>0.31820019351960005</v>
      </c>
      <c r="IA97" s="3">
        <f>$H97*factors!HU$3</f>
        <v>0.30273857089960005</v>
      </c>
      <c r="IB97" s="3">
        <f>$H97*factors!HV$3</f>
        <v>0.31325247428120001</v>
      </c>
      <c r="IC97" s="3">
        <f>$H97*factors!HW$3</f>
        <v>0.31634479880520006</v>
      </c>
      <c r="ID97" s="3">
        <f>$H97*factors!HX$3</f>
        <v>0.29377082978000002</v>
      </c>
      <c r="IE97" s="3">
        <f>$H97*factors!HY$3</f>
        <v>0.31201554447160001</v>
      </c>
      <c r="IF97" s="3">
        <f>$H97*factors!HZ$3</f>
        <v>0.31016014975720002</v>
      </c>
      <c r="IG97" s="3">
        <f>$H97*factors!IA$3</f>
        <v>0.30737705768560003</v>
      </c>
      <c r="IH97" s="3">
        <f>$H97*factors!IB$3</f>
        <v>0.31881865842440005</v>
      </c>
      <c r="II97" s="3">
        <f>$H97*factors!IC$3</f>
        <v>0.30521243051880004</v>
      </c>
      <c r="IJ97" s="3">
        <f>$H97*factors!ID$3</f>
        <v>0.30799552259040003</v>
      </c>
      <c r="IK97" s="3">
        <f>$H97*factors!IE$3</f>
        <v>0.31912789087680005</v>
      </c>
      <c r="IL97" s="3">
        <f>$H97*factors!IF$3</f>
        <v>0.30552166297120004</v>
      </c>
      <c r="IM97" s="3">
        <f>$H97*factors!IG$3</f>
        <v>0.30273857089960005</v>
      </c>
      <c r="IN97" s="3">
        <f>$H97*factors!IH$3</f>
        <v>0.30459396561400004</v>
      </c>
      <c r="IO97" s="3">
        <f>$H97*factors!II$3</f>
        <v>0.30768629013800003</v>
      </c>
      <c r="IP97" s="3">
        <f>$H97*factors!IJ$3</f>
        <v>0.29748161920880006</v>
      </c>
      <c r="IQ97" s="3">
        <f>$H97*factors!IK$3</f>
        <v>0.29655392185160001</v>
      </c>
      <c r="IR97" s="3">
        <f>$H97*factors!IL$3</f>
        <v>0.30521243051880004</v>
      </c>
      <c r="IS97" s="3">
        <f>$H97*factors!IM$3</f>
        <v>0.30768629013800003</v>
      </c>
      <c r="IT97" s="3">
        <f>$H97*factors!IN$3</f>
        <v>0.30985091730480002</v>
      </c>
      <c r="IU97" s="3">
        <f>$H97*factors!IO$3</f>
        <v>0.31665403125760005</v>
      </c>
      <c r="IV97" s="3">
        <f>$H97*factors!IP$3</f>
        <v>0.32067405313880004</v>
      </c>
      <c r="IW97" s="3">
        <f>$H97*factors!IQ$3</f>
        <v>0.30304780335200004</v>
      </c>
      <c r="IX97" s="3">
        <f>$H97*factors!IR$3</f>
        <v>0.31665403125760005</v>
      </c>
      <c r="IY97" s="3">
        <f>$H97*factors!IS$3</f>
        <v>0.31201554447160001</v>
      </c>
      <c r="IZ97" s="3">
        <f>$H97*factors!IT$3</f>
        <v>0.31727249616240005</v>
      </c>
      <c r="JA97" s="3">
        <f>$H97*factors!IU$3</f>
        <v>0.2996462463756</v>
      </c>
      <c r="JB97" s="3">
        <f>$H97*factors!IV$3</f>
        <v>0.30521243051880004</v>
      </c>
      <c r="JC97" s="3">
        <f>$H97*factors!IW$3</f>
        <v>0.29810008411360006</v>
      </c>
      <c r="JD97" s="3">
        <f>$H97*factors!IX$3</f>
        <v>0.32469407502000008</v>
      </c>
      <c r="JE97" s="3">
        <f>$H97*factors!IY$3</f>
        <v>0.2990277814708</v>
      </c>
      <c r="JF97" s="3">
        <f>$H97*factors!IZ$3</f>
        <v>0.31387093918600001</v>
      </c>
      <c r="JG97" s="3">
        <f>$H97*factors!JA$3</f>
        <v>0.30830475504280003</v>
      </c>
      <c r="JH97" s="3">
        <f>$H97*factors!JB$3</f>
        <v>0.31418017163840006</v>
      </c>
      <c r="JI97" s="3">
        <f>$H97*factors!JC$3</f>
        <v>0.29408006223240002</v>
      </c>
      <c r="JJ97" s="3">
        <f>$H97*factors!JD$3</f>
        <v>0.31665403125760005</v>
      </c>
      <c r="JK97" s="3">
        <f>$H97*factors!JE$3</f>
        <v>0.30644936032840003</v>
      </c>
      <c r="JL97" s="3">
        <f>$H97*factors!JF$3</f>
        <v>0.31881865842440005</v>
      </c>
      <c r="JM97" s="3">
        <f>$H97*factors!JG$3</f>
        <v>0.29748161920880006</v>
      </c>
      <c r="JN97" s="3">
        <f>$H97*factors!JH$3</f>
        <v>0.29748161920880006</v>
      </c>
      <c r="JO97" s="3">
        <f>$H97*factors!JI$3</f>
        <v>0.29377082978000002</v>
      </c>
      <c r="JP97" s="3">
        <f>$H97*factors!JJ$3</f>
        <v>0.31758172861480005</v>
      </c>
      <c r="JQ97" s="3">
        <f>$H97*factors!JK$3</f>
        <v>0.30954168485240002</v>
      </c>
      <c r="JR97" s="3">
        <f>$H97*factors!JL$3</f>
        <v>0.32160175049600004</v>
      </c>
      <c r="JS97" s="3">
        <f>$H97*factors!JM$3</f>
        <v>0.29377082978000002</v>
      </c>
      <c r="JT97" s="3">
        <f>$H97*factors!JN$3</f>
        <v>0.30861398749520003</v>
      </c>
      <c r="JU97" s="3">
        <f>$H97*factors!JO$3</f>
        <v>0.298409316566</v>
      </c>
      <c r="JV97" s="3">
        <f>$H97*factors!JP$3</f>
        <v>0.30335703580440004</v>
      </c>
      <c r="JW97" s="3">
        <f>$H97*factors!JQ$3</f>
        <v>0.32407561011520009</v>
      </c>
      <c r="JX97" s="3">
        <f>$H97*factors!JR$3</f>
        <v>0.32098328559120004</v>
      </c>
      <c r="JY97" s="3">
        <f>$H97*factors!JS$3</f>
        <v>0.30212010599480005</v>
      </c>
      <c r="JZ97" s="3">
        <f>$H97*factors!JT$3</f>
        <v>0.30552166297120004</v>
      </c>
      <c r="KA97" s="3">
        <f>$H97*factors!JU$3</f>
        <v>0.30675859278080003</v>
      </c>
      <c r="KB97" s="3">
        <f>$H97*factors!JV$3</f>
        <v>0.29655392185160001</v>
      </c>
      <c r="KC97" s="3">
        <f>$H97*factors!JW$3</f>
        <v>0.29810008411360006</v>
      </c>
      <c r="KD97" s="3">
        <f>$H97*factors!JX$3</f>
        <v>0.298409316566</v>
      </c>
      <c r="KE97" s="3">
        <f>$H97*factors!JY$3</f>
        <v>0.31758172861480005</v>
      </c>
      <c r="KF97" s="3">
        <f>$H97*factors!JZ$3</f>
        <v>0.32129251804359998</v>
      </c>
      <c r="KG97" s="3">
        <f>$H97*factors!KA$3</f>
        <v>0.30985091730480002</v>
      </c>
      <c r="KH97" s="3">
        <f>$H97*factors!KB$3</f>
        <v>0.30304780335200004</v>
      </c>
      <c r="KI97" s="3">
        <f>$H97*factors!KC$3</f>
        <v>0.3002647112804</v>
      </c>
    </row>
    <row r="98" spans="1:295" x14ac:dyDescent="0.55000000000000004">
      <c r="A98" t="s">
        <v>475</v>
      </c>
      <c r="B98">
        <v>97</v>
      </c>
      <c r="C98">
        <v>230</v>
      </c>
      <c r="D98" t="s">
        <v>377</v>
      </c>
      <c r="E98">
        <v>0</v>
      </c>
      <c r="F98">
        <v>97</v>
      </c>
      <c r="G98">
        <f>VLOOKUP(D98,demand_forecasted!$A$2:$G$11,2)</f>
        <v>11098</v>
      </c>
      <c r="H98" s="3">
        <f t="shared" si="2"/>
        <v>0</v>
      </c>
      <c r="I98" s="3">
        <f>$H98*factors!C$3</f>
        <v>0</v>
      </c>
      <c r="J98" s="3">
        <f>$H98*factors!D$3</f>
        <v>0</v>
      </c>
      <c r="K98" s="3">
        <f>$H98*factors!E$3</f>
        <v>0</v>
      </c>
      <c r="L98" s="3">
        <f>$H98*factors!F$3</f>
        <v>0</v>
      </c>
      <c r="M98" s="3">
        <f>$H98*factors!G$3</f>
        <v>0</v>
      </c>
      <c r="N98" s="3">
        <f>$H98*factors!H$3</f>
        <v>0</v>
      </c>
      <c r="O98" s="3">
        <f>$H98*factors!I$3</f>
        <v>0</v>
      </c>
      <c r="P98" s="3">
        <f>$H98*factors!J$3</f>
        <v>0</v>
      </c>
      <c r="Q98" s="3">
        <f>$H98*factors!K$3</f>
        <v>0</v>
      </c>
      <c r="R98" s="3">
        <f>$H98*factors!L$3</f>
        <v>0</v>
      </c>
      <c r="S98" s="3">
        <f>$H98*factors!M$3</f>
        <v>0</v>
      </c>
      <c r="T98" s="3">
        <f>$H98*factors!N$3</f>
        <v>0</v>
      </c>
      <c r="U98" s="3">
        <f>$H98*factors!O$3</f>
        <v>0</v>
      </c>
      <c r="V98" s="3">
        <f>$H98*factors!P$3</f>
        <v>0</v>
      </c>
      <c r="W98" s="3">
        <f>$H98*factors!Q$3</f>
        <v>0</v>
      </c>
      <c r="X98" s="3">
        <f>$H98*factors!R$3</f>
        <v>0</v>
      </c>
      <c r="Y98" s="3">
        <f>$H98*factors!S$3</f>
        <v>0</v>
      </c>
      <c r="Z98" s="3">
        <f>$H98*factors!T$3</f>
        <v>0</v>
      </c>
      <c r="AA98" s="3">
        <f>$H98*factors!U$3</f>
        <v>0</v>
      </c>
      <c r="AB98" s="3">
        <f>$H98*factors!V$3</f>
        <v>0</v>
      </c>
      <c r="AC98" s="3">
        <f>$H98*factors!W$3</f>
        <v>0</v>
      </c>
      <c r="AD98" s="3">
        <f>$H98*factors!X$3</f>
        <v>0</v>
      </c>
      <c r="AE98" s="3">
        <f>$H98*factors!Y$3</f>
        <v>0</v>
      </c>
      <c r="AF98" s="3">
        <f>$H98*factors!Z$3</f>
        <v>0</v>
      </c>
      <c r="AG98" s="3">
        <f>$H98*factors!AA$3</f>
        <v>0</v>
      </c>
      <c r="AH98" s="3">
        <f>$H98*factors!AB$3</f>
        <v>0</v>
      </c>
      <c r="AI98" s="3">
        <f>$H98*factors!AC$3</f>
        <v>0</v>
      </c>
      <c r="AJ98" s="3">
        <f>$H98*factors!AD$3</f>
        <v>0</v>
      </c>
      <c r="AK98" s="3">
        <f>$H98*factors!AE$3</f>
        <v>0</v>
      </c>
      <c r="AL98" s="3">
        <f>$H98*factors!AF$3</f>
        <v>0</v>
      </c>
      <c r="AM98" s="3">
        <f>$H98*factors!AG$3</f>
        <v>0</v>
      </c>
      <c r="AN98" s="3">
        <f>$H98*factors!AH$3</f>
        <v>0</v>
      </c>
      <c r="AO98" s="3">
        <f>$H98*factors!AI$3</f>
        <v>0</v>
      </c>
      <c r="AP98" s="3">
        <f>$H98*factors!AJ$3</f>
        <v>0</v>
      </c>
      <c r="AQ98" s="3">
        <f>$H98*factors!AK$3</f>
        <v>0</v>
      </c>
      <c r="AR98" s="3">
        <f>$H98*factors!AL$3</f>
        <v>0</v>
      </c>
      <c r="AS98" s="3">
        <f>$H98*factors!AM$3</f>
        <v>0</v>
      </c>
      <c r="AT98" s="3">
        <f>$H98*factors!AN$3</f>
        <v>0</v>
      </c>
      <c r="AU98" s="3">
        <f>$H98*factors!AO$3</f>
        <v>0</v>
      </c>
      <c r="AV98" s="3">
        <f>$H98*factors!AP$3</f>
        <v>0</v>
      </c>
      <c r="AW98" s="3">
        <f>$H98*factors!AQ$3</f>
        <v>0</v>
      </c>
      <c r="AX98" s="3">
        <f>$H98*factors!AR$3</f>
        <v>0</v>
      </c>
      <c r="AY98" s="3">
        <f>$H98*factors!AS$3</f>
        <v>0</v>
      </c>
      <c r="AZ98" s="3">
        <f>$H98*factors!AT$3</f>
        <v>0</v>
      </c>
      <c r="BA98" s="3">
        <f>$H98*factors!AU$3</f>
        <v>0</v>
      </c>
      <c r="BB98" s="3">
        <f>$H98*factors!AV$3</f>
        <v>0</v>
      </c>
      <c r="BC98" s="3">
        <f>$H98*factors!AW$3</f>
        <v>0</v>
      </c>
      <c r="BD98" s="3">
        <f>$H98*factors!AX$3</f>
        <v>0</v>
      </c>
      <c r="BE98" s="3">
        <f>$H98*factors!AY$3</f>
        <v>0</v>
      </c>
      <c r="BF98" s="3">
        <f>$H98*factors!AZ$3</f>
        <v>0</v>
      </c>
      <c r="BG98" s="3">
        <f>$H98*factors!BA$3</f>
        <v>0</v>
      </c>
      <c r="BH98" s="3">
        <f>$H98*factors!BB$3</f>
        <v>0</v>
      </c>
      <c r="BI98" s="3">
        <f>$H98*factors!BC$3</f>
        <v>0</v>
      </c>
      <c r="BJ98" s="3">
        <f>$H98*factors!BD$3</f>
        <v>0</v>
      </c>
      <c r="BK98" s="3">
        <f>$H98*factors!BE$3</f>
        <v>0</v>
      </c>
      <c r="BL98" s="3">
        <f>$H98*factors!BF$3</f>
        <v>0</v>
      </c>
      <c r="BM98" s="3">
        <f>$H98*factors!BG$3</f>
        <v>0</v>
      </c>
      <c r="BN98" s="3">
        <f>$H98*factors!BH$3</f>
        <v>0</v>
      </c>
      <c r="BO98" s="3">
        <f>$H98*factors!BI$3</f>
        <v>0</v>
      </c>
      <c r="BP98" s="3">
        <f>$H98*factors!BJ$3</f>
        <v>0</v>
      </c>
      <c r="BQ98" s="3">
        <f>$H98*factors!BK$3</f>
        <v>0</v>
      </c>
      <c r="BR98" s="3">
        <f>$H98*factors!BL$3</f>
        <v>0</v>
      </c>
      <c r="BS98" s="3">
        <f>$H98*factors!BM$3</f>
        <v>0</v>
      </c>
      <c r="BT98" s="3">
        <f>$H98*factors!BN$3</f>
        <v>0</v>
      </c>
      <c r="BU98" s="3">
        <f>$H98*factors!BO$3</f>
        <v>0</v>
      </c>
      <c r="BV98" s="3">
        <f>$H98*factors!BP$3</f>
        <v>0</v>
      </c>
      <c r="BW98" s="3">
        <f>$H98*factors!BQ$3</f>
        <v>0</v>
      </c>
      <c r="BX98" s="3">
        <f>$H98*factors!BR$3</f>
        <v>0</v>
      </c>
      <c r="BY98" s="3">
        <f>$H98*factors!BS$3</f>
        <v>0</v>
      </c>
      <c r="BZ98" s="3">
        <f>$H98*factors!BT$3</f>
        <v>0</v>
      </c>
      <c r="CA98" s="3">
        <f>$H98*factors!BU$3</f>
        <v>0</v>
      </c>
      <c r="CB98" s="3">
        <f>$H98*factors!BV$3</f>
        <v>0</v>
      </c>
      <c r="CC98" s="3">
        <f>$H98*factors!BW$3</f>
        <v>0</v>
      </c>
      <c r="CD98" s="3">
        <f>$H98*factors!BX$3</f>
        <v>0</v>
      </c>
      <c r="CE98" s="3">
        <f>$H98*factors!BY$3</f>
        <v>0</v>
      </c>
      <c r="CF98" s="3">
        <f>$H98*factors!BZ$3</f>
        <v>0</v>
      </c>
      <c r="CG98" s="3">
        <f>$H98*factors!CA$3</f>
        <v>0</v>
      </c>
      <c r="CH98" s="3">
        <f>$H98*factors!CB$3</f>
        <v>0</v>
      </c>
      <c r="CI98" s="3">
        <f>$H98*factors!CC$3</f>
        <v>0</v>
      </c>
      <c r="CJ98" s="3">
        <f>$H98*factors!CD$3</f>
        <v>0</v>
      </c>
      <c r="CK98" s="3">
        <f>$H98*factors!CE$3</f>
        <v>0</v>
      </c>
      <c r="CL98" s="3">
        <f>$H98*factors!CF$3</f>
        <v>0</v>
      </c>
      <c r="CM98" s="3">
        <f>$H98*factors!CG$3</f>
        <v>0</v>
      </c>
      <c r="CN98" s="3">
        <f>$H98*factors!CH$3</f>
        <v>0</v>
      </c>
      <c r="CO98" s="3">
        <f>$H98*factors!CI$3</f>
        <v>0</v>
      </c>
      <c r="CP98" s="3">
        <f>$H98*factors!CJ$3</f>
        <v>0</v>
      </c>
      <c r="CQ98" s="3">
        <f>$H98*factors!CK$3</f>
        <v>0</v>
      </c>
      <c r="CR98" s="3">
        <f>$H98*factors!CL$3</f>
        <v>0</v>
      </c>
      <c r="CS98" s="3">
        <f>$H98*factors!CM$3</f>
        <v>0</v>
      </c>
      <c r="CT98" s="3">
        <f>$H98*factors!CN$3</f>
        <v>0</v>
      </c>
      <c r="CU98" s="3">
        <f>$H98*factors!CO$3</f>
        <v>0</v>
      </c>
      <c r="CV98" s="3">
        <f>$H98*factors!CP$3</f>
        <v>0</v>
      </c>
      <c r="CW98" s="3">
        <f>$H98*factors!CQ$3</f>
        <v>0</v>
      </c>
      <c r="CX98" s="3">
        <f>$H98*factors!CR$3</f>
        <v>0</v>
      </c>
      <c r="CY98" s="3">
        <f>$H98*factors!CS$3</f>
        <v>0</v>
      </c>
      <c r="CZ98" s="3">
        <f>$H98*factors!CT$3</f>
        <v>0</v>
      </c>
      <c r="DA98" s="3">
        <f>$H98*factors!CU$3</f>
        <v>0</v>
      </c>
      <c r="DB98" s="3">
        <f>$H98*factors!CV$3</f>
        <v>0</v>
      </c>
      <c r="DC98" s="3">
        <f>$H98*factors!CW$3</f>
        <v>0</v>
      </c>
      <c r="DD98" s="3">
        <f>$H98*factors!CX$3</f>
        <v>0</v>
      </c>
      <c r="DE98" s="3">
        <f>$H98*factors!CY$3</f>
        <v>0</v>
      </c>
      <c r="DF98" s="3">
        <f>$H98*factors!CZ$3</f>
        <v>0</v>
      </c>
      <c r="DG98" s="3">
        <f>$H98*factors!DA$3</f>
        <v>0</v>
      </c>
      <c r="DH98" s="3">
        <f>$H98*factors!DB$3</f>
        <v>0</v>
      </c>
      <c r="DI98" s="3">
        <f>$H98*factors!DC$3</f>
        <v>0</v>
      </c>
      <c r="DJ98" s="3">
        <f>$H98*factors!DD$3</f>
        <v>0</v>
      </c>
      <c r="DK98" s="3">
        <f>$H98*factors!DE$3</f>
        <v>0</v>
      </c>
      <c r="DL98" s="3">
        <f>$H98*factors!DF$3</f>
        <v>0</v>
      </c>
      <c r="DM98" s="3">
        <f>$H98*factors!DG$3</f>
        <v>0</v>
      </c>
      <c r="DN98" s="3">
        <f>$H98*factors!DH$3</f>
        <v>0</v>
      </c>
      <c r="DO98" s="3">
        <f>$H98*factors!DI$3</f>
        <v>0</v>
      </c>
      <c r="DP98" s="3">
        <f>$H98*factors!DJ$3</f>
        <v>0</v>
      </c>
      <c r="DQ98" s="3">
        <f>$H98*factors!DK$3</f>
        <v>0</v>
      </c>
      <c r="DR98" s="3">
        <f>$H98*factors!DL$3</f>
        <v>0</v>
      </c>
      <c r="DS98" s="3">
        <f>$H98*factors!DM$3</f>
        <v>0</v>
      </c>
      <c r="DT98" s="3">
        <f>$H98*factors!DN$3</f>
        <v>0</v>
      </c>
      <c r="DU98" s="3">
        <f>$H98*factors!DO$3</f>
        <v>0</v>
      </c>
      <c r="DV98" s="3">
        <f>$H98*factors!DP$3</f>
        <v>0</v>
      </c>
      <c r="DW98" s="3">
        <f>$H98*factors!DQ$3</f>
        <v>0</v>
      </c>
      <c r="DX98" s="3">
        <f>$H98*factors!DR$3</f>
        <v>0</v>
      </c>
      <c r="DY98" s="3">
        <f>$H98*factors!DS$3</f>
        <v>0</v>
      </c>
      <c r="DZ98" s="3">
        <f>$H98*factors!DT$3</f>
        <v>0</v>
      </c>
      <c r="EA98" s="3">
        <f>$H98*factors!DU$3</f>
        <v>0</v>
      </c>
      <c r="EB98" s="3">
        <f>$H98*factors!DV$3</f>
        <v>0</v>
      </c>
      <c r="EC98" s="3">
        <f>$H98*factors!DW$3</f>
        <v>0</v>
      </c>
      <c r="ED98" s="3">
        <f>$H98*factors!DX$3</f>
        <v>0</v>
      </c>
      <c r="EE98" s="3">
        <f>$H98*factors!DY$3</f>
        <v>0</v>
      </c>
      <c r="EF98" s="3">
        <f>$H98*factors!DZ$3</f>
        <v>0</v>
      </c>
      <c r="EG98" s="3">
        <f>$H98*factors!EA$3</f>
        <v>0</v>
      </c>
      <c r="EH98" s="3">
        <f>$H98*factors!EB$3</f>
        <v>0</v>
      </c>
      <c r="EI98" s="3">
        <f>$H98*factors!EC$3</f>
        <v>0</v>
      </c>
      <c r="EJ98" s="3">
        <f>$H98*factors!ED$3</f>
        <v>0</v>
      </c>
      <c r="EK98" s="3">
        <f>$H98*factors!EE$3</f>
        <v>0</v>
      </c>
      <c r="EL98" s="3">
        <f>$H98*factors!EF$3</f>
        <v>0</v>
      </c>
      <c r="EM98" s="3">
        <f>$H98*factors!EG$3</f>
        <v>0</v>
      </c>
      <c r="EN98" s="3">
        <f>$H98*factors!EH$3</f>
        <v>0</v>
      </c>
      <c r="EO98" s="3">
        <f>$H98*factors!EI$3</f>
        <v>0</v>
      </c>
      <c r="EP98" s="3">
        <f>$H98*factors!EJ$3</f>
        <v>0</v>
      </c>
      <c r="EQ98" s="3">
        <f>$H98*factors!EK$3</f>
        <v>0</v>
      </c>
      <c r="ER98" s="3">
        <f>$H98*factors!EL$3</f>
        <v>0</v>
      </c>
      <c r="ES98" s="3">
        <f>$H98*factors!EM$3</f>
        <v>0</v>
      </c>
      <c r="ET98" s="3">
        <f>$H98*factors!EN$3</f>
        <v>0</v>
      </c>
      <c r="EU98" s="3">
        <f>$H98*factors!EO$3</f>
        <v>0</v>
      </c>
      <c r="EV98" s="3">
        <f>$H98*factors!EP$3</f>
        <v>0</v>
      </c>
      <c r="EW98" s="3">
        <f>$H98*factors!EQ$3</f>
        <v>0</v>
      </c>
      <c r="EX98" s="3">
        <f>$H98*factors!ER$3</f>
        <v>0</v>
      </c>
      <c r="EY98" s="3">
        <f>$H98*factors!ES$3</f>
        <v>0</v>
      </c>
      <c r="EZ98" s="3">
        <f>$H98*factors!ET$3</f>
        <v>0</v>
      </c>
      <c r="FA98" s="3">
        <f>$H98*factors!EU$3</f>
        <v>0</v>
      </c>
      <c r="FB98" s="3">
        <f>$H98*factors!EV$3</f>
        <v>0</v>
      </c>
      <c r="FC98" s="3">
        <f>$H98*factors!EW$3</f>
        <v>0</v>
      </c>
      <c r="FD98" s="3">
        <f>$H98*factors!EX$3</f>
        <v>0</v>
      </c>
      <c r="FE98" s="3">
        <f>$H98*factors!EY$3</f>
        <v>0</v>
      </c>
      <c r="FF98" s="3">
        <f>$H98*factors!EZ$3</f>
        <v>0</v>
      </c>
      <c r="FG98" s="3">
        <f>$H98*factors!FA$3</f>
        <v>0</v>
      </c>
      <c r="FH98" s="3">
        <f>$H98*factors!FB$3</f>
        <v>0</v>
      </c>
      <c r="FI98" s="3">
        <f>$H98*factors!FC$3</f>
        <v>0</v>
      </c>
      <c r="FJ98" s="3">
        <f>$H98*factors!FD$3</f>
        <v>0</v>
      </c>
      <c r="FK98" s="3">
        <f>$H98*factors!FE$3</f>
        <v>0</v>
      </c>
      <c r="FL98" s="3">
        <f>$H98*factors!FF$3</f>
        <v>0</v>
      </c>
      <c r="FM98" s="3">
        <f>$H98*factors!FG$3</f>
        <v>0</v>
      </c>
      <c r="FN98" s="3">
        <f>$H98*factors!FH$3</f>
        <v>0</v>
      </c>
      <c r="FO98" s="3">
        <f>$H98*factors!FI$3</f>
        <v>0</v>
      </c>
      <c r="FP98" s="3">
        <f>$H98*factors!FJ$3</f>
        <v>0</v>
      </c>
      <c r="FQ98" s="3">
        <f>$H98*factors!FK$3</f>
        <v>0</v>
      </c>
      <c r="FR98" s="3">
        <f>$H98*factors!FL$3</f>
        <v>0</v>
      </c>
      <c r="FS98" s="3">
        <f>$H98*factors!FM$3</f>
        <v>0</v>
      </c>
      <c r="FT98" s="3">
        <f>$H98*factors!FN$3</f>
        <v>0</v>
      </c>
      <c r="FU98" s="3">
        <f>$H98*factors!FO$3</f>
        <v>0</v>
      </c>
      <c r="FV98" s="3">
        <f>$H98*factors!FP$3</f>
        <v>0</v>
      </c>
      <c r="FW98" s="3">
        <f>$H98*factors!FQ$3</f>
        <v>0</v>
      </c>
      <c r="FX98" s="3">
        <f>$H98*factors!FR$3</f>
        <v>0</v>
      </c>
      <c r="FY98" s="3">
        <f>$H98*factors!FS$3</f>
        <v>0</v>
      </c>
      <c r="FZ98" s="3">
        <f>$H98*factors!FT$3</f>
        <v>0</v>
      </c>
      <c r="GA98" s="3">
        <f>$H98*factors!FU$3</f>
        <v>0</v>
      </c>
      <c r="GB98" s="3">
        <f>$H98*factors!FV$3</f>
        <v>0</v>
      </c>
      <c r="GC98" s="3">
        <f>$H98*factors!FW$3</f>
        <v>0</v>
      </c>
      <c r="GD98" s="3">
        <f>$H98*factors!FX$3</f>
        <v>0</v>
      </c>
      <c r="GE98" s="3">
        <f>$H98*factors!FY$3</f>
        <v>0</v>
      </c>
      <c r="GF98" s="3">
        <f>$H98*factors!FZ$3</f>
        <v>0</v>
      </c>
      <c r="GG98" s="3">
        <f>$H98*factors!GA$3</f>
        <v>0</v>
      </c>
      <c r="GH98" s="3">
        <f>$H98*factors!GB$3</f>
        <v>0</v>
      </c>
      <c r="GI98" s="3">
        <f>$H98*factors!GC$3</f>
        <v>0</v>
      </c>
      <c r="GJ98" s="3">
        <f>$H98*factors!GD$3</f>
        <v>0</v>
      </c>
      <c r="GK98" s="3">
        <f>$H98*factors!GE$3</f>
        <v>0</v>
      </c>
      <c r="GL98" s="3">
        <f>$H98*factors!GF$3</f>
        <v>0</v>
      </c>
      <c r="GM98" s="3">
        <f>$H98*factors!GG$3</f>
        <v>0</v>
      </c>
      <c r="GN98" s="3">
        <f>$H98*factors!GH$3</f>
        <v>0</v>
      </c>
      <c r="GO98" s="3">
        <f>$H98*factors!GI$3</f>
        <v>0</v>
      </c>
      <c r="GP98" s="3">
        <f>$H98*factors!GJ$3</f>
        <v>0</v>
      </c>
      <c r="GQ98" s="3">
        <f>$H98*factors!GK$3</f>
        <v>0</v>
      </c>
      <c r="GR98" s="3">
        <f>$H98*factors!GL$3</f>
        <v>0</v>
      </c>
      <c r="GS98" s="3">
        <f>$H98*factors!GM$3</f>
        <v>0</v>
      </c>
      <c r="GT98" s="3">
        <f>$H98*factors!GN$3</f>
        <v>0</v>
      </c>
      <c r="GU98" s="3">
        <f>$H98*factors!GO$3</f>
        <v>0</v>
      </c>
      <c r="GV98" s="3">
        <f>$H98*factors!GP$3</f>
        <v>0</v>
      </c>
      <c r="GW98" s="3">
        <f>$H98*factors!GQ$3</f>
        <v>0</v>
      </c>
      <c r="GX98" s="3">
        <f>$H98*factors!GR$3</f>
        <v>0</v>
      </c>
      <c r="GY98" s="3">
        <f>$H98*factors!GS$3</f>
        <v>0</v>
      </c>
      <c r="GZ98" s="3">
        <f>$H98*factors!GT$3</f>
        <v>0</v>
      </c>
      <c r="HA98" s="3">
        <f>$H98*factors!GU$3</f>
        <v>0</v>
      </c>
      <c r="HB98" s="3">
        <f>$H98*factors!GV$3</f>
        <v>0</v>
      </c>
      <c r="HC98" s="3">
        <f>$H98*factors!GW$3</f>
        <v>0</v>
      </c>
      <c r="HD98" s="3">
        <f>$H98*factors!GX$3</f>
        <v>0</v>
      </c>
      <c r="HE98" s="3">
        <f>$H98*factors!GY$3</f>
        <v>0</v>
      </c>
      <c r="HF98" s="3">
        <f>$H98*factors!GZ$3</f>
        <v>0</v>
      </c>
      <c r="HG98" s="3">
        <f>$H98*factors!HA$3</f>
        <v>0</v>
      </c>
      <c r="HH98" s="3">
        <f>$H98*factors!HB$3</f>
        <v>0</v>
      </c>
      <c r="HI98" s="3">
        <f>$H98*factors!HC$3</f>
        <v>0</v>
      </c>
      <c r="HJ98" s="3">
        <f>$H98*factors!HD$3</f>
        <v>0</v>
      </c>
      <c r="HK98" s="3">
        <f>$H98*factors!HE$3</f>
        <v>0</v>
      </c>
      <c r="HL98" s="3">
        <f>$H98*factors!HF$3</f>
        <v>0</v>
      </c>
      <c r="HM98" s="3">
        <f>$H98*factors!HG$3</f>
        <v>0</v>
      </c>
      <c r="HN98" s="3">
        <f>$H98*factors!HH$3</f>
        <v>0</v>
      </c>
      <c r="HO98" s="3">
        <f>$H98*factors!HI$3</f>
        <v>0</v>
      </c>
      <c r="HP98" s="3">
        <f>$H98*factors!HJ$3</f>
        <v>0</v>
      </c>
      <c r="HQ98" s="3">
        <f>$H98*factors!HK$3</f>
        <v>0</v>
      </c>
      <c r="HR98" s="3">
        <f>$H98*factors!HL$3</f>
        <v>0</v>
      </c>
      <c r="HS98" s="3">
        <f>$H98*factors!HM$3</f>
        <v>0</v>
      </c>
      <c r="HT98" s="3">
        <f>$H98*factors!HN$3</f>
        <v>0</v>
      </c>
      <c r="HU98" s="3">
        <f>$H98*factors!HO$3</f>
        <v>0</v>
      </c>
      <c r="HV98" s="3">
        <f>$H98*factors!HP$3</f>
        <v>0</v>
      </c>
      <c r="HW98" s="3">
        <f>$H98*factors!HQ$3</f>
        <v>0</v>
      </c>
      <c r="HX98" s="3">
        <f>$H98*factors!HR$3</f>
        <v>0</v>
      </c>
      <c r="HY98" s="3">
        <f>$H98*factors!HS$3</f>
        <v>0</v>
      </c>
      <c r="HZ98" s="3">
        <f>$H98*factors!HT$3</f>
        <v>0</v>
      </c>
      <c r="IA98" s="3">
        <f>$H98*factors!HU$3</f>
        <v>0</v>
      </c>
      <c r="IB98" s="3">
        <f>$H98*factors!HV$3</f>
        <v>0</v>
      </c>
      <c r="IC98" s="3">
        <f>$H98*factors!HW$3</f>
        <v>0</v>
      </c>
      <c r="ID98" s="3">
        <f>$H98*factors!HX$3</f>
        <v>0</v>
      </c>
      <c r="IE98" s="3">
        <f>$H98*factors!HY$3</f>
        <v>0</v>
      </c>
      <c r="IF98" s="3">
        <f>$H98*factors!HZ$3</f>
        <v>0</v>
      </c>
      <c r="IG98" s="3">
        <f>$H98*factors!IA$3</f>
        <v>0</v>
      </c>
      <c r="IH98" s="3">
        <f>$H98*factors!IB$3</f>
        <v>0</v>
      </c>
      <c r="II98" s="3">
        <f>$H98*factors!IC$3</f>
        <v>0</v>
      </c>
      <c r="IJ98" s="3">
        <f>$H98*factors!ID$3</f>
        <v>0</v>
      </c>
      <c r="IK98" s="3">
        <f>$H98*factors!IE$3</f>
        <v>0</v>
      </c>
      <c r="IL98" s="3">
        <f>$H98*factors!IF$3</f>
        <v>0</v>
      </c>
      <c r="IM98" s="3">
        <f>$H98*factors!IG$3</f>
        <v>0</v>
      </c>
      <c r="IN98" s="3">
        <f>$H98*factors!IH$3</f>
        <v>0</v>
      </c>
      <c r="IO98" s="3">
        <f>$H98*factors!II$3</f>
        <v>0</v>
      </c>
      <c r="IP98" s="3">
        <f>$H98*factors!IJ$3</f>
        <v>0</v>
      </c>
      <c r="IQ98" s="3">
        <f>$H98*factors!IK$3</f>
        <v>0</v>
      </c>
      <c r="IR98" s="3">
        <f>$H98*factors!IL$3</f>
        <v>0</v>
      </c>
      <c r="IS98" s="3">
        <f>$H98*factors!IM$3</f>
        <v>0</v>
      </c>
      <c r="IT98" s="3">
        <f>$H98*factors!IN$3</f>
        <v>0</v>
      </c>
      <c r="IU98" s="3">
        <f>$H98*factors!IO$3</f>
        <v>0</v>
      </c>
      <c r="IV98" s="3">
        <f>$H98*factors!IP$3</f>
        <v>0</v>
      </c>
      <c r="IW98" s="3">
        <f>$H98*factors!IQ$3</f>
        <v>0</v>
      </c>
      <c r="IX98" s="3">
        <f>$H98*factors!IR$3</f>
        <v>0</v>
      </c>
      <c r="IY98" s="3">
        <f>$H98*factors!IS$3</f>
        <v>0</v>
      </c>
      <c r="IZ98" s="3">
        <f>$H98*factors!IT$3</f>
        <v>0</v>
      </c>
      <c r="JA98" s="3">
        <f>$H98*factors!IU$3</f>
        <v>0</v>
      </c>
      <c r="JB98" s="3">
        <f>$H98*factors!IV$3</f>
        <v>0</v>
      </c>
      <c r="JC98" s="3">
        <f>$H98*factors!IW$3</f>
        <v>0</v>
      </c>
      <c r="JD98" s="3">
        <f>$H98*factors!IX$3</f>
        <v>0</v>
      </c>
      <c r="JE98" s="3">
        <f>$H98*factors!IY$3</f>
        <v>0</v>
      </c>
      <c r="JF98" s="3">
        <f>$H98*factors!IZ$3</f>
        <v>0</v>
      </c>
      <c r="JG98" s="3">
        <f>$H98*factors!JA$3</f>
        <v>0</v>
      </c>
      <c r="JH98" s="3">
        <f>$H98*factors!JB$3</f>
        <v>0</v>
      </c>
      <c r="JI98" s="3">
        <f>$H98*factors!JC$3</f>
        <v>0</v>
      </c>
      <c r="JJ98" s="3">
        <f>$H98*factors!JD$3</f>
        <v>0</v>
      </c>
      <c r="JK98" s="3">
        <f>$H98*factors!JE$3</f>
        <v>0</v>
      </c>
      <c r="JL98" s="3">
        <f>$H98*factors!JF$3</f>
        <v>0</v>
      </c>
      <c r="JM98" s="3">
        <f>$H98*factors!JG$3</f>
        <v>0</v>
      </c>
      <c r="JN98" s="3">
        <f>$H98*factors!JH$3</f>
        <v>0</v>
      </c>
      <c r="JO98" s="3">
        <f>$H98*factors!JI$3</f>
        <v>0</v>
      </c>
      <c r="JP98" s="3">
        <f>$H98*factors!JJ$3</f>
        <v>0</v>
      </c>
      <c r="JQ98" s="3">
        <f>$H98*factors!JK$3</f>
        <v>0</v>
      </c>
      <c r="JR98" s="3">
        <f>$H98*factors!JL$3</f>
        <v>0</v>
      </c>
      <c r="JS98" s="3">
        <f>$H98*factors!JM$3</f>
        <v>0</v>
      </c>
      <c r="JT98" s="3">
        <f>$H98*factors!JN$3</f>
        <v>0</v>
      </c>
      <c r="JU98" s="3">
        <f>$H98*factors!JO$3</f>
        <v>0</v>
      </c>
      <c r="JV98" s="3">
        <f>$H98*factors!JP$3</f>
        <v>0</v>
      </c>
      <c r="JW98" s="3">
        <f>$H98*factors!JQ$3</f>
        <v>0</v>
      </c>
      <c r="JX98" s="3">
        <f>$H98*factors!JR$3</f>
        <v>0</v>
      </c>
      <c r="JY98" s="3">
        <f>$H98*factors!JS$3</f>
        <v>0</v>
      </c>
      <c r="JZ98" s="3">
        <f>$H98*factors!JT$3</f>
        <v>0</v>
      </c>
      <c r="KA98" s="3">
        <f>$H98*factors!JU$3</f>
        <v>0</v>
      </c>
      <c r="KB98" s="3">
        <f>$H98*factors!JV$3</f>
        <v>0</v>
      </c>
      <c r="KC98" s="3">
        <f>$H98*factors!JW$3</f>
        <v>0</v>
      </c>
      <c r="KD98" s="3">
        <f>$H98*factors!JX$3</f>
        <v>0</v>
      </c>
      <c r="KE98" s="3">
        <f>$H98*factors!JY$3</f>
        <v>0</v>
      </c>
      <c r="KF98" s="3">
        <f>$H98*factors!JZ$3</f>
        <v>0</v>
      </c>
      <c r="KG98" s="3">
        <f>$H98*factors!KA$3</f>
        <v>0</v>
      </c>
      <c r="KH98" s="3">
        <f>$H98*factors!KB$3</f>
        <v>0</v>
      </c>
      <c r="KI98" s="3">
        <f>$H98*factors!KC$3</f>
        <v>0</v>
      </c>
    </row>
    <row r="99" spans="1:295" x14ac:dyDescent="0.55000000000000004">
      <c r="A99" t="s">
        <v>476</v>
      </c>
      <c r="B99">
        <v>98</v>
      </c>
      <c r="C99">
        <v>230</v>
      </c>
      <c r="D99" t="s">
        <v>377</v>
      </c>
      <c r="E99">
        <v>1.5035E-2</v>
      </c>
      <c r="F99">
        <v>98</v>
      </c>
      <c r="G99">
        <f>VLOOKUP(D99,demand_forecasted!$A$2:$G$11,2)</f>
        <v>11098</v>
      </c>
      <c r="H99" s="3">
        <f t="shared" si="2"/>
        <v>1.6685843</v>
      </c>
      <c r="I99" s="3">
        <f>$H99*factors!C$3</f>
        <v>1.8471228201000001</v>
      </c>
      <c r="J99" s="3">
        <f>$H99*factors!D$3</f>
        <v>1.780446191472</v>
      </c>
      <c r="K99" s="3">
        <f>$H99*factors!E$3</f>
        <v>1.7498109837240001</v>
      </c>
      <c r="L99" s="3">
        <f>$H99*factors!F$3</f>
        <v>1.7444047705920003</v>
      </c>
      <c r="M99" s="3">
        <f>$H99*factors!G$3</f>
        <v>1.742602699548</v>
      </c>
      <c r="N99" s="3">
        <f>$H99*factors!H$3</f>
        <v>1.79306068878</v>
      </c>
      <c r="O99" s="3">
        <f>$H99*factors!I$3</f>
        <v>1.8327062517479999</v>
      </c>
      <c r="P99" s="3">
        <f>$H99*factors!J$3</f>
        <v>1.8543311042760002</v>
      </c>
      <c r="Q99" s="3">
        <f>$H99*factors!K$3</f>
        <v>1.7408006285040001</v>
      </c>
      <c r="R99" s="3">
        <f>$H99*factors!L$3</f>
        <v>1.7119674918000001</v>
      </c>
      <c r="S99" s="3">
        <f>$H99*factors!M$3</f>
        <v>1.7822482625159999</v>
      </c>
      <c r="T99" s="3">
        <f>$H99*factors!N$3</f>
        <v>1.8435186780120001</v>
      </c>
      <c r="U99" s="3">
        <f>$H99*factors!O$3</f>
        <v>1.7462068416360002</v>
      </c>
      <c r="V99" s="3">
        <f>$H99*factors!P$3</f>
        <v>1.8164876123520002</v>
      </c>
      <c r="W99" s="3">
        <f>$H99*factors!Q$3</f>
        <v>1.8327062517479999</v>
      </c>
      <c r="X99" s="3">
        <f>$H99*factors!R$3</f>
        <v>1.7534151258120001</v>
      </c>
      <c r="Y99" s="3">
        <f>$H99*factors!S$3</f>
        <v>1.7371964864160001</v>
      </c>
      <c r="Z99" s="3">
        <f>$H99*factors!T$3</f>
        <v>1.8741538857600004</v>
      </c>
      <c r="AA99" s="3">
        <f>$H99*factors!U$3</f>
        <v>1.7696337652079999</v>
      </c>
      <c r="AB99" s="3">
        <f>$H99*factors!V$3</f>
        <v>1.7714358362520002</v>
      </c>
      <c r="AC99" s="3">
        <f>$H99*factors!W$3</f>
        <v>1.7732379072960003</v>
      </c>
      <c r="AD99" s="3">
        <f>$H99*factors!X$3</f>
        <v>1.7353944153720002</v>
      </c>
      <c r="AE99" s="3">
        <f>$H99*factors!Y$3</f>
        <v>1.7498109837240001</v>
      </c>
      <c r="AF99" s="3">
        <f>$H99*factors!Z$3</f>
        <v>1.7858524046040003</v>
      </c>
      <c r="AG99" s="3">
        <f>$H99*factors!AA$3</f>
        <v>1.7408006285040001</v>
      </c>
      <c r="AH99" s="3">
        <f>$H99*factors!AB$3</f>
        <v>1.7335923443280001</v>
      </c>
      <c r="AI99" s="3">
        <f>$H99*factors!AC$3</f>
        <v>1.789456546692</v>
      </c>
      <c r="AJ99" s="3">
        <f>$H99*factors!AD$3</f>
        <v>1.857935246364</v>
      </c>
      <c r="AK99" s="3">
        <f>$H99*factors!AE$3</f>
        <v>1.7876544756480002</v>
      </c>
      <c r="AL99" s="3">
        <f>$H99*factors!AF$3</f>
        <v>1.7173737049319999</v>
      </c>
      <c r="AM99" s="3">
        <f>$H99*factors!AG$3</f>
        <v>1.7660296231200001</v>
      </c>
      <c r="AN99" s="3">
        <f>$H99*factors!AH$3</f>
        <v>1.7371964864160001</v>
      </c>
      <c r="AO99" s="3">
        <f>$H99*factors!AI$3</f>
        <v>1.8200917544399999</v>
      </c>
      <c r="AP99" s="3">
        <f>$H99*factors!AJ$3</f>
        <v>1.7444047705920003</v>
      </c>
      <c r="AQ99" s="3">
        <f>$H99*factors!AK$3</f>
        <v>1.8002689729560002</v>
      </c>
      <c r="AR99" s="3">
        <f>$H99*factors!AL$3</f>
        <v>1.7606234099880003</v>
      </c>
      <c r="AS99" s="3">
        <f>$H99*factors!AM$3</f>
        <v>1.7173737049319999</v>
      </c>
      <c r="AT99" s="3">
        <f>$H99*factors!AN$3</f>
        <v>1.7714358362520002</v>
      </c>
      <c r="AU99" s="3">
        <f>$H99*factors!AO$3</f>
        <v>1.8759559568039998</v>
      </c>
      <c r="AV99" s="3">
        <f>$H99*factors!AP$3</f>
        <v>1.7732379072960003</v>
      </c>
      <c r="AW99" s="3">
        <f>$H99*factors!AQ$3</f>
        <v>1.755217196856</v>
      </c>
      <c r="AX99" s="3">
        <f>$H99*factors!AR$3</f>
        <v>1.8561331753200001</v>
      </c>
      <c r="AY99" s="3">
        <f>$H99*factors!AS$3</f>
        <v>1.7119674918000001</v>
      </c>
      <c r="AZ99" s="3">
        <f>$H99*factors!AT$3</f>
        <v>1.8345083227920003</v>
      </c>
      <c r="BA99" s="3">
        <f>$H99*factors!AU$3</f>
        <v>1.7948627598239999</v>
      </c>
      <c r="BB99" s="3">
        <f>$H99*factors!AV$3</f>
        <v>1.7714358362520002</v>
      </c>
      <c r="BC99" s="3">
        <f>$H99*factors!AW$3</f>
        <v>1.8741538857600004</v>
      </c>
      <c r="BD99" s="3">
        <f>$H99*factors!AX$3</f>
        <v>1.7299882022399999</v>
      </c>
      <c r="BE99" s="3">
        <f>$H99*factors!AY$3</f>
        <v>2.033904146642</v>
      </c>
      <c r="BF99" s="3">
        <f>$H99*factors!AZ$3</f>
        <v>1.8941101539879999</v>
      </c>
      <c r="BG99" s="3">
        <f>$H99*factors!BA$3</f>
        <v>1.9216751666239997</v>
      </c>
      <c r="BH99" s="3">
        <f>$H99*factors!BB$3</f>
        <v>1.9472712497859999</v>
      </c>
      <c r="BI99" s="3">
        <f>$H99*factors!BC$3</f>
        <v>2.0181527108499995</v>
      </c>
      <c r="BJ99" s="3">
        <f>$H99*factors!BD$3</f>
        <v>1.9275819550459998</v>
      </c>
      <c r="BK99" s="3">
        <f>$H99*factors!BE$3</f>
        <v>1.9315198139939997</v>
      </c>
      <c r="BL99" s="3">
        <f>$H99*factors!BF$3</f>
        <v>1.9098615897799998</v>
      </c>
      <c r="BM99" s="3">
        <f>$H99*factors!BG$3</f>
        <v>2.0398109350640001</v>
      </c>
      <c r="BN99" s="3">
        <f>$H99*factors!BH$3</f>
        <v>2.014214851902</v>
      </c>
      <c r="BO99" s="3">
        <f>$H99*factors!BI$3</f>
        <v>1.8941101539879999</v>
      </c>
      <c r="BP99" s="3">
        <f>$H99*factors!BJ$3</f>
        <v>1.8882033655659998</v>
      </c>
      <c r="BQ99" s="3">
        <f>$H99*factors!BK$3</f>
        <v>1.9197062371499998</v>
      </c>
      <c r="BR99" s="3">
        <f>$H99*factors!BL$3</f>
        <v>1.9886187687399999</v>
      </c>
      <c r="BS99" s="3">
        <f>$H99*factors!BM$3</f>
        <v>2.0201216403240001</v>
      </c>
      <c r="BT99" s="3">
        <f>$H99*factors!BN$3</f>
        <v>2.0260284287459998</v>
      </c>
      <c r="BU99" s="3">
        <f>$H99*factors!BO$3</f>
        <v>2.0595002298040002</v>
      </c>
      <c r="BV99" s="3">
        <f>$H99*factors!BP$3</f>
        <v>1.9157683782019999</v>
      </c>
      <c r="BW99" s="3">
        <f>$H99*factors!BQ$3</f>
        <v>1.9590848266299998</v>
      </c>
      <c r="BX99" s="3">
        <f>$H99*factors!BR$3</f>
        <v>1.9216751666239997</v>
      </c>
      <c r="BY99" s="3">
        <f>$H99*factors!BS$3</f>
        <v>2.0102769929539996</v>
      </c>
      <c r="BZ99" s="3">
        <f>$H99*factors!BT$3</f>
        <v>1.9728673329479998</v>
      </c>
      <c r="CA99" s="3">
        <f>$H99*factors!BU$3</f>
        <v>1.9472712497859999</v>
      </c>
      <c r="CB99" s="3">
        <f>$H99*factors!BV$3</f>
        <v>1.8842655066179999</v>
      </c>
      <c r="CC99" s="3">
        <f>$H99*factors!BW$3</f>
        <v>1.9393955318899998</v>
      </c>
      <c r="CD99" s="3">
        <f>$H99*factors!BX$3</f>
        <v>1.9453023203119999</v>
      </c>
      <c r="CE99" s="3">
        <f>$H99*factors!BY$3</f>
        <v>1.9728673329479998</v>
      </c>
      <c r="CF99" s="3">
        <f>$H99*factors!BZ$3</f>
        <v>1.9433333908380002</v>
      </c>
      <c r="CG99" s="3">
        <f>$H99*factors!CA$3</f>
        <v>1.8783587181959998</v>
      </c>
      <c r="CH99" s="3">
        <f>$H99*factors!CB$3</f>
        <v>1.8803276476699997</v>
      </c>
      <c r="CI99" s="3">
        <f>$H99*factors!CC$3</f>
        <v>1.8704830002999999</v>
      </c>
      <c r="CJ99" s="3">
        <f>$H99*factors!CD$3</f>
        <v>1.9472712497859999</v>
      </c>
      <c r="CK99" s="3">
        <f>$H99*factors!CE$3</f>
        <v>2.033904146642</v>
      </c>
      <c r="CL99" s="3">
        <f>$H99*factors!CF$3</f>
        <v>1.9059237308319998</v>
      </c>
      <c r="CM99" s="3">
        <f>$H99*factors!CG$3</f>
        <v>1.9512091087339998</v>
      </c>
      <c r="CN99" s="3">
        <f>$H99*factors!CH$3</f>
        <v>1.8862344360919998</v>
      </c>
      <c r="CO99" s="3">
        <f>$H99*factors!CI$3</f>
        <v>1.9000169424099997</v>
      </c>
      <c r="CP99" s="3">
        <f>$H99*factors!CJ$3</f>
        <v>1.9905876982139996</v>
      </c>
      <c r="CQ99" s="3">
        <f>$H99*factors!CK$3</f>
        <v>1.9315198139939997</v>
      </c>
      <c r="CR99" s="3">
        <f>$H99*factors!CL$3</f>
        <v>1.9925566276879998</v>
      </c>
      <c r="CS99" s="3">
        <f>$H99*factors!CM$3</f>
        <v>2.0555623708559998</v>
      </c>
      <c r="CT99" s="3">
        <f>$H99*factors!CN$3</f>
        <v>2.0319352171679999</v>
      </c>
      <c r="CU99" s="3">
        <f>$H99*factors!CO$3</f>
        <v>1.9866498392659997</v>
      </c>
      <c r="CV99" s="3">
        <f>$H99*factors!CP$3</f>
        <v>2.0673759477</v>
      </c>
      <c r="CW99" s="3">
        <f>$H99*factors!CQ$3</f>
        <v>1.9551469676820001</v>
      </c>
      <c r="CX99" s="3">
        <f>$H99*factors!CR$3</f>
        <v>1.9256130255719999</v>
      </c>
      <c r="CY99" s="3">
        <f>$H99*factors!CS$3</f>
        <v>1.9078926603059998</v>
      </c>
      <c r="CZ99" s="3">
        <f>$H99*factors!CT$3</f>
        <v>1.8803276476699997</v>
      </c>
      <c r="DA99" s="3">
        <f>$H99*factors!CU$3</f>
        <v>1.952243631</v>
      </c>
      <c r="DB99" s="3">
        <f>$H99*factors!CV$3</f>
        <v>2.0783886040800001</v>
      </c>
      <c r="DC99" s="3">
        <f>$H99*factors!CW$3</f>
        <v>1.9902873530399998</v>
      </c>
      <c r="DD99" s="3">
        <f>$H99*factors!CX$3</f>
        <v>1.9762712449199999</v>
      </c>
      <c r="DE99" s="3">
        <f>$H99*factors!CY$3</f>
        <v>2.03433797856</v>
      </c>
      <c r="DF99" s="3">
        <f>$H99*factors!CZ$3</f>
        <v>2.0303333762399998</v>
      </c>
      <c r="DG99" s="3">
        <f>$H99*factors!DA$3</f>
        <v>2.0223241715999998</v>
      </c>
      <c r="DH99" s="3">
        <f>$H99*factors!DB$3</f>
        <v>2.0223241715999998</v>
      </c>
      <c r="DI99" s="3">
        <f>$H99*factors!DC$3</f>
        <v>1.9462367275199999</v>
      </c>
      <c r="DJ99" s="3">
        <f>$H99*factors!DD$3</f>
        <v>2.0623701948000002</v>
      </c>
      <c r="DK99" s="3">
        <f>$H99*factors!DE$3</f>
        <v>2.0623701948000002</v>
      </c>
      <c r="DL99" s="3">
        <f>$H99*factors!DF$3</f>
        <v>2.0383425808800002</v>
      </c>
      <c r="DM99" s="3">
        <f>$H99*factors!DG$3</f>
        <v>1.9202068124399998</v>
      </c>
      <c r="DN99" s="3">
        <f>$H99*factors!DH$3</f>
        <v>2.0143149669600002</v>
      </c>
      <c r="DO99" s="3">
        <f>$H99*factors!DI$3</f>
        <v>2.0803909052399998</v>
      </c>
      <c r="DP99" s="3">
        <f>$H99*factors!DJ$3</f>
        <v>2.0623701948000002</v>
      </c>
      <c r="DQ99" s="3">
        <f>$H99*factors!DK$3</f>
        <v>1.9662597391199998</v>
      </c>
      <c r="DR99" s="3">
        <f>$H99*factors!DL$3</f>
        <v>1.94423442636</v>
      </c>
      <c r="DS99" s="3">
        <f>$H99*factors!DM$3</f>
        <v>2.10041391684</v>
      </c>
      <c r="DT99" s="3">
        <f>$H99*factors!DN$3</f>
        <v>1.9742689437600001</v>
      </c>
      <c r="DU99" s="3">
        <f>$H99*factors!DO$3</f>
        <v>2.0663747971199999</v>
      </c>
      <c r="DV99" s="3">
        <f>$H99*factors!DP$3</f>
        <v>2.01831956928</v>
      </c>
      <c r="DW99" s="3">
        <f>$H99*factors!DQ$3</f>
        <v>1.9262137159199999</v>
      </c>
      <c r="DX99" s="3">
        <f>$H99*factors!DR$3</f>
        <v>2.0403448820399999</v>
      </c>
      <c r="DY99" s="3">
        <f>$H99*factors!DS$3</f>
        <v>1.9362252217199998</v>
      </c>
      <c r="DZ99" s="3">
        <f>$H99*factors!DT$3</f>
        <v>2.0703793994399997</v>
      </c>
      <c r="EA99" s="3">
        <f>$H99*factors!DU$3</f>
        <v>1.9502413298399996</v>
      </c>
      <c r="EB99" s="3">
        <f>$H99*factors!DV$3</f>
        <v>1.9021861019999999</v>
      </c>
      <c r="EC99" s="3">
        <f>$H99*factors!DW$3</f>
        <v>2.0463517855199997</v>
      </c>
      <c r="ED99" s="3">
        <f>$H99*factors!DX$3</f>
        <v>1.9202068124399998</v>
      </c>
      <c r="EE99" s="3">
        <f>$H99*factors!DY$3</f>
        <v>1.9362252217199998</v>
      </c>
      <c r="EF99" s="3">
        <f>$H99*factors!DZ$3</f>
        <v>2.10041391684</v>
      </c>
      <c r="EG99" s="3">
        <f>$H99*factors!EA$3</f>
        <v>1.9622551367999999</v>
      </c>
      <c r="EH99" s="3">
        <f>$H99*factors!EB$3</f>
        <v>1.96826204028</v>
      </c>
      <c r="EI99" s="3">
        <f>$H99*factors!EC$3</f>
        <v>1.96425743796</v>
      </c>
      <c r="EJ99" s="3">
        <f>$H99*factors!ED$3</f>
        <v>1.9141999089599999</v>
      </c>
      <c r="EK99" s="3">
        <f>$H99*factors!EE$3</f>
        <v>2.0463517855199997</v>
      </c>
      <c r="EL99" s="3">
        <f>$H99*factors!EF$3</f>
        <v>1.9462367275199999</v>
      </c>
      <c r="EM99" s="3">
        <f>$H99*factors!EG$3</f>
        <v>2.0243264727599999</v>
      </c>
      <c r="EN99" s="3">
        <f>$H99*factors!EH$3</f>
        <v>1.9021861019999999</v>
      </c>
      <c r="EO99" s="3">
        <f>$H99*factors!EI$3</f>
        <v>1.9302183182399997</v>
      </c>
      <c r="EP99" s="3">
        <f>$H99*factors!EJ$3</f>
        <v>2.0363402797200001</v>
      </c>
      <c r="EQ99" s="3">
        <f>$H99*factors!EK$3</f>
        <v>1.9802758472399997</v>
      </c>
      <c r="ER99" s="3">
        <f>$H99*factors!EL$3</f>
        <v>2.0623701948000002</v>
      </c>
      <c r="ES99" s="3">
        <f>$H99*factors!EM$3</f>
        <v>2.0363402797200001</v>
      </c>
      <c r="ET99" s="3">
        <f>$H99*factors!EN$3</f>
        <v>2.0823932063999999</v>
      </c>
      <c r="EU99" s="3">
        <f>$H99*factors!EO$3</f>
        <v>2.1024162180000001</v>
      </c>
      <c r="EV99" s="3">
        <f>$H99*factors!EP$3</f>
        <v>1.9702643414399998</v>
      </c>
      <c r="EW99" s="3">
        <f>$H99*factors!EQ$3</f>
        <v>2.1670738596249999</v>
      </c>
      <c r="EX99" s="3">
        <f>$H99*factors!ER$3</f>
        <v>2.1441308255000004</v>
      </c>
      <c r="EY99" s="3">
        <f>$H99*factors!ES$3</f>
        <v>2.1879311633749996</v>
      </c>
      <c r="EZ99" s="3">
        <f>$H99*factors!ET$3</f>
        <v>2.1670738596249999</v>
      </c>
      <c r="FA99" s="3">
        <f>$H99*factors!EU$3</f>
        <v>1.9918725081249997</v>
      </c>
      <c r="FB99" s="3">
        <f>$H99*factors!EV$3</f>
        <v>2.0815589142499999</v>
      </c>
      <c r="FC99" s="3">
        <f>$H99*factors!EW$3</f>
        <v>2.1399593647500001</v>
      </c>
      <c r="FD99" s="3">
        <f>$H99*factors!EX$3</f>
        <v>2.0648730712500001</v>
      </c>
      <c r="FE99" s="3">
        <f>$H99*factors!EY$3</f>
        <v>2.175416781125</v>
      </c>
      <c r="FF99" s="3">
        <f>$H99*factors!EZ$3</f>
        <v>2.1775025115000002</v>
      </c>
      <c r="FG99" s="3">
        <f>$H99*factors!FA$3</f>
        <v>1.9918725081249997</v>
      </c>
      <c r="FH99" s="3">
        <f>$H99*factors!FB$3</f>
        <v>2.0961590268749997</v>
      </c>
      <c r="FI99" s="3">
        <f>$H99*factors!FC$3</f>
        <v>2.1837597026249997</v>
      </c>
      <c r="FJ99" s="3">
        <f>$H99*factors!FD$3</f>
        <v>2.0961590268749997</v>
      </c>
      <c r="FK99" s="3">
        <f>$H99*factors!FE$3</f>
        <v>2.13161644325</v>
      </c>
      <c r="FL99" s="3">
        <f>$H99*factors!FF$3</f>
        <v>2.137873634375</v>
      </c>
      <c r="FM99" s="3">
        <f>$H99*factors!FG$3</f>
        <v>2.1608166684999999</v>
      </c>
      <c r="FN99" s="3">
        <f>$H99*factors!FH$3</f>
        <v>2.021072733375</v>
      </c>
      <c r="FO99" s="3">
        <f>$H99*factors!FI$3</f>
        <v>2.1462165558749997</v>
      </c>
      <c r="FP99" s="3">
        <f>$H99*factors!FJ$3</f>
        <v>2.0857303749999998</v>
      </c>
      <c r="FQ99" s="3">
        <f>$H99*factors!FK$3</f>
        <v>2.0648730712500001</v>
      </c>
      <c r="FR99" s="3">
        <f>$H99*factors!FL$3</f>
        <v>2.10658767875</v>
      </c>
      <c r="FS99" s="3">
        <f>$H99*factors!FM$3</f>
        <v>2.0940732965</v>
      </c>
      <c r="FT99" s="3">
        <f>$H99*factors!FN$3</f>
        <v>2.1399593647500001</v>
      </c>
      <c r="FU99" s="3">
        <f>$H99*factors!FO$3</f>
        <v>2.0565301497499999</v>
      </c>
      <c r="FV99" s="3">
        <f>$H99*factors!FP$3</f>
        <v>2.0398443067500001</v>
      </c>
      <c r="FW99" s="3">
        <f>$H99*factors!FQ$3</f>
        <v>2.1837597026249997</v>
      </c>
      <c r="FX99" s="3">
        <f>$H99*factors!FR$3</f>
        <v>2.1441308255000004</v>
      </c>
      <c r="FY99" s="3">
        <f>$H99*factors!FS$3</f>
        <v>2.1003304876249995</v>
      </c>
      <c r="FZ99" s="3">
        <f>$H99*factors!FT$3</f>
        <v>1.996043968875</v>
      </c>
      <c r="GA99" s="3">
        <f>$H99*factors!FU$3</f>
        <v>2.1003304876249995</v>
      </c>
      <c r="GB99" s="3">
        <f>$H99*factors!FV$3</f>
        <v>2.1775025115000002</v>
      </c>
      <c r="GC99" s="3">
        <f>$H99*factors!FW$3</f>
        <v>2.0398443067500001</v>
      </c>
      <c r="GD99" s="3">
        <f>$H99*factors!FX$3</f>
        <v>2.0753017231249999</v>
      </c>
      <c r="GE99" s="3">
        <f>$H99*factors!FY$3</f>
        <v>2.0753017231249999</v>
      </c>
      <c r="GF99" s="3">
        <f>$H99*factors!FZ$3</f>
        <v>2.0690445319999999</v>
      </c>
      <c r="GG99" s="3">
        <f>$H99*factors!GA$3</f>
        <v>1.9877010473749999</v>
      </c>
      <c r="GH99" s="3">
        <f>$H99*factors!GB$3</f>
        <v>2.1149306002500001</v>
      </c>
      <c r="GI99" s="3">
        <f>$H99*factors!GC$3</f>
        <v>1.983529586625</v>
      </c>
      <c r="GJ99" s="3">
        <f>$H99*factors!GD$3</f>
        <v>1.9877010473749999</v>
      </c>
      <c r="GK99" s="3">
        <f>$H99*factors!GE$3</f>
        <v>2.0377585763749999</v>
      </c>
      <c r="GL99" s="3">
        <f>$H99*factors!GF$3</f>
        <v>2.1587309381250002</v>
      </c>
      <c r="GM99" s="3">
        <f>$H99*factors!GG$3</f>
        <v>2.0461014978750001</v>
      </c>
      <c r="GN99" s="3">
        <f>$H99*factors!GH$3</f>
        <v>2.1107591395000003</v>
      </c>
      <c r="GO99" s="3">
        <f>$H99*factors!GI$3</f>
        <v>1.9939582384999996</v>
      </c>
      <c r="GP99" s="3">
        <f>$H99*factors!GJ$3</f>
        <v>2.137873634375</v>
      </c>
      <c r="GQ99" s="3">
        <f>$H99*factors!GK$3</f>
        <v>2.18167397225</v>
      </c>
      <c r="GR99" s="3">
        <f>$H99*factors!GL$3</f>
        <v>2.1399593647500001</v>
      </c>
      <c r="GS99" s="3">
        <f>$H99*factors!GM$3</f>
        <v>2.023742468255</v>
      </c>
      <c r="GT99" s="3">
        <f>$H99*factors!GN$3</f>
        <v>2.070362713597</v>
      </c>
      <c r="GU99" s="3">
        <f>$H99*factors!GO$3</f>
        <v>2.119102061</v>
      </c>
      <c r="GV99" s="3">
        <f>$H99*factors!GP$3</f>
        <v>2.03433797856</v>
      </c>
      <c r="GW99" s="3">
        <f>$H99*factors!GQ$3</f>
        <v>2.106387448634</v>
      </c>
      <c r="GX99" s="3">
        <f>$H99*factors!GR$3</f>
        <v>2.072481815658</v>
      </c>
      <c r="GY99" s="3">
        <f>$H99*factors!GS$3</f>
        <v>2.0618863053530001</v>
      </c>
      <c r="GZ99" s="3">
        <f>$H99*factors!GT$3</f>
        <v>2.1381739795489998</v>
      </c>
      <c r="HA99" s="3">
        <f>$H99*factors!GU$3</f>
        <v>2.0682436115359999</v>
      </c>
      <c r="HB99" s="3">
        <f>$H99*factors!GV$3</f>
        <v>2.1381739795489998</v>
      </c>
      <c r="HC99" s="3">
        <f>$H99*factors!GW$3</f>
        <v>2.0851964280240001</v>
      </c>
      <c r="HD99" s="3">
        <f>$H99*factors!GX$3</f>
        <v>2.1466503877929997</v>
      </c>
      <c r="HE99" s="3">
        <f>$H99*factors!GY$3</f>
        <v>2.119102061</v>
      </c>
      <c r="HF99" s="3">
        <f>$H99*factors!GZ$3</f>
        <v>2.1847942248909997</v>
      </c>
      <c r="HG99" s="3">
        <f>$H99*factors!HA$3</f>
        <v>2.1000301424510002</v>
      </c>
      <c r="HH99" s="3">
        <f>$H99*factors!HB$3</f>
        <v>2.072481815658</v>
      </c>
      <c r="HI99" s="3">
        <f>$H99*factors!HC$3</f>
        <v>2.047052590926</v>
      </c>
      <c r="HJ99" s="3">
        <f>$H99*factors!HD$3</f>
        <v>2.023742468255</v>
      </c>
      <c r="HK99" s="3">
        <f>$H99*factors!HE$3</f>
        <v>2.1402930816099999</v>
      </c>
      <c r="HL99" s="3">
        <f>$H99*factors!HF$3</f>
        <v>2.0173851620719998</v>
      </c>
      <c r="HM99" s="3">
        <f>$H99*factors!HG$3</f>
        <v>2.0385761826820001</v>
      </c>
      <c r="HN99" s="3">
        <f>$H99*factors!HH$3</f>
        <v>2.1741987145860002</v>
      </c>
      <c r="HO99" s="3">
        <f>$H99*factors!HI$3</f>
        <v>2.0851964280240001</v>
      </c>
      <c r="HP99" s="3">
        <f>$H99*factors!HJ$3</f>
        <v>2.2250571640500003</v>
      </c>
      <c r="HQ99" s="3">
        <f>$H99*factors!HK$3</f>
        <v>2.03433797856</v>
      </c>
      <c r="HR99" s="3">
        <f>$H99*factors!HL$3</f>
        <v>2.157245898098</v>
      </c>
      <c r="HS99" s="3">
        <f>$H99*factors!HM$3</f>
        <v>2.1953897351960001</v>
      </c>
      <c r="HT99" s="3">
        <f>$H99*factors!HN$3</f>
        <v>2.047052590926</v>
      </c>
      <c r="HU99" s="3">
        <f>$H99*factors!HO$3</f>
        <v>2.0682436115359999</v>
      </c>
      <c r="HV99" s="3">
        <f>$H99*factors!HP$3</f>
        <v>2.0936728362680004</v>
      </c>
      <c r="HW99" s="3">
        <f>$H99*factors!HQ$3</f>
        <v>2.1233402651220001</v>
      </c>
      <c r="HX99" s="3">
        <f>$H99*factors!HR$3</f>
        <v>2.2102234496229998</v>
      </c>
      <c r="HY99" s="3">
        <f>$H99*factors!HS$3</f>
        <v>2.1000301424510002</v>
      </c>
      <c r="HZ99" s="3">
        <f>$H99*factors!HT$3</f>
        <v>2.180556020769</v>
      </c>
      <c r="IA99" s="3">
        <f>$H99*factors!HU$3</f>
        <v>2.0746009177190001</v>
      </c>
      <c r="IB99" s="3">
        <f>$H99*factors!HV$3</f>
        <v>2.1466503877929997</v>
      </c>
      <c r="IC99" s="3">
        <f>$H99*factors!HW$3</f>
        <v>2.167841408403</v>
      </c>
      <c r="ID99" s="3">
        <f>$H99*factors!HX$3</f>
        <v>2.0131469579499996</v>
      </c>
      <c r="IE99" s="3">
        <f>$H99*factors!HY$3</f>
        <v>2.1381739795489998</v>
      </c>
      <c r="IF99" s="3">
        <f>$H99*factors!HZ$3</f>
        <v>2.1254593671829998</v>
      </c>
      <c r="IG99" s="3">
        <f>$H99*factors!IA$3</f>
        <v>2.106387448634</v>
      </c>
      <c r="IH99" s="3">
        <f>$H99*factors!IB$3</f>
        <v>2.1847942248909997</v>
      </c>
      <c r="II99" s="3">
        <f>$H99*factors!IC$3</f>
        <v>2.0915537342069999</v>
      </c>
      <c r="IJ99" s="3">
        <f>$H99*factors!ID$3</f>
        <v>2.1106256527560001</v>
      </c>
      <c r="IK99" s="3">
        <f>$H99*factors!IE$3</f>
        <v>2.1869133269520002</v>
      </c>
      <c r="IL99" s="3">
        <f>$H99*factors!IF$3</f>
        <v>2.0936728362680004</v>
      </c>
      <c r="IM99" s="3">
        <f>$H99*factors!IG$3</f>
        <v>2.0746009177190001</v>
      </c>
      <c r="IN99" s="3">
        <f>$H99*factors!IH$3</f>
        <v>2.0873155300850001</v>
      </c>
      <c r="IO99" s="3">
        <f>$H99*factors!II$3</f>
        <v>2.108506550695</v>
      </c>
      <c r="IP99" s="3">
        <f>$H99*factors!IJ$3</f>
        <v>2.0385761826820001</v>
      </c>
      <c r="IQ99" s="3">
        <f>$H99*factors!IK$3</f>
        <v>2.0322188764989999</v>
      </c>
      <c r="IR99" s="3">
        <f>$H99*factors!IL$3</f>
        <v>2.0915537342069999</v>
      </c>
      <c r="IS99" s="3">
        <f>$H99*factors!IM$3</f>
        <v>2.108506550695</v>
      </c>
      <c r="IT99" s="3">
        <f>$H99*factors!IN$3</f>
        <v>2.1233402651220001</v>
      </c>
      <c r="IU99" s="3">
        <f>$H99*factors!IO$3</f>
        <v>2.1699605104640001</v>
      </c>
      <c r="IV99" s="3">
        <f>$H99*factors!IP$3</f>
        <v>2.1975088372569997</v>
      </c>
      <c r="IW99" s="3">
        <f>$H99*factors!IQ$3</f>
        <v>2.0767200197799998</v>
      </c>
      <c r="IX99" s="3">
        <f>$H99*factors!IR$3</f>
        <v>2.1699605104640001</v>
      </c>
      <c r="IY99" s="3">
        <f>$H99*factors!IS$3</f>
        <v>2.1381739795489998</v>
      </c>
      <c r="IZ99" s="3">
        <f>$H99*factors!IT$3</f>
        <v>2.1741987145860002</v>
      </c>
      <c r="JA99" s="3">
        <f>$H99*factors!IU$3</f>
        <v>2.0534098971089998</v>
      </c>
      <c r="JB99" s="3">
        <f>$H99*factors!IV$3</f>
        <v>2.0915537342069999</v>
      </c>
      <c r="JC99" s="3">
        <f>$H99*factors!IW$3</f>
        <v>2.0428143868040003</v>
      </c>
      <c r="JD99" s="3">
        <f>$H99*factors!IX$3</f>
        <v>2.2250571640500003</v>
      </c>
      <c r="JE99" s="3">
        <f>$H99*factors!IY$3</f>
        <v>2.0491716929870001</v>
      </c>
      <c r="JF99" s="3">
        <f>$H99*factors!IZ$3</f>
        <v>2.1508885919149998</v>
      </c>
      <c r="JG99" s="3">
        <f>$H99*factors!JA$3</f>
        <v>2.1127447548169997</v>
      </c>
      <c r="JH99" s="3">
        <f>$H99*factors!JB$3</f>
        <v>2.1530076939760003</v>
      </c>
      <c r="JI99" s="3">
        <f>$H99*factors!JC$3</f>
        <v>2.0152660600110002</v>
      </c>
      <c r="JJ99" s="3">
        <f>$H99*factors!JD$3</f>
        <v>2.1699605104640001</v>
      </c>
      <c r="JK99" s="3">
        <f>$H99*factors!JE$3</f>
        <v>2.1000301424510002</v>
      </c>
      <c r="JL99" s="3">
        <f>$H99*factors!JF$3</f>
        <v>2.1847942248909997</v>
      </c>
      <c r="JM99" s="3">
        <f>$H99*factors!JG$3</f>
        <v>2.0385761826820001</v>
      </c>
      <c r="JN99" s="3">
        <f>$H99*factors!JH$3</f>
        <v>2.0385761826820001</v>
      </c>
      <c r="JO99" s="3">
        <f>$H99*factors!JI$3</f>
        <v>2.0131469579499996</v>
      </c>
      <c r="JP99" s="3">
        <f>$H99*factors!JJ$3</f>
        <v>2.1763178166469999</v>
      </c>
      <c r="JQ99" s="3">
        <f>$H99*factors!JK$3</f>
        <v>2.1212211630610001</v>
      </c>
      <c r="JR99" s="3">
        <f>$H99*factors!JL$3</f>
        <v>2.20386614344</v>
      </c>
      <c r="JS99" s="3">
        <f>$H99*factors!JM$3</f>
        <v>2.0131469579499996</v>
      </c>
      <c r="JT99" s="3">
        <f>$H99*factors!JN$3</f>
        <v>2.1148638568780003</v>
      </c>
      <c r="JU99" s="3">
        <f>$H99*factors!JO$3</f>
        <v>2.0449334888649999</v>
      </c>
      <c r="JV99" s="3">
        <f>$H99*factors!JP$3</f>
        <v>2.0788391218410003</v>
      </c>
      <c r="JW99" s="3">
        <f>$H99*factors!JQ$3</f>
        <v>2.2208189599280002</v>
      </c>
      <c r="JX99" s="3">
        <f>$H99*factors!JR$3</f>
        <v>2.1996279393179998</v>
      </c>
      <c r="JY99" s="3">
        <f>$H99*factors!JS$3</f>
        <v>2.070362713597</v>
      </c>
      <c r="JZ99" s="3">
        <f>$H99*factors!JT$3</f>
        <v>2.0936728362680004</v>
      </c>
      <c r="KA99" s="3">
        <f>$H99*factors!JU$3</f>
        <v>2.1021492445120002</v>
      </c>
      <c r="KB99" s="3">
        <f>$H99*factors!JV$3</f>
        <v>2.0322188764989999</v>
      </c>
      <c r="KC99" s="3">
        <f>$H99*factors!JW$3</f>
        <v>2.0428143868040003</v>
      </c>
      <c r="KD99" s="3">
        <f>$H99*factors!JX$3</f>
        <v>2.0449334888649999</v>
      </c>
      <c r="KE99" s="3">
        <f>$H99*factors!JY$3</f>
        <v>2.1763178166469999</v>
      </c>
      <c r="KF99" s="3">
        <f>$H99*factors!JZ$3</f>
        <v>2.2017470413789999</v>
      </c>
      <c r="KG99" s="3">
        <f>$H99*factors!KA$3</f>
        <v>2.1233402651220001</v>
      </c>
      <c r="KH99" s="3">
        <f>$H99*factors!KB$3</f>
        <v>2.0767200197799998</v>
      </c>
      <c r="KI99" s="3">
        <f>$H99*factors!KC$3</f>
        <v>2.0576481012309999</v>
      </c>
    </row>
    <row r="100" spans="1:295" x14ac:dyDescent="0.55000000000000004">
      <c r="A100" t="s">
        <v>477</v>
      </c>
      <c r="B100">
        <v>99</v>
      </c>
      <c r="C100">
        <v>500</v>
      </c>
      <c r="D100" t="s">
        <v>377</v>
      </c>
      <c r="E100">
        <v>1.0917E-2</v>
      </c>
      <c r="F100">
        <v>99</v>
      </c>
      <c r="G100">
        <f>VLOOKUP(D100,demand_forecasted!$A$2:$G$11,2)</f>
        <v>11098</v>
      </c>
      <c r="H100" s="3">
        <f t="shared" si="2"/>
        <v>1.21156866</v>
      </c>
      <c r="I100" s="3">
        <f>$H100*factors!C$3</f>
        <v>1.3412065066199998</v>
      </c>
      <c r="J100" s="3">
        <f>$H100*factors!D$3</f>
        <v>1.2927922229664</v>
      </c>
      <c r="K100" s="3">
        <f>$H100*factors!E$3</f>
        <v>1.2705478223688</v>
      </c>
      <c r="L100" s="3">
        <f>$H100*factors!F$3</f>
        <v>1.2666223399104002</v>
      </c>
      <c r="M100" s="3">
        <f>$H100*factors!G$3</f>
        <v>1.2653138457575999</v>
      </c>
      <c r="N100" s="3">
        <f>$H100*factors!H$3</f>
        <v>1.301951682036</v>
      </c>
      <c r="O100" s="3">
        <f>$H100*factors!I$3</f>
        <v>1.3307385533975999</v>
      </c>
      <c r="P100" s="3">
        <f>$H100*factors!J$3</f>
        <v>1.3464404832312</v>
      </c>
      <c r="Q100" s="3">
        <f>$H100*factors!K$3</f>
        <v>1.2640053516048</v>
      </c>
      <c r="R100" s="3">
        <f>$H100*factors!L$3</f>
        <v>1.24306944516</v>
      </c>
      <c r="S100" s="3">
        <f>$H100*factors!M$3</f>
        <v>1.2941007171191998</v>
      </c>
      <c r="T100" s="3">
        <f>$H100*factors!N$3</f>
        <v>1.3385895183144001</v>
      </c>
      <c r="U100" s="3">
        <f>$H100*factors!O$3</f>
        <v>1.2679308340632001</v>
      </c>
      <c r="V100" s="3">
        <f>$H100*factors!P$3</f>
        <v>1.3189621060223999</v>
      </c>
      <c r="W100" s="3">
        <f>$H100*factors!Q$3</f>
        <v>1.3307385533975999</v>
      </c>
      <c r="X100" s="3">
        <f>$H100*factors!R$3</f>
        <v>1.2731648106744</v>
      </c>
      <c r="Y100" s="3">
        <f>$H100*factors!S$3</f>
        <v>1.2613883632992</v>
      </c>
      <c r="Z100" s="3">
        <f>$H100*factors!T$3</f>
        <v>1.3608339189120002</v>
      </c>
      <c r="AA100" s="3">
        <f>$H100*factors!U$3</f>
        <v>1.2849412580495998</v>
      </c>
      <c r="AB100" s="3">
        <f>$H100*factors!V$3</f>
        <v>1.2862497522024001</v>
      </c>
      <c r="AC100" s="3">
        <f>$H100*factors!W$3</f>
        <v>1.2875582463552</v>
      </c>
      <c r="AD100" s="3">
        <f>$H100*factors!X$3</f>
        <v>1.2600798691464001</v>
      </c>
      <c r="AE100" s="3">
        <f>$H100*factors!Y$3</f>
        <v>1.2705478223688</v>
      </c>
      <c r="AF100" s="3">
        <f>$H100*factors!Z$3</f>
        <v>1.2967177054248</v>
      </c>
      <c r="AG100" s="3">
        <f>$H100*factors!AA$3</f>
        <v>1.2640053516048</v>
      </c>
      <c r="AH100" s="3">
        <f>$H100*factors!AB$3</f>
        <v>1.2587713749936</v>
      </c>
      <c r="AI100" s="3">
        <f>$H100*factors!AC$3</f>
        <v>1.2993346937304</v>
      </c>
      <c r="AJ100" s="3">
        <f>$H100*factors!AD$3</f>
        <v>1.3490574715368</v>
      </c>
      <c r="AK100" s="3">
        <f>$H100*factors!AE$3</f>
        <v>1.2980261995776001</v>
      </c>
      <c r="AL100" s="3">
        <f>$H100*factors!AF$3</f>
        <v>1.2469949276183998</v>
      </c>
      <c r="AM100" s="3">
        <f>$H100*factors!AG$3</f>
        <v>1.282324269744</v>
      </c>
      <c r="AN100" s="3">
        <f>$H100*factors!AH$3</f>
        <v>1.2613883632992</v>
      </c>
      <c r="AO100" s="3">
        <f>$H100*factors!AI$3</f>
        <v>1.3215790943279999</v>
      </c>
      <c r="AP100" s="3">
        <f>$H100*factors!AJ$3</f>
        <v>1.2666223399104002</v>
      </c>
      <c r="AQ100" s="3">
        <f>$H100*factors!AK$3</f>
        <v>1.3071856586472002</v>
      </c>
      <c r="AR100" s="3">
        <f>$H100*factors!AL$3</f>
        <v>1.2783987872856002</v>
      </c>
      <c r="AS100" s="3">
        <f>$H100*factors!AM$3</f>
        <v>1.2469949276183998</v>
      </c>
      <c r="AT100" s="3">
        <f>$H100*factors!AN$3</f>
        <v>1.2862497522024001</v>
      </c>
      <c r="AU100" s="3">
        <f>$H100*factors!AO$3</f>
        <v>1.3621424130647999</v>
      </c>
      <c r="AV100" s="3">
        <f>$H100*factors!AP$3</f>
        <v>1.2875582463552</v>
      </c>
      <c r="AW100" s="3">
        <f>$H100*factors!AQ$3</f>
        <v>1.2744733048271999</v>
      </c>
      <c r="AX100" s="3">
        <f>$H100*factors!AR$3</f>
        <v>1.3477489773840001</v>
      </c>
      <c r="AY100" s="3">
        <f>$H100*factors!AS$3</f>
        <v>1.24306944516</v>
      </c>
      <c r="AZ100" s="3">
        <f>$H100*factors!AT$3</f>
        <v>1.3320470475504003</v>
      </c>
      <c r="BA100" s="3">
        <f>$H100*factors!AU$3</f>
        <v>1.3032601761887999</v>
      </c>
      <c r="BB100" s="3">
        <f>$H100*factors!AV$3</f>
        <v>1.2862497522024001</v>
      </c>
      <c r="BC100" s="3">
        <f>$H100*factors!AW$3</f>
        <v>1.3608339189120002</v>
      </c>
      <c r="BD100" s="3">
        <f>$H100*factors!AX$3</f>
        <v>1.2561543866879998</v>
      </c>
      <c r="BE100" s="3">
        <f>$H100*factors!AY$3</f>
        <v>1.4768295024203999</v>
      </c>
      <c r="BF100" s="3">
        <f>$H100*factors!AZ$3</f>
        <v>1.3753242800855998</v>
      </c>
      <c r="BG100" s="3">
        <f>$H100*factors!BA$3</f>
        <v>1.3953393943487997</v>
      </c>
      <c r="BH100" s="3">
        <f>$H100*factors!BB$3</f>
        <v>1.4139248575932</v>
      </c>
      <c r="BI100" s="3">
        <f>$H100*factors!BC$3</f>
        <v>1.4653922942699997</v>
      </c>
      <c r="BJ100" s="3">
        <f>$H100*factors!BD$3</f>
        <v>1.3996283474051998</v>
      </c>
      <c r="BK100" s="3">
        <f>$H100*factors!BE$3</f>
        <v>1.4024876494427998</v>
      </c>
      <c r="BL100" s="3">
        <f>$H100*factors!BF$3</f>
        <v>1.3867614882359998</v>
      </c>
      <c r="BM100" s="3">
        <f>$H100*factors!BG$3</f>
        <v>1.4811184554768</v>
      </c>
      <c r="BN100" s="3">
        <f>$H100*factors!BH$3</f>
        <v>1.4625329922323997</v>
      </c>
      <c r="BO100" s="3">
        <f>$H100*factors!BI$3</f>
        <v>1.3753242800855998</v>
      </c>
      <c r="BP100" s="3">
        <f>$H100*factors!BJ$3</f>
        <v>1.3710353270291997</v>
      </c>
      <c r="BQ100" s="3">
        <f>$H100*factors!BK$3</f>
        <v>1.3939097433299998</v>
      </c>
      <c r="BR100" s="3">
        <f>$H100*factors!BL$3</f>
        <v>1.4439475289879999</v>
      </c>
      <c r="BS100" s="3">
        <f>$H100*factors!BM$3</f>
        <v>1.4668219452887998</v>
      </c>
      <c r="BT100" s="3">
        <f>$H100*factors!BN$3</f>
        <v>1.4711108983451997</v>
      </c>
      <c r="BU100" s="3">
        <f>$H100*factors!BO$3</f>
        <v>1.4954149656647999</v>
      </c>
      <c r="BV100" s="3">
        <f>$H100*factors!BP$3</f>
        <v>1.3910504412923999</v>
      </c>
      <c r="BW100" s="3">
        <f>$H100*factors!BQ$3</f>
        <v>1.4225027637059999</v>
      </c>
      <c r="BX100" s="3">
        <f>$H100*factors!BR$3</f>
        <v>1.3953393943487997</v>
      </c>
      <c r="BY100" s="3">
        <f>$H100*factors!BS$3</f>
        <v>1.4596736901947995</v>
      </c>
      <c r="BZ100" s="3">
        <f>$H100*factors!BT$3</f>
        <v>1.4325103208375998</v>
      </c>
      <c r="CA100" s="3">
        <f>$H100*factors!BU$3</f>
        <v>1.4139248575932</v>
      </c>
      <c r="CB100" s="3">
        <f>$H100*factors!BV$3</f>
        <v>1.3681760249916</v>
      </c>
      <c r="CC100" s="3">
        <f>$H100*factors!BW$3</f>
        <v>1.4082062535179998</v>
      </c>
      <c r="CD100" s="3">
        <f>$H100*factors!BX$3</f>
        <v>1.4124952065743999</v>
      </c>
      <c r="CE100" s="3">
        <f>$H100*factors!BY$3</f>
        <v>1.4325103208375998</v>
      </c>
      <c r="CF100" s="3">
        <f>$H100*factors!BZ$3</f>
        <v>1.4110655555556</v>
      </c>
      <c r="CG100" s="3">
        <f>$H100*factors!CA$3</f>
        <v>1.3638870719351996</v>
      </c>
      <c r="CH100" s="3">
        <f>$H100*factors!CB$3</f>
        <v>1.3653167229539998</v>
      </c>
      <c r="CI100" s="3">
        <f>$H100*factors!CC$3</f>
        <v>1.3581684678599999</v>
      </c>
      <c r="CJ100" s="3">
        <f>$H100*factors!CD$3</f>
        <v>1.4139248575932</v>
      </c>
      <c r="CK100" s="3">
        <f>$H100*factors!CE$3</f>
        <v>1.4768295024203999</v>
      </c>
      <c r="CL100" s="3">
        <f>$H100*factors!CF$3</f>
        <v>1.3839021861983998</v>
      </c>
      <c r="CM100" s="3">
        <f>$H100*factors!CG$3</f>
        <v>1.4167841596307997</v>
      </c>
      <c r="CN100" s="3">
        <f>$H100*factors!CH$3</f>
        <v>1.3696056760103998</v>
      </c>
      <c r="CO100" s="3">
        <f>$H100*factors!CI$3</f>
        <v>1.3796132331419997</v>
      </c>
      <c r="CP100" s="3">
        <f>$H100*factors!CJ$3</f>
        <v>1.4453771800067996</v>
      </c>
      <c r="CQ100" s="3">
        <f>$H100*factors!CK$3</f>
        <v>1.4024876494427998</v>
      </c>
      <c r="CR100" s="3">
        <f>$H100*factors!CL$3</f>
        <v>1.4468068310255999</v>
      </c>
      <c r="CS100" s="3">
        <f>$H100*factors!CM$3</f>
        <v>1.4925556636271999</v>
      </c>
      <c r="CT100" s="3">
        <f>$H100*factors!CN$3</f>
        <v>1.4753998514015998</v>
      </c>
      <c r="CU100" s="3">
        <f>$H100*factors!CO$3</f>
        <v>1.4425178779691996</v>
      </c>
      <c r="CV100" s="3">
        <f>$H100*factors!CP$3</f>
        <v>1.5011335697399999</v>
      </c>
      <c r="CW100" s="3">
        <f>$H100*factors!CQ$3</f>
        <v>1.4196434616683999</v>
      </c>
      <c r="CX100" s="3">
        <f>$H100*factors!CR$3</f>
        <v>1.3981986963863999</v>
      </c>
      <c r="CY100" s="3">
        <f>$H100*factors!CS$3</f>
        <v>1.3853318372171999</v>
      </c>
      <c r="CZ100" s="3">
        <f>$H100*factors!CT$3</f>
        <v>1.3653167229539998</v>
      </c>
      <c r="DA100" s="3">
        <f>$H100*factors!CU$3</f>
        <v>1.4175353321999999</v>
      </c>
      <c r="DB100" s="3">
        <f>$H100*factors!CV$3</f>
        <v>1.509129922896</v>
      </c>
      <c r="DC100" s="3">
        <f>$H100*factors!CW$3</f>
        <v>1.4451590976479998</v>
      </c>
      <c r="DD100" s="3">
        <f>$H100*factors!CX$3</f>
        <v>1.4349819209039998</v>
      </c>
      <c r="DE100" s="3">
        <f>$H100*factors!CY$3</f>
        <v>1.477144510272</v>
      </c>
      <c r="DF100" s="3">
        <f>$H100*factors!CZ$3</f>
        <v>1.4742367454879999</v>
      </c>
      <c r="DG100" s="3">
        <f>$H100*factors!DA$3</f>
        <v>1.4684212159199999</v>
      </c>
      <c r="DH100" s="3">
        <f>$H100*factors!DB$3</f>
        <v>1.4684212159199999</v>
      </c>
      <c r="DI100" s="3">
        <f>$H100*factors!DC$3</f>
        <v>1.4131736850239998</v>
      </c>
      <c r="DJ100" s="3">
        <f>$H100*factors!DD$3</f>
        <v>1.49749886376</v>
      </c>
      <c r="DK100" s="3">
        <f>$H100*factors!DE$3</f>
        <v>1.49749886376</v>
      </c>
      <c r="DL100" s="3">
        <f>$H100*factors!DF$3</f>
        <v>1.4800522750559999</v>
      </c>
      <c r="DM100" s="3">
        <f>$H100*factors!DG$3</f>
        <v>1.3942732139279999</v>
      </c>
      <c r="DN100" s="3">
        <f>$H100*factors!DH$3</f>
        <v>1.4626056863520001</v>
      </c>
      <c r="DO100" s="3">
        <f>$H100*factors!DI$3</f>
        <v>1.5105838052879998</v>
      </c>
      <c r="DP100" s="3">
        <f>$H100*factors!DJ$3</f>
        <v>1.49749886376</v>
      </c>
      <c r="DQ100" s="3">
        <f>$H100*factors!DK$3</f>
        <v>1.4277125089439999</v>
      </c>
      <c r="DR100" s="3">
        <f>$H100*factors!DL$3</f>
        <v>1.4117198026319999</v>
      </c>
      <c r="DS100" s="3">
        <f>$H100*factors!DM$3</f>
        <v>1.5251226292079998</v>
      </c>
      <c r="DT100" s="3">
        <f>$H100*factors!DN$3</f>
        <v>1.4335280385119999</v>
      </c>
      <c r="DU100" s="3">
        <f>$H100*factors!DO$3</f>
        <v>1.5004066285439999</v>
      </c>
      <c r="DV100" s="3">
        <f>$H100*factors!DP$3</f>
        <v>1.465513451136</v>
      </c>
      <c r="DW100" s="3">
        <f>$H100*factors!DQ$3</f>
        <v>1.3986348611039998</v>
      </c>
      <c r="DX100" s="3">
        <f>$H100*factors!DR$3</f>
        <v>1.4815061574479997</v>
      </c>
      <c r="DY100" s="3">
        <f>$H100*factors!DS$3</f>
        <v>1.4059042730639999</v>
      </c>
      <c r="DZ100" s="3">
        <f>$H100*factors!DT$3</f>
        <v>1.5033143933279998</v>
      </c>
      <c r="EA100" s="3">
        <f>$H100*factors!DU$3</f>
        <v>1.4160814498079997</v>
      </c>
      <c r="EB100" s="3">
        <f>$H100*factors!DV$3</f>
        <v>1.3811882723999998</v>
      </c>
      <c r="EC100" s="3">
        <f>$H100*factors!DW$3</f>
        <v>1.4858678046239999</v>
      </c>
      <c r="ED100" s="3">
        <f>$H100*factors!DX$3</f>
        <v>1.3942732139279999</v>
      </c>
      <c r="EE100" s="3">
        <f>$H100*factors!DY$3</f>
        <v>1.4059042730639999</v>
      </c>
      <c r="EF100" s="3">
        <f>$H100*factors!DZ$3</f>
        <v>1.5251226292079998</v>
      </c>
      <c r="EG100" s="3">
        <f>$H100*factors!EA$3</f>
        <v>1.4248047441599998</v>
      </c>
      <c r="EH100" s="3">
        <f>$H100*factors!EB$3</f>
        <v>1.429166391336</v>
      </c>
      <c r="EI100" s="3">
        <f>$H100*factors!EC$3</f>
        <v>1.4262586265520001</v>
      </c>
      <c r="EJ100" s="3">
        <f>$H100*factors!ED$3</f>
        <v>1.3899115667519999</v>
      </c>
      <c r="EK100" s="3">
        <f>$H100*factors!EE$3</f>
        <v>1.4858678046239999</v>
      </c>
      <c r="EL100" s="3">
        <f>$H100*factors!EF$3</f>
        <v>1.4131736850239998</v>
      </c>
      <c r="EM100" s="3">
        <f>$H100*factors!EG$3</f>
        <v>1.4698750983119997</v>
      </c>
      <c r="EN100" s="3">
        <f>$H100*factors!EH$3</f>
        <v>1.3811882723999998</v>
      </c>
      <c r="EO100" s="3">
        <f>$H100*factors!EI$3</f>
        <v>1.4015426258879997</v>
      </c>
      <c r="EP100" s="3">
        <f>$H100*factors!EJ$3</f>
        <v>1.4785983926639998</v>
      </c>
      <c r="EQ100" s="3">
        <f>$H100*factors!EK$3</f>
        <v>1.4378896856879997</v>
      </c>
      <c r="ER100" s="3">
        <f>$H100*factors!EL$3</f>
        <v>1.49749886376</v>
      </c>
      <c r="ES100" s="3">
        <f>$H100*factors!EM$3</f>
        <v>1.4785983926639998</v>
      </c>
      <c r="ET100" s="3">
        <f>$H100*factors!EN$3</f>
        <v>1.5120376876799999</v>
      </c>
      <c r="EU100" s="3">
        <f>$H100*factors!EO$3</f>
        <v>1.5265765116000001</v>
      </c>
      <c r="EV100" s="3">
        <f>$H100*factors!EP$3</f>
        <v>1.4306202737279998</v>
      </c>
      <c r="EW100" s="3">
        <f>$H100*factors!EQ$3</f>
        <v>1.5735247971749997</v>
      </c>
      <c r="EX100" s="3">
        <f>$H100*factors!ER$3</f>
        <v>1.5568657281000002</v>
      </c>
      <c r="EY100" s="3">
        <f>$H100*factors!ES$3</f>
        <v>1.5886694054249997</v>
      </c>
      <c r="EZ100" s="3">
        <f>$H100*factors!ET$3</f>
        <v>1.5735247971749997</v>
      </c>
      <c r="FA100" s="3">
        <f>$H100*factors!EU$3</f>
        <v>1.4463100878749997</v>
      </c>
      <c r="FB100" s="3">
        <f>$H100*factors!EV$3</f>
        <v>1.5114319033500001</v>
      </c>
      <c r="FC100" s="3">
        <f>$H100*factors!EW$3</f>
        <v>1.5538368064499999</v>
      </c>
      <c r="FD100" s="3">
        <f>$H100*factors!EX$3</f>
        <v>1.49931621675</v>
      </c>
      <c r="FE100" s="3">
        <f>$H100*factors!EY$3</f>
        <v>1.579582640475</v>
      </c>
      <c r="FF100" s="3">
        <f>$H100*factors!EZ$3</f>
        <v>1.5810971013000001</v>
      </c>
      <c r="FG100" s="3">
        <f>$H100*factors!FA$3</f>
        <v>1.4463100878749997</v>
      </c>
      <c r="FH100" s="3">
        <f>$H100*factors!FB$3</f>
        <v>1.5220331291249998</v>
      </c>
      <c r="FI100" s="3">
        <f>$H100*factors!FC$3</f>
        <v>1.5856404837749998</v>
      </c>
      <c r="FJ100" s="3">
        <f>$H100*factors!FD$3</f>
        <v>1.5220331291249998</v>
      </c>
      <c r="FK100" s="3">
        <f>$H100*factors!FE$3</f>
        <v>1.5477789631500001</v>
      </c>
      <c r="FL100" s="3">
        <f>$H100*factors!FF$3</f>
        <v>1.5523223456249999</v>
      </c>
      <c r="FM100" s="3">
        <f>$H100*factors!FG$3</f>
        <v>1.5689814146999999</v>
      </c>
      <c r="FN100" s="3">
        <f>$H100*factors!FH$3</f>
        <v>1.4675125394249999</v>
      </c>
      <c r="FO100" s="3">
        <f>$H100*factors!FI$3</f>
        <v>1.5583801889249997</v>
      </c>
      <c r="FP100" s="3">
        <f>$H100*factors!FJ$3</f>
        <v>1.514460825</v>
      </c>
      <c r="FQ100" s="3">
        <f>$H100*factors!FK$3</f>
        <v>1.49931621675</v>
      </c>
      <c r="FR100" s="3">
        <f>$H100*factors!FL$3</f>
        <v>1.52960543325</v>
      </c>
      <c r="FS100" s="3">
        <f>$H100*factors!FM$3</f>
        <v>1.5205186682999998</v>
      </c>
      <c r="FT100" s="3">
        <f>$H100*factors!FN$3</f>
        <v>1.5538368064499999</v>
      </c>
      <c r="FU100" s="3">
        <f>$H100*factors!FO$3</f>
        <v>1.4932583734499998</v>
      </c>
      <c r="FV100" s="3">
        <f>$H100*factors!FP$3</f>
        <v>1.4811426868499999</v>
      </c>
      <c r="FW100" s="3">
        <f>$H100*factors!FQ$3</f>
        <v>1.5856404837749998</v>
      </c>
      <c r="FX100" s="3">
        <f>$H100*factors!FR$3</f>
        <v>1.5568657281000002</v>
      </c>
      <c r="FY100" s="3">
        <f>$H100*factors!FS$3</f>
        <v>1.5250620507749997</v>
      </c>
      <c r="FZ100" s="3">
        <f>$H100*factors!FT$3</f>
        <v>1.4493390095250001</v>
      </c>
      <c r="GA100" s="3">
        <f>$H100*factors!FU$3</f>
        <v>1.5250620507749997</v>
      </c>
      <c r="GB100" s="3">
        <f>$H100*factors!FV$3</f>
        <v>1.5810971013000001</v>
      </c>
      <c r="GC100" s="3">
        <f>$H100*factors!FW$3</f>
        <v>1.4811426868499999</v>
      </c>
      <c r="GD100" s="3">
        <f>$H100*factors!FX$3</f>
        <v>1.5068885208749998</v>
      </c>
      <c r="GE100" s="3">
        <f>$H100*factors!FY$3</f>
        <v>1.5068885208749998</v>
      </c>
      <c r="GF100" s="3">
        <f>$H100*factors!FZ$3</f>
        <v>1.5023451383999999</v>
      </c>
      <c r="GG100" s="3">
        <f>$H100*factors!GA$3</f>
        <v>1.4432811662249998</v>
      </c>
      <c r="GH100" s="3">
        <f>$H100*factors!GB$3</f>
        <v>1.53566327655</v>
      </c>
      <c r="GI100" s="3">
        <f>$H100*factors!GC$3</f>
        <v>1.4402522445749999</v>
      </c>
      <c r="GJ100" s="3">
        <f>$H100*factors!GD$3</f>
        <v>1.4432811662249998</v>
      </c>
      <c r="GK100" s="3">
        <f>$H100*factors!GE$3</f>
        <v>1.479628226025</v>
      </c>
      <c r="GL100" s="3">
        <f>$H100*factors!GF$3</f>
        <v>1.5674669538749999</v>
      </c>
      <c r="GM100" s="3">
        <f>$H100*factors!GG$3</f>
        <v>1.485686069325</v>
      </c>
      <c r="GN100" s="3">
        <f>$H100*factors!GH$3</f>
        <v>1.5326343549000001</v>
      </c>
      <c r="GO100" s="3">
        <f>$H100*factors!GI$3</f>
        <v>1.4478245486999997</v>
      </c>
      <c r="GP100" s="3">
        <f>$H100*factors!GJ$3</f>
        <v>1.5523223456249999</v>
      </c>
      <c r="GQ100" s="3">
        <f>$H100*factors!GK$3</f>
        <v>1.58412602295</v>
      </c>
      <c r="GR100" s="3">
        <f>$H100*factors!GL$3</f>
        <v>1.5538368064499999</v>
      </c>
      <c r="GS100" s="3">
        <f>$H100*factors!GM$3</f>
        <v>1.469451049281</v>
      </c>
      <c r="GT100" s="3">
        <f>$H100*factors!GN$3</f>
        <v>1.5033022776414</v>
      </c>
      <c r="GU100" s="3">
        <f>$H100*factors!GO$3</f>
        <v>1.5386921981999999</v>
      </c>
      <c r="GV100" s="3">
        <f>$H100*factors!GP$3</f>
        <v>1.477144510272</v>
      </c>
      <c r="GW100" s="3">
        <f>$H100*factors!GQ$3</f>
        <v>1.5294600450108</v>
      </c>
      <c r="GX100" s="3">
        <f>$H100*factors!GR$3</f>
        <v>1.5048409698395999</v>
      </c>
      <c r="GY100" s="3">
        <f>$H100*factors!GS$3</f>
        <v>1.4971475088486002</v>
      </c>
      <c r="GZ100" s="3">
        <f>$H100*factors!GT$3</f>
        <v>1.5525404279837998</v>
      </c>
      <c r="HA100" s="3">
        <f>$H100*factors!GU$3</f>
        <v>1.5017635854431999</v>
      </c>
      <c r="HB100" s="3">
        <f>$H100*factors!GV$3</f>
        <v>1.5525404279837998</v>
      </c>
      <c r="HC100" s="3">
        <f>$H100*factors!GW$3</f>
        <v>1.5140731230287998</v>
      </c>
      <c r="HD100" s="3">
        <f>$H100*factors!GX$3</f>
        <v>1.5586951967765998</v>
      </c>
      <c r="HE100" s="3">
        <f>$H100*factors!GY$3</f>
        <v>1.5386921981999999</v>
      </c>
      <c r="HF100" s="3">
        <f>$H100*factors!GZ$3</f>
        <v>1.5863916563441998</v>
      </c>
      <c r="HG100" s="3">
        <f>$H100*factors!HA$3</f>
        <v>1.5248439684161998</v>
      </c>
      <c r="HH100" s="3">
        <f>$H100*factors!HB$3</f>
        <v>1.5048409698395999</v>
      </c>
      <c r="HI100" s="3">
        <f>$H100*factors!HC$3</f>
        <v>1.4863766634611999</v>
      </c>
      <c r="HJ100" s="3">
        <f>$H100*factors!HD$3</f>
        <v>1.469451049281</v>
      </c>
      <c r="HK100" s="3">
        <f>$H100*factors!HE$3</f>
        <v>1.5540791201819999</v>
      </c>
      <c r="HL100" s="3">
        <f>$H100*factors!HF$3</f>
        <v>1.4648349726863998</v>
      </c>
      <c r="HM100" s="3">
        <f>$H100*factors!HG$3</f>
        <v>1.4802218946684</v>
      </c>
      <c r="HN100" s="3">
        <f>$H100*factors!HH$3</f>
        <v>1.5786981953532</v>
      </c>
      <c r="HO100" s="3">
        <f>$H100*factors!HI$3</f>
        <v>1.5140731230287998</v>
      </c>
      <c r="HP100" s="3">
        <f>$H100*factors!HJ$3</f>
        <v>1.61562680811</v>
      </c>
      <c r="HQ100" s="3">
        <f>$H100*factors!HK$3</f>
        <v>1.477144510272</v>
      </c>
      <c r="HR100" s="3">
        <f>$H100*factors!HL$3</f>
        <v>1.5663886577676001</v>
      </c>
      <c r="HS100" s="3">
        <f>$H100*factors!HM$3</f>
        <v>1.5940851173352</v>
      </c>
      <c r="HT100" s="3">
        <f>$H100*factors!HN$3</f>
        <v>1.4863766634611999</v>
      </c>
      <c r="HU100" s="3">
        <f>$H100*factors!HO$3</f>
        <v>1.5017635854431999</v>
      </c>
      <c r="HV100" s="3">
        <f>$H100*factors!HP$3</f>
        <v>1.5202278918216001</v>
      </c>
      <c r="HW100" s="3">
        <f>$H100*factors!HQ$3</f>
        <v>1.5417695825964</v>
      </c>
      <c r="HX100" s="3">
        <f>$H100*factors!HR$3</f>
        <v>1.6048559627225998</v>
      </c>
      <c r="HY100" s="3">
        <f>$H100*factors!HS$3</f>
        <v>1.5248439684161998</v>
      </c>
      <c r="HZ100" s="3">
        <f>$H100*factors!HT$3</f>
        <v>1.5833142719477999</v>
      </c>
      <c r="IA100" s="3">
        <f>$H100*factors!HU$3</f>
        <v>1.5063796620378</v>
      </c>
      <c r="IB100" s="3">
        <f>$H100*factors!HV$3</f>
        <v>1.5586951967765998</v>
      </c>
      <c r="IC100" s="3">
        <f>$H100*factors!HW$3</f>
        <v>1.5740821187585998</v>
      </c>
      <c r="ID100" s="3">
        <f>$H100*factors!HX$3</f>
        <v>1.4617575882899998</v>
      </c>
      <c r="IE100" s="3">
        <f>$H100*factors!HY$3</f>
        <v>1.5525404279837998</v>
      </c>
      <c r="IF100" s="3">
        <f>$H100*factors!HZ$3</f>
        <v>1.5433082747945999</v>
      </c>
      <c r="IG100" s="3">
        <f>$H100*factors!IA$3</f>
        <v>1.5294600450108</v>
      </c>
      <c r="IH100" s="3">
        <f>$H100*factors!IB$3</f>
        <v>1.5863916563441998</v>
      </c>
      <c r="II100" s="3">
        <f>$H100*factors!IC$3</f>
        <v>1.5186891996234</v>
      </c>
      <c r="IJ100" s="3">
        <f>$H100*factors!ID$3</f>
        <v>1.5325374294072001</v>
      </c>
      <c r="IK100" s="3">
        <f>$H100*factors!IE$3</f>
        <v>1.5879303485423999</v>
      </c>
      <c r="IL100" s="3">
        <f>$H100*factors!IF$3</f>
        <v>1.5202278918216001</v>
      </c>
      <c r="IM100" s="3">
        <f>$H100*factors!IG$3</f>
        <v>1.5063796620378</v>
      </c>
      <c r="IN100" s="3">
        <f>$H100*factors!IH$3</f>
        <v>1.5156118152269999</v>
      </c>
      <c r="IO100" s="3">
        <f>$H100*factors!II$3</f>
        <v>1.5309987372089999</v>
      </c>
      <c r="IP100" s="3">
        <f>$H100*factors!IJ$3</f>
        <v>1.4802218946684</v>
      </c>
      <c r="IQ100" s="3">
        <f>$H100*factors!IK$3</f>
        <v>1.4756058180737999</v>
      </c>
      <c r="IR100" s="3">
        <f>$H100*factors!IL$3</f>
        <v>1.5186891996234</v>
      </c>
      <c r="IS100" s="3">
        <f>$H100*factors!IM$3</f>
        <v>1.5309987372089999</v>
      </c>
      <c r="IT100" s="3">
        <f>$H100*factors!IN$3</f>
        <v>1.5417695825964</v>
      </c>
      <c r="IU100" s="3">
        <f>$H100*factors!IO$3</f>
        <v>1.5756208109568</v>
      </c>
      <c r="IV100" s="3">
        <f>$H100*factors!IP$3</f>
        <v>1.5956238095333999</v>
      </c>
      <c r="IW100" s="3">
        <f>$H100*factors!IQ$3</f>
        <v>1.507918354236</v>
      </c>
      <c r="IX100" s="3">
        <f>$H100*factors!IR$3</f>
        <v>1.5756208109568</v>
      </c>
      <c r="IY100" s="3">
        <f>$H100*factors!IS$3</f>
        <v>1.5525404279837998</v>
      </c>
      <c r="IZ100" s="3">
        <f>$H100*factors!IT$3</f>
        <v>1.5786981953532</v>
      </c>
      <c r="JA100" s="3">
        <f>$H100*factors!IU$3</f>
        <v>1.4909927400557998</v>
      </c>
      <c r="JB100" s="3">
        <f>$H100*factors!IV$3</f>
        <v>1.5186891996234</v>
      </c>
      <c r="JC100" s="3">
        <f>$H100*factors!IW$3</f>
        <v>1.4832992790648001</v>
      </c>
      <c r="JD100" s="3">
        <f>$H100*factors!IX$3</f>
        <v>1.61562680811</v>
      </c>
      <c r="JE100" s="3">
        <f>$H100*factors!IY$3</f>
        <v>1.4879153556593998</v>
      </c>
      <c r="JF100" s="3">
        <f>$H100*factors!IZ$3</f>
        <v>1.5617725811729997</v>
      </c>
      <c r="JG100" s="3">
        <f>$H100*factors!JA$3</f>
        <v>1.5340761216054</v>
      </c>
      <c r="JH100" s="3">
        <f>$H100*factors!JB$3</f>
        <v>1.5633112733712</v>
      </c>
      <c r="JI100" s="3">
        <f>$H100*factors!JC$3</f>
        <v>1.4632962804881999</v>
      </c>
      <c r="JJ100" s="3">
        <f>$H100*factors!JD$3</f>
        <v>1.5756208109568</v>
      </c>
      <c r="JK100" s="3">
        <f>$H100*factors!JE$3</f>
        <v>1.5248439684161998</v>
      </c>
      <c r="JL100" s="3">
        <f>$H100*factors!JF$3</f>
        <v>1.5863916563441998</v>
      </c>
      <c r="JM100" s="3">
        <f>$H100*factors!JG$3</f>
        <v>1.4802218946684</v>
      </c>
      <c r="JN100" s="3">
        <f>$H100*factors!JH$3</f>
        <v>1.4802218946684</v>
      </c>
      <c r="JO100" s="3">
        <f>$H100*factors!JI$3</f>
        <v>1.4617575882899998</v>
      </c>
      <c r="JP100" s="3">
        <f>$H100*factors!JJ$3</f>
        <v>1.5802368875513999</v>
      </c>
      <c r="JQ100" s="3">
        <f>$H100*factors!JK$3</f>
        <v>1.5402308903981998</v>
      </c>
      <c r="JR100" s="3">
        <f>$H100*factors!JL$3</f>
        <v>1.6002398861279998</v>
      </c>
      <c r="JS100" s="3">
        <f>$H100*factors!JM$3</f>
        <v>1.4617575882899998</v>
      </c>
      <c r="JT100" s="3">
        <f>$H100*factors!JN$3</f>
        <v>1.5356148138036001</v>
      </c>
      <c r="JU100" s="3">
        <f>$H100*factors!JO$3</f>
        <v>1.4848379712629998</v>
      </c>
      <c r="JV100" s="3">
        <f>$H100*factors!JP$3</f>
        <v>1.5094570464342001</v>
      </c>
      <c r="JW100" s="3">
        <f>$H100*factors!JQ$3</f>
        <v>1.6125494237136002</v>
      </c>
      <c r="JX100" s="3">
        <f>$H100*factors!JR$3</f>
        <v>1.5971625017316</v>
      </c>
      <c r="JY100" s="3">
        <f>$H100*factors!JS$3</f>
        <v>1.5033022776414</v>
      </c>
      <c r="JZ100" s="3">
        <f>$H100*factors!JT$3</f>
        <v>1.5202278918216001</v>
      </c>
      <c r="KA100" s="3">
        <f>$H100*factors!JU$3</f>
        <v>1.5263826606144</v>
      </c>
      <c r="KB100" s="3">
        <f>$H100*factors!JV$3</f>
        <v>1.4756058180737999</v>
      </c>
      <c r="KC100" s="3">
        <f>$H100*factors!JW$3</f>
        <v>1.4832992790648001</v>
      </c>
      <c r="KD100" s="3">
        <f>$H100*factors!JX$3</f>
        <v>1.4848379712629998</v>
      </c>
      <c r="KE100" s="3">
        <f>$H100*factors!JY$3</f>
        <v>1.5802368875513999</v>
      </c>
      <c r="KF100" s="3">
        <f>$H100*factors!JZ$3</f>
        <v>1.5987011939297997</v>
      </c>
      <c r="KG100" s="3">
        <f>$H100*factors!KA$3</f>
        <v>1.5417695825964</v>
      </c>
      <c r="KH100" s="3">
        <f>$H100*factors!KB$3</f>
        <v>1.507918354236</v>
      </c>
      <c r="KI100" s="3">
        <f>$H100*factors!KC$3</f>
        <v>1.4940701244521999</v>
      </c>
    </row>
    <row r="101" spans="1:295" x14ac:dyDescent="0.55000000000000004">
      <c r="A101" t="s">
        <v>478</v>
      </c>
      <c r="B101">
        <v>100</v>
      </c>
      <c r="C101">
        <v>230</v>
      </c>
      <c r="D101" t="s">
        <v>377</v>
      </c>
      <c r="E101">
        <v>1.5035E-2</v>
      </c>
      <c r="F101">
        <v>100</v>
      </c>
      <c r="G101">
        <f>VLOOKUP(D101,demand_forecasted!$A$2:$G$11,2)</f>
        <v>11098</v>
      </c>
      <c r="H101" s="3">
        <f t="shared" si="2"/>
        <v>1.6685843</v>
      </c>
      <c r="I101" s="3">
        <f>$H101*factors!C$3</f>
        <v>1.8471228201000001</v>
      </c>
      <c r="J101" s="3">
        <f>$H101*factors!D$3</f>
        <v>1.780446191472</v>
      </c>
      <c r="K101" s="3">
        <f>$H101*factors!E$3</f>
        <v>1.7498109837240001</v>
      </c>
      <c r="L101" s="3">
        <f>$H101*factors!F$3</f>
        <v>1.7444047705920003</v>
      </c>
      <c r="M101" s="3">
        <f>$H101*factors!G$3</f>
        <v>1.742602699548</v>
      </c>
      <c r="N101" s="3">
        <f>$H101*factors!H$3</f>
        <v>1.79306068878</v>
      </c>
      <c r="O101" s="3">
        <f>$H101*factors!I$3</f>
        <v>1.8327062517479999</v>
      </c>
      <c r="P101" s="3">
        <f>$H101*factors!J$3</f>
        <v>1.8543311042760002</v>
      </c>
      <c r="Q101" s="3">
        <f>$H101*factors!K$3</f>
        <v>1.7408006285040001</v>
      </c>
      <c r="R101" s="3">
        <f>$H101*factors!L$3</f>
        <v>1.7119674918000001</v>
      </c>
      <c r="S101" s="3">
        <f>$H101*factors!M$3</f>
        <v>1.7822482625159999</v>
      </c>
      <c r="T101" s="3">
        <f>$H101*factors!N$3</f>
        <v>1.8435186780120001</v>
      </c>
      <c r="U101" s="3">
        <f>$H101*factors!O$3</f>
        <v>1.7462068416360002</v>
      </c>
      <c r="V101" s="3">
        <f>$H101*factors!P$3</f>
        <v>1.8164876123520002</v>
      </c>
      <c r="W101" s="3">
        <f>$H101*factors!Q$3</f>
        <v>1.8327062517479999</v>
      </c>
      <c r="X101" s="3">
        <f>$H101*factors!R$3</f>
        <v>1.7534151258120001</v>
      </c>
      <c r="Y101" s="3">
        <f>$H101*factors!S$3</f>
        <v>1.7371964864160001</v>
      </c>
      <c r="Z101" s="3">
        <f>$H101*factors!T$3</f>
        <v>1.8741538857600004</v>
      </c>
      <c r="AA101" s="3">
        <f>$H101*factors!U$3</f>
        <v>1.7696337652079999</v>
      </c>
      <c r="AB101" s="3">
        <f>$H101*factors!V$3</f>
        <v>1.7714358362520002</v>
      </c>
      <c r="AC101" s="3">
        <f>$H101*factors!W$3</f>
        <v>1.7732379072960003</v>
      </c>
      <c r="AD101" s="3">
        <f>$H101*factors!X$3</f>
        <v>1.7353944153720002</v>
      </c>
      <c r="AE101" s="3">
        <f>$H101*factors!Y$3</f>
        <v>1.7498109837240001</v>
      </c>
      <c r="AF101" s="3">
        <f>$H101*factors!Z$3</f>
        <v>1.7858524046040003</v>
      </c>
      <c r="AG101" s="3">
        <f>$H101*factors!AA$3</f>
        <v>1.7408006285040001</v>
      </c>
      <c r="AH101" s="3">
        <f>$H101*factors!AB$3</f>
        <v>1.7335923443280001</v>
      </c>
      <c r="AI101" s="3">
        <f>$H101*factors!AC$3</f>
        <v>1.789456546692</v>
      </c>
      <c r="AJ101" s="3">
        <f>$H101*factors!AD$3</f>
        <v>1.857935246364</v>
      </c>
      <c r="AK101" s="3">
        <f>$H101*factors!AE$3</f>
        <v>1.7876544756480002</v>
      </c>
      <c r="AL101" s="3">
        <f>$H101*factors!AF$3</f>
        <v>1.7173737049319999</v>
      </c>
      <c r="AM101" s="3">
        <f>$H101*factors!AG$3</f>
        <v>1.7660296231200001</v>
      </c>
      <c r="AN101" s="3">
        <f>$H101*factors!AH$3</f>
        <v>1.7371964864160001</v>
      </c>
      <c r="AO101" s="3">
        <f>$H101*factors!AI$3</f>
        <v>1.8200917544399999</v>
      </c>
      <c r="AP101" s="3">
        <f>$H101*factors!AJ$3</f>
        <v>1.7444047705920003</v>
      </c>
      <c r="AQ101" s="3">
        <f>$H101*factors!AK$3</f>
        <v>1.8002689729560002</v>
      </c>
      <c r="AR101" s="3">
        <f>$H101*factors!AL$3</f>
        <v>1.7606234099880003</v>
      </c>
      <c r="AS101" s="3">
        <f>$H101*factors!AM$3</f>
        <v>1.7173737049319999</v>
      </c>
      <c r="AT101" s="3">
        <f>$H101*factors!AN$3</f>
        <v>1.7714358362520002</v>
      </c>
      <c r="AU101" s="3">
        <f>$H101*factors!AO$3</f>
        <v>1.8759559568039998</v>
      </c>
      <c r="AV101" s="3">
        <f>$H101*factors!AP$3</f>
        <v>1.7732379072960003</v>
      </c>
      <c r="AW101" s="3">
        <f>$H101*factors!AQ$3</f>
        <v>1.755217196856</v>
      </c>
      <c r="AX101" s="3">
        <f>$H101*factors!AR$3</f>
        <v>1.8561331753200001</v>
      </c>
      <c r="AY101" s="3">
        <f>$H101*factors!AS$3</f>
        <v>1.7119674918000001</v>
      </c>
      <c r="AZ101" s="3">
        <f>$H101*factors!AT$3</f>
        <v>1.8345083227920003</v>
      </c>
      <c r="BA101" s="3">
        <f>$H101*factors!AU$3</f>
        <v>1.7948627598239999</v>
      </c>
      <c r="BB101" s="3">
        <f>$H101*factors!AV$3</f>
        <v>1.7714358362520002</v>
      </c>
      <c r="BC101" s="3">
        <f>$H101*factors!AW$3</f>
        <v>1.8741538857600004</v>
      </c>
      <c r="BD101" s="3">
        <f>$H101*factors!AX$3</f>
        <v>1.7299882022399999</v>
      </c>
      <c r="BE101" s="3">
        <f>$H101*factors!AY$3</f>
        <v>2.033904146642</v>
      </c>
      <c r="BF101" s="3">
        <f>$H101*factors!AZ$3</f>
        <v>1.8941101539879999</v>
      </c>
      <c r="BG101" s="3">
        <f>$H101*factors!BA$3</f>
        <v>1.9216751666239997</v>
      </c>
      <c r="BH101" s="3">
        <f>$H101*factors!BB$3</f>
        <v>1.9472712497859999</v>
      </c>
      <c r="BI101" s="3">
        <f>$H101*factors!BC$3</f>
        <v>2.0181527108499995</v>
      </c>
      <c r="BJ101" s="3">
        <f>$H101*factors!BD$3</f>
        <v>1.9275819550459998</v>
      </c>
      <c r="BK101" s="3">
        <f>$H101*factors!BE$3</f>
        <v>1.9315198139939997</v>
      </c>
      <c r="BL101" s="3">
        <f>$H101*factors!BF$3</f>
        <v>1.9098615897799998</v>
      </c>
      <c r="BM101" s="3">
        <f>$H101*factors!BG$3</f>
        <v>2.0398109350640001</v>
      </c>
      <c r="BN101" s="3">
        <f>$H101*factors!BH$3</f>
        <v>2.014214851902</v>
      </c>
      <c r="BO101" s="3">
        <f>$H101*factors!BI$3</f>
        <v>1.8941101539879999</v>
      </c>
      <c r="BP101" s="3">
        <f>$H101*factors!BJ$3</f>
        <v>1.8882033655659998</v>
      </c>
      <c r="BQ101" s="3">
        <f>$H101*factors!BK$3</f>
        <v>1.9197062371499998</v>
      </c>
      <c r="BR101" s="3">
        <f>$H101*factors!BL$3</f>
        <v>1.9886187687399999</v>
      </c>
      <c r="BS101" s="3">
        <f>$H101*factors!BM$3</f>
        <v>2.0201216403240001</v>
      </c>
      <c r="BT101" s="3">
        <f>$H101*factors!BN$3</f>
        <v>2.0260284287459998</v>
      </c>
      <c r="BU101" s="3">
        <f>$H101*factors!BO$3</f>
        <v>2.0595002298040002</v>
      </c>
      <c r="BV101" s="3">
        <f>$H101*factors!BP$3</f>
        <v>1.9157683782019999</v>
      </c>
      <c r="BW101" s="3">
        <f>$H101*factors!BQ$3</f>
        <v>1.9590848266299998</v>
      </c>
      <c r="BX101" s="3">
        <f>$H101*factors!BR$3</f>
        <v>1.9216751666239997</v>
      </c>
      <c r="BY101" s="3">
        <f>$H101*factors!BS$3</f>
        <v>2.0102769929539996</v>
      </c>
      <c r="BZ101" s="3">
        <f>$H101*factors!BT$3</f>
        <v>1.9728673329479998</v>
      </c>
      <c r="CA101" s="3">
        <f>$H101*factors!BU$3</f>
        <v>1.9472712497859999</v>
      </c>
      <c r="CB101" s="3">
        <f>$H101*factors!BV$3</f>
        <v>1.8842655066179999</v>
      </c>
      <c r="CC101" s="3">
        <f>$H101*factors!BW$3</f>
        <v>1.9393955318899998</v>
      </c>
      <c r="CD101" s="3">
        <f>$H101*factors!BX$3</f>
        <v>1.9453023203119999</v>
      </c>
      <c r="CE101" s="3">
        <f>$H101*factors!BY$3</f>
        <v>1.9728673329479998</v>
      </c>
      <c r="CF101" s="3">
        <f>$H101*factors!BZ$3</f>
        <v>1.9433333908380002</v>
      </c>
      <c r="CG101" s="3">
        <f>$H101*factors!CA$3</f>
        <v>1.8783587181959998</v>
      </c>
      <c r="CH101" s="3">
        <f>$H101*factors!CB$3</f>
        <v>1.8803276476699997</v>
      </c>
      <c r="CI101" s="3">
        <f>$H101*factors!CC$3</f>
        <v>1.8704830002999999</v>
      </c>
      <c r="CJ101" s="3">
        <f>$H101*factors!CD$3</f>
        <v>1.9472712497859999</v>
      </c>
      <c r="CK101" s="3">
        <f>$H101*factors!CE$3</f>
        <v>2.033904146642</v>
      </c>
      <c r="CL101" s="3">
        <f>$H101*factors!CF$3</f>
        <v>1.9059237308319998</v>
      </c>
      <c r="CM101" s="3">
        <f>$H101*factors!CG$3</f>
        <v>1.9512091087339998</v>
      </c>
      <c r="CN101" s="3">
        <f>$H101*factors!CH$3</f>
        <v>1.8862344360919998</v>
      </c>
      <c r="CO101" s="3">
        <f>$H101*factors!CI$3</f>
        <v>1.9000169424099997</v>
      </c>
      <c r="CP101" s="3">
        <f>$H101*factors!CJ$3</f>
        <v>1.9905876982139996</v>
      </c>
      <c r="CQ101" s="3">
        <f>$H101*factors!CK$3</f>
        <v>1.9315198139939997</v>
      </c>
      <c r="CR101" s="3">
        <f>$H101*factors!CL$3</f>
        <v>1.9925566276879998</v>
      </c>
      <c r="CS101" s="3">
        <f>$H101*factors!CM$3</f>
        <v>2.0555623708559998</v>
      </c>
      <c r="CT101" s="3">
        <f>$H101*factors!CN$3</f>
        <v>2.0319352171679999</v>
      </c>
      <c r="CU101" s="3">
        <f>$H101*factors!CO$3</f>
        <v>1.9866498392659997</v>
      </c>
      <c r="CV101" s="3">
        <f>$H101*factors!CP$3</f>
        <v>2.0673759477</v>
      </c>
      <c r="CW101" s="3">
        <f>$H101*factors!CQ$3</f>
        <v>1.9551469676820001</v>
      </c>
      <c r="CX101" s="3">
        <f>$H101*factors!CR$3</f>
        <v>1.9256130255719999</v>
      </c>
      <c r="CY101" s="3">
        <f>$H101*factors!CS$3</f>
        <v>1.9078926603059998</v>
      </c>
      <c r="CZ101" s="3">
        <f>$H101*factors!CT$3</f>
        <v>1.8803276476699997</v>
      </c>
      <c r="DA101" s="3">
        <f>$H101*factors!CU$3</f>
        <v>1.952243631</v>
      </c>
      <c r="DB101" s="3">
        <f>$H101*factors!CV$3</f>
        <v>2.0783886040800001</v>
      </c>
      <c r="DC101" s="3">
        <f>$H101*factors!CW$3</f>
        <v>1.9902873530399998</v>
      </c>
      <c r="DD101" s="3">
        <f>$H101*factors!CX$3</f>
        <v>1.9762712449199999</v>
      </c>
      <c r="DE101" s="3">
        <f>$H101*factors!CY$3</f>
        <v>2.03433797856</v>
      </c>
      <c r="DF101" s="3">
        <f>$H101*factors!CZ$3</f>
        <v>2.0303333762399998</v>
      </c>
      <c r="DG101" s="3">
        <f>$H101*factors!DA$3</f>
        <v>2.0223241715999998</v>
      </c>
      <c r="DH101" s="3">
        <f>$H101*factors!DB$3</f>
        <v>2.0223241715999998</v>
      </c>
      <c r="DI101" s="3">
        <f>$H101*factors!DC$3</f>
        <v>1.9462367275199999</v>
      </c>
      <c r="DJ101" s="3">
        <f>$H101*factors!DD$3</f>
        <v>2.0623701948000002</v>
      </c>
      <c r="DK101" s="3">
        <f>$H101*factors!DE$3</f>
        <v>2.0623701948000002</v>
      </c>
      <c r="DL101" s="3">
        <f>$H101*factors!DF$3</f>
        <v>2.0383425808800002</v>
      </c>
      <c r="DM101" s="3">
        <f>$H101*factors!DG$3</f>
        <v>1.9202068124399998</v>
      </c>
      <c r="DN101" s="3">
        <f>$H101*factors!DH$3</f>
        <v>2.0143149669600002</v>
      </c>
      <c r="DO101" s="3">
        <f>$H101*factors!DI$3</f>
        <v>2.0803909052399998</v>
      </c>
      <c r="DP101" s="3">
        <f>$H101*factors!DJ$3</f>
        <v>2.0623701948000002</v>
      </c>
      <c r="DQ101" s="3">
        <f>$H101*factors!DK$3</f>
        <v>1.9662597391199998</v>
      </c>
      <c r="DR101" s="3">
        <f>$H101*factors!DL$3</f>
        <v>1.94423442636</v>
      </c>
      <c r="DS101" s="3">
        <f>$H101*factors!DM$3</f>
        <v>2.10041391684</v>
      </c>
      <c r="DT101" s="3">
        <f>$H101*factors!DN$3</f>
        <v>1.9742689437600001</v>
      </c>
      <c r="DU101" s="3">
        <f>$H101*factors!DO$3</f>
        <v>2.0663747971199999</v>
      </c>
      <c r="DV101" s="3">
        <f>$H101*factors!DP$3</f>
        <v>2.01831956928</v>
      </c>
      <c r="DW101" s="3">
        <f>$H101*factors!DQ$3</f>
        <v>1.9262137159199999</v>
      </c>
      <c r="DX101" s="3">
        <f>$H101*factors!DR$3</f>
        <v>2.0403448820399999</v>
      </c>
      <c r="DY101" s="3">
        <f>$H101*factors!DS$3</f>
        <v>1.9362252217199998</v>
      </c>
      <c r="DZ101" s="3">
        <f>$H101*factors!DT$3</f>
        <v>2.0703793994399997</v>
      </c>
      <c r="EA101" s="3">
        <f>$H101*factors!DU$3</f>
        <v>1.9502413298399996</v>
      </c>
      <c r="EB101" s="3">
        <f>$H101*factors!DV$3</f>
        <v>1.9021861019999999</v>
      </c>
      <c r="EC101" s="3">
        <f>$H101*factors!DW$3</f>
        <v>2.0463517855199997</v>
      </c>
      <c r="ED101" s="3">
        <f>$H101*factors!DX$3</f>
        <v>1.9202068124399998</v>
      </c>
      <c r="EE101" s="3">
        <f>$H101*factors!DY$3</f>
        <v>1.9362252217199998</v>
      </c>
      <c r="EF101" s="3">
        <f>$H101*factors!DZ$3</f>
        <v>2.10041391684</v>
      </c>
      <c r="EG101" s="3">
        <f>$H101*factors!EA$3</f>
        <v>1.9622551367999999</v>
      </c>
      <c r="EH101" s="3">
        <f>$H101*factors!EB$3</f>
        <v>1.96826204028</v>
      </c>
      <c r="EI101" s="3">
        <f>$H101*factors!EC$3</f>
        <v>1.96425743796</v>
      </c>
      <c r="EJ101" s="3">
        <f>$H101*factors!ED$3</f>
        <v>1.9141999089599999</v>
      </c>
      <c r="EK101" s="3">
        <f>$H101*factors!EE$3</f>
        <v>2.0463517855199997</v>
      </c>
      <c r="EL101" s="3">
        <f>$H101*factors!EF$3</f>
        <v>1.9462367275199999</v>
      </c>
      <c r="EM101" s="3">
        <f>$H101*factors!EG$3</f>
        <v>2.0243264727599999</v>
      </c>
      <c r="EN101" s="3">
        <f>$H101*factors!EH$3</f>
        <v>1.9021861019999999</v>
      </c>
      <c r="EO101" s="3">
        <f>$H101*factors!EI$3</f>
        <v>1.9302183182399997</v>
      </c>
      <c r="EP101" s="3">
        <f>$H101*factors!EJ$3</f>
        <v>2.0363402797200001</v>
      </c>
      <c r="EQ101" s="3">
        <f>$H101*factors!EK$3</f>
        <v>1.9802758472399997</v>
      </c>
      <c r="ER101" s="3">
        <f>$H101*factors!EL$3</f>
        <v>2.0623701948000002</v>
      </c>
      <c r="ES101" s="3">
        <f>$H101*factors!EM$3</f>
        <v>2.0363402797200001</v>
      </c>
      <c r="ET101" s="3">
        <f>$H101*factors!EN$3</f>
        <v>2.0823932063999999</v>
      </c>
      <c r="EU101" s="3">
        <f>$H101*factors!EO$3</f>
        <v>2.1024162180000001</v>
      </c>
      <c r="EV101" s="3">
        <f>$H101*factors!EP$3</f>
        <v>1.9702643414399998</v>
      </c>
      <c r="EW101" s="3">
        <f>$H101*factors!EQ$3</f>
        <v>2.1670738596249999</v>
      </c>
      <c r="EX101" s="3">
        <f>$H101*factors!ER$3</f>
        <v>2.1441308255000004</v>
      </c>
      <c r="EY101" s="3">
        <f>$H101*factors!ES$3</f>
        <v>2.1879311633749996</v>
      </c>
      <c r="EZ101" s="3">
        <f>$H101*factors!ET$3</f>
        <v>2.1670738596249999</v>
      </c>
      <c r="FA101" s="3">
        <f>$H101*factors!EU$3</f>
        <v>1.9918725081249997</v>
      </c>
      <c r="FB101" s="3">
        <f>$H101*factors!EV$3</f>
        <v>2.0815589142499999</v>
      </c>
      <c r="FC101" s="3">
        <f>$H101*factors!EW$3</f>
        <v>2.1399593647500001</v>
      </c>
      <c r="FD101" s="3">
        <f>$H101*factors!EX$3</f>
        <v>2.0648730712500001</v>
      </c>
      <c r="FE101" s="3">
        <f>$H101*factors!EY$3</f>
        <v>2.175416781125</v>
      </c>
      <c r="FF101" s="3">
        <f>$H101*factors!EZ$3</f>
        <v>2.1775025115000002</v>
      </c>
      <c r="FG101" s="3">
        <f>$H101*factors!FA$3</f>
        <v>1.9918725081249997</v>
      </c>
      <c r="FH101" s="3">
        <f>$H101*factors!FB$3</f>
        <v>2.0961590268749997</v>
      </c>
      <c r="FI101" s="3">
        <f>$H101*factors!FC$3</f>
        <v>2.1837597026249997</v>
      </c>
      <c r="FJ101" s="3">
        <f>$H101*factors!FD$3</f>
        <v>2.0961590268749997</v>
      </c>
      <c r="FK101" s="3">
        <f>$H101*factors!FE$3</f>
        <v>2.13161644325</v>
      </c>
      <c r="FL101" s="3">
        <f>$H101*factors!FF$3</f>
        <v>2.137873634375</v>
      </c>
      <c r="FM101" s="3">
        <f>$H101*factors!FG$3</f>
        <v>2.1608166684999999</v>
      </c>
      <c r="FN101" s="3">
        <f>$H101*factors!FH$3</f>
        <v>2.021072733375</v>
      </c>
      <c r="FO101" s="3">
        <f>$H101*factors!FI$3</f>
        <v>2.1462165558749997</v>
      </c>
      <c r="FP101" s="3">
        <f>$H101*factors!FJ$3</f>
        <v>2.0857303749999998</v>
      </c>
      <c r="FQ101" s="3">
        <f>$H101*factors!FK$3</f>
        <v>2.0648730712500001</v>
      </c>
      <c r="FR101" s="3">
        <f>$H101*factors!FL$3</f>
        <v>2.10658767875</v>
      </c>
      <c r="FS101" s="3">
        <f>$H101*factors!FM$3</f>
        <v>2.0940732965</v>
      </c>
      <c r="FT101" s="3">
        <f>$H101*factors!FN$3</f>
        <v>2.1399593647500001</v>
      </c>
      <c r="FU101" s="3">
        <f>$H101*factors!FO$3</f>
        <v>2.0565301497499999</v>
      </c>
      <c r="FV101" s="3">
        <f>$H101*factors!FP$3</f>
        <v>2.0398443067500001</v>
      </c>
      <c r="FW101" s="3">
        <f>$H101*factors!FQ$3</f>
        <v>2.1837597026249997</v>
      </c>
      <c r="FX101" s="3">
        <f>$H101*factors!FR$3</f>
        <v>2.1441308255000004</v>
      </c>
      <c r="FY101" s="3">
        <f>$H101*factors!FS$3</f>
        <v>2.1003304876249995</v>
      </c>
      <c r="FZ101" s="3">
        <f>$H101*factors!FT$3</f>
        <v>1.996043968875</v>
      </c>
      <c r="GA101" s="3">
        <f>$H101*factors!FU$3</f>
        <v>2.1003304876249995</v>
      </c>
      <c r="GB101" s="3">
        <f>$H101*factors!FV$3</f>
        <v>2.1775025115000002</v>
      </c>
      <c r="GC101" s="3">
        <f>$H101*factors!FW$3</f>
        <v>2.0398443067500001</v>
      </c>
      <c r="GD101" s="3">
        <f>$H101*factors!FX$3</f>
        <v>2.0753017231249999</v>
      </c>
      <c r="GE101" s="3">
        <f>$H101*factors!FY$3</f>
        <v>2.0753017231249999</v>
      </c>
      <c r="GF101" s="3">
        <f>$H101*factors!FZ$3</f>
        <v>2.0690445319999999</v>
      </c>
      <c r="GG101" s="3">
        <f>$H101*factors!GA$3</f>
        <v>1.9877010473749999</v>
      </c>
      <c r="GH101" s="3">
        <f>$H101*factors!GB$3</f>
        <v>2.1149306002500001</v>
      </c>
      <c r="GI101" s="3">
        <f>$H101*factors!GC$3</f>
        <v>1.983529586625</v>
      </c>
      <c r="GJ101" s="3">
        <f>$H101*factors!GD$3</f>
        <v>1.9877010473749999</v>
      </c>
      <c r="GK101" s="3">
        <f>$H101*factors!GE$3</f>
        <v>2.0377585763749999</v>
      </c>
      <c r="GL101" s="3">
        <f>$H101*factors!GF$3</f>
        <v>2.1587309381250002</v>
      </c>
      <c r="GM101" s="3">
        <f>$H101*factors!GG$3</f>
        <v>2.0461014978750001</v>
      </c>
      <c r="GN101" s="3">
        <f>$H101*factors!GH$3</f>
        <v>2.1107591395000003</v>
      </c>
      <c r="GO101" s="3">
        <f>$H101*factors!GI$3</f>
        <v>1.9939582384999996</v>
      </c>
      <c r="GP101" s="3">
        <f>$H101*factors!GJ$3</f>
        <v>2.137873634375</v>
      </c>
      <c r="GQ101" s="3">
        <f>$H101*factors!GK$3</f>
        <v>2.18167397225</v>
      </c>
      <c r="GR101" s="3">
        <f>$H101*factors!GL$3</f>
        <v>2.1399593647500001</v>
      </c>
      <c r="GS101" s="3">
        <f>$H101*factors!GM$3</f>
        <v>2.023742468255</v>
      </c>
      <c r="GT101" s="3">
        <f>$H101*factors!GN$3</f>
        <v>2.070362713597</v>
      </c>
      <c r="GU101" s="3">
        <f>$H101*factors!GO$3</f>
        <v>2.119102061</v>
      </c>
      <c r="GV101" s="3">
        <f>$H101*factors!GP$3</f>
        <v>2.03433797856</v>
      </c>
      <c r="GW101" s="3">
        <f>$H101*factors!GQ$3</f>
        <v>2.106387448634</v>
      </c>
      <c r="GX101" s="3">
        <f>$H101*factors!GR$3</f>
        <v>2.072481815658</v>
      </c>
      <c r="GY101" s="3">
        <f>$H101*factors!GS$3</f>
        <v>2.0618863053530001</v>
      </c>
      <c r="GZ101" s="3">
        <f>$H101*factors!GT$3</f>
        <v>2.1381739795489998</v>
      </c>
      <c r="HA101" s="3">
        <f>$H101*factors!GU$3</f>
        <v>2.0682436115359999</v>
      </c>
      <c r="HB101" s="3">
        <f>$H101*factors!GV$3</f>
        <v>2.1381739795489998</v>
      </c>
      <c r="HC101" s="3">
        <f>$H101*factors!GW$3</f>
        <v>2.0851964280240001</v>
      </c>
      <c r="HD101" s="3">
        <f>$H101*factors!GX$3</f>
        <v>2.1466503877929997</v>
      </c>
      <c r="HE101" s="3">
        <f>$H101*factors!GY$3</f>
        <v>2.119102061</v>
      </c>
      <c r="HF101" s="3">
        <f>$H101*factors!GZ$3</f>
        <v>2.1847942248909997</v>
      </c>
      <c r="HG101" s="3">
        <f>$H101*factors!HA$3</f>
        <v>2.1000301424510002</v>
      </c>
      <c r="HH101" s="3">
        <f>$H101*factors!HB$3</f>
        <v>2.072481815658</v>
      </c>
      <c r="HI101" s="3">
        <f>$H101*factors!HC$3</f>
        <v>2.047052590926</v>
      </c>
      <c r="HJ101" s="3">
        <f>$H101*factors!HD$3</f>
        <v>2.023742468255</v>
      </c>
      <c r="HK101" s="3">
        <f>$H101*factors!HE$3</f>
        <v>2.1402930816099999</v>
      </c>
      <c r="HL101" s="3">
        <f>$H101*factors!HF$3</f>
        <v>2.0173851620719998</v>
      </c>
      <c r="HM101" s="3">
        <f>$H101*factors!HG$3</f>
        <v>2.0385761826820001</v>
      </c>
      <c r="HN101" s="3">
        <f>$H101*factors!HH$3</f>
        <v>2.1741987145860002</v>
      </c>
      <c r="HO101" s="3">
        <f>$H101*factors!HI$3</f>
        <v>2.0851964280240001</v>
      </c>
      <c r="HP101" s="3">
        <f>$H101*factors!HJ$3</f>
        <v>2.2250571640500003</v>
      </c>
      <c r="HQ101" s="3">
        <f>$H101*factors!HK$3</f>
        <v>2.03433797856</v>
      </c>
      <c r="HR101" s="3">
        <f>$H101*factors!HL$3</f>
        <v>2.157245898098</v>
      </c>
      <c r="HS101" s="3">
        <f>$H101*factors!HM$3</f>
        <v>2.1953897351960001</v>
      </c>
      <c r="HT101" s="3">
        <f>$H101*factors!HN$3</f>
        <v>2.047052590926</v>
      </c>
      <c r="HU101" s="3">
        <f>$H101*factors!HO$3</f>
        <v>2.0682436115359999</v>
      </c>
      <c r="HV101" s="3">
        <f>$H101*factors!HP$3</f>
        <v>2.0936728362680004</v>
      </c>
      <c r="HW101" s="3">
        <f>$H101*factors!HQ$3</f>
        <v>2.1233402651220001</v>
      </c>
      <c r="HX101" s="3">
        <f>$H101*factors!HR$3</f>
        <v>2.2102234496229998</v>
      </c>
      <c r="HY101" s="3">
        <f>$H101*factors!HS$3</f>
        <v>2.1000301424510002</v>
      </c>
      <c r="HZ101" s="3">
        <f>$H101*factors!HT$3</f>
        <v>2.180556020769</v>
      </c>
      <c r="IA101" s="3">
        <f>$H101*factors!HU$3</f>
        <v>2.0746009177190001</v>
      </c>
      <c r="IB101" s="3">
        <f>$H101*factors!HV$3</f>
        <v>2.1466503877929997</v>
      </c>
      <c r="IC101" s="3">
        <f>$H101*factors!HW$3</f>
        <v>2.167841408403</v>
      </c>
      <c r="ID101" s="3">
        <f>$H101*factors!HX$3</f>
        <v>2.0131469579499996</v>
      </c>
      <c r="IE101" s="3">
        <f>$H101*factors!HY$3</f>
        <v>2.1381739795489998</v>
      </c>
      <c r="IF101" s="3">
        <f>$H101*factors!HZ$3</f>
        <v>2.1254593671829998</v>
      </c>
      <c r="IG101" s="3">
        <f>$H101*factors!IA$3</f>
        <v>2.106387448634</v>
      </c>
      <c r="IH101" s="3">
        <f>$H101*factors!IB$3</f>
        <v>2.1847942248909997</v>
      </c>
      <c r="II101" s="3">
        <f>$H101*factors!IC$3</f>
        <v>2.0915537342069999</v>
      </c>
      <c r="IJ101" s="3">
        <f>$H101*factors!ID$3</f>
        <v>2.1106256527560001</v>
      </c>
      <c r="IK101" s="3">
        <f>$H101*factors!IE$3</f>
        <v>2.1869133269520002</v>
      </c>
      <c r="IL101" s="3">
        <f>$H101*factors!IF$3</f>
        <v>2.0936728362680004</v>
      </c>
      <c r="IM101" s="3">
        <f>$H101*factors!IG$3</f>
        <v>2.0746009177190001</v>
      </c>
      <c r="IN101" s="3">
        <f>$H101*factors!IH$3</f>
        <v>2.0873155300850001</v>
      </c>
      <c r="IO101" s="3">
        <f>$H101*factors!II$3</f>
        <v>2.108506550695</v>
      </c>
      <c r="IP101" s="3">
        <f>$H101*factors!IJ$3</f>
        <v>2.0385761826820001</v>
      </c>
      <c r="IQ101" s="3">
        <f>$H101*factors!IK$3</f>
        <v>2.0322188764989999</v>
      </c>
      <c r="IR101" s="3">
        <f>$H101*factors!IL$3</f>
        <v>2.0915537342069999</v>
      </c>
      <c r="IS101" s="3">
        <f>$H101*factors!IM$3</f>
        <v>2.108506550695</v>
      </c>
      <c r="IT101" s="3">
        <f>$H101*factors!IN$3</f>
        <v>2.1233402651220001</v>
      </c>
      <c r="IU101" s="3">
        <f>$H101*factors!IO$3</f>
        <v>2.1699605104640001</v>
      </c>
      <c r="IV101" s="3">
        <f>$H101*factors!IP$3</f>
        <v>2.1975088372569997</v>
      </c>
      <c r="IW101" s="3">
        <f>$H101*factors!IQ$3</f>
        <v>2.0767200197799998</v>
      </c>
      <c r="IX101" s="3">
        <f>$H101*factors!IR$3</f>
        <v>2.1699605104640001</v>
      </c>
      <c r="IY101" s="3">
        <f>$H101*factors!IS$3</f>
        <v>2.1381739795489998</v>
      </c>
      <c r="IZ101" s="3">
        <f>$H101*factors!IT$3</f>
        <v>2.1741987145860002</v>
      </c>
      <c r="JA101" s="3">
        <f>$H101*factors!IU$3</f>
        <v>2.0534098971089998</v>
      </c>
      <c r="JB101" s="3">
        <f>$H101*factors!IV$3</f>
        <v>2.0915537342069999</v>
      </c>
      <c r="JC101" s="3">
        <f>$H101*factors!IW$3</f>
        <v>2.0428143868040003</v>
      </c>
      <c r="JD101" s="3">
        <f>$H101*factors!IX$3</f>
        <v>2.2250571640500003</v>
      </c>
      <c r="JE101" s="3">
        <f>$H101*factors!IY$3</f>
        <v>2.0491716929870001</v>
      </c>
      <c r="JF101" s="3">
        <f>$H101*factors!IZ$3</f>
        <v>2.1508885919149998</v>
      </c>
      <c r="JG101" s="3">
        <f>$H101*factors!JA$3</f>
        <v>2.1127447548169997</v>
      </c>
      <c r="JH101" s="3">
        <f>$H101*factors!JB$3</f>
        <v>2.1530076939760003</v>
      </c>
      <c r="JI101" s="3">
        <f>$H101*factors!JC$3</f>
        <v>2.0152660600110002</v>
      </c>
      <c r="JJ101" s="3">
        <f>$H101*factors!JD$3</f>
        <v>2.1699605104640001</v>
      </c>
      <c r="JK101" s="3">
        <f>$H101*factors!JE$3</f>
        <v>2.1000301424510002</v>
      </c>
      <c r="JL101" s="3">
        <f>$H101*factors!JF$3</f>
        <v>2.1847942248909997</v>
      </c>
      <c r="JM101" s="3">
        <f>$H101*factors!JG$3</f>
        <v>2.0385761826820001</v>
      </c>
      <c r="JN101" s="3">
        <f>$H101*factors!JH$3</f>
        <v>2.0385761826820001</v>
      </c>
      <c r="JO101" s="3">
        <f>$H101*factors!JI$3</f>
        <v>2.0131469579499996</v>
      </c>
      <c r="JP101" s="3">
        <f>$H101*factors!JJ$3</f>
        <v>2.1763178166469999</v>
      </c>
      <c r="JQ101" s="3">
        <f>$H101*factors!JK$3</f>
        <v>2.1212211630610001</v>
      </c>
      <c r="JR101" s="3">
        <f>$H101*factors!JL$3</f>
        <v>2.20386614344</v>
      </c>
      <c r="JS101" s="3">
        <f>$H101*factors!JM$3</f>
        <v>2.0131469579499996</v>
      </c>
      <c r="JT101" s="3">
        <f>$H101*factors!JN$3</f>
        <v>2.1148638568780003</v>
      </c>
      <c r="JU101" s="3">
        <f>$H101*factors!JO$3</f>
        <v>2.0449334888649999</v>
      </c>
      <c r="JV101" s="3">
        <f>$H101*factors!JP$3</f>
        <v>2.0788391218410003</v>
      </c>
      <c r="JW101" s="3">
        <f>$H101*factors!JQ$3</f>
        <v>2.2208189599280002</v>
      </c>
      <c r="JX101" s="3">
        <f>$H101*factors!JR$3</f>
        <v>2.1996279393179998</v>
      </c>
      <c r="JY101" s="3">
        <f>$H101*factors!JS$3</f>
        <v>2.070362713597</v>
      </c>
      <c r="JZ101" s="3">
        <f>$H101*factors!JT$3</f>
        <v>2.0936728362680004</v>
      </c>
      <c r="KA101" s="3">
        <f>$H101*factors!JU$3</f>
        <v>2.1021492445120002</v>
      </c>
      <c r="KB101" s="3">
        <f>$H101*factors!JV$3</f>
        <v>2.0322188764989999</v>
      </c>
      <c r="KC101" s="3">
        <f>$H101*factors!JW$3</f>
        <v>2.0428143868040003</v>
      </c>
      <c r="KD101" s="3">
        <f>$H101*factors!JX$3</f>
        <v>2.0449334888649999</v>
      </c>
      <c r="KE101" s="3">
        <f>$H101*factors!JY$3</f>
        <v>2.1763178166469999</v>
      </c>
      <c r="KF101" s="3">
        <f>$H101*factors!JZ$3</f>
        <v>2.2017470413789999</v>
      </c>
      <c r="KG101" s="3">
        <f>$H101*factors!KA$3</f>
        <v>2.1233402651220001</v>
      </c>
      <c r="KH101" s="3">
        <f>$H101*factors!KB$3</f>
        <v>2.0767200197799998</v>
      </c>
      <c r="KI101" s="3">
        <f>$H101*factors!KC$3</f>
        <v>2.0576481012309999</v>
      </c>
    </row>
    <row r="102" spans="1:295" x14ac:dyDescent="0.55000000000000004">
      <c r="A102" t="s">
        <v>479</v>
      </c>
      <c r="B102">
        <v>101</v>
      </c>
      <c r="C102">
        <v>230</v>
      </c>
      <c r="D102" t="s">
        <v>377</v>
      </c>
      <c r="E102">
        <v>4.6909999999999999E-3</v>
      </c>
      <c r="F102">
        <v>101</v>
      </c>
      <c r="G102">
        <f>VLOOKUP(D102,demand_forecasted!$A$2:$G$11,2)</f>
        <v>11098</v>
      </c>
      <c r="H102" s="3">
        <f t="shared" si="2"/>
        <v>0.52060718000000006</v>
      </c>
      <c r="I102" s="3">
        <f>$H102*factors!C$3</f>
        <v>0.5763121482600001</v>
      </c>
      <c r="J102" s="3">
        <f>$H102*factors!D$3</f>
        <v>0.5555086853472001</v>
      </c>
      <c r="K102" s="3">
        <f>$H102*factors!E$3</f>
        <v>0.54595033752240008</v>
      </c>
      <c r="L102" s="3">
        <f>$H102*factors!F$3</f>
        <v>0.54426357025920014</v>
      </c>
      <c r="M102" s="3">
        <f>$H102*factors!G$3</f>
        <v>0.54370131450480008</v>
      </c>
      <c r="N102" s="3">
        <f>$H102*factors!H$3</f>
        <v>0.55944447562800004</v>
      </c>
      <c r="O102" s="3">
        <f>$H102*factors!I$3</f>
        <v>0.57181410222480011</v>
      </c>
      <c r="P102" s="3">
        <f>$H102*factors!J$3</f>
        <v>0.57856117127760009</v>
      </c>
      <c r="Q102" s="3">
        <f>$H102*factors!K$3</f>
        <v>0.54313905875040003</v>
      </c>
      <c r="R102" s="3">
        <f>$H102*factors!L$3</f>
        <v>0.53414296668000005</v>
      </c>
      <c r="S102" s="3">
        <f>$H102*factors!M$3</f>
        <v>0.55607094110160005</v>
      </c>
      <c r="T102" s="3">
        <f>$H102*factors!N$3</f>
        <v>0.5751876367512001</v>
      </c>
      <c r="U102" s="3">
        <f>$H102*factors!O$3</f>
        <v>0.54482582601360008</v>
      </c>
      <c r="V102" s="3">
        <f>$H102*factors!P$3</f>
        <v>0.56675380043520007</v>
      </c>
      <c r="W102" s="3">
        <f>$H102*factors!Q$3</f>
        <v>0.57181410222480011</v>
      </c>
      <c r="X102" s="3">
        <f>$H102*factors!R$3</f>
        <v>0.54707484903120007</v>
      </c>
      <c r="Y102" s="3">
        <f>$H102*factors!S$3</f>
        <v>0.54201454724160003</v>
      </c>
      <c r="Z102" s="3">
        <f>$H102*factors!T$3</f>
        <v>0.58474598457600013</v>
      </c>
      <c r="AA102" s="3">
        <f>$H102*factors!U$3</f>
        <v>0.5521351508208</v>
      </c>
      <c r="AB102" s="3">
        <f>$H102*factors!V$3</f>
        <v>0.55269740657520017</v>
      </c>
      <c r="AC102" s="3">
        <f>$H102*factors!W$3</f>
        <v>0.55325966232960011</v>
      </c>
      <c r="AD102" s="3">
        <f>$H102*factors!X$3</f>
        <v>0.54145229148720009</v>
      </c>
      <c r="AE102" s="3">
        <f>$H102*factors!Y$3</f>
        <v>0.54595033752240008</v>
      </c>
      <c r="AF102" s="3">
        <f>$H102*factors!Z$3</f>
        <v>0.55719545261040015</v>
      </c>
      <c r="AG102" s="3">
        <f>$H102*factors!AA$3</f>
        <v>0.54313905875040003</v>
      </c>
      <c r="AH102" s="3">
        <f>$H102*factors!AB$3</f>
        <v>0.54089003573280015</v>
      </c>
      <c r="AI102" s="3">
        <f>$H102*factors!AC$3</f>
        <v>0.55831996411920004</v>
      </c>
      <c r="AJ102" s="3">
        <f>$H102*factors!AD$3</f>
        <v>0.57968568278640009</v>
      </c>
      <c r="AK102" s="3">
        <f>$H102*factors!AE$3</f>
        <v>0.5577577083648001</v>
      </c>
      <c r="AL102" s="3">
        <f>$H102*factors!AF$3</f>
        <v>0.53582973394319999</v>
      </c>
      <c r="AM102" s="3">
        <f>$H102*factors!AG$3</f>
        <v>0.55101063931200012</v>
      </c>
      <c r="AN102" s="3">
        <f>$H102*factors!AH$3</f>
        <v>0.54201454724160003</v>
      </c>
      <c r="AO102" s="3">
        <f>$H102*factors!AI$3</f>
        <v>0.56787831194400007</v>
      </c>
      <c r="AP102" s="3">
        <f>$H102*factors!AJ$3</f>
        <v>0.54426357025920014</v>
      </c>
      <c r="AQ102" s="3">
        <f>$H102*factors!AK$3</f>
        <v>0.56169349864560014</v>
      </c>
      <c r="AR102" s="3">
        <f>$H102*factors!AL$3</f>
        <v>0.54932387204880007</v>
      </c>
      <c r="AS102" s="3">
        <f>$H102*factors!AM$3</f>
        <v>0.53582973394319999</v>
      </c>
      <c r="AT102" s="3">
        <f>$H102*factors!AN$3</f>
        <v>0.55269740657520017</v>
      </c>
      <c r="AU102" s="3">
        <f>$H102*factors!AO$3</f>
        <v>0.58530824033040008</v>
      </c>
      <c r="AV102" s="3">
        <f>$H102*factors!AP$3</f>
        <v>0.55325966232960011</v>
      </c>
      <c r="AW102" s="3">
        <f>$H102*factors!AQ$3</f>
        <v>0.54763710478560002</v>
      </c>
      <c r="AX102" s="3">
        <f>$H102*factors!AR$3</f>
        <v>0.57912342703200015</v>
      </c>
      <c r="AY102" s="3">
        <f>$H102*factors!AS$3</f>
        <v>0.53414296668000005</v>
      </c>
      <c r="AZ102" s="3">
        <f>$H102*factors!AT$3</f>
        <v>0.57237635797920017</v>
      </c>
      <c r="BA102" s="3">
        <f>$H102*factors!AU$3</f>
        <v>0.56000673138240009</v>
      </c>
      <c r="BB102" s="3">
        <f>$H102*factors!AV$3</f>
        <v>0.55269740657520017</v>
      </c>
      <c r="BC102" s="3">
        <f>$H102*factors!AW$3</f>
        <v>0.58474598457600013</v>
      </c>
      <c r="BD102" s="3">
        <f>$H102*factors!AX$3</f>
        <v>0.53976552422400004</v>
      </c>
      <c r="BE102" s="3">
        <f>$H102*factors!AY$3</f>
        <v>0.63458891598919998</v>
      </c>
      <c r="BF102" s="3">
        <f>$H102*factors!AZ$3</f>
        <v>0.59097244644880009</v>
      </c>
      <c r="BG102" s="3">
        <f>$H102*factors!BA$3</f>
        <v>0.59957287706239992</v>
      </c>
      <c r="BH102" s="3">
        <f>$H102*factors!BB$3</f>
        <v>0.60755899120360002</v>
      </c>
      <c r="BI102" s="3">
        <f>$H102*factors!BC$3</f>
        <v>0.62967438420999999</v>
      </c>
      <c r="BJ102" s="3">
        <f>$H102*factors!BD$3</f>
        <v>0.60141582647960001</v>
      </c>
      <c r="BK102" s="3">
        <f>$H102*factors!BE$3</f>
        <v>0.60264445942439993</v>
      </c>
      <c r="BL102" s="3">
        <f>$H102*factors!BF$3</f>
        <v>0.59588697822799996</v>
      </c>
      <c r="BM102" s="3">
        <f>$H102*factors!BG$3</f>
        <v>0.63643186540640007</v>
      </c>
      <c r="BN102" s="3">
        <f>$H102*factors!BH$3</f>
        <v>0.62844575126519997</v>
      </c>
      <c r="BO102" s="3">
        <f>$H102*factors!BI$3</f>
        <v>0.59097244644880009</v>
      </c>
      <c r="BP102" s="3">
        <f>$H102*factors!BJ$3</f>
        <v>0.5891294970316</v>
      </c>
      <c r="BQ102" s="3">
        <f>$H102*factors!BK$3</f>
        <v>0.59895856058999997</v>
      </c>
      <c r="BR102" s="3">
        <f>$H102*factors!BL$3</f>
        <v>0.6204596371240001</v>
      </c>
      <c r="BS102" s="3">
        <f>$H102*factors!BM$3</f>
        <v>0.63028870068240006</v>
      </c>
      <c r="BT102" s="3">
        <f>$H102*factors!BN$3</f>
        <v>0.63213165009960004</v>
      </c>
      <c r="BU102" s="3">
        <f>$H102*factors!BO$3</f>
        <v>0.64257503013040007</v>
      </c>
      <c r="BV102" s="3">
        <f>$H102*factors!BP$3</f>
        <v>0.59772992764520005</v>
      </c>
      <c r="BW102" s="3">
        <f>$H102*factors!BQ$3</f>
        <v>0.61124489003799998</v>
      </c>
      <c r="BX102" s="3">
        <f>$H102*factors!BR$3</f>
        <v>0.59957287706239992</v>
      </c>
      <c r="BY102" s="3">
        <f>$H102*factors!BS$3</f>
        <v>0.62721711832039995</v>
      </c>
      <c r="BZ102" s="3">
        <f>$H102*factors!BT$3</f>
        <v>0.6155451053448</v>
      </c>
      <c r="CA102" s="3">
        <f>$H102*factors!BU$3</f>
        <v>0.60755899120360002</v>
      </c>
      <c r="CB102" s="3">
        <f>$H102*factors!BV$3</f>
        <v>0.58790086408679998</v>
      </c>
      <c r="CC102" s="3">
        <f>$H102*factors!BW$3</f>
        <v>0.60510172531399997</v>
      </c>
      <c r="CD102" s="3">
        <f>$H102*factors!BX$3</f>
        <v>0.60694467473120006</v>
      </c>
      <c r="CE102" s="3">
        <f>$H102*factors!BY$3</f>
        <v>0.6155451053448</v>
      </c>
      <c r="CF102" s="3">
        <f>$H102*factors!BZ$3</f>
        <v>0.60633035825880011</v>
      </c>
      <c r="CG102" s="3">
        <f>$H102*factors!CA$3</f>
        <v>0.5860579146696</v>
      </c>
      <c r="CH102" s="3">
        <f>$H102*factors!CB$3</f>
        <v>0.58667223114199996</v>
      </c>
      <c r="CI102" s="3">
        <f>$H102*factors!CC$3</f>
        <v>0.58360064878000006</v>
      </c>
      <c r="CJ102" s="3">
        <f>$H102*factors!CD$3</f>
        <v>0.60755899120360002</v>
      </c>
      <c r="CK102" s="3">
        <f>$H102*factors!CE$3</f>
        <v>0.63458891598919998</v>
      </c>
      <c r="CL102" s="3">
        <f>$H102*factors!CF$3</f>
        <v>0.59465834528320005</v>
      </c>
      <c r="CM102" s="3">
        <f>$H102*factors!CG$3</f>
        <v>0.60878762414840004</v>
      </c>
      <c r="CN102" s="3">
        <f>$H102*factors!CH$3</f>
        <v>0.58851518055920005</v>
      </c>
      <c r="CO102" s="3">
        <f>$H102*factors!CI$3</f>
        <v>0.59281539586599996</v>
      </c>
      <c r="CP102" s="3">
        <f>$H102*factors!CJ$3</f>
        <v>0.62107395359639994</v>
      </c>
      <c r="CQ102" s="3">
        <f>$H102*factors!CK$3</f>
        <v>0.60264445942439993</v>
      </c>
      <c r="CR102" s="3">
        <f>$H102*factors!CL$3</f>
        <v>0.62168827006880001</v>
      </c>
      <c r="CS102" s="3">
        <f>$H102*factors!CM$3</f>
        <v>0.64134639718560005</v>
      </c>
      <c r="CT102" s="3">
        <f>$H102*factors!CN$3</f>
        <v>0.63397459951680002</v>
      </c>
      <c r="CU102" s="3">
        <f>$H102*factors!CO$3</f>
        <v>0.61984532065159992</v>
      </c>
      <c r="CV102" s="3">
        <f>$H102*factors!CP$3</f>
        <v>0.64503229602000001</v>
      </c>
      <c r="CW102" s="3">
        <f>$H102*factors!CQ$3</f>
        <v>0.61001625709320006</v>
      </c>
      <c r="CX102" s="3">
        <f>$H102*factors!CR$3</f>
        <v>0.60080151000720006</v>
      </c>
      <c r="CY102" s="3">
        <f>$H102*factors!CS$3</f>
        <v>0.59527266175560001</v>
      </c>
      <c r="CZ102" s="3">
        <f>$H102*factors!CT$3</f>
        <v>0.58667223114199996</v>
      </c>
      <c r="DA102" s="3">
        <f>$H102*factors!CU$3</f>
        <v>0.60911040059999999</v>
      </c>
      <c r="DB102" s="3">
        <f>$H102*factors!CV$3</f>
        <v>0.6484683034080001</v>
      </c>
      <c r="DC102" s="3">
        <f>$H102*factors!CW$3</f>
        <v>0.62098024430400001</v>
      </c>
      <c r="DD102" s="3">
        <f>$H102*factors!CX$3</f>
        <v>0.61660714399200001</v>
      </c>
      <c r="DE102" s="3">
        <f>$H102*factors!CY$3</f>
        <v>0.63472427385600005</v>
      </c>
      <c r="DF102" s="3">
        <f>$H102*factors!CZ$3</f>
        <v>0.63347481662399996</v>
      </c>
      <c r="DG102" s="3">
        <f>$H102*factors!DA$3</f>
        <v>0.6309759021600001</v>
      </c>
      <c r="DH102" s="3">
        <f>$H102*factors!DB$3</f>
        <v>0.6309759021600001</v>
      </c>
      <c r="DI102" s="3">
        <f>$H102*factors!DC$3</f>
        <v>0.60723621475199996</v>
      </c>
      <c r="DJ102" s="3">
        <f>$H102*factors!DD$3</f>
        <v>0.64347047448000005</v>
      </c>
      <c r="DK102" s="3">
        <f>$H102*factors!DE$3</f>
        <v>0.64347047448000005</v>
      </c>
      <c r="DL102" s="3">
        <f>$H102*factors!DF$3</f>
        <v>0.63597373108800004</v>
      </c>
      <c r="DM102" s="3">
        <f>$H102*factors!DG$3</f>
        <v>0.59911474274400001</v>
      </c>
      <c r="DN102" s="3">
        <f>$H102*factors!DH$3</f>
        <v>0.62847698769600013</v>
      </c>
      <c r="DO102" s="3">
        <f>$H102*factors!DI$3</f>
        <v>0.64909303202400004</v>
      </c>
      <c r="DP102" s="3">
        <f>$H102*factors!DJ$3</f>
        <v>0.64347047448000005</v>
      </c>
      <c r="DQ102" s="3">
        <f>$H102*factors!DK$3</f>
        <v>0.61348350091199999</v>
      </c>
      <c r="DR102" s="3">
        <f>$H102*factors!DL$3</f>
        <v>0.60661148613600002</v>
      </c>
      <c r="DS102" s="3">
        <f>$H102*factors!DM$3</f>
        <v>0.65534031818400007</v>
      </c>
      <c r="DT102" s="3">
        <f>$H102*factors!DN$3</f>
        <v>0.61598241537600007</v>
      </c>
      <c r="DU102" s="3">
        <f>$H102*factors!DO$3</f>
        <v>0.64471993171200004</v>
      </c>
      <c r="DV102" s="3">
        <f>$H102*factors!DP$3</f>
        <v>0.62972644492800012</v>
      </c>
      <c r="DW102" s="3">
        <f>$H102*factors!DQ$3</f>
        <v>0.60098892859200004</v>
      </c>
      <c r="DX102" s="3">
        <f>$H102*factors!DR$3</f>
        <v>0.63659845970399997</v>
      </c>
      <c r="DY102" s="3">
        <f>$H102*factors!DS$3</f>
        <v>0.60411257167200005</v>
      </c>
      <c r="DZ102" s="3">
        <f>$H102*factors!DT$3</f>
        <v>0.64596938894400002</v>
      </c>
      <c r="EA102" s="3">
        <f>$H102*factors!DU$3</f>
        <v>0.60848567198399994</v>
      </c>
      <c r="EB102" s="3">
        <f>$H102*factors!DV$3</f>
        <v>0.59349218520000002</v>
      </c>
      <c r="EC102" s="3">
        <f>$H102*factors!DW$3</f>
        <v>0.63847264555200001</v>
      </c>
      <c r="ED102" s="3">
        <f>$H102*factors!DX$3</f>
        <v>0.59911474274400001</v>
      </c>
      <c r="EE102" s="3">
        <f>$H102*factors!DY$3</f>
        <v>0.60411257167200005</v>
      </c>
      <c r="EF102" s="3">
        <f>$H102*factors!DZ$3</f>
        <v>0.65534031818400007</v>
      </c>
      <c r="EG102" s="3">
        <f>$H102*factors!EA$3</f>
        <v>0.61223404368000001</v>
      </c>
      <c r="EH102" s="3">
        <f>$H102*factors!EB$3</f>
        <v>0.61410822952800004</v>
      </c>
      <c r="EI102" s="3">
        <f>$H102*factors!EC$3</f>
        <v>0.61285877229600005</v>
      </c>
      <c r="EJ102" s="3">
        <f>$H102*factors!ED$3</f>
        <v>0.59724055689600009</v>
      </c>
      <c r="EK102" s="3">
        <f>$H102*factors!EE$3</f>
        <v>0.63847264555200001</v>
      </c>
      <c r="EL102" s="3">
        <f>$H102*factors!EF$3</f>
        <v>0.60723621475199996</v>
      </c>
      <c r="EM102" s="3">
        <f>$H102*factors!EG$3</f>
        <v>0.63160063077600004</v>
      </c>
      <c r="EN102" s="3">
        <f>$H102*factors!EH$3</f>
        <v>0.59349218520000002</v>
      </c>
      <c r="EO102" s="3">
        <f>$H102*factors!EI$3</f>
        <v>0.60223838582400002</v>
      </c>
      <c r="EP102" s="3">
        <f>$H102*factors!EJ$3</f>
        <v>0.63534900247199999</v>
      </c>
      <c r="EQ102" s="3">
        <f>$H102*factors!EK$3</f>
        <v>0.61785660122399999</v>
      </c>
      <c r="ER102" s="3">
        <f>$H102*factors!EL$3</f>
        <v>0.64347047448000005</v>
      </c>
      <c r="ES102" s="3">
        <f>$H102*factors!EM$3</f>
        <v>0.63534900247199999</v>
      </c>
      <c r="ET102" s="3">
        <f>$H102*factors!EN$3</f>
        <v>0.64971776064000009</v>
      </c>
      <c r="EU102" s="3">
        <f>$H102*factors!EO$3</f>
        <v>0.65596504680000012</v>
      </c>
      <c r="EV102" s="3">
        <f>$H102*factors!EP$3</f>
        <v>0.61473295814399997</v>
      </c>
      <c r="EW102" s="3">
        <f>$H102*factors!EQ$3</f>
        <v>0.67613857502499997</v>
      </c>
      <c r="EX102" s="3">
        <f>$H102*factors!ER$3</f>
        <v>0.6689802263000002</v>
      </c>
      <c r="EY102" s="3">
        <f>$H102*factors!ES$3</f>
        <v>0.68264616477499995</v>
      </c>
      <c r="EZ102" s="3">
        <f>$H102*factors!ET$3</f>
        <v>0.67613857502499997</v>
      </c>
      <c r="FA102" s="3">
        <f>$H102*factors!EU$3</f>
        <v>0.62147482112499997</v>
      </c>
      <c r="FB102" s="3">
        <f>$H102*factors!EV$3</f>
        <v>0.64945745705000013</v>
      </c>
      <c r="FC102" s="3">
        <f>$H102*factors!EW$3</f>
        <v>0.66767870835000009</v>
      </c>
      <c r="FD102" s="3">
        <f>$H102*factors!EX$3</f>
        <v>0.64425138525000014</v>
      </c>
      <c r="FE102" s="3">
        <f>$H102*factors!EY$3</f>
        <v>0.67874161092500007</v>
      </c>
      <c r="FF102" s="3">
        <f>$H102*factors!EZ$3</f>
        <v>0.67939236990000018</v>
      </c>
      <c r="FG102" s="3">
        <f>$H102*factors!FA$3</f>
        <v>0.62147482112499997</v>
      </c>
      <c r="FH102" s="3">
        <f>$H102*factors!FB$3</f>
        <v>0.65401276987500001</v>
      </c>
      <c r="FI102" s="3">
        <f>$H102*factors!FC$3</f>
        <v>0.68134464682499996</v>
      </c>
      <c r="FJ102" s="3">
        <f>$H102*factors!FD$3</f>
        <v>0.65401276987500001</v>
      </c>
      <c r="FK102" s="3">
        <f>$H102*factors!FE$3</f>
        <v>0.6650756724500001</v>
      </c>
      <c r="FL102" s="3">
        <f>$H102*factors!FF$3</f>
        <v>0.6670279493750001</v>
      </c>
      <c r="FM102" s="3">
        <f>$H102*factors!FG$3</f>
        <v>0.67418629810000008</v>
      </c>
      <c r="FN102" s="3">
        <f>$H102*factors!FH$3</f>
        <v>0.63058544677500006</v>
      </c>
      <c r="FO102" s="3">
        <f>$H102*factors!FI$3</f>
        <v>0.66963098527499998</v>
      </c>
      <c r="FP102" s="3">
        <f>$H102*factors!FJ$3</f>
        <v>0.65075897500000002</v>
      </c>
      <c r="FQ102" s="3">
        <f>$H102*factors!FK$3</f>
        <v>0.64425138525000014</v>
      </c>
      <c r="FR102" s="3">
        <f>$H102*factors!FL$3</f>
        <v>0.65726656475</v>
      </c>
      <c r="FS102" s="3">
        <f>$H102*factors!FM$3</f>
        <v>0.65336201090000001</v>
      </c>
      <c r="FT102" s="3">
        <f>$H102*factors!FN$3</f>
        <v>0.66767870835000009</v>
      </c>
      <c r="FU102" s="3">
        <f>$H102*factors!FO$3</f>
        <v>0.64164834935000004</v>
      </c>
      <c r="FV102" s="3">
        <f>$H102*factors!FP$3</f>
        <v>0.63644227755000005</v>
      </c>
      <c r="FW102" s="3">
        <f>$H102*factors!FQ$3</f>
        <v>0.68134464682499996</v>
      </c>
      <c r="FX102" s="3">
        <f>$H102*factors!FR$3</f>
        <v>0.6689802263000002</v>
      </c>
      <c r="FY102" s="3">
        <f>$H102*factors!FS$3</f>
        <v>0.65531428782500001</v>
      </c>
      <c r="FZ102" s="3">
        <f>$H102*factors!FT$3</f>
        <v>0.62277633907500007</v>
      </c>
      <c r="GA102" s="3">
        <f>$H102*factors!FU$3</f>
        <v>0.65531428782500001</v>
      </c>
      <c r="GB102" s="3">
        <f>$H102*factors!FV$3</f>
        <v>0.67939236990000018</v>
      </c>
      <c r="GC102" s="3">
        <f>$H102*factors!FW$3</f>
        <v>0.63644227755000005</v>
      </c>
      <c r="GD102" s="3">
        <f>$H102*factors!FX$3</f>
        <v>0.64750518012500002</v>
      </c>
      <c r="GE102" s="3">
        <f>$H102*factors!FY$3</f>
        <v>0.64750518012500002</v>
      </c>
      <c r="GF102" s="3">
        <f>$H102*factors!FZ$3</f>
        <v>0.64555290320000003</v>
      </c>
      <c r="GG102" s="3">
        <f>$H102*factors!GA$3</f>
        <v>0.62017330317500008</v>
      </c>
      <c r="GH102" s="3">
        <f>$H102*factors!GB$3</f>
        <v>0.65986960065000011</v>
      </c>
      <c r="GI102" s="3">
        <f>$H102*factors!GC$3</f>
        <v>0.61887178522500008</v>
      </c>
      <c r="GJ102" s="3">
        <f>$H102*factors!GD$3</f>
        <v>0.62017330317500008</v>
      </c>
      <c r="GK102" s="3">
        <f>$H102*factors!GE$3</f>
        <v>0.63579151857500005</v>
      </c>
      <c r="GL102" s="3">
        <f>$H102*factors!GF$3</f>
        <v>0.67353553912500008</v>
      </c>
      <c r="GM102" s="3">
        <f>$H102*factors!GG$3</f>
        <v>0.63839455447500015</v>
      </c>
      <c r="GN102" s="3">
        <f>$H102*factors!GH$3</f>
        <v>0.65856808270000011</v>
      </c>
      <c r="GO102" s="3">
        <f>$H102*factors!GI$3</f>
        <v>0.62212558009999996</v>
      </c>
      <c r="GP102" s="3">
        <f>$H102*factors!GJ$3</f>
        <v>0.6670279493750001</v>
      </c>
      <c r="GQ102" s="3">
        <f>$H102*factors!GK$3</f>
        <v>0.68069388785000018</v>
      </c>
      <c r="GR102" s="3">
        <f>$H102*factors!GL$3</f>
        <v>0.66767870835000009</v>
      </c>
      <c r="GS102" s="3">
        <f>$H102*factors!GM$3</f>
        <v>0.63141841826300005</v>
      </c>
      <c r="GT102" s="3">
        <f>$H102*factors!GN$3</f>
        <v>0.64596418287220014</v>
      </c>
      <c r="GU102" s="3">
        <f>$H102*factors!GO$3</f>
        <v>0.66117111860000011</v>
      </c>
      <c r="GV102" s="3">
        <f>$H102*factors!GP$3</f>
        <v>0.63472427385600005</v>
      </c>
      <c r="GW102" s="3">
        <f>$H102*factors!GQ$3</f>
        <v>0.65720409188840012</v>
      </c>
      <c r="GX102" s="3">
        <f>$H102*factors!GR$3</f>
        <v>0.64662535399080001</v>
      </c>
      <c r="GY102" s="3">
        <f>$H102*factors!GS$3</f>
        <v>0.64331949839780012</v>
      </c>
      <c r="GZ102" s="3">
        <f>$H102*factors!GT$3</f>
        <v>0.66712165866740003</v>
      </c>
      <c r="HA102" s="3">
        <f>$H102*factors!GU$3</f>
        <v>0.64530301175360005</v>
      </c>
      <c r="HB102" s="3">
        <f>$H102*factors!GV$3</f>
        <v>0.66712165866740003</v>
      </c>
      <c r="HC102" s="3">
        <f>$H102*factors!GW$3</f>
        <v>0.6505923807024</v>
      </c>
      <c r="HD102" s="3">
        <f>$H102*factors!GX$3</f>
        <v>0.66976634314179995</v>
      </c>
      <c r="HE102" s="3">
        <f>$H102*factors!GY$3</f>
        <v>0.66117111860000011</v>
      </c>
      <c r="HF102" s="3">
        <f>$H102*factors!GZ$3</f>
        <v>0.68166742327660002</v>
      </c>
      <c r="HG102" s="3">
        <f>$H102*factors!HA$3</f>
        <v>0.65522057853260007</v>
      </c>
      <c r="HH102" s="3">
        <f>$H102*factors!HB$3</f>
        <v>0.64662535399080001</v>
      </c>
      <c r="HI102" s="3">
        <f>$H102*factors!HC$3</f>
        <v>0.63869130056760004</v>
      </c>
      <c r="HJ102" s="3">
        <f>$H102*factors!HD$3</f>
        <v>0.63141841826300005</v>
      </c>
      <c r="HK102" s="3">
        <f>$H102*factors!HE$3</f>
        <v>0.66778282978600001</v>
      </c>
      <c r="HL102" s="3">
        <f>$H102*factors!HF$3</f>
        <v>0.6294349049072</v>
      </c>
      <c r="HM102" s="3">
        <f>$H102*factors!HG$3</f>
        <v>0.63604661609320012</v>
      </c>
      <c r="HN102" s="3">
        <f>$H102*factors!HH$3</f>
        <v>0.67836156768360012</v>
      </c>
      <c r="HO102" s="3">
        <f>$H102*factors!HI$3</f>
        <v>0.6505923807024</v>
      </c>
      <c r="HP102" s="3">
        <f>$H102*factors!HJ$3</f>
        <v>0.69422967453000017</v>
      </c>
      <c r="HQ102" s="3">
        <f>$H102*factors!HK$3</f>
        <v>0.63472427385600005</v>
      </c>
      <c r="HR102" s="3">
        <f>$H102*factors!HL$3</f>
        <v>0.67307219873480018</v>
      </c>
      <c r="HS102" s="3">
        <f>$H102*factors!HM$3</f>
        <v>0.68497327886960002</v>
      </c>
      <c r="HT102" s="3">
        <f>$H102*factors!HN$3</f>
        <v>0.63869130056760004</v>
      </c>
      <c r="HU102" s="3">
        <f>$H102*factors!HO$3</f>
        <v>0.64530301175360005</v>
      </c>
      <c r="HV102" s="3">
        <f>$H102*factors!HP$3</f>
        <v>0.65323706517680014</v>
      </c>
      <c r="HW102" s="3">
        <f>$H102*factors!HQ$3</f>
        <v>0.66249346083720007</v>
      </c>
      <c r="HX102" s="3">
        <f>$H102*factors!HR$3</f>
        <v>0.68960147669979999</v>
      </c>
      <c r="HY102" s="3">
        <f>$H102*factors!HS$3</f>
        <v>0.65522057853260007</v>
      </c>
      <c r="HZ102" s="3">
        <f>$H102*factors!HT$3</f>
        <v>0.68034508103940006</v>
      </c>
      <c r="IA102" s="3">
        <f>$H102*factors!HU$3</f>
        <v>0.6472865251094001</v>
      </c>
      <c r="IB102" s="3">
        <f>$H102*factors!HV$3</f>
        <v>0.66976634314179995</v>
      </c>
      <c r="IC102" s="3">
        <f>$H102*factors!HW$3</f>
        <v>0.67637805432780007</v>
      </c>
      <c r="ID102" s="3">
        <f>$H102*factors!HX$3</f>
        <v>0.62811256267000004</v>
      </c>
      <c r="IE102" s="3">
        <f>$H102*factors!HY$3</f>
        <v>0.66712165866740003</v>
      </c>
      <c r="IF102" s="3">
        <f>$H102*factors!HZ$3</f>
        <v>0.66315463195580004</v>
      </c>
      <c r="IG102" s="3">
        <f>$H102*factors!IA$3</f>
        <v>0.65720409188840012</v>
      </c>
      <c r="IH102" s="3">
        <f>$H102*factors!IB$3</f>
        <v>0.68166742327660002</v>
      </c>
      <c r="II102" s="3">
        <f>$H102*factors!IC$3</f>
        <v>0.65257589405820005</v>
      </c>
      <c r="IJ102" s="3">
        <f>$H102*factors!ID$3</f>
        <v>0.65852643412560008</v>
      </c>
      <c r="IK102" s="3">
        <f>$H102*factors!IE$3</f>
        <v>0.68232859439520011</v>
      </c>
      <c r="IL102" s="3">
        <f>$H102*factors!IF$3</f>
        <v>0.65323706517680014</v>
      </c>
      <c r="IM102" s="3">
        <f>$H102*factors!IG$3</f>
        <v>0.6472865251094001</v>
      </c>
      <c r="IN102" s="3">
        <f>$H102*factors!IH$3</f>
        <v>0.65125355182100009</v>
      </c>
      <c r="IO102" s="3">
        <f>$H102*factors!II$3</f>
        <v>0.65786526300699999</v>
      </c>
      <c r="IP102" s="3">
        <f>$H102*factors!IJ$3</f>
        <v>0.63604661609320012</v>
      </c>
      <c r="IQ102" s="3">
        <f>$H102*factors!IK$3</f>
        <v>0.63406310273740007</v>
      </c>
      <c r="IR102" s="3">
        <f>$H102*factors!IL$3</f>
        <v>0.65257589405820005</v>
      </c>
      <c r="IS102" s="3">
        <f>$H102*factors!IM$3</f>
        <v>0.65786526300699999</v>
      </c>
      <c r="IT102" s="3">
        <f>$H102*factors!IN$3</f>
        <v>0.66249346083720007</v>
      </c>
      <c r="IU102" s="3">
        <f>$H102*factors!IO$3</f>
        <v>0.67703922544640016</v>
      </c>
      <c r="IV102" s="3">
        <f>$H102*factors!IP$3</f>
        <v>0.6856344499882</v>
      </c>
      <c r="IW102" s="3">
        <f>$H102*factors!IQ$3</f>
        <v>0.64794769622800008</v>
      </c>
      <c r="IX102" s="3">
        <f>$H102*factors!IR$3</f>
        <v>0.67703922544640016</v>
      </c>
      <c r="IY102" s="3">
        <f>$H102*factors!IS$3</f>
        <v>0.66712165866740003</v>
      </c>
      <c r="IZ102" s="3">
        <f>$H102*factors!IT$3</f>
        <v>0.67836156768360012</v>
      </c>
      <c r="JA102" s="3">
        <f>$H102*factors!IU$3</f>
        <v>0.64067481392339998</v>
      </c>
      <c r="JB102" s="3">
        <f>$H102*factors!IV$3</f>
        <v>0.65257589405820005</v>
      </c>
      <c r="JC102" s="3">
        <f>$H102*factors!IW$3</f>
        <v>0.63736895833040008</v>
      </c>
      <c r="JD102" s="3">
        <f>$H102*factors!IX$3</f>
        <v>0.69422967453000017</v>
      </c>
      <c r="JE102" s="3">
        <f>$H102*factors!IY$3</f>
        <v>0.63935247168620002</v>
      </c>
      <c r="JF102" s="3">
        <f>$H102*factors!IZ$3</f>
        <v>0.67108868537900002</v>
      </c>
      <c r="JG102" s="3">
        <f>$H102*factors!JA$3</f>
        <v>0.65918760524420006</v>
      </c>
      <c r="JH102" s="3">
        <f>$H102*factors!JB$3</f>
        <v>0.67174985649760011</v>
      </c>
      <c r="JI102" s="3">
        <f>$H102*factors!JC$3</f>
        <v>0.62877373378860013</v>
      </c>
      <c r="JJ102" s="3">
        <f>$H102*factors!JD$3</f>
        <v>0.67703922544640016</v>
      </c>
      <c r="JK102" s="3">
        <f>$H102*factors!JE$3</f>
        <v>0.65522057853260007</v>
      </c>
      <c r="JL102" s="3">
        <f>$H102*factors!JF$3</f>
        <v>0.68166742327660002</v>
      </c>
      <c r="JM102" s="3">
        <f>$H102*factors!JG$3</f>
        <v>0.63604661609320012</v>
      </c>
      <c r="JN102" s="3">
        <f>$H102*factors!JH$3</f>
        <v>0.63604661609320012</v>
      </c>
      <c r="JO102" s="3">
        <f>$H102*factors!JI$3</f>
        <v>0.62811256267000004</v>
      </c>
      <c r="JP102" s="3">
        <f>$H102*factors!JJ$3</f>
        <v>0.6790227388022001</v>
      </c>
      <c r="JQ102" s="3">
        <f>$H102*factors!JK$3</f>
        <v>0.66183228971859998</v>
      </c>
      <c r="JR102" s="3">
        <f>$H102*factors!JL$3</f>
        <v>0.68761796334400005</v>
      </c>
      <c r="JS102" s="3">
        <f>$H102*factors!JM$3</f>
        <v>0.62811256267000004</v>
      </c>
      <c r="JT102" s="3">
        <f>$H102*factors!JN$3</f>
        <v>0.65984877636280004</v>
      </c>
      <c r="JU102" s="3">
        <f>$H102*factors!JO$3</f>
        <v>0.63803012944900006</v>
      </c>
      <c r="JV102" s="3">
        <f>$H102*factors!JP$3</f>
        <v>0.64860886734660006</v>
      </c>
      <c r="JW102" s="3">
        <f>$H102*factors!JQ$3</f>
        <v>0.6929073322928001</v>
      </c>
      <c r="JX102" s="3">
        <f>$H102*factors!JR$3</f>
        <v>0.68629562110680009</v>
      </c>
      <c r="JY102" s="3">
        <f>$H102*factors!JS$3</f>
        <v>0.64596418287220014</v>
      </c>
      <c r="JZ102" s="3">
        <f>$H102*factors!JT$3</f>
        <v>0.65323706517680014</v>
      </c>
      <c r="KA102" s="3">
        <f>$H102*factors!JU$3</f>
        <v>0.65588174965120016</v>
      </c>
      <c r="KB102" s="3">
        <f>$H102*factors!JV$3</f>
        <v>0.63406310273740007</v>
      </c>
      <c r="KC102" s="3">
        <f>$H102*factors!JW$3</f>
        <v>0.63736895833040008</v>
      </c>
      <c r="KD102" s="3">
        <f>$H102*factors!JX$3</f>
        <v>0.63803012944900006</v>
      </c>
      <c r="KE102" s="3">
        <f>$H102*factors!JY$3</f>
        <v>0.6790227388022001</v>
      </c>
      <c r="KF102" s="3">
        <f>$H102*factors!JZ$3</f>
        <v>0.68695679222539996</v>
      </c>
      <c r="KG102" s="3">
        <f>$H102*factors!KA$3</f>
        <v>0.66249346083720007</v>
      </c>
      <c r="KH102" s="3">
        <f>$H102*factors!KB$3</f>
        <v>0.64794769622800008</v>
      </c>
      <c r="KI102" s="3">
        <f>$H102*factors!KC$3</f>
        <v>0.64199715616060005</v>
      </c>
    </row>
    <row r="103" spans="1:295" x14ac:dyDescent="0.55000000000000004">
      <c r="A103" t="s">
        <v>480</v>
      </c>
      <c r="B103">
        <v>102</v>
      </c>
      <c r="C103">
        <v>230</v>
      </c>
      <c r="D103" t="s">
        <v>377</v>
      </c>
      <c r="E103">
        <v>3.3630000000000001E-3</v>
      </c>
      <c r="F103">
        <v>102</v>
      </c>
      <c r="G103">
        <f>VLOOKUP(D103,demand_forecasted!$A$2:$G$11,2)</f>
        <v>11098</v>
      </c>
      <c r="H103" s="3">
        <f t="shared" si="2"/>
        <v>0.37322574000000003</v>
      </c>
      <c r="I103" s="3">
        <f>$H103*factors!C$3</f>
        <v>0.41316089418000002</v>
      </c>
      <c r="J103" s="3">
        <f>$H103*factors!D$3</f>
        <v>0.39824679360960002</v>
      </c>
      <c r="K103" s="3">
        <f>$H103*factors!E$3</f>
        <v>0.39139436902320007</v>
      </c>
      <c r="L103" s="3">
        <f>$H103*factors!F$3</f>
        <v>0.3901851176256001</v>
      </c>
      <c r="M103" s="3">
        <f>$H103*factors!G$3</f>
        <v>0.38978203382640003</v>
      </c>
      <c r="N103" s="3">
        <f>$H103*factors!H$3</f>
        <v>0.40106838020400004</v>
      </c>
      <c r="O103" s="3">
        <f>$H103*factors!I$3</f>
        <v>0.40993622378640004</v>
      </c>
      <c r="P103" s="3">
        <f>$H103*factors!J$3</f>
        <v>0.41477322937680006</v>
      </c>
      <c r="Q103" s="3">
        <f>$H103*factors!K$3</f>
        <v>0.38937895002720002</v>
      </c>
      <c r="R103" s="3">
        <f>$H103*factors!L$3</f>
        <v>0.38292960924000002</v>
      </c>
      <c r="S103" s="3">
        <f>$H103*factors!M$3</f>
        <v>0.39864987740880004</v>
      </c>
      <c r="T103" s="3">
        <f>$H103*factors!N$3</f>
        <v>0.41235472658160005</v>
      </c>
      <c r="U103" s="3">
        <f>$H103*factors!O$3</f>
        <v>0.39058820142480005</v>
      </c>
      <c r="V103" s="3">
        <f>$H103*factors!P$3</f>
        <v>0.40630846959360006</v>
      </c>
      <c r="W103" s="3">
        <f>$H103*factors!Q$3</f>
        <v>0.40993622378640004</v>
      </c>
      <c r="X103" s="3">
        <f>$H103*factors!R$3</f>
        <v>0.39220053662160004</v>
      </c>
      <c r="Y103" s="3">
        <f>$H103*factors!S$3</f>
        <v>0.38857278242880006</v>
      </c>
      <c r="Z103" s="3">
        <f>$H103*factors!T$3</f>
        <v>0.41920715116800011</v>
      </c>
      <c r="AA103" s="3">
        <f>$H103*factors!U$3</f>
        <v>0.39582829081440002</v>
      </c>
      <c r="AB103" s="3">
        <f>$H103*factors!V$3</f>
        <v>0.39623137461360008</v>
      </c>
      <c r="AC103" s="3">
        <f>$H103*factors!W$3</f>
        <v>0.39663445841280009</v>
      </c>
      <c r="AD103" s="3">
        <f>$H103*factors!X$3</f>
        <v>0.38816969862960005</v>
      </c>
      <c r="AE103" s="3">
        <f>$H103*factors!Y$3</f>
        <v>0.39139436902320007</v>
      </c>
      <c r="AF103" s="3">
        <f>$H103*factors!Z$3</f>
        <v>0.39945604500720006</v>
      </c>
      <c r="AG103" s="3">
        <f>$H103*factors!AA$3</f>
        <v>0.38937895002720002</v>
      </c>
      <c r="AH103" s="3">
        <f>$H103*factors!AB$3</f>
        <v>0.38776661483040009</v>
      </c>
      <c r="AI103" s="3">
        <f>$H103*factors!AC$3</f>
        <v>0.40026221260560008</v>
      </c>
      <c r="AJ103" s="3">
        <f>$H103*factors!AD$3</f>
        <v>0.41557939697520002</v>
      </c>
      <c r="AK103" s="3">
        <f>$H103*factors!AE$3</f>
        <v>0.39985912880640007</v>
      </c>
      <c r="AL103" s="3">
        <f>$H103*factors!AF$3</f>
        <v>0.3841388606376</v>
      </c>
      <c r="AM103" s="3">
        <f>$H103*factors!AG$3</f>
        <v>0.39502212321600005</v>
      </c>
      <c r="AN103" s="3">
        <f>$H103*factors!AH$3</f>
        <v>0.38857278242880006</v>
      </c>
      <c r="AO103" s="3">
        <f>$H103*factors!AI$3</f>
        <v>0.40711463719200003</v>
      </c>
      <c r="AP103" s="3">
        <f>$H103*factors!AJ$3</f>
        <v>0.3901851176256001</v>
      </c>
      <c r="AQ103" s="3">
        <f>$H103*factors!AK$3</f>
        <v>0.40268071540080008</v>
      </c>
      <c r="AR103" s="3">
        <f>$H103*factors!AL$3</f>
        <v>0.39381287181840008</v>
      </c>
      <c r="AS103" s="3">
        <f>$H103*factors!AM$3</f>
        <v>0.3841388606376</v>
      </c>
      <c r="AT103" s="3">
        <f>$H103*factors!AN$3</f>
        <v>0.39623137461360008</v>
      </c>
      <c r="AU103" s="3">
        <f>$H103*factors!AO$3</f>
        <v>0.41961023496720001</v>
      </c>
      <c r="AV103" s="3">
        <f>$H103*factors!AP$3</f>
        <v>0.39663445841280009</v>
      </c>
      <c r="AW103" s="3">
        <f>$H103*factors!AQ$3</f>
        <v>0.39260362042079999</v>
      </c>
      <c r="AX103" s="3">
        <f>$H103*factors!AR$3</f>
        <v>0.41517631317600007</v>
      </c>
      <c r="AY103" s="3">
        <f>$H103*factors!AS$3</f>
        <v>0.38292960924000002</v>
      </c>
      <c r="AZ103" s="3">
        <f>$H103*factors!AT$3</f>
        <v>0.41033930758560011</v>
      </c>
      <c r="BA103" s="3">
        <f>$H103*factors!AU$3</f>
        <v>0.4014714640032</v>
      </c>
      <c r="BB103" s="3">
        <f>$H103*factors!AV$3</f>
        <v>0.39623137461360008</v>
      </c>
      <c r="BC103" s="3">
        <f>$H103*factors!AW$3</f>
        <v>0.41920715116800011</v>
      </c>
      <c r="BD103" s="3">
        <f>$H103*factors!AX$3</f>
        <v>0.38696044723200002</v>
      </c>
      <c r="BE103" s="3">
        <f>$H103*factors!AY$3</f>
        <v>0.45493978351559999</v>
      </c>
      <c r="BF103" s="3">
        <f>$H103*factors!AZ$3</f>
        <v>0.42367093101840003</v>
      </c>
      <c r="BG103" s="3">
        <f>$H103*factors!BA$3</f>
        <v>0.42983662024319996</v>
      </c>
      <c r="BH103" s="3">
        <f>$H103*factors!BB$3</f>
        <v>0.43556190309480003</v>
      </c>
      <c r="BI103" s="3">
        <f>$H103*factors!BC$3</f>
        <v>0.45141653252999997</v>
      </c>
      <c r="BJ103" s="3">
        <f>$H103*factors!BD$3</f>
        <v>0.4311578393628</v>
      </c>
      <c r="BK103" s="3">
        <f>$H103*factors!BE$3</f>
        <v>0.43203865210919995</v>
      </c>
      <c r="BL103" s="3">
        <f>$H103*factors!BF$3</f>
        <v>0.42719418200399994</v>
      </c>
      <c r="BM103" s="3">
        <f>$H103*factors!BG$3</f>
        <v>0.45626100263520003</v>
      </c>
      <c r="BN103" s="3">
        <f>$H103*factors!BH$3</f>
        <v>0.45053571978359996</v>
      </c>
      <c r="BO103" s="3">
        <f>$H103*factors!BI$3</f>
        <v>0.42367093101840003</v>
      </c>
      <c r="BP103" s="3">
        <f>$H103*factors!BJ$3</f>
        <v>0.4223497118988</v>
      </c>
      <c r="BQ103" s="3">
        <f>$H103*factors!BK$3</f>
        <v>0.42939621386999999</v>
      </c>
      <c r="BR103" s="3">
        <f>$H103*factors!BL$3</f>
        <v>0.44481043693200001</v>
      </c>
      <c r="BS103" s="3">
        <f>$H103*factors!BM$3</f>
        <v>0.4518569389032</v>
      </c>
      <c r="BT103" s="3">
        <f>$H103*factors!BN$3</f>
        <v>0.45317815802279998</v>
      </c>
      <c r="BU103" s="3">
        <f>$H103*factors!BO$3</f>
        <v>0.46066506636720006</v>
      </c>
      <c r="BV103" s="3">
        <f>$H103*factors!BP$3</f>
        <v>0.42851540112359998</v>
      </c>
      <c r="BW103" s="3">
        <f>$H103*factors!BQ$3</f>
        <v>0.43820434133399999</v>
      </c>
      <c r="BX103" s="3">
        <f>$H103*factors!BR$3</f>
        <v>0.42983662024319996</v>
      </c>
      <c r="BY103" s="3">
        <f>$H103*factors!BS$3</f>
        <v>0.44965490703719996</v>
      </c>
      <c r="BZ103" s="3">
        <f>$H103*factors!BT$3</f>
        <v>0.44128718594639998</v>
      </c>
      <c r="CA103" s="3">
        <f>$H103*factors!BU$3</f>
        <v>0.43556190309480003</v>
      </c>
      <c r="CB103" s="3">
        <f>$H103*factors!BV$3</f>
        <v>0.42146889915239999</v>
      </c>
      <c r="CC103" s="3">
        <f>$H103*factors!BW$3</f>
        <v>0.43380027760200002</v>
      </c>
      <c r="CD103" s="3">
        <f>$H103*factors!BX$3</f>
        <v>0.43512149672160005</v>
      </c>
      <c r="CE103" s="3">
        <f>$H103*factors!BY$3</f>
        <v>0.44128718594639998</v>
      </c>
      <c r="CF103" s="3">
        <f>$H103*factors!BZ$3</f>
        <v>0.43468109034840002</v>
      </c>
      <c r="CG103" s="3">
        <f>$H103*factors!CA$3</f>
        <v>0.42014768003279995</v>
      </c>
      <c r="CH103" s="3">
        <f>$H103*factors!CB$3</f>
        <v>0.42058808640599993</v>
      </c>
      <c r="CI103" s="3">
        <f>$H103*factors!CC$3</f>
        <v>0.41838605454000005</v>
      </c>
      <c r="CJ103" s="3">
        <f>$H103*factors!CD$3</f>
        <v>0.43556190309480003</v>
      </c>
      <c r="CK103" s="3">
        <f>$H103*factors!CE$3</f>
        <v>0.45493978351559999</v>
      </c>
      <c r="CL103" s="3">
        <f>$H103*factors!CF$3</f>
        <v>0.42631336925759999</v>
      </c>
      <c r="CM103" s="3">
        <f>$H103*factors!CG$3</f>
        <v>0.43644271584119998</v>
      </c>
      <c r="CN103" s="3">
        <f>$H103*factors!CH$3</f>
        <v>0.42190930552559996</v>
      </c>
      <c r="CO103" s="3">
        <f>$H103*factors!CI$3</f>
        <v>0.42499215013799996</v>
      </c>
      <c r="CP103" s="3">
        <f>$H103*factors!CJ$3</f>
        <v>0.44525084330519993</v>
      </c>
      <c r="CQ103" s="3">
        <f>$H103*factors!CK$3</f>
        <v>0.43203865210919995</v>
      </c>
      <c r="CR103" s="3">
        <f>$H103*factors!CL$3</f>
        <v>0.44569124967840001</v>
      </c>
      <c r="CS103" s="3">
        <f>$H103*factors!CM$3</f>
        <v>0.4597842536208</v>
      </c>
      <c r="CT103" s="3">
        <f>$H103*factors!CN$3</f>
        <v>0.45449937714240002</v>
      </c>
      <c r="CU103" s="3">
        <f>$H103*factors!CO$3</f>
        <v>0.44437003055879998</v>
      </c>
      <c r="CV103" s="3">
        <f>$H103*factors!CP$3</f>
        <v>0.46242669186000002</v>
      </c>
      <c r="CW103" s="3">
        <f>$H103*factors!CQ$3</f>
        <v>0.43732352858760004</v>
      </c>
      <c r="CX103" s="3">
        <f>$H103*factors!CR$3</f>
        <v>0.43071743298960002</v>
      </c>
      <c r="CY103" s="3">
        <f>$H103*factors!CS$3</f>
        <v>0.42675377563079997</v>
      </c>
      <c r="CZ103" s="3">
        <f>$H103*factors!CT$3</f>
        <v>0.42058808640599993</v>
      </c>
      <c r="DA103" s="3">
        <f>$H103*factors!CU$3</f>
        <v>0.43667411579999998</v>
      </c>
      <c r="DB103" s="3">
        <f>$H103*factors!CV$3</f>
        <v>0.46488998174400004</v>
      </c>
      <c r="DC103" s="3">
        <f>$H103*factors!CW$3</f>
        <v>0.44518366267199999</v>
      </c>
      <c r="DD103" s="3">
        <f>$H103*factors!CX$3</f>
        <v>0.44204856645599999</v>
      </c>
      <c r="DE103" s="3">
        <f>$H103*factors!CY$3</f>
        <v>0.45503682220800007</v>
      </c>
      <c r="DF103" s="3">
        <f>$H103*factors!CZ$3</f>
        <v>0.45414108043199997</v>
      </c>
      <c r="DG103" s="3">
        <f>$H103*factors!DA$3</f>
        <v>0.45234959688000004</v>
      </c>
      <c r="DH103" s="3">
        <f>$H103*factors!DB$3</f>
        <v>0.45234959688000004</v>
      </c>
      <c r="DI103" s="3">
        <f>$H103*factors!DC$3</f>
        <v>0.43533050313599997</v>
      </c>
      <c r="DJ103" s="3">
        <f>$H103*factors!DD$3</f>
        <v>0.46130701464000001</v>
      </c>
      <c r="DK103" s="3">
        <f>$H103*factors!DE$3</f>
        <v>0.46130701464000001</v>
      </c>
      <c r="DL103" s="3">
        <f>$H103*factors!DF$3</f>
        <v>0.45593256398400006</v>
      </c>
      <c r="DM103" s="3">
        <f>$H103*factors!DG$3</f>
        <v>0.42950818159199999</v>
      </c>
      <c r="DN103" s="3">
        <f>$H103*factors!DH$3</f>
        <v>0.45055811332800005</v>
      </c>
      <c r="DO103" s="3">
        <f>$H103*factors!DI$3</f>
        <v>0.465337852632</v>
      </c>
      <c r="DP103" s="3">
        <f>$H103*factors!DJ$3</f>
        <v>0.46130701464000001</v>
      </c>
      <c r="DQ103" s="3">
        <f>$H103*factors!DK$3</f>
        <v>0.43980921201599998</v>
      </c>
      <c r="DR103" s="3">
        <f>$H103*factors!DL$3</f>
        <v>0.43488263224800006</v>
      </c>
      <c r="DS103" s="3">
        <f>$H103*factors!DM$3</f>
        <v>0.46981656151200002</v>
      </c>
      <c r="DT103" s="3">
        <f>$H103*factors!DN$3</f>
        <v>0.44160069556800002</v>
      </c>
      <c r="DU103" s="3">
        <f>$H103*factors!DO$3</f>
        <v>0.462202756416</v>
      </c>
      <c r="DV103" s="3">
        <f>$H103*factors!DP$3</f>
        <v>0.45145385510400005</v>
      </c>
      <c r="DW103" s="3">
        <f>$H103*factors!DQ$3</f>
        <v>0.43085179425600001</v>
      </c>
      <c r="DX103" s="3">
        <f>$H103*factors!DR$3</f>
        <v>0.45638043487199997</v>
      </c>
      <c r="DY103" s="3">
        <f>$H103*factors!DS$3</f>
        <v>0.43309114869599996</v>
      </c>
      <c r="DZ103" s="3">
        <f>$H103*factors!DT$3</f>
        <v>0.463098498192</v>
      </c>
      <c r="EA103" s="3">
        <f>$H103*factors!DU$3</f>
        <v>0.43622624491199996</v>
      </c>
      <c r="EB103" s="3">
        <f>$H103*factors!DV$3</f>
        <v>0.4254773436</v>
      </c>
      <c r="EC103" s="3">
        <f>$H103*factors!DW$3</f>
        <v>0.45772404753599999</v>
      </c>
      <c r="ED103" s="3">
        <f>$H103*factors!DX$3</f>
        <v>0.42950818159199999</v>
      </c>
      <c r="EE103" s="3">
        <f>$H103*factors!DY$3</f>
        <v>0.43309114869599996</v>
      </c>
      <c r="EF103" s="3">
        <f>$H103*factors!DZ$3</f>
        <v>0.46981656151200002</v>
      </c>
      <c r="EG103" s="3">
        <f>$H103*factors!EA$3</f>
        <v>0.43891347023999999</v>
      </c>
      <c r="EH103" s="3">
        <f>$H103*factors!EB$3</f>
        <v>0.44025708290400001</v>
      </c>
      <c r="EI103" s="3">
        <f>$H103*factors!EC$3</f>
        <v>0.43936134112800002</v>
      </c>
      <c r="EJ103" s="3">
        <f>$H103*factors!ED$3</f>
        <v>0.42816456892800003</v>
      </c>
      <c r="EK103" s="3">
        <f>$H103*factors!EE$3</f>
        <v>0.45772404753599999</v>
      </c>
      <c r="EL103" s="3">
        <f>$H103*factors!EF$3</f>
        <v>0.43533050313599997</v>
      </c>
      <c r="EM103" s="3">
        <f>$H103*factors!EG$3</f>
        <v>0.45279746776799995</v>
      </c>
      <c r="EN103" s="3">
        <f>$H103*factors!EH$3</f>
        <v>0.4254773436</v>
      </c>
      <c r="EO103" s="3">
        <f>$H103*factors!EI$3</f>
        <v>0.43174753603199995</v>
      </c>
      <c r="EP103" s="3">
        <f>$H103*factors!EJ$3</f>
        <v>0.45548469309599998</v>
      </c>
      <c r="EQ103" s="3">
        <f>$H103*factors!EK$3</f>
        <v>0.44294430823199998</v>
      </c>
      <c r="ER103" s="3">
        <f>$H103*factors!EL$3</f>
        <v>0.46130701464000001</v>
      </c>
      <c r="ES103" s="3">
        <f>$H103*factors!EM$3</f>
        <v>0.45548469309599998</v>
      </c>
      <c r="ET103" s="3">
        <f>$H103*factors!EN$3</f>
        <v>0.46578572352000003</v>
      </c>
      <c r="EU103" s="3">
        <f>$H103*factors!EO$3</f>
        <v>0.47026443240000004</v>
      </c>
      <c r="EV103" s="3">
        <f>$H103*factors!EP$3</f>
        <v>0.44070495379199998</v>
      </c>
      <c r="EW103" s="3">
        <f>$H103*factors!EQ$3</f>
        <v>0.48472692982499999</v>
      </c>
      <c r="EX103" s="3">
        <f>$H103*factors!ER$3</f>
        <v>0.47959507590000011</v>
      </c>
      <c r="EY103" s="3">
        <f>$H103*factors!ES$3</f>
        <v>0.48939225157499994</v>
      </c>
      <c r="EZ103" s="3">
        <f>$H103*factors!ET$3</f>
        <v>0.48472692982499999</v>
      </c>
      <c r="FA103" s="3">
        <f>$H103*factors!EU$3</f>
        <v>0.44553822712499996</v>
      </c>
      <c r="FB103" s="3">
        <f>$H103*factors!EV$3</f>
        <v>0.46559911065000004</v>
      </c>
      <c r="FC103" s="3">
        <f>$H103*factors!EW$3</f>
        <v>0.47866201155000004</v>
      </c>
      <c r="FD103" s="3">
        <f>$H103*factors!EX$3</f>
        <v>0.46186685325000004</v>
      </c>
      <c r="FE103" s="3">
        <f>$H103*factors!EY$3</f>
        <v>0.48659305852500001</v>
      </c>
      <c r="FF103" s="3">
        <f>$H103*factors!EZ$3</f>
        <v>0.4870595907000001</v>
      </c>
      <c r="FG103" s="3">
        <f>$H103*factors!FA$3</f>
        <v>0.44553822712499996</v>
      </c>
      <c r="FH103" s="3">
        <f>$H103*factors!FB$3</f>
        <v>0.468864835875</v>
      </c>
      <c r="FI103" s="3">
        <f>$H103*factors!FC$3</f>
        <v>0.48845918722499998</v>
      </c>
      <c r="FJ103" s="3">
        <f>$H103*factors!FD$3</f>
        <v>0.468864835875</v>
      </c>
      <c r="FK103" s="3">
        <f>$H103*factors!FE$3</f>
        <v>0.47679588285000007</v>
      </c>
      <c r="FL103" s="3">
        <f>$H103*factors!FF$3</f>
        <v>0.47819547937500001</v>
      </c>
      <c r="FM103" s="3">
        <f>$H103*factors!FG$3</f>
        <v>0.48332733329999999</v>
      </c>
      <c r="FN103" s="3">
        <f>$H103*factors!FH$3</f>
        <v>0.452069677575</v>
      </c>
      <c r="FO103" s="3">
        <f>$H103*factors!FI$3</f>
        <v>0.48006160807499998</v>
      </c>
      <c r="FP103" s="3">
        <f>$H103*factors!FJ$3</f>
        <v>0.46653217500000005</v>
      </c>
      <c r="FQ103" s="3">
        <f>$H103*factors!FK$3</f>
        <v>0.46186685325000004</v>
      </c>
      <c r="FR103" s="3">
        <f>$H103*factors!FL$3</f>
        <v>0.47119749675</v>
      </c>
      <c r="FS103" s="3">
        <f>$H103*factors!FM$3</f>
        <v>0.46839830370000002</v>
      </c>
      <c r="FT103" s="3">
        <f>$H103*factors!FN$3</f>
        <v>0.47866201155000004</v>
      </c>
      <c r="FU103" s="3">
        <f>$H103*factors!FO$3</f>
        <v>0.46000072455000002</v>
      </c>
      <c r="FV103" s="3">
        <f>$H103*factors!FP$3</f>
        <v>0.45626846715000002</v>
      </c>
      <c r="FW103" s="3">
        <f>$H103*factors!FQ$3</f>
        <v>0.48845918722499998</v>
      </c>
      <c r="FX103" s="3">
        <f>$H103*factors!FR$3</f>
        <v>0.47959507590000011</v>
      </c>
      <c r="FY103" s="3">
        <f>$H103*factors!FS$3</f>
        <v>0.46979790022499995</v>
      </c>
      <c r="FZ103" s="3">
        <f>$H103*factors!FT$3</f>
        <v>0.44647129147500003</v>
      </c>
      <c r="GA103" s="3">
        <f>$H103*factors!FU$3</f>
        <v>0.46979790022499995</v>
      </c>
      <c r="GB103" s="3">
        <f>$H103*factors!FV$3</f>
        <v>0.4870595907000001</v>
      </c>
      <c r="GC103" s="3">
        <f>$H103*factors!FW$3</f>
        <v>0.45626846715000002</v>
      </c>
      <c r="GD103" s="3">
        <f>$H103*factors!FX$3</f>
        <v>0.46419951412499999</v>
      </c>
      <c r="GE103" s="3">
        <f>$H103*factors!FY$3</f>
        <v>0.46419951412499999</v>
      </c>
      <c r="GF103" s="3">
        <f>$H103*factors!FZ$3</f>
        <v>0.46279991760000005</v>
      </c>
      <c r="GG103" s="3">
        <f>$H103*factors!GA$3</f>
        <v>0.44460516277500001</v>
      </c>
      <c r="GH103" s="3">
        <f>$H103*factors!GB$3</f>
        <v>0.47306362545000008</v>
      </c>
      <c r="GI103" s="3">
        <f>$H103*factors!GC$3</f>
        <v>0.44367209842500005</v>
      </c>
      <c r="GJ103" s="3">
        <f>$H103*factors!GD$3</f>
        <v>0.44460516277500001</v>
      </c>
      <c r="GK103" s="3">
        <f>$H103*factors!GE$3</f>
        <v>0.45580193497499999</v>
      </c>
      <c r="GL103" s="3">
        <f>$H103*factors!GF$3</f>
        <v>0.48286080112500002</v>
      </c>
      <c r="GM103" s="3">
        <f>$H103*factors!GG$3</f>
        <v>0.45766806367500007</v>
      </c>
      <c r="GN103" s="3">
        <f>$H103*factors!GH$3</f>
        <v>0.47213056110000007</v>
      </c>
      <c r="GO103" s="3">
        <f>$H103*factors!GI$3</f>
        <v>0.4460047593</v>
      </c>
      <c r="GP103" s="3">
        <f>$H103*factors!GJ$3</f>
        <v>0.47819547937500001</v>
      </c>
      <c r="GQ103" s="3">
        <f>$H103*factors!GK$3</f>
        <v>0.48799265505000006</v>
      </c>
      <c r="GR103" s="3">
        <f>$H103*factors!GL$3</f>
        <v>0.47866201155000004</v>
      </c>
      <c r="GS103" s="3">
        <f>$H103*factors!GM$3</f>
        <v>0.45266683875900005</v>
      </c>
      <c r="GT103" s="3">
        <f>$H103*factors!GN$3</f>
        <v>0.46309476593460008</v>
      </c>
      <c r="GU103" s="3">
        <f>$H103*factors!GO$3</f>
        <v>0.47399668980000004</v>
      </c>
      <c r="GV103" s="3">
        <f>$H103*factors!GP$3</f>
        <v>0.45503682220800007</v>
      </c>
      <c r="GW103" s="3">
        <f>$H103*factors!GQ$3</f>
        <v>0.47115270966120004</v>
      </c>
      <c r="GX103" s="3">
        <f>$H103*factors!GR$3</f>
        <v>0.4635687626244</v>
      </c>
      <c r="GY103" s="3">
        <f>$H103*factors!GS$3</f>
        <v>0.46119877917540009</v>
      </c>
      <c r="GZ103" s="3">
        <f>$H103*factors!GT$3</f>
        <v>0.4782626600082</v>
      </c>
      <c r="HA103" s="3">
        <f>$H103*factors!GU$3</f>
        <v>0.4626207692448</v>
      </c>
      <c r="HB103" s="3">
        <f>$H103*factors!GV$3</f>
        <v>0.4782626600082</v>
      </c>
      <c r="HC103" s="3">
        <f>$H103*factors!GW$3</f>
        <v>0.46641274276319999</v>
      </c>
      <c r="HD103" s="3">
        <f>$H103*factors!GX$3</f>
        <v>0.48015864676739994</v>
      </c>
      <c r="HE103" s="3">
        <f>$H103*factors!GY$3</f>
        <v>0.47399668980000004</v>
      </c>
      <c r="HF103" s="3">
        <f>$H103*factors!GZ$3</f>
        <v>0.48869058718379998</v>
      </c>
      <c r="HG103" s="3">
        <f>$H103*factors!HA$3</f>
        <v>0.46973071959180002</v>
      </c>
      <c r="HH103" s="3">
        <f>$H103*factors!HB$3</f>
        <v>0.4635687626244</v>
      </c>
      <c r="HI103" s="3">
        <f>$H103*factors!HC$3</f>
        <v>0.45788080234680006</v>
      </c>
      <c r="HJ103" s="3">
        <f>$H103*factors!HD$3</f>
        <v>0.45266683875900005</v>
      </c>
      <c r="HK103" s="3">
        <f>$H103*factors!HE$3</f>
        <v>0.47873665669800003</v>
      </c>
      <c r="HL103" s="3">
        <f>$H103*factors!HF$3</f>
        <v>0.45124484868960002</v>
      </c>
      <c r="HM103" s="3">
        <f>$H103*factors!HG$3</f>
        <v>0.45598481558760007</v>
      </c>
      <c r="HN103" s="3">
        <f>$H103*factors!HH$3</f>
        <v>0.48632060373480007</v>
      </c>
      <c r="HO103" s="3">
        <f>$H103*factors!HI$3</f>
        <v>0.46641274276319999</v>
      </c>
      <c r="HP103" s="3">
        <f>$H103*factors!HJ$3</f>
        <v>0.49769652429000011</v>
      </c>
      <c r="HQ103" s="3">
        <f>$H103*factors!HK$3</f>
        <v>0.45503682220800007</v>
      </c>
      <c r="HR103" s="3">
        <f>$H103*factors!HL$3</f>
        <v>0.48252863021640008</v>
      </c>
      <c r="HS103" s="3">
        <f>$H103*factors!HM$3</f>
        <v>0.49106057063280006</v>
      </c>
      <c r="HT103" s="3">
        <f>$H103*factors!HN$3</f>
        <v>0.45788080234680006</v>
      </c>
      <c r="HU103" s="3">
        <f>$H103*factors!HO$3</f>
        <v>0.4626207692448</v>
      </c>
      <c r="HV103" s="3">
        <f>$H103*factors!HP$3</f>
        <v>0.46830872952240005</v>
      </c>
      <c r="HW103" s="3">
        <f>$H103*factors!HQ$3</f>
        <v>0.47494468317960004</v>
      </c>
      <c r="HX103" s="3">
        <f>$H103*factors!HR$3</f>
        <v>0.49437854746139998</v>
      </c>
      <c r="HY103" s="3">
        <f>$H103*factors!HS$3</f>
        <v>0.46973071959180002</v>
      </c>
      <c r="HZ103" s="3">
        <f>$H103*factors!HT$3</f>
        <v>0.48774259380419999</v>
      </c>
      <c r="IA103" s="3">
        <f>$H103*factors!HU$3</f>
        <v>0.46404275931420003</v>
      </c>
      <c r="IB103" s="3">
        <f>$H103*factors!HV$3</f>
        <v>0.48015864676739994</v>
      </c>
      <c r="IC103" s="3">
        <f>$H103*factors!HW$3</f>
        <v>0.48489861366540005</v>
      </c>
      <c r="ID103" s="3">
        <f>$H103*factors!HX$3</f>
        <v>0.45029685531000002</v>
      </c>
      <c r="IE103" s="3">
        <f>$H103*factors!HY$3</f>
        <v>0.4782626600082</v>
      </c>
      <c r="IF103" s="3">
        <f>$H103*factors!HZ$3</f>
        <v>0.47541867986940001</v>
      </c>
      <c r="IG103" s="3">
        <f>$H103*factors!IA$3</f>
        <v>0.47115270966120004</v>
      </c>
      <c r="IH103" s="3">
        <f>$H103*factors!IB$3</f>
        <v>0.48869058718379998</v>
      </c>
      <c r="II103" s="3">
        <f>$H103*factors!IC$3</f>
        <v>0.46783473283260002</v>
      </c>
      <c r="IJ103" s="3">
        <f>$H103*factors!ID$3</f>
        <v>0.47210070304080004</v>
      </c>
      <c r="IK103" s="3">
        <f>$H103*factors!IE$3</f>
        <v>0.48916458387360007</v>
      </c>
      <c r="IL103" s="3">
        <f>$H103*factors!IF$3</f>
        <v>0.46830872952240005</v>
      </c>
      <c r="IM103" s="3">
        <f>$H103*factors!IG$3</f>
        <v>0.46404275931420003</v>
      </c>
      <c r="IN103" s="3">
        <f>$H103*factors!IH$3</f>
        <v>0.46688673945300002</v>
      </c>
      <c r="IO103" s="3">
        <f>$H103*factors!II$3</f>
        <v>0.47162670635100001</v>
      </c>
      <c r="IP103" s="3">
        <f>$H103*factors!IJ$3</f>
        <v>0.45598481558760007</v>
      </c>
      <c r="IQ103" s="3">
        <f>$H103*factors!IK$3</f>
        <v>0.45456282551820004</v>
      </c>
      <c r="IR103" s="3">
        <f>$H103*factors!IL$3</f>
        <v>0.46783473283260002</v>
      </c>
      <c r="IS103" s="3">
        <f>$H103*factors!IM$3</f>
        <v>0.47162670635100001</v>
      </c>
      <c r="IT103" s="3">
        <f>$H103*factors!IN$3</f>
        <v>0.47494468317960004</v>
      </c>
      <c r="IU103" s="3">
        <f>$H103*factors!IO$3</f>
        <v>0.48537261035520007</v>
      </c>
      <c r="IV103" s="3">
        <f>$H103*factors!IP$3</f>
        <v>0.49153456732259998</v>
      </c>
      <c r="IW103" s="3">
        <f>$H103*factors!IQ$3</f>
        <v>0.464516756004</v>
      </c>
      <c r="IX103" s="3">
        <f>$H103*factors!IR$3</f>
        <v>0.48537261035520007</v>
      </c>
      <c r="IY103" s="3">
        <f>$H103*factors!IS$3</f>
        <v>0.4782626600082</v>
      </c>
      <c r="IZ103" s="3">
        <f>$H103*factors!IT$3</f>
        <v>0.48632060373480007</v>
      </c>
      <c r="JA103" s="3">
        <f>$H103*factors!IU$3</f>
        <v>0.45930279241619998</v>
      </c>
      <c r="JB103" s="3">
        <f>$H103*factors!IV$3</f>
        <v>0.46783473283260002</v>
      </c>
      <c r="JC103" s="3">
        <f>$H103*factors!IW$3</f>
        <v>0.45693280896720007</v>
      </c>
      <c r="JD103" s="3">
        <f>$H103*factors!IX$3</f>
        <v>0.49769652429000011</v>
      </c>
      <c r="JE103" s="3">
        <f>$H103*factors!IY$3</f>
        <v>0.45835479903659998</v>
      </c>
      <c r="JF103" s="3">
        <f>$H103*factors!IZ$3</f>
        <v>0.48110664014699994</v>
      </c>
      <c r="JG103" s="3">
        <f>$H103*factors!JA$3</f>
        <v>0.47257469973060001</v>
      </c>
      <c r="JH103" s="3">
        <f>$H103*factors!JB$3</f>
        <v>0.48158063683680008</v>
      </c>
      <c r="JI103" s="3">
        <f>$H103*factors!JC$3</f>
        <v>0.45077085199980005</v>
      </c>
      <c r="JJ103" s="3">
        <f>$H103*factors!JD$3</f>
        <v>0.48537261035520007</v>
      </c>
      <c r="JK103" s="3">
        <f>$H103*factors!JE$3</f>
        <v>0.46973071959180002</v>
      </c>
      <c r="JL103" s="3">
        <f>$H103*factors!JF$3</f>
        <v>0.48869058718379998</v>
      </c>
      <c r="JM103" s="3">
        <f>$H103*factors!JG$3</f>
        <v>0.45598481558760007</v>
      </c>
      <c r="JN103" s="3">
        <f>$H103*factors!JH$3</f>
        <v>0.45598481558760007</v>
      </c>
      <c r="JO103" s="3">
        <f>$H103*factors!JI$3</f>
        <v>0.45029685531000002</v>
      </c>
      <c r="JP103" s="3">
        <f>$H103*factors!JJ$3</f>
        <v>0.48679460042460004</v>
      </c>
      <c r="JQ103" s="3">
        <f>$H103*factors!JK$3</f>
        <v>0.47447068648980001</v>
      </c>
      <c r="JR103" s="3">
        <f>$H103*factors!JL$3</f>
        <v>0.49295655739200001</v>
      </c>
      <c r="JS103" s="3">
        <f>$H103*factors!JM$3</f>
        <v>0.45029685531000002</v>
      </c>
      <c r="JT103" s="3">
        <f>$H103*factors!JN$3</f>
        <v>0.47304869642040004</v>
      </c>
      <c r="JU103" s="3">
        <f>$H103*factors!JO$3</f>
        <v>0.45740680565699998</v>
      </c>
      <c r="JV103" s="3">
        <f>$H103*factors!JP$3</f>
        <v>0.46499075269380002</v>
      </c>
      <c r="JW103" s="3">
        <f>$H103*factors!JQ$3</f>
        <v>0.49674853091040011</v>
      </c>
      <c r="JX103" s="3">
        <f>$H103*factors!JR$3</f>
        <v>0.49200856401240001</v>
      </c>
      <c r="JY103" s="3">
        <f>$H103*factors!JS$3</f>
        <v>0.46309476593460008</v>
      </c>
      <c r="JZ103" s="3">
        <f>$H103*factors!JT$3</f>
        <v>0.46830872952240005</v>
      </c>
      <c r="KA103" s="3">
        <f>$H103*factors!JU$3</f>
        <v>0.47020471628160004</v>
      </c>
      <c r="KB103" s="3">
        <f>$H103*factors!JV$3</f>
        <v>0.45456282551820004</v>
      </c>
      <c r="KC103" s="3">
        <f>$H103*factors!JW$3</f>
        <v>0.45693280896720007</v>
      </c>
      <c r="KD103" s="3">
        <f>$H103*factors!JX$3</f>
        <v>0.45740680565699998</v>
      </c>
      <c r="KE103" s="3">
        <f>$H103*factors!JY$3</f>
        <v>0.48679460042460004</v>
      </c>
      <c r="KF103" s="3">
        <f>$H103*factors!JZ$3</f>
        <v>0.49248256070219998</v>
      </c>
      <c r="KG103" s="3">
        <f>$H103*factors!KA$3</f>
        <v>0.47494468317960004</v>
      </c>
      <c r="KH103" s="3">
        <f>$H103*factors!KB$3</f>
        <v>0.464516756004</v>
      </c>
      <c r="KI103" s="3">
        <f>$H103*factors!KC$3</f>
        <v>0.46025078579579998</v>
      </c>
    </row>
    <row r="104" spans="1:295" x14ac:dyDescent="0.55000000000000004">
      <c r="A104" t="s">
        <v>481</v>
      </c>
      <c r="B104">
        <v>103</v>
      </c>
      <c r="C104">
        <v>138</v>
      </c>
      <c r="D104" t="s">
        <v>377</v>
      </c>
      <c r="E104">
        <v>2.0609999999999999E-3</v>
      </c>
      <c r="F104">
        <v>103</v>
      </c>
      <c r="G104">
        <f>VLOOKUP(D104,demand_forecasted!$A$2:$G$11,2)</f>
        <v>11098</v>
      </c>
      <c r="H104" s="3">
        <f t="shared" si="2"/>
        <v>0.22872977999999999</v>
      </c>
      <c r="I104" s="3">
        <f>$H104*factors!C$3</f>
        <v>0.25320386645999998</v>
      </c>
      <c r="J104" s="3">
        <f>$H104*factors!D$3</f>
        <v>0.24406382445119998</v>
      </c>
      <c r="K104" s="3">
        <f>$H104*factors!E$3</f>
        <v>0.23986434569039999</v>
      </c>
      <c r="L104" s="3">
        <f>$H104*factors!F$3</f>
        <v>0.23912326120320002</v>
      </c>
      <c r="M104" s="3">
        <f>$H104*factors!G$3</f>
        <v>0.2388762330408</v>
      </c>
      <c r="N104" s="3">
        <f>$H104*factors!H$3</f>
        <v>0.24579302158799998</v>
      </c>
      <c r="O104" s="3">
        <f>$H104*factors!I$3</f>
        <v>0.25122764116079999</v>
      </c>
      <c r="P104" s="3">
        <f>$H104*factors!J$3</f>
        <v>0.25419197910960001</v>
      </c>
      <c r="Q104" s="3">
        <f>$H104*factors!K$3</f>
        <v>0.2386292048784</v>
      </c>
      <c r="R104" s="3">
        <f>$H104*factors!L$3</f>
        <v>0.23467675428000001</v>
      </c>
      <c r="S104" s="3">
        <f>$H104*factors!M$3</f>
        <v>0.24431085261359997</v>
      </c>
      <c r="T104" s="3">
        <f>$H104*factors!N$3</f>
        <v>0.2527098101352</v>
      </c>
      <c r="U104" s="3">
        <f>$H104*factors!O$3</f>
        <v>0.23937028936560001</v>
      </c>
      <c r="V104" s="3">
        <f>$H104*factors!P$3</f>
        <v>0.2490043876992</v>
      </c>
      <c r="W104" s="3">
        <f>$H104*factors!Q$3</f>
        <v>0.25122764116079999</v>
      </c>
      <c r="X104" s="3">
        <f>$H104*factors!R$3</f>
        <v>0.24035840201519998</v>
      </c>
      <c r="Y104" s="3">
        <f>$H104*factors!S$3</f>
        <v>0.23813514855359999</v>
      </c>
      <c r="Z104" s="3">
        <f>$H104*factors!T$3</f>
        <v>0.25690928889600007</v>
      </c>
      <c r="AA104" s="3">
        <f>$H104*factors!U$3</f>
        <v>0.24258165547679997</v>
      </c>
      <c r="AB104" s="3">
        <f>$H104*factors!V$3</f>
        <v>0.24282868363920002</v>
      </c>
      <c r="AC104" s="3">
        <f>$H104*factors!W$3</f>
        <v>0.24307571180160001</v>
      </c>
      <c r="AD104" s="3">
        <f>$H104*factors!X$3</f>
        <v>0.2378881203912</v>
      </c>
      <c r="AE104" s="3">
        <f>$H104*factors!Y$3</f>
        <v>0.23986434569039999</v>
      </c>
      <c r="AF104" s="3">
        <f>$H104*factors!Z$3</f>
        <v>0.24480490893840001</v>
      </c>
      <c r="AG104" s="3">
        <f>$H104*factors!AA$3</f>
        <v>0.2386292048784</v>
      </c>
      <c r="AH104" s="3">
        <f>$H104*factors!AB$3</f>
        <v>0.2376410922288</v>
      </c>
      <c r="AI104" s="3">
        <f>$H104*factors!AC$3</f>
        <v>0.2452989652632</v>
      </c>
      <c r="AJ104" s="3">
        <f>$H104*factors!AD$3</f>
        <v>0.25468603543439999</v>
      </c>
      <c r="AK104" s="3">
        <f>$H104*factors!AE$3</f>
        <v>0.2450519371008</v>
      </c>
      <c r="AL104" s="3">
        <f>$H104*factors!AF$3</f>
        <v>0.23541783876719999</v>
      </c>
      <c r="AM104" s="3">
        <f>$H104*factors!AG$3</f>
        <v>0.24208759915199998</v>
      </c>
      <c r="AN104" s="3">
        <f>$H104*factors!AH$3</f>
        <v>0.23813514855359999</v>
      </c>
      <c r="AO104" s="3">
        <f>$H104*factors!AI$3</f>
        <v>0.24949844402399998</v>
      </c>
      <c r="AP104" s="3">
        <f>$H104*factors!AJ$3</f>
        <v>0.23912326120320002</v>
      </c>
      <c r="AQ104" s="3">
        <f>$H104*factors!AK$3</f>
        <v>0.24678113423760001</v>
      </c>
      <c r="AR104" s="3">
        <f>$H104*factors!AL$3</f>
        <v>0.2413465146648</v>
      </c>
      <c r="AS104" s="3">
        <f>$H104*factors!AM$3</f>
        <v>0.23541783876719999</v>
      </c>
      <c r="AT104" s="3">
        <f>$H104*factors!AN$3</f>
        <v>0.24282868363920002</v>
      </c>
      <c r="AU104" s="3">
        <f>$H104*factors!AO$3</f>
        <v>0.25715631705839997</v>
      </c>
      <c r="AV104" s="3">
        <f>$H104*factors!AP$3</f>
        <v>0.24307571180160001</v>
      </c>
      <c r="AW104" s="3">
        <f>$H104*factors!AQ$3</f>
        <v>0.2406054301776</v>
      </c>
      <c r="AX104" s="3">
        <f>$H104*factors!AR$3</f>
        <v>0.25443900727200003</v>
      </c>
      <c r="AY104" s="3">
        <f>$H104*factors!AS$3</f>
        <v>0.23467675428000001</v>
      </c>
      <c r="AZ104" s="3">
        <f>$H104*factors!AT$3</f>
        <v>0.25147466932320006</v>
      </c>
      <c r="BA104" s="3">
        <f>$H104*factors!AU$3</f>
        <v>0.24604004975039998</v>
      </c>
      <c r="BB104" s="3">
        <f>$H104*factors!AV$3</f>
        <v>0.24282868363920002</v>
      </c>
      <c r="BC104" s="3">
        <f>$H104*factors!AW$3</f>
        <v>0.25690928889600007</v>
      </c>
      <c r="BD104" s="3">
        <f>$H104*factors!AX$3</f>
        <v>0.23714703590399999</v>
      </c>
      <c r="BE104" s="3">
        <f>$H104*factors!AY$3</f>
        <v>0.27880787803319995</v>
      </c>
      <c r="BF104" s="3">
        <f>$H104*factors!AZ$3</f>
        <v>0.25964489706479998</v>
      </c>
      <c r="BG104" s="3">
        <f>$H104*factors!BA$3</f>
        <v>0.26342351303039996</v>
      </c>
      <c r="BH104" s="3">
        <f>$H104*factors!BB$3</f>
        <v>0.2669322278556</v>
      </c>
      <c r="BI104" s="3">
        <f>$H104*factors!BC$3</f>
        <v>0.27664866890999995</v>
      </c>
      <c r="BJ104" s="3">
        <f>$H104*factors!BD$3</f>
        <v>0.26423321645159997</v>
      </c>
      <c r="BK104" s="3">
        <f>$H104*factors!BE$3</f>
        <v>0.26477301873239995</v>
      </c>
      <c r="BL104" s="3">
        <f>$H104*factors!BF$3</f>
        <v>0.26180410618799993</v>
      </c>
      <c r="BM104" s="3">
        <f>$H104*factors!BG$3</f>
        <v>0.27961758145440002</v>
      </c>
      <c r="BN104" s="3">
        <f>$H104*factors!BH$3</f>
        <v>0.27610886662919998</v>
      </c>
      <c r="BO104" s="3">
        <f>$H104*factors!BI$3</f>
        <v>0.25964489706479998</v>
      </c>
      <c r="BP104" s="3">
        <f>$H104*factors!BJ$3</f>
        <v>0.25883519364359997</v>
      </c>
      <c r="BQ104" s="3">
        <f>$H104*factors!BK$3</f>
        <v>0.26315361188999997</v>
      </c>
      <c r="BR104" s="3">
        <f>$H104*factors!BL$3</f>
        <v>0.27260015180399999</v>
      </c>
      <c r="BS104" s="3">
        <f>$H104*factors!BM$3</f>
        <v>0.27691857005039999</v>
      </c>
      <c r="BT104" s="3">
        <f>$H104*factors!BN$3</f>
        <v>0.27772827347159995</v>
      </c>
      <c r="BU104" s="3">
        <f>$H104*factors!BO$3</f>
        <v>0.2823165928584</v>
      </c>
      <c r="BV104" s="3">
        <f>$H104*factors!BP$3</f>
        <v>0.2626138096092</v>
      </c>
      <c r="BW104" s="3">
        <f>$H104*factors!BQ$3</f>
        <v>0.26855163469799997</v>
      </c>
      <c r="BX104" s="3">
        <f>$H104*factors!BR$3</f>
        <v>0.26342351303039996</v>
      </c>
      <c r="BY104" s="3">
        <f>$H104*factors!BS$3</f>
        <v>0.27556906434839995</v>
      </c>
      <c r="BZ104" s="3">
        <f>$H104*factors!BT$3</f>
        <v>0.27044094268079993</v>
      </c>
      <c r="CA104" s="3">
        <f>$H104*factors!BU$3</f>
        <v>0.2669322278556</v>
      </c>
      <c r="CB104" s="3">
        <f>$H104*factors!BV$3</f>
        <v>0.2582953913628</v>
      </c>
      <c r="CC104" s="3">
        <f>$H104*factors!BW$3</f>
        <v>0.26585262329399995</v>
      </c>
      <c r="CD104" s="3">
        <f>$H104*factors!BX$3</f>
        <v>0.26666232671520002</v>
      </c>
      <c r="CE104" s="3">
        <f>$H104*factors!BY$3</f>
        <v>0.27044094268079993</v>
      </c>
      <c r="CF104" s="3">
        <f>$H104*factors!BZ$3</f>
        <v>0.26639242557479997</v>
      </c>
      <c r="CG104" s="3">
        <f>$H104*factors!CA$3</f>
        <v>0.25748568794159993</v>
      </c>
      <c r="CH104" s="3">
        <f>$H104*factors!CB$3</f>
        <v>0.25775558908199997</v>
      </c>
      <c r="CI104" s="3">
        <f>$H104*factors!CC$3</f>
        <v>0.25640608337999998</v>
      </c>
      <c r="CJ104" s="3">
        <f>$H104*factors!CD$3</f>
        <v>0.2669322278556</v>
      </c>
      <c r="CK104" s="3">
        <f>$H104*factors!CE$3</f>
        <v>0.27880787803319995</v>
      </c>
      <c r="CL104" s="3">
        <f>$H104*factors!CF$3</f>
        <v>0.26126430390719996</v>
      </c>
      <c r="CM104" s="3">
        <f>$H104*factors!CG$3</f>
        <v>0.26747203013639997</v>
      </c>
      <c r="CN104" s="3">
        <f>$H104*factors!CH$3</f>
        <v>0.25856529250319998</v>
      </c>
      <c r="CO104" s="3">
        <f>$H104*factors!CI$3</f>
        <v>0.26045460048599994</v>
      </c>
      <c r="CP104" s="3">
        <f>$H104*factors!CJ$3</f>
        <v>0.27287005294439992</v>
      </c>
      <c r="CQ104" s="3">
        <f>$H104*factors!CK$3</f>
        <v>0.26477301873239995</v>
      </c>
      <c r="CR104" s="3">
        <f>$H104*factors!CL$3</f>
        <v>0.27313995408479996</v>
      </c>
      <c r="CS104" s="3">
        <f>$H104*factors!CM$3</f>
        <v>0.28177679057759997</v>
      </c>
      <c r="CT104" s="3">
        <f>$H104*factors!CN$3</f>
        <v>0.27853797689279997</v>
      </c>
      <c r="CU104" s="3">
        <f>$H104*factors!CO$3</f>
        <v>0.27233025066359995</v>
      </c>
      <c r="CV104" s="3">
        <f>$H104*factors!CP$3</f>
        <v>0.28339619741999994</v>
      </c>
      <c r="CW104" s="3">
        <f>$H104*factors!CQ$3</f>
        <v>0.2680118324172</v>
      </c>
      <c r="CX104" s="3">
        <f>$H104*factors!CR$3</f>
        <v>0.26396331531119999</v>
      </c>
      <c r="CY104" s="3">
        <f>$H104*factors!CS$3</f>
        <v>0.26153420504759994</v>
      </c>
      <c r="CZ104" s="3">
        <f>$H104*factors!CT$3</f>
        <v>0.25775558908199997</v>
      </c>
      <c r="DA104" s="3">
        <f>$H104*factors!CU$3</f>
        <v>0.26761384259999998</v>
      </c>
      <c r="DB104" s="3">
        <f>$H104*factors!CV$3</f>
        <v>0.28490581396800002</v>
      </c>
      <c r="DC104" s="3">
        <f>$H104*factors!CW$3</f>
        <v>0.27282888158399998</v>
      </c>
      <c r="DD104" s="3">
        <f>$H104*factors!CX$3</f>
        <v>0.27090755143199996</v>
      </c>
      <c r="DE104" s="3">
        <f>$H104*factors!CY$3</f>
        <v>0.27886734777600003</v>
      </c>
      <c r="DF104" s="3">
        <f>$H104*factors!CZ$3</f>
        <v>0.27831839630399996</v>
      </c>
      <c r="DG104" s="3">
        <f>$H104*factors!DA$3</f>
        <v>0.27722049335999999</v>
      </c>
      <c r="DH104" s="3">
        <f>$H104*factors!DB$3</f>
        <v>0.27722049335999999</v>
      </c>
      <c r="DI104" s="3">
        <f>$H104*factors!DC$3</f>
        <v>0.26679041539199999</v>
      </c>
      <c r="DJ104" s="3">
        <f>$H104*factors!DD$3</f>
        <v>0.28271000807999996</v>
      </c>
      <c r="DK104" s="3">
        <f>$H104*factors!DE$3</f>
        <v>0.28271000807999996</v>
      </c>
      <c r="DL104" s="3">
        <f>$H104*factors!DF$3</f>
        <v>0.27941629924799999</v>
      </c>
      <c r="DM104" s="3">
        <f>$H104*factors!DG$3</f>
        <v>0.26322223082399993</v>
      </c>
      <c r="DN104" s="3">
        <f>$H104*factors!DH$3</f>
        <v>0.27612259041600001</v>
      </c>
      <c r="DO104" s="3">
        <f>$H104*factors!DI$3</f>
        <v>0.28518028970399995</v>
      </c>
      <c r="DP104" s="3">
        <f>$H104*factors!DJ$3</f>
        <v>0.28271000807999996</v>
      </c>
      <c r="DQ104" s="3">
        <f>$H104*factors!DK$3</f>
        <v>0.26953517275199995</v>
      </c>
      <c r="DR104" s="3">
        <f>$H104*factors!DL$3</f>
        <v>0.26651593965600001</v>
      </c>
      <c r="DS104" s="3">
        <f>$H104*factors!DM$3</f>
        <v>0.28792504706399996</v>
      </c>
      <c r="DT104" s="3">
        <f>$H104*factors!DN$3</f>
        <v>0.27063307569599998</v>
      </c>
      <c r="DU104" s="3">
        <f>$H104*factors!DO$3</f>
        <v>0.28325895955199998</v>
      </c>
      <c r="DV104" s="3">
        <f>$H104*factors!DP$3</f>
        <v>0.27667154188799997</v>
      </c>
      <c r="DW104" s="3">
        <f>$H104*factors!DQ$3</f>
        <v>0.26404565803199997</v>
      </c>
      <c r="DX104" s="3">
        <f>$H104*factors!DR$3</f>
        <v>0.27969077498399997</v>
      </c>
      <c r="DY104" s="3">
        <f>$H104*factors!DS$3</f>
        <v>0.26541803671199998</v>
      </c>
      <c r="DZ104" s="3">
        <f>$H104*factors!DT$3</f>
        <v>0.28380791102399999</v>
      </c>
      <c r="EA104" s="3">
        <f>$H104*factors!DU$3</f>
        <v>0.26733936686399995</v>
      </c>
      <c r="EB104" s="3">
        <f>$H104*factors!DV$3</f>
        <v>0.26075194919999994</v>
      </c>
      <c r="EC104" s="3">
        <f>$H104*factors!DW$3</f>
        <v>0.28051420219199996</v>
      </c>
      <c r="ED104" s="3">
        <f>$H104*factors!DX$3</f>
        <v>0.26322223082399993</v>
      </c>
      <c r="EE104" s="3">
        <f>$H104*factors!DY$3</f>
        <v>0.26541803671199998</v>
      </c>
      <c r="EF104" s="3">
        <f>$H104*factors!DZ$3</f>
        <v>0.28792504706399996</v>
      </c>
      <c r="EG104" s="3">
        <f>$H104*factors!EA$3</f>
        <v>0.26898622127999999</v>
      </c>
      <c r="EH104" s="3">
        <f>$H104*factors!EB$3</f>
        <v>0.26980964848799999</v>
      </c>
      <c r="EI104" s="3">
        <f>$H104*factors!EC$3</f>
        <v>0.26926069701599997</v>
      </c>
      <c r="EJ104" s="3">
        <f>$H104*factors!ED$3</f>
        <v>0.26239880361599999</v>
      </c>
      <c r="EK104" s="3">
        <f>$H104*factors!EE$3</f>
        <v>0.28051420219199996</v>
      </c>
      <c r="EL104" s="3">
        <f>$H104*factors!EF$3</f>
        <v>0.26679041539199999</v>
      </c>
      <c r="EM104" s="3">
        <f>$H104*factors!EG$3</f>
        <v>0.27749496909599997</v>
      </c>
      <c r="EN104" s="3">
        <f>$H104*factors!EH$3</f>
        <v>0.26075194919999994</v>
      </c>
      <c r="EO104" s="3">
        <f>$H104*factors!EI$3</f>
        <v>0.26459460950399993</v>
      </c>
      <c r="EP104" s="3">
        <f>$H104*factors!EJ$3</f>
        <v>0.27914182351199995</v>
      </c>
      <c r="EQ104" s="3">
        <f>$H104*factors!EK$3</f>
        <v>0.27145650290399997</v>
      </c>
      <c r="ER104" s="3">
        <f>$H104*factors!EL$3</f>
        <v>0.28271000807999996</v>
      </c>
      <c r="ES104" s="3">
        <f>$H104*factors!EM$3</f>
        <v>0.27914182351199995</v>
      </c>
      <c r="ET104" s="3">
        <f>$H104*factors!EN$3</f>
        <v>0.28545476543999998</v>
      </c>
      <c r="EU104" s="3">
        <f>$H104*factors!EO$3</f>
        <v>0.2881995228</v>
      </c>
      <c r="EV104" s="3">
        <f>$H104*factors!EP$3</f>
        <v>0.27008412422399997</v>
      </c>
      <c r="EW104" s="3">
        <f>$H104*factors!EQ$3</f>
        <v>0.29706280177499994</v>
      </c>
      <c r="EX104" s="3">
        <f>$H104*factors!ER$3</f>
        <v>0.29391776730000002</v>
      </c>
      <c r="EY104" s="3">
        <f>$H104*factors!ES$3</f>
        <v>0.29992192402499995</v>
      </c>
      <c r="EZ104" s="3">
        <f>$H104*factors!ET$3</f>
        <v>0.29706280177499994</v>
      </c>
      <c r="FA104" s="3">
        <f>$H104*factors!EU$3</f>
        <v>0.27304617487499994</v>
      </c>
      <c r="FB104" s="3">
        <f>$H104*factors!EV$3</f>
        <v>0.28534040054999998</v>
      </c>
      <c r="FC104" s="3">
        <f>$H104*factors!EW$3</f>
        <v>0.29334594284999999</v>
      </c>
      <c r="FD104" s="3">
        <f>$H104*factors!EX$3</f>
        <v>0.28305310275000001</v>
      </c>
      <c r="FE104" s="3">
        <f>$H104*factors!EY$3</f>
        <v>0.29820645067499996</v>
      </c>
      <c r="FF104" s="3">
        <f>$H104*factors!EZ$3</f>
        <v>0.29849236290000003</v>
      </c>
      <c r="FG104" s="3">
        <f>$H104*factors!FA$3</f>
        <v>0.27304617487499994</v>
      </c>
      <c r="FH104" s="3">
        <f>$H104*factors!FB$3</f>
        <v>0.28734178612499994</v>
      </c>
      <c r="FI104" s="3">
        <f>$H104*factors!FC$3</f>
        <v>0.29935009957499997</v>
      </c>
      <c r="FJ104" s="3">
        <f>$H104*factors!FD$3</f>
        <v>0.28734178612499994</v>
      </c>
      <c r="FK104" s="3">
        <f>$H104*factors!FE$3</f>
        <v>0.29220229395000002</v>
      </c>
      <c r="FL104" s="3">
        <f>$H104*factors!FF$3</f>
        <v>0.29306003062499997</v>
      </c>
      <c r="FM104" s="3">
        <f>$H104*factors!FG$3</f>
        <v>0.2962050651</v>
      </c>
      <c r="FN104" s="3">
        <f>$H104*factors!FH$3</f>
        <v>0.27704894602499996</v>
      </c>
      <c r="FO104" s="3">
        <f>$H104*factors!FI$3</f>
        <v>0.29420367952499998</v>
      </c>
      <c r="FP104" s="3">
        <f>$H104*factors!FJ$3</f>
        <v>0.28591222500000002</v>
      </c>
      <c r="FQ104" s="3">
        <f>$H104*factors!FK$3</f>
        <v>0.28305310275000001</v>
      </c>
      <c r="FR104" s="3">
        <f>$H104*factors!FL$3</f>
        <v>0.28877134724999998</v>
      </c>
      <c r="FS104" s="3">
        <f>$H104*factors!FM$3</f>
        <v>0.28705587389999998</v>
      </c>
      <c r="FT104" s="3">
        <f>$H104*factors!FN$3</f>
        <v>0.29334594284999999</v>
      </c>
      <c r="FU104" s="3">
        <f>$H104*factors!FO$3</f>
        <v>0.28190945384999999</v>
      </c>
      <c r="FV104" s="3">
        <f>$H104*factors!FP$3</f>
        <v>0.27962215604999996</v>
      </c>
      <c r="FW104" s="3">
        <f>$H104*factors!FQ$3</f>
        <v>0.29935009957499997</v>
      </c>
      <c r="FX104" s="3">
        <f>$H104*factors!FR$3</f>
        <v>0.29391776730000002</v>
      </c>
      <c r="FY104" s="3">
        <f>$H104*factors!FS$3</f>
        <v>0.28791361057499992</v>
      </c>
      <c r="FZ104" s="3">
        <f>$H104*factors!FT$3</f>
        <v>0.27361799932500003</v>
      </c>
      <c r="GA104" s="3">
        <f>$H104*factors!FU$3</f>
        <v>0.28791361057499992</v>
      </c>
      <c r="GB104" s="3">
        <f>$H104*factors!FV$3</f>
        <v>0.29849236290000003</v>
      </c>
      <c r="GC104" s="3">
        <f>$H104*factors!FW$3</f>
        <v>0.27962215604999996</v>
      </c>
      <c r="GD104" s="3">
        <f>$H104*factors!FX$3</f>
        <v>0.28448266387499999</v>
      </c>
      <c r="GE104" s="3">
        <f>$H104*factors!FY$3</f>
        <v>0.28448266387499999</v>
      </c>
      <c r="GF104" s="3">
        <f>$H104*factors!FZ$3</f>
        <v>0.28362492719999999</v>
      </c>
      <c r="GG104" s="3">
        <f>$H104*factors!GA$3</f>
        <v>0.27247435042499996</v>
      </c>
      <c r="GH104" s="3">
        <f>$H104*factors!GB$3</f>
        <v>0.28991499614999999</v>
      </c>
      <c r="GI104" s="3">
        <f>$H104*factors!GC$3</f>
        <v>0.27190252597499998</v>
      </c>
      <c r="GJ104" s="3">
        <f>$H104*factors!GD$3</f>
        <v>0.27247435042499996</v>
      </c>
      <c r="GK104" s="3">
        <f>$H104*factors!GE$3</f>
        <v>0.279336243825</v>
      </c>
      <c r="GL104" s="3">
        <f>$H104*factors!GF$3</f>
        <v>0.29591915287499998</v>
      </c>
      <c r="GM104" s="3">
        <f>$H104*factors!GG$3</f>
        <v>0.28047989272500001</v>
      </c>
      <c r="GN104" s="3">
        <f>$H104*factors!GH$3</f>
        <v>0.28934317170000001</v>
      </c>
      <c r="GO104" s="3">
        <f>$H104*factors!GI$3</f>
        <v>0.27333208709999995</v>
      </c>
      <c r="GP104" s="3">
        <f>$H104*factors!GJ$3</f>
        <v>0.29306003062499997</v>
      </c>
      <c r="GQ104" s="3">
        <f>$H104*factors!GK$3</f>
        <v>0.29906418735000001</v>
      </c>
      <c r="GR104" s="3">
        <f>$H104*factors!GL$3</f>
        <v>0.29334594284999999</v>
      </c>
      <c r="GS104" s="3">
        <f>$H104*factors!GM$3</f>
        <v>0.27741491367299997</v>
      </c>
      <c r="GT104" s="3">
        <f>$H104*factors!GN$3</f>
        <v>0.2838056237262</v>
      </c>
      <c r="GU104" s="3">
        <f>$H104*factors!GO$3</f>
        <v>0.29048682059999997</v>
      </c>
      <c r="GV104" s="3">
        <f>$H104*factors!GP$3</f>
        <v>0.27886734777600003</v>
      </c>
      <c r="GW104" s="3">
        <f>$H104*factors!GQ$3</f>
        <v>0.28874389967640002</v>
      </c>
      <c r="GX104" s="3">
        <f>$H104*factors!GR$3</f>
        <v>0.28409611054679995</v>
      </c>
      <c r="GY104" s="3">
        <f>$H104*factors!GS$3</f>
        <v>0.28264367644380001</v>
      </c>
      <c r="GZ104" s="3">
        <f>$H104*factors!GT$3</f>
        <v>0.29310120198539996</v>
      </c>
      <c r="HA104" s="3">
        <f>$H104*factors!GU$3</f>
        <v>0.28351513690559998</v>
      </c>
      <c r="HB104" s="3">
        <f>$H104*factors!GV$3</f>
        <v>0.29310120198539996</v>
      </c>
      <c r="HC104" s="3">
        <f>$H104*factors!GW$3</f>
        <v>0.28583903147039996</v>
      </c>
      <c r="HD104" s="3">
        <f>$H104*factors!GX$3</f>
        <v>0.29426314926779995</v>
      </c>
      <c r="HE104" s="3">
        <f>$H104*factors!GY$3</f>
        <v>0.29048682059999997</v>
      </c>
      <c r="HF104" s="3">
        <f>$H104*factors!GZ$3</f>
        <v>0.29949191203859998</v>
      </c>
      <c r="HG104" s="3">
        <f>$H104*factors!HA$3</f>
        <v>0.28787243921459998</v>
      </c>
      <c r="HH104" s="3">
        <f>$H104*factors!HB$3</f>
        <v>0.28409611054679995</v>
      </c>
      <c r="HI104" s="3">
        <f>$H104*factors!HC$3</f>
        <v>0.28061026869959999</v>
      </c>
      <c r="HJ104" s="3">
        <f>$H104*factors!HD$3</f>
        <v>0.27741491367299997</v>
      </c>
      <c r="HK104" s="3">
        <f>$H104*factors!HE$3</f>
        <v>0.29339168880599997</v>
      </c>
      <c r="HL104" s="3">
        <f>$H104*factors!HF$3</f>
        <v>0.27654345321119994</v>
      </c>
      <c r="HM104" s="3">
        <f>$H104*factors!HG$3</f>
        <v>0.2794483214172</v>
      </c>
      <c r="HN104" s="3">
        <f>$H104*factors!HH$3</f>
        <v>0.29803947793559998</v>
      </c>
      <c r="HO104" s="3">
        <f>$H104*factors!HI$3</f>
        <v>0.28583903147039996</v>
      </c>
      <c r="HP104" s="3">
        <f>$H104*factors!HJ$3</f>
        <v>0.30501116163000003</v>
      </c>
      <c r="HQ104" s="3">
        <f>$H104*factors!HK$3</f>
        <v>0.27886734777600003</v>
      </c>
      <c r="HR104" s="3">
        <f>$H104*factors!HL$3</f>
        <v>0.29571558337080001</v>
      </c>
      <c r="HS104" s="3">
        <f>$H104*factors!HM$3</f>
        <v>0.30094434614159998</v>
      </c>
      <c r="HT104" s="3">
        <f>$H104*factors!HN$3</f>
        <v>0.28061026869959999</v>
      </c>
      <c r="HU104" s="3">
        <f>$H104*factors!HO$3</f>
        <v>0.28351513690559998</v>
      </c>
      <c r="HV104" s="3">
        <f>$H104*factors!HP$3</f>
        <v>0.28700097875280001</v>
      </c>
      <c r="HW104" s="3">
        <f>$H104*factors!HQ$3</f>
        <v>0.2910677942412</v>
      </c>
      <c r="HX104" s="3">
        <f>$H104*factors!HR$3</f>
        <v>0.30297775388579995</v>
      </c>
      <c r="HY104" s="3">
        <f>$H104*factors!HS$3</f>
        <v>0.28787243921459998</v>
      </c>
      <c r="HZ104" s="3">
        <f>$H104*factors!HT$3</f>
        <v>0.29891093839739996</v>
      </c>
      <c r="IA104" s="3">
        <f>$H104*factors!HU$3</f>
        <v>0.28438659736740002</v>
      </c>
      <c r="IB104" s="3">
        <f>$H104*factors!HV$3</f>
        <v>0.29426314926779995</v>
      </c>
      <c r="IC104" s="3">
        <f>$H104*factors!HW$3</f>
        <v>0.29716801747380001</v>
      </c>
      <c r="ID104" s="3">
        <f>$H104*factors!HX$3</f>
        <v>0.27596247956999997</v>
      </c>
      <c r="IE104" s="3">
        <f>$H104*factors!HY$3</f>
        <v>0.29310120198539996</v>
      </c>
      <c r="IF104" s="3">
        <f>$H104*factors!HZ$3</f>
        <v>0.29135828106179995</v>
      </c>
      <c r="IG104" s="3">
        <f>$H104*factors!IA$3</f>
        <v>0.28874389967640002</v>
      </c>
      <c r="IH104" s="3">
        <f>$H104*factors!IB$3</f>
        <v>0.29949191203859998</v>
      </c>
      <c r="II104" s="3">
        <f>$H104*factors!IC$3</f>
        <v>0.2867104919322</v>
      </c>
      <c r="IJ104" s="3">
        <f>$H104*factors!ID$3</f>
        <v>0.28932487331759998</v>
      </c>
      <c r="IK104" s="3">
        <f>$H104*factors!IE$3</f>
        <v>0.29978239885919999</v>
      </c>
      <c r="IL104" s="3">
        <f>$H104*factors!IF$3</f>
        <v>0.28700097875280001</v>
      </c>
      <c r="IM104" s="3">
        <f>$H104*factors!IG$3</f>
        <v>0.28438659736740002</v>
      </c>
      <c r="IN104" s="3">
        <f>$H104*factors!IH$3</f>
        <v>0.28612951829099997</v>
      </c>
      <c r="IO104" s="3">
        <f>$H104*factors!II$3</f>
        <v>0.28903438649699997</v>
      </c>
      <c r="IP104" s="3">
        <f>$H104*factors!IJ$3</f>
        <v>0.2794483214172</v>
      </c>
      <c r="IQ104" s="3">
        <f>$H104*factors!IK$3</f>
        <v>0.27857686095539996</v>
      </c>
      <c r="IR104" s="3">
        <f>$H104*factors!IL$3</f>
        <v>0.2867104919322</v>
      </c>
      <c r="IS104" s="3">
        <f>$H104*factors!IM$3</f>
        <v>0.28903438649699997</v>
      </c>
      <c r="IT104" s="3">
        <f>$H104*factors!IN$3</f>
        <v>0.2910677942412</v>
      </c>
      <c r="IU104" s="3">
        <f>$H104*factors!IO$3</f>
        <v>0.29745850429440002</v>
      </c>
      <c r="IV104" s="3">
        <f>$H104*factors!IP$3</f>
        <v>0.30123483296219994</v>
      </c>
      <c r="IW104" s="3">
        <f>$H104*factors!IQ$3</f>
        <v>0.28467708418799997</v>
      </c>
      <c r="IX104" s="3">
        <f>$H104*factors!IR$3</f>
        <v>0.29745850429440002</v>
      </c>
      <c r="IY104" s="3">
        <f>$H104*factors!IS$3</f>
        <v>0.29310120198539996</v>
      </c>
      <c r="IZ104" s="3">
        <f>$H104*factors!IT$3</f>
        <v>0.29803947793559998</v>
      </c>
      <c r="JA104" s="3">
        <f>$H104*factors!IU$3</f>
        <v>0.28148172916139996</v>
      </c>
      <c r="JB104" s="3">
        <f>$H104*factors!IV$3</f>
        <v>0.2867104919322</v>
      </c>
      <c r="JC104" s="3">
        <f>$H104*factors!IW$3</f>
        <v>0.28002929505840002</v>
      </c>
      <c r="JD104" s="3">
        <f>$H104*factors!IX$3</f>
        <v>0.30501116163000003</v>
      </c>
      <c r="JE104" s="3">
        <f>$H104*factors!IY$3</f>
        <v>0.2809007555202</v>
      </c>
      <c r="JF104" s="3">
        <f>$H104*factors!IZ$3</f>
        <v>0.29484412290899997</v>
      </c>
      <c r="JG104" s="3">
        <f>$H104*factors!JA$3</f>
        <v>0.2896153601382</v>
      </c>
      <c r="JH104" s="3">
        <f>$H104*factors!JB$3</f>
        <v>0.29513460972960004</v>
      </c>
      <c r="JI104" s="3">
        <f>$H104*factors!JC$3</f>
        <v>0.27625296639059999</v>
      </c>
      <c r="JJ104" s="3">
        <f>$H104*factors!JD$3</f>
        <v>0.29745850429440002</v>
      </c>
      <c r="JK104" s="3">
        <f>$H104*factors!JE$3</f>
        <v>0.28787243921459998</v>
      </c>
      <c r="JL104" s="3">
        <f>$H104*factors!JF$3</f>
        <v>0.29949191203859998</v>
      </c>
      <c r="JM104" s="3">
        <f>$H104*factors!JG$3</f>
        <v>0.2794483214172</v>
      </c>
      <c r="JN104" s="3">
        <f>$H104*factors!JH$3</f>
        <v>0.2794483214172</v>
      </c>
      <c r="JO104" s="3">
        <f>$H104*factors!JI$3</f>
        <v>0.27596247956999997</v>
      </c>
      <c r="JP104" s="3">
        <f>$H104*factors!JJ$3</f>
        <v>0.29832996475619999</v>
      </c>
      <c r="JQ104" s="3">
        <f>$H104*factors!JK$3</f>
        <v>0.29077730742059998</v>
      </c>
      <c r="JR104" s="3">
        <f>$H104*factors!JL$3</f>
        <v>0.30210629342399997</v>
      </c>
      <c r="JS104" s="3">
        <f>$H104*factors!JM$3</f>
        <v>0.27596247956999997</v>
      </c>
      <c r="JT104" s="3">
        <f>$H104*factors!JN$3</f>
        <v>0.28990584695880001</v>
      </c>
      <c r="JU104" s="3">
        <f>$H104*factors!JO$3</f>
        <v>0.28031978187899997</v>
      </c>
      <c r="JV104" s="3">
        <f>$H104*factors!JP$3</f>
        <v>0.28496757100859998</v>
      </c>
      <c r="JW104" s="3">
        <f>$H104*factors!JQ$3</f>
        <v>0.30443018798880001</v>
      </c>
      <c r="JX104" s="3">
        <f>$H104*factors!JR$3</f>
        <v>0.30152531978280001</v>
      </c>
      <c r="JY104" s="3">
        <f>$H104*factors!JS$3</f>
        <v>0.2838056237262</v>
      </c>
      <c r="JZ104" s="3">
        <f>$H104*factors!JT$3</f>
        <v>0.28700097875280001</v>
      </c>
      <c r="KA104" s="3">
        <f>$H104*factors!JU$3</f>
        <v>0.2881629260352</v>
      </c>
      <c r="KB104" s="3">
        <f>$H104*factors!JV$3</f>
        <v>0.27857686095539996</v>
      </c>
      <c r="KC104" s="3">
        <f>$H104*factors!JW$3</f>
        <v>0.28002929505840002</v>
      </c>
      <c r="KD104" s="3">
        <f>$H104*factors!JX$3</f>
        <v>0.28031978187899997</v>
      </c>
      <c r="KE104" s="3">
        <f>$H104*factors!JY$3</f>
        <v>0.29832996475619999</v>
      </c>
      <c r="KF104" s="3">
        <f>$H104*factors!JZ$3</f>
        <v>0.30181580660339996</v>
      </c>
      <c r="KG104" s="3">
        <f>$H104*factors!KA$3</f>
        <v>0.2910677942412</v>
      </c>
      <c r="KH104" s="3">
        <f>$H104*factors!KB$3</f>
        <v>0.28467708418799997</v>
      </c>
      <c r="KI104" s="3">
        <f>$H104*factors!KC$3</f>
        <v>0.28206270280259998</v>
      </c>
    </row>
    <row r="105" spans="1:295" x14ac:dyDescent="0.55000000000000004">
      <c r="A105" t="s">
        <v>482</v>
      </c>
      <c r="B105">
        <v>104</v>
      </c>
      <c r="C105">
        <v>500</v>
      </c>
      <c r="D105" t="s">
        <v>377</v>
      </c>
      <c r="E105">
        <v>7.2639999999999996E-3</v>
      </c>
      <c r="F105">
        <v>104</v>
      </c>
      <c r="G105">
        <f>VLOOKUP(D105,demand_forecasted!$A$2:$G$11,2)</f>
        <v>11098</v>
      </c>
      <c r="H105" s="3">
        <f t="shared" si="2"/>
        <v>0.80615872</v>
      </c>
      <c r="I105" s="3">
        <f>$H105*factors!C$3</f>
        <v>0.89241770304000001</v>
      </c>
      <c r="J105" s="3">
        <f>$H105*factors!D$3</f>
        <v>0.86020360058879997</v>
      </c>
      <c r="K105" s="3">
        <f>$H105*factors!E$3</f>
        <v>0.84540252648960001</v>
      </c>
      <c r="L105" s="3">
        <f>$H105*factors!F$3</f>
        <v>0.8427905722368001</v>
      </c>
      <c r="M105" s="3">
        <f>$H105*factors!G$3</f>
        <v>0.84191992081919997</v>
      </c>
      <c r="N105" s="3">
        <f>$H105*factors!H$3</f>
        <v>0.86629816051200004</v>
      </c>
      <c r="O105" s="3">
        <f>$H105*factors!I$3</f>
        <v>0.88545249169920004</v>
      </c>
      <c r="P105" s="3">
        <f>$H105*factors!J$3</f>
        <v>0.89590030871040005</v>
      </c>
      <c r="Q105" s="3">
        <f>$H105*factors!K$3</f>
        <v>0.84104926940159996</v>
      </c>
      <c r="R105" s="3">
        <f>$H105*factors!L$3</f>
        <v>0.82711884672000002</v>
      </c>
      <c r="S105" s="3">
        <f>$H105*factors!M$3</f>
        <v>0.86107425200639998</v>
      </c>
      <c r="T105" s="3">
        <f>$H105*factors!N$3</f>
        <v>0.89067640020479999</v>
      </c>
      <c r="U105" s="3">
        <f>$H105*factors!O$3</f>
        <v>0.84366122365440011</v>
      </c>
      <c r="V105" s="3">
        <f>$H105*factors!P$3</f>
        <v>0.87761662894080006</v>
      </c>
      <c r="W105" s="3">
        <f>$H105*factors!Q$3</f>
        <v>0.88545249169920004</v>
      </c>
      <c r="X105" s="3">
        <f>$H105*factors!R$3</f>
        <v>0.84714382932480004</v>
      </c>
      <c r="Y105" s="3">
        <f>$H105*factors!S$3</f>
        <v>0.83930796656640005</v>
      </c>
      <c r="Z105" s="3">
        <f>$H105*factors!T$3</f>
        <v>0.90547747430400016</v>
      </c>
      <c r="AA105" s="3">
        <f>$H105*factors!U$3</f>
        <v>0.8549796920831999</v>
      </c>
      <c r="AB105" s="3">
        <f>$H105*factors!V$3</f>
        <v>0.85585034350080014</v>
      </c>
      <c r="AC105" s="3">
        <f>$H105*factors!W$3</f>
        <v>0.85672099491840004</v>
      </c>
      <c r="AD105" s="3">
        <f>$H105*factors!X$3</f>
        <v>0.83843731514880004</v>
      </c>
      <c r="AE105" s="3">
        <f>$H105*factors!Y$3</f>
        <v>0.84540252648960001</v>
      </c>
      <c r="AF105" s="3">
        <f>$H105*factors!Z$3</f>
        <v>0.86281555484160011</v>
      </c>
      <c r="AG105" s="3">
        <f>$H105*factors!AA$3</f>
        <v>0.84104926940159996</v>
      </c>
      <c r="AH105" s="3">
        <f>$H105*factors!AB$3</f>
        <v>0.83756666373120003</v>
      </c>
      <c r="AI105" s="3">
        <f>$H105*factors!AC$3</f>
        <v>0.86455685767680002</v>
      </c>
      <c r="AJ105" s="3">
        <f>$H105*factors!AD$3</f>
        <v>0.89764161154559996</v>
      </c>
      <c r="AK105" s="3">
        <f>$H105*factors!AE$3</f>
        <v>0.86368620625920012</v>
      </c>
      <c r="AL105" s="3">
        <f>$H105*factors!AF$3</f>
        <v>0.82973080097279994</v>
      </c>
      <c r="AM105" s="3">
        <f>$H105*factors!AG$3</f>
        <v>0.853238389248</v>
      </c>
      <c r="AN105" s="3">
        <f>$H105*factors!AH$3</f>
        <v>0.83930796656640005</v>
      </c>
      <c r="AO105" s="3">
        <f>$H105*factors!AI$3</f>
        <v>0.87935793177599997</v>
      </c>
      <c r="AP105" s="3">
        <f>$H105*factors!AJ$3</f>
        <v>0.8427905722368001</v>
      </c>
      <c r="AQ105" s="3">
        <f>$H105*factors!AK$3</f>
        <v>0.86978076618240008</v>
      </c>
      <c r="AR105" s="3">
        <f>$H105*factors!AL$3</f>
        <v>0.85062643499520008</v>
      </c>
      <c r="AS105" s="3">
        <f>$H105*factors!AM$3</f>
        <v>0.82973080097279994</v>
      </c>
      <c r="AT105" s="3">
        <f>$H105*factors!AN$3</f>
        <v>0.85585034350080014</v>
      </c>
      <c r="AU105" s="3">
        <f>$H105*factors!AO$3</f>
        <v>0.90634812572159995</v>
      </c>
      <c r="AV105" s="3">
        <f>$H105*factors!AP$3</f>
        <v>0.85672099491840004</v>
      </c>
      <c r="AW105" s="3">
        <f>$H105*factors!AQ$3</f>
        <v>0.84801448074239993</v>
      </c>
      <c r="AX105" s="3">
        <f>$H105*factors!AR$3</f>
        <v>0.89677096012800006</v>
      </c>
      <c r="AY105" s="3">
        <f>$H105*factors!AS$3</f>
        <v>0.82711884672000002</v>
      </c>
      <c r="AZ105" s="3">
        <f>$H105*factors!AT$3</f>
        <v>0.88632314311680016</v>
      </c>
      <c r="BA105" s="3">
        <f>$H105*factors!AU$3</f>
        <v>0.86716881192959994</v>
      </c>
      <c r="BB105" s="3">
        <f>$H105*factors!AV$3</f>
        <v>0.85585034350080014</v>
      </c>
      <c r="BC105" s="3">
        <f>$H105*factors!AW$3</f>
        <v>0.90547747430400016</v>
      </c>
      <c r="BD105" s="3">
        <f>$H105*factors!AX$3</f>
        <v>0.8358253608959999</v>
      </c>
      <c r="BE105" s="3">
        <f>$H105*factors!AY$3</f>
        <v>0.98265911015679996</v>
      </c>
      <c r="BF105" s="3">
        <f>$H105*factors!AZ$3</f>
        <v>0.91511913259519995</v>
      </c>
      <c r="BG105" s="3">
        <f>$H105*factors!BA$3</f>
        <v>0.9284368746495999</v>
      </c>
      <c r="BH105" s="3">
        <f>$H105*factors!BB$3</f>
        <v>0.94080334941439991</v>
      </c>
      <c r="BI105" s="3">
        <f>$H105*factors!BC$3</f>
        <v>0.97504897183999983</v>
      </c>
      <c r="BJ105" s="3">
        <f>$H105*factors!BD$3</f>
        <v>0.93129067651839992</v>
      </c>
      <c r="BK105" s="3">
        <f>$H105*factors!BE$3</f>
        <v>0.9331932110975999</v>
      </c>
      <c r="BL105" s="3">
        <f>$H105*factors!BF$3</f>
        <v>0.92272927091199985</v>
      </c>
      <c r="BM105" s="3">
        <f>$H105*factors!BG$3</f>
        <v>0.98551291202559999</v>
      </c>
      <c r="BN105" s="3">
        <f>$H105*factors!BH$3</f>
        <v>0.97314643726079986</v>
      </c>
      <c r="BO105" s="3">
        <f>$H105*factors!BI$3</f>
        <v>0.91511913259519995</v>
      </c>
      <c r="BP105" s="3">
        <f>$H105*factors!BJ$3</f>
        <v>0.91226533072639993</v>
      </c>
      <c r="BQ105" s="3">
        <f>$H105*factors!BK$3</f>
        <v>0.92748560735999985</v>
      </c>
      <c r="BR105" s="3">
        <f>$H105*factors!BL$3</f>
        <v>0.96077996249599995</v>
      </c>
      <c r="BS105" s="3">
        <f>$H105*factors!BM$3</f>
        <v>0.97600023912959999</v>
      </c>
      <c r="BT105" s="3">
        <f>$H105*factors!BN$3</f>
        <v>0.9788540409983999</v>
      </c>
      <c r="BU105" s="3">
        <f>$H105*factors!BO$3</f>
        <v>0.99502558492159998</v>
      </c>
      <c r="BV105" s="3">
        <f>$H105*factors!BP$3</f>
        <v>0.92558307278079999</v>
      </c>
      <c r="BW105" s="3">
        <f>$H105*factors!BQ$3</f>
        <v>0.94651095315199996</v>
      </c>
      <c r="BX105" s="3">
        <f>$H105*factors!BR$3</f>
        <v>0.9284368746495999</v>
      </c>
      <c r="BY105" s="3">
        <f>$H105*factors!BS$3</f>
        <v>0.97124390268159977</v>
      </c>
      <c r="BZ105" s="3">
        <f>$H105*factors!BT$3</f>
        <v>0.95316982417919993</v>
      </c>
      <c r="CA105" s="3">
        <f>$H105*factors!BU$3</f>
        <v>0.94080334941439991</v>
      </c>
      <c r="CB105" s="3">
        <f>$H105*factors!BV$3</f>
        <v>0.91036279614719995</v>
      </c>
      <c r="CC105" s="3">
        <f>$H105*factors!BW$3</f>
        <v>0.93699828025599996</v>
      </c>
      <c r="CD105" s="3">
        <f>$H105*factors!BX$3</f>
        <v>0.93985208212479998</v>
      </c>
      <c r="CE105" s="3">
        <f>$H105*factors!BY$3</f>
        <v>0.95316982417919993</v>
      </c>
      <c r="CF105" s="3">
        <f>$H105*factors!BZ$3</f>
        <v>0.93890081483520005</v>
      </c>
      <c r="CG105" s="3">
        <f>$H105*factors!CA$3</f>
        <v>0.90750899427839982</v>
      </c>
      <c r="CH105" s="3">
        <f>$H105*factors!CB$3</f>
        <v>0.90846026156799986</v>
      </c>
      <c r="CI105" s="3">
        <f>$H105*factors!CC$3</f>
        <v>0.90370392511999997</v>
      </c>
      <c r="CJ105" s="3">
        <f>$H105*factors!CD$3</f>
        <v>0.94080334941439991</v>
      </c>
      <c r="CK105" s="3">
        <f>$H105*factors!CE$3</f>
        <v>0.98265911015679996</v>
      </c>
      <c r="CL105" s="3">
        <f>$H105*factors!CF$3</f>
        <v>0.92082673633279988</v>
      </c>
      <c r="CM105" s="3">
        <f>$H105*factors!CG$3</f>
        <v>0.94270588399359989</v>
      </c>
      <c r="CN105" s="3">
        <f>$H105*factors!CH$3</f>
        <v>0.91131406343679988</v>
      </c>
      <c r="CO105" s="3">
        <f>$H105*factors!CI$3</f>
        <v>0.91797293446399986</v>
      </c>
      <c r="CP105" s="3">
        <f>$H105*factors!CJ$3</f>
        <v>0.96173122978559977</v>
      </c>
      <c r="CQ105" s="3">
        <f>$H105*factors!CK$3</f>
        <v>0.9331932110975999</v>
      </c>
      <c r="CR105" s="3">
        <f>$H105*factors!CL$3</f>
        <v>0.96268249707519993</v>
      </c>
      <c r="CS105" s="3">
        <f>$H105*factors!CM$3</f>
        <v>0.99312305034239989</v>
      </c>
      <c r="CT105" s="3">
        <f>$H105*factors!CN$3</f>
        <v>0.98170784286719992</v>
      </c>
      <c r="CU105" s="3">
        <f>$H105*factors!CO$3</f>
        <v>0.9598286952063998</v>
      </c>
      <c r="CV105" s="3">
        <f>$H105*factors!CP$3</f>
        <v>0.99883065407999994</v>
      </c>
      <c r="CW105" s="3">
        <f>$H105*factors!CQ$3</f>
        <v>0.94460841857279998</v>
      </c>
      <c r="CX105" s="3">
        <f>$H105*factors!CR$3</f>
        <v>0.93033940922879999</v>
      </c>
      <c r="CY105" s="3">
        <f>$H105*factors!CS$3</f>
        <v>0.92177800362239992</v>
      </c>
      <c r="CZ105" s="3">
        <f>$H105*factors!CT$3</f>
        <v>0.90846026156799986</v>
      </c>
      <c r="DA105" s="3">
        <f>$H105*factors!CU$3</f>
        <v>0.9432057023999999</v>
      </c>
      <c r="DB105" s="3">
        <f>$H105*factors!CV$3</f>
        <v>1.0041513016320001</v>
      </c>
      <c r="DC105" s="3">
        <f>$H105*factors!CW$3</f>
        <v>0.96158612121599985</v>
      </c>
      <c r="DD105" s="3">
        <f>$H105*factors!CX$3</f>
        <v>0.95481438796799989</v>
      </c>
      <c r="DE105" s="3">
        <f>$H105*factors!CY$3</f>
        <v>0.98286871142400001</v>
      </c>
      <c r="DF105" s="3">
        <f>$H105*factors!CZ$3</f>
        <v>0.98093393049599986</v>
      </c>
      <c r="DG105" s="3">
        <f>$H105*factors!DA$3</f>
        <v>0.97706436864000001</v>
      </c>
      <c r="DH105" s="3">
        <f>$H105*factors!DB$3</f>
        <v>0.97706436864000001</v>
      </c>
      <c r="DI105" s="3">
        <f>$H105*factors!DC$3</f>
        <v>0.9403035310079999</v>
      </c>
      <c r="DJ105" s="3">
        <f>$H105*factors!DD$3</f>
        <v>0.99641217792000003</v>
      </c>
      <c r="DK105" s="3">
        <f>$H105*factors!DE$3</f>
        <v>0.99641217792000003</v>
      </c>
      <c r="DL105" s="3">
        <f>$H105*factors!DF$3</f>
        <v>0.98480349235200004</v>
      </c>
      <c r="DM105" s="3">
        <f>$H105*factors!DG$3</f>
        <v>0.92772745497599984</v>
      </c>
      <c r="DN105" s="3">
        <f>$H105*factors!DH$3</f>
        <v>0.97319480678400005</v>
      </c>
      <c r="DO105" s="3">
        <f>$H105*factors!DI$3</f>
        <v>1.005118692096</v>
      </c>
      <c r="DP105" s="3">
        <f>$H105*factors!DJ$3</f>
        <v>0.99641217792000003</v>
      </c>
      <c r="DQ105" s="3">
        <f>$H105*factors!DK$3</f>
        <v>0.94997743564799986</v>
      </c>
      <c r="DR105" s="3">
        <f>$H105*factors!DL$3</f>
        <v>0.93933614054400005</v>
      </c>
      <c r="DS105" s="3">
        <f>$H105*factors!DM$3</f>
        <v>1.0147925967359999</v>
      </c>
      <c r="DT105" s="3">
        <f>$H105*factors!DN$3</f>
        <v>0.95384699750400004</v>
      </c>
      <c r="DU105" s="3">
        <f>$H105*factors!DO$3</f>
        <v>0.99834695884799995</v>
      </c>
      <c r="DV105" s="3">
        <f>$H105*factors!DP$3</f>
        <v>0.97512958771199998</v>
      </c>
      <c r="DW105" s="3">
        <f>$H105*factors!DQ$3</f>
        <v>0.93062962636799984</v>
      </c>
      <c r="DX105" s="3">
        <f>$H105*factors!DR$3</f>
        <v>0.98577088281599989</v>
      </c>
      <c r="DY105" s="3">
        <f>$H105*factors!DS$3</f>
        <v>0.93546657868799987</v>
      </c>
      <c r="DZ105" s="3">
        <f>$H105*factors!DT$3</f>
        <v>1.000281739776</v>
      </c>
      <c r="EA105" s="3">
        <f>$H105*factors!DU$3</f>
        <v>0.94223831193599983</v>
      </c>
      <c r="EB105" s="3">
        <f>$H105*factors!DV$3</f>
        <v>0.91902094079999996</v>
      </c>
      <c r="EC105" s="3">
        <f>$H105*factors!DW$3</f>
        <v>0.98867305420799989</v>
      </c>
      <c r="ED105" s="3">
        <f>$H105*factors!DX$3</f>
        <v>0.92772745497599984</v>
      </c>
      <c r="EE105" s="3">
        <f>$H105*factors!DY$3</f>
        <v>0.93546657868799987</v>
      </c>
      <c r="EF105" s="3">
        <f>$H105*factors!DZ$3</f>
        <v>1.0147925967359999</v>
      </c>
      <c r="EG105" s="3">
        <f>$H105*factors!EA$3</f>
        <v>0.94804265471999993</v>
      </c>
      <c r="EH105" s="3">
        <f>$H105*factors!EB$3</f>
        <v>0.95094482611199993</v>
      </c>
      <c r="EI105" s="3">
        <f>$H105*factors!EC$3</f>
        <v>0.94901004518400001</v>
      </c>
      <c r="EJ105" s="3">
        <f>$H105*factors!ED$3</f>
        <v>0.92482528358399996</v>
      </c>
      <c r="EK105" s="3">
        <f>$H105*factors!EE$3</f>
        <v>0.98867305420799989</v>
      </c>
      <c r="EL105" s="3">
        <f>$H105*factors!EF$3</f>
        <v>0.9403035310079999</v>
      </c>
      <c r="EM105" s="3">
        <f>$H105*factors!EG$3</f>
        <v>0.97803175910399986</v>
      </c>
      <c r="EN105" s="3">
        <f>$H105*factors!EH$3</f>
        <v>0.91902094079999996</v>
      </c>
      <c r="EO105" s="3">
        <f>$H105*factors!EI$3</f>
        <v>0.93256440729599988</v>
      </c>
      <c r="EP105" s="3">
        <f>$H105*factors!EJ$3</f>
        <v>0.98383610188799997</v>
      </c>
      <c r="EQ105" s="3">
        <f>$H105*factors!EK$3</f>
        <v>0.95674916889599992</v>
      </c>
      <c r="ER105" s="3">
        <f>$H105*factors!EL$3</f>
        <v>0.99641217792000003</v>
      </c>
      <c r="ES105" s="3">
        <f>$H105*factors!EM$3</f>
        <v>0.98383610188799997</v>
      </c>
      <c r="ET105" s="3">
        <f>$H105*factors!EN$3</f>
        <v>1.00608608256</v>
      </c>
      <c r="EU105" s="3">
        <f>$H105*factors!EO$3</f>
        <v>1.0157599872</v>
      </c>
      <c r="EV105" s="3">
        <f>$H105*factors!EP$3</f>
        <v>0.95191221657599989</v>
      </c>
      <c r="EW105" s="3">
        <f>$H105*factors!EQ$3</f>
        <v>1.0469986375999998</v>
      </c>
      <c r="EX105" s="3">
        <f>$H105*factors!ER$3</f>
        <v>1.0359139552000001</v>
      </c>
      <c r="EY105" s="3">
        <f>$H105*factors!ES$3</f>
        <v>1.0570756215999999</v>
      </c>
      <c r="EZ105" s="3">
        <f>$H105*factors!ET$3</f>
        <v>1.0469986375999998</v>
      </c>
      <c r="FA105" s="3">
        <f>$H105*factors!EU$3</f>
        <v>0.96235197199999989</v>
      </c>
      <c r="FB105" s="3">
        <f>$H105*factors!EV$3</f>
        <v>1.0056830032000001</v>
      </c>
      <c r="FC105" s="3">
        <f>$H105*factors!EW$3</f>
        <v>1.0338985584</v>
      </c>
      <c r="FD105" s="3">
        <f>$H105*factors!EX$3</f>
        <v>0.99762141599999998</v>
      </c>
      <c r="FE105" s="3">
        <f>$H105*factors!EY$3</f>
        <v>1.0510294311999999</v>
      </c>
      <c r="FF105" s="3">
        <f>$H105*factors!EZ$3</f>
        <v>1.0520371296000002</v>
      </c>
      <c r="FG105" s="3">
        <f>$H105*factors!FA$3</f>
        <v>0.96235197199999989</v>
      </c>
      <c r="FH105" s="3">
        <f>$H105*factors!FB$3</f>
        <v>1.0127368919999999</v>
      </c>
      <c r="FI105" s="3">
        <f>$H105*factors!FC$3</f>
        <v>1.0550602247999998</v>
      </c>
      <c r="FJ105" s="3">
        <f>$H105*factors!FD$3</f>
        <v>1.0127368919999999</v>
      </c>
      <c r="FK105" s="3">
        <f>$H105*factors!FE$3</f>
        <v>1.0298677648000001</v>
      </c>
      <c r="FL105" s="3">
        <f>$H105*factors!FF$3</f>
        <v>1.03289086</v>
      </c>
      <c r="FM105" s="3">
        <f>$H105*factors!FG$3</f>
        <v>1.0439755423999999</v>
      </c>
      <c r="FN105" s="3">
        <f>$H105*factors!FH$3</f>
        <v>0.97645974959999993</v>
      </c>
      <c r="FO105" s="3">
        <f>$H105*factors!FI$3</f>
        <v>1.0369216535999999</v>
      </c>
      <c r="FP105" s="3">
        <f>$H105*factors!FJ$3</f>
        <v>1.0076984</v>
      </c>
      <c r="FQ105" s="3">
        <f>$H105*factors!FK$3</f>
        <v>0.99762141599999998</v>
      </c>
      <c r="FR105" s="3">
        <f>$H105*factors!FL$3</f>
        <v>1.0177753839999999</v>
      </c>
      <c r="FS105" s="3">
        <f>$H105*factors!FM$3</f>
        <v>1.0117291935999999</v>
      </c>
      <c r="FT105" s="3">
        <f>$H105*factors!FN$3</f>
        <v>1.0338985584</v>
      </c>
      <c r="FU105" s="3">
        <f>$H105*factors!FO$3</f>
        <v>0.99359062239999996</v>
      </c>
      <c r="FV105" s="3">
        <f>$H105*factors!FP$3</f>
        <v>0.9855290351999999</v>
      </c>
      <c r="FW105" s="3">
        <f>$H105*factors!FQ$3</f>
        <v>1.0550602247999998</v>
      </c>
      <c r="FX105" s="3">
        <f>$H105*factors!FR$3</f>
        <v>1.0359139552000001</v>
      </c>
      <c r="FY105" s="3">
        <f>$H105*factors!FS$3</f>
        <v>1.0147522887999998</v>
      </c>
      <c r="FZ105" s="3">
        <f>$H105*factors!FT$3</f>
        <v>0.96436736880000007</v>
      </c>
      <c r="GA105" s="3">
        <f>$H105*factors!FU$3</f>
        <v>1.0147522887999998</v>
      </c>
      <c r="GB105" s="3">
        <f>$H105*factors!FV$3</f>
        <v>1.0520371296000002</v>
      </c>
      <c r="GC105" s="3">
        <f>$H105*factors!FW$3</f>
        <v>0.9855290351999999</v>
      </c>
      <c r="GD105" s="3">
        <f>$H105*factors!FX$3</f>
        <v>1.0026599079999998</v>
      </c>
      <c r="GE105" s="3">
        <f>$H105*factors!FY$3</f>
        <v>1.0026599079999998</v>
      </c>
      <c r="GF105" s="3">
        <f>$H105*factors!FZ$3</f>
        <v>0.99963681279999994</v>
      </c>
      <c r="GG105" s="3">
        <f>$H105*factors!GA$3</f>
        <v>0.96033657519999993</v>
      </c>
      <c r="GH105" s="3">
        <f>$H105*factors!GB$3</f>
        <v>1.0218061776</v>
      </c>
      <c r="GI105" s="3">
        <f>$H105*factors!GC$3</f>
        <v>0.95832117839999997</v>
      </c>
      <c r="GJ105" s="3">
        <f>$H105*factors!GD$3</f>
        <v>0.96033657519999993</v>
      </c>
      <c r="GK105" s="3">
        <f>$H105*factors!GE$3</f>
        <v>0.98452133679999998</v>
      </c>
      <c r="GL105" s="3">
        <f>$H105*factors!GF$3</f>
        <v>1.0429678439999999</v>
      </c>
      <c r="GM105" s="3">
        <f>$H105*factors!GG$3</f>
        <v>0.98855213040000001</v>
      </c>
      <c r="GN105" s="3">
        <f>$H105*factors!GH$3</f>
        <v>1.0197907808000002</v>
      </c>
      <c r="GO105" s="3">
        <f>$H105*factors!GI$3</f>
        <v>0.96335967039999981</v>
      </c>
      <c r="GP105" s="3">
        <f>$H105*factors!GJ$3</f>
        <v>1.03289086</v>
      </c>
      <c r="GQ105" s="3">
        <f>$H105*factors!GK$3</f>
        <v>1.0540525264</v>
      </c>
      <c r="GR105" s="3">
        <f>$H105*factors!GL$3</f>
        <v>1.0338985584</v>
      </c>
      <c r="GS105" s="3">
        <f>$H105*factors!GM$3</f>
        <v>0.97774960355200002</v>
      </c>
      <c r="GT105" s="3">
        <f>$H105*factors!GN$3</f>
        <v>1.0002736781888</v>
      </c>
      <c r="GU105" s="3">
        <f>$H105*factors!GO$3</f>
        <v>1.0238215744000001</v>
      </c>
      <c r="GV105" s="3">
        <f>$H105*factors!GP$3</f>
        <v>0.98286871142400001</v>
      </c>
      <c r="GW105" s="3">
        <f>$H105*factors!GQ$3</f>
        <v>1.0176786449535999</v>
      </c>
      <c r="GX105" s="3">
        <f>$H105*factors!GR$3</f>
        <v>1.0012974997632</v>
      </c>
      <c r="GY105" s="3">
        <f>$H105*factors!GS$3</f>
        <v>0.99617839189120005</v>
      </c>
      <c r="GZ105" s="3">
        <f>$H105*factors!GT$3</f>
        <v>1.0330359685695998</v>
      </c>
      <c r="HA105" s="3">
        <f>$H105*factors!GU$3</f>
        <v>0.99924985661439991</v>
      </c>
      <c r="HB105" s="3">
        <f>$H105*factors!GV$3</f>
        <v>1.0330359685695998</v>
      </c>
      <c r="HC105" s="3">
        <f>$H105*factors!GW$3</f>
        <v>1.0074404292096</v>
      </c>
      <c r="HD105" s="3">
        <f>$H105*factors!GX$3</f>
        <v>1.0371312548671998</v>
      </c>
      <c r="HE105" s="3">
        <f>$H105*factors!GY$3</f>
        <v>1.0238215744000001</v>
      </c>
      <c r="HF105" s="3">
        <f>$H105*factors!GZ$3</f>
        <v>1.0555600432063998</v>
      </c>
      <c r="HG105" s="3">
        <f>$H105*factors!HA$3</f>
        <v>1.0146071802304</v>
      </c>
      <c r="HH105" s="3">
        <f>$H105*factors!HB$3</f>
        <v>1.0012974997632</v>
      </c>
      <c r="HI105" s="3">
        <f>$H105*factors!HC$3</f>
        <v>0.98901164087040006</v>
      </c>
      <c r="HJ105" s="3">
        <f>$H105*factors!HD$3</f>
        <v>0.97774960355200002</v>
      </c>
      <c r="HK105" s="3">
        <f>$H105*factors!HE$3</f>
        <v>1.0340597901439998</v>
      </c>
      <c r="HL105" s="3">
        <f>$H105*factors!HF$3</f>
        <v>0.97467813882879994</v>
      </c>
      <c r="HM105" s="3">
        <f>$H105*factors!HG$3</f>
        <v>0.98491635457280002</v>
      </c>
      <c r="HN105" s="3">
        <f>$H105*factors!HH$3</f>
        <v>1.0504409353344</v>
      </c>
      <c r="HO105" s="3">
        <f>$H105*factors!HI$3</f>
        <v>1.0074404292096</v>
      </c>
      <c r="HP105" s="3">
        <f>$H105*factors!HJ$3</f>
        <v>1.0750126531200002</v>
      </c>
      <c r="HQ105" s="3">
        <f>$H105*factors!HK$3</f>
        <v>0.98286871142400001</v>
      </c>
      <c r="HR105" s="3">
        <f>$H105*factors!HL$3</f>
        <v>1.0422503627392001</v>
      </c>
      <c r="HS105" s="3">
        <f>$H105*factors!HM$3</f>
        <v>1.0606791510783999</v>
      </c>
      <c r="HT105" s="3">
        <f>$H105*factors!HN$3</f>
        <v>0.98901164087040006</v>
      </c>
      <c r="HU105" s="3">
        <f>$H105*factors!HO$3</f>
        <v>0.99924985661439991</v>
      </c>
      <c r="HV105" s="3">
        <f>$H105*factors!HP$3</f>
        <v>1.0115357155072</v>
      </c>
      <c r="HW105" s="3">
        <f>$H105*factors!HQ$3</f>
        <v>1.0258692175488</v>
      </c>
      <c r="HX105" s="3">
        <f>$H105*factors!HR$3</f>
        <v>1.0678459020991999</v>
      </c>
      <c r="HY105" s="3">
        <f>$H105*factors!HS$3</f>
        <v>1.0146071802304</v>
      </c>
      <c r="HZ105" s="3">
        <f>$H105*factors!HT$3</f>
        <v>1.0535124000575999</v>
      </c>
      <c r="IA105" s="3">
        <f>$H105*factors!HU$3</f>
        <v>1.0023213213376001</v>
      </c>
      <c r="IB105" s="3">
        <f>$H105*factors!HV$3</f>
        <v>1.0371312548671998</v>
      </c>
      <c r="IC105" s="3">
        <f>$H105*factors!HW$3</f>
        <v>1.0473694706112</v>
      </c>
      <c r="ID105" s="3">
        <f>$H105*factors!HX$3</f>
        <v>0.97263049567999993</v>
      </c>
      <c r="IE105" s="3">
        <f>$H105*factors!HY$3</f>
        <v>1.0330359685695998</v>
      </c>
      <c r="IF105" s="3">
        <f>$H105*factors!HZ$3</f>
        <v>1.0268930391231998</v>
      </c>
      <c r="IG105" s="3">
        <f>$H105*factors!IA$3</f>
        <v>1.0176786449535999</v>
      </c>
      <c r="IH105" s="3">
        <f>$H105*factors!IB$3</f>
        <v>1.0555600432063998</v>
      </c>
      <c r="II105" s="3">
        <f>$H105*factors!IC$3</f>
        <v>1.0105118939327999</v>
      </c>
      <c r="IJ105" s="3">
        <f>$H105*factors!ID$3</f>
        <v>1.0197262881024001</v>
      </c>
      <c r="IK105" s="3">
        <f>$H105*factors!IE$3</f>
        <v>1.0565838647807999</v>
      </c>
      <c r="IL105" s="3">
        <f>$H105*factors!IF$3</f>
        <v>1.0115357155072</v>
      </c>
      <c r="IM105" s="3">
        <f>$H105*factors!IG$3</f>
        <v>1.0023213213376001</v>
      </c>
      <c r="IN105" s="3">
        <f>$H105*factors!IH$3</f>
        <v>1.008464250784</v>
      </c>
      <c r="IO105" s="3">
        <f>$H105*factors!II$3</f>
        <v>1.018702466528</v>
      </c>
      <c r="IP105" s="3">
        <f>$H105*factors!IJ$3</f>
        <v>0.98491635457280002</v>
      </c>
      <c r="IQ105" s="3">
        <f>$H105*factors!IK$3</f>
        <v>0.98184488984959994</v>
      </c>
      <c r="IR105" s="3">
        <f>$H105*factors!IL$3</f>
        <v>1.0105118939327999</v>
      </c>
      <c r="IS105" s="3">
        <f>$H105*factors!IM$3</f>
        <v>1.018702466528</v>
      </c>
      <c r="IT105" s="3">
        <f>$H105*factors!IN$3</f>
        <v>1.0258692175488</v>
      </c>
      <c r="IU105" s="3">
        <f>$H105*factors!IO$3</f>
        <v>1.0483932921856001</v>
      </c>
      <c r="IV105" s="3">
        <f>$H105*factors!IP$3</f>
        <v>1.0617029726528</v>
      </c>
      <c r="IW105" s="3">
        <f>$H105*factors!IQ$3</f>
        <v>1.0033451429119999</v>
      </c>
      <c r="IX105" s="3">
        <f>$H105*factors!IR$3</f>
        <v>1.0483932921856001</v>
      </c>
      <c r="IY105" s="3">
        <f>$H105*factors!IS$3</f>
        <v>1.0330359685695998</v>
      </c>
      <c r="IZ105" s="3">
        <f>$H105*factors!IT$3</f>
        <v>1.0504409353344</v>
      </c>
      <c r="JA105" s="3">
        <f>$H105*factors!IU$3</f>
        <v>0.99208310559359991</v>
      </c>
      <c r="JB105" s="3">
        <f>$H105*factors!IV$3</f>
        <v>1.0105118939327999</v>
      </c>
      <c r="JC105" s="3">
        <f>$H105*factors!IW$3</f>
        <v>0.98696399772160004</v>
      </c>
      <c r="JD105" s="3">
        <f>$H105*factors!IX$3</f>
        <v>1.0750126531200002</v>
      </c>
      <c r="JE105" s="3">
        <f>$H105*factors!IY$3</f>
        <v>0.9900354624447999</v>
      </c>
      <c r="JF105" s="3">
        <f>$H105*factors!IZ$3</f>
        <v>1.0391788980159999</v>
      </c>
      <c r="JG105" s="3">
        <f>$H105*factors!JA$3</f>
        <v>1.0207501096767999</v>
      </c>
      <c r="JH105" s="3">
        <f>$H105*factors!JB$3</f>
        <v>1.0402027195904</v>
      </c>
      <c r="JI105" s="3">
        <f>$H105*factors!JC$3</f>
        <v>0.97365431725439999</v>
      </c>
      <c r="JJ105" s="3">
        <f>$H105*factors!JD$3</f>
        <v>1.0483932921856001</v>
      </c>
      <c r="JK105" s="3">
        <f>$H105*factors!JE$3</f>
        <v>1.0146071802304</v>
      </c>
      <c r="JL105" s="3">
        <f>$H105*factors!JF$3</f>
        <v>1.0555600432063998</v>
      </c>
      <c r="JM105" s="3">
        <f>$H105*factors!JG$3</f>
        <v>0.98491635457280002</v>
      </c>
      <c r="JN105" s="3">
        <f>$H105*factors!JH$3</f>
        <v>0.98491635457280002</v>
      </c>
      <c r="JO105" s="3">
        <f>$H105*factors!JI$3</f>
        <v>0.97263049567999993</v>
      </c>
      <c r="JP105" s="3">
        <f>$H105*factors!JJ$3</f>
        <v>1.0514647569088</v>
      </c>
      <c r="JQ105" s="3">
        <f>$H105*factors!JK$3</f>
        <v>1.0248453959743999</v>
      </c>
      <c r="JR105" s="3">
        <f>$H105*factors!JL$3</f>
        <v>1.064774437376</v>
      </c>
      <c r="JS105" s="3">
        <f>$H105*factors!JM$3</f>
        <v>0.97263049567999993</v>
      </c>
      <c r="JT105" s="3">
        <f>$H105*factors!JN$3</f>
        <v>1.0217739312512</v>
      </c>
      <c r="JU105" s="3">
        <f>$H105*factors!JO$3</f>
        <v>0.98798781929599988</v>
      </c>
      <c r="JV105" s="3">
        <f>$H105*factors!JP$3</f>
        <v>1.0043689644864</v>
      </c>
      <c r="JW105" s="3">
        <f>$H105*factors!JQ$3</f>
        <v>1.0729650099712</v>
      </c>
      <c r="JX105" s="3">
        <f>$H105*factors!JR$3</f>
        <v>1.0627267942272001</v>
      </c>
      <c r="JY105" s="3">
        <f>$H105*factors!JS$3</f>
        <v>1.0002736781888</v>
      </c>
      <c r="JZ105" s="3">
        <f>$H105*factors!JT$3</f>
        <v>1.0115357155072</v>
      </c>
      <c r="KA105" s="3">
        <f>$H105*factors!JU$3</f>
        <v>1.0156310018048</v>
      </c>
      <c r="KB105" s="3">
        <f>$H105*factors!JV$3</f>
        <v>0.98184488984959994</v>
      </c>
      <c r="KC105" s="3">
        <f>$H105*factors!JW$3</f>
        <v>0.98696399772160004</v>
      </c>
      <c r="KD105" s="3">
        <f>$H105*factors!JX$3</f>
        <v>0.98798781929599988</v>
      </c>
      <c r="KE105" s="3">
        <f>$H105*factors!JY$3</f>
        <v>1.0514647569088</v>
      </c>
      <c r="KF105" s="3">
        <f>$H105*factors!JZ$3</f>
        <v>1.0637506158015999</v>
      </c>
      <c r="KG105" s="3">
        <f>$H105*factors!KA$3</f>
        <v>1.0258692175488</v>
      </c>
      <c r="KH105" s="3">
        <f>$H105*factors!KB$3</f>
        <v>1.0033451429119999</v>
      </c>
      <c r="KI105" s="3">
        <f>$H105*factors!KC$3</f>
        <v>0.99413074874239993</v>
      </c>
    </row>
    <row r="106" spans="1:295" x14ac:dyDescent="0.55000000000000004">
      <c r="A106" t="s">
        <v>483</v>
      </c>
      <c r="B106">
        <v>105</v>
      </c>
      <c r="C106">
        <v>230</v>
      </c>
      <c r="D106" t="s">
        <v>377</v>
      </c>
      <c r="E106">
        <v>3.0869999999999999E-3</v>
      </c>
      <c r="F106">
        <v>105</v>
      </c>
      <c r="G106">
        <f>VLOOKUP(D106,demand_forecasted!$A$2:$G$11,2)</f>
        <v>11098</v>
      </c>
      <c r="H106" s="3">
        <f t="shared" si="2"/>
        <v>0.34259526000000001</v>
      </c>
      <c r="I106" s="3">
        <f>$H106*factors!C$3</f>
        <v>0.37925295281999999</v>
      </c>
      <c r="J106" s="3">
        <f>$H106*factors!D$3</f>
        <v>0.36556284623040003</v>
      </c>
      <c r="K106" s="3">
        <f>$H106*factors!E$3</f>
        <v>0.35927279725680006</v>
      </c>
      <c r="L106" s="3">
        <f>$H106*factors!F$3</f>
        <v>0.35816278861440004</v>
      </c>
      <c r="M106" s="3">
        <f>$H106*factors!G$3</f>
        <v>0.35779278573360002</v>
      </c>
      <c r="N106" s="3">
        <f>$H106*factors!H$3</f>
        <v>0.36815286639600003</v>
      </c>
      <c r="O106" s="3">
        <f>$H106*factors!I$3</f>
        <v>0.37629292977360002</v>
      </c>
      <c r="P106" s="3">
        <f>$H106*factors!J$3</f>
        <v>0.38073296434320003</v>
      </c>
      <c r="Q106" s="3">
        <f>$H106*factors!K$3</f>
        <v>0.35742278285279999</v>
      </c>
      <c r="R106" s="3">
        <f>$H106*factors!L$3</f>
        <v>0.35150273676000005</v>
      </c>
      <c r="S106" s="3">
        <f>$H106*factors!M$3</f>
        <v>0.3659328491112</v>
      </c>
      <c r="T106" s="3">
        <f>$H106*factors!N$3</f>
        <v>0.37851294705840005</v>
      </c>
      <c r="U106" s="3">
        <f>$H106*factors!O$3</f>
        <v>0.35853279149520006</v>
      </c>
      <c r="V106" s="3">
        <f>$H106*factors!P$3</f>
        <v>0.37296290384640002</v>
      </c>
      <c r="W106" s="3">
        <f>$H106*factors!Q$3</f>
        <v>0.37629292977360002</v>
      </c>
      <c r="X106" s="3">
        <f>$H106*factors!R$3</f>
        <v>0.3600128030184</v>
      </c>
      <c r="Y106" s="3">
        <f>$H106*factors!S$3</f>
        <v>0.35668277709120005</v>
      </c>
      <c r="Z106" s="3">
        <f>$H106*factors!T$3</f>
        <v>0.38480299603200008</v>
      </c>
      <c r="AA106" s="3">
        <f>$H106*factors!U$3</f>
        <v>0.36334282894559999</v>
      </c>
      <c r="AB106" s="3">
        <f>$H106*factors!V$3</f>
        <v>0.36371283182640007</v>
      </c>
      <c r="AC106" s="3">
        <f>$H106*factors!W$3</f>
        <v>0.36408283470720004</v>
      </c>
      <c r="AD106" s="3">
        <f>$H106*factors!X$3</f>
        <v>0.35631277421040003</v>
      </c>
      <c r="AE106" s="3">
        <f>$H106*factors!Y$3</f>
        <v>0.35927279725680006</v>
      </c>
      <c r="AF106" s="3">
        <f>$H106*factors!Z$3</f>
        <v>0.36667285487280005</v>
      </c>
      <c r="AG106" s="3">
        <f>$H106*factors!AA$3</f>
        <v>0.35742278285279999</v>
      </c>
      <c r="AH106" s="3">
        <f>$H106*factors!AB$3</f>
        <v>0.35594277132960006</v>
      </c>
      <c r="AI106" s="3">
        <f>$H106*factors!AC$3</f>
        <v>0.36741286063440004</v>
      </c>
      <c r="AJ106" s="3">
        <f>$H106*factors!AD$3</f>
        <v>0.38147297010480002</v>
      </c>
      <c r="AK106" s="3">
        <f>$H106*factors!AE$3</f>
        <v>0.36704285775360007</v>
      </c>
      <c r="AL106" s="3">
        <f>$H106*factors!AF$3</f>
        <v>0.35261274540240001</v>
      </c>
      <c r="AM106" s="3">
        <f>$H106*factors!AG$3</f>
        <v>0.362602823184</v>
      </c>
      <c r="AN106" s="3">
        <f>$H106*factors!AH$3</f>
        <v>0.35668277709120005</v>
      </c>
      <c r="AO106" s="3">
        <f>$H106*factors!AI$3</f>
        <v>0.37370290960800001</v>
      </c>
      <c r="AP106" s="3">
        <f>$H106*factors!AJ$3</f>
        <v>0.35816278861440004</v>
      </c>
      <c r="AQ106" s="3">
        <f>$H106*factors!AK$3</f>
        <v>0.36963287791920008</v>
      </c>
      <c r="AR106" s="3">
        <f>$H106*factors!AL$3</f>
        <v>0.36149281454160004</v>
      </c>
      <c r="AS106" s="3">
        <f>$H106*factors!AM$3</f>
        <v>0.35261274540240001</v>
      </c>
      <c r="AT106" s="3">
        <f>$H106*factors!AN$3</f>
        <v>0.36371283182640007</v>
      </c>
      <c r="AU106" s="3">
        <f>$H106*factors!AO$3</f>
        <v>0.38517299891279999</v>
      </c>
      <c r="AV106" s="3">
        <f>$H106*factors!AP$3</f>
        <v>0.36408283470720004</v>
      </c>
      <c r="AW106" s="3">
        <f>$H106*factors!AQ$3</f>
        <v>0.36038280589920002</v>
      </c>
      <c r="AX106" s="3">
        <f>$H106*factors!AR$3</f>
        <v>0.38110296722400006</v>
      </c>
      <c r="AY106" s="3">
        <f>$H106*factors!AS$3</f>
        <v>0.35150273676000005</v>
      </c>
      <c r="AZ106" s="3">
        <f>$H106*factors!AT$3</f>
        <v>0.3766629326544001</v>
      </c>
      <c r="BA106" s="3">
        <f>$H106*factors!AU$3</f>
        <v>0.3685228692768</v>
      </c>
      <c r="BB106" s="3">
        <f>$H106*factors!AV$3</f>
        <v>0.36371283182640007</v>
      </c>
      <c r="BC106" s="3">
        <f>$H106*factors!AW$3</f>
        <v>0.38480299603200008</v>
      </c>
      <c r="BD106" s="3">
        <f>$H106*factors!AX$3</f>
        <v>0.35520276556800001</v>
      </c>
      <c r="BE106" s="3">
        <f>$H106*factors!AY$3</f>
        <v>0.41760306622439997</v>
      </c>
      <c r="BF106" s="3">
        <f>$H106*factors!AZ$3</f>
        <v>0.38890043534160001</v>
      </c>
      <c r="BG106" s="3">
        <f>$H106*factors!BA$3</f>
        <v>0.39456010903679994</v>
      </c>
      <c r="BH106" s="3">
        <f>$H106*factors!BB$3</f>
        <v>0.39981552032520001</v>
      </c>
      <c r="BI106" s="3">
        <f>$H106*factors!BC$3</f>
        <v>0.41436896696999992</v>
      </c>
      <c r="BJ106" s="3">
        <f>$H106*factors!BD$3</f>
        <v>0.39577289625719997</v>
      </c>
      <c r="BK106" s="3">
        <f>$H106*factors!BE$3</f>
        <v>0.39658142107079997</v>
      </c>
      <c r="BL106" s="3">
        <f>$H106*factors!BF$3</f>
        <v>0.39213453459599995</v>
      </c>
      <c r="BM106" s="3">
        <f>$H106*factors!BG$3</f>
        <v>0.41881585344480005</v>
      </c>
      <c r="BN106" s="3">
        <f>$H106*factors!BH$3</f>
        <v>0.41356044215639998</v>
      </c>
      <c r="BO106" s="3">
        <f>$H106*factors!BI$3</f>
        <v>0.38890043534160001</v>
      </c>
      <c r="BP106" s="3">
        <f>$H106*factors!BJ$3</f>
        <v>0.38768764812119993</v>
      </c>
      <c r="BQ106" s="3">
        <f>$H106*factors!BK$3</f>
        <v>0.39415584662999997</v>
      </c>
      <c r="BR106" s="3">
        <f>$H106*factors!BL$3</f>
        <v>0.40830503086800002</v>
      </c>
      <c r="BS106" s="3">
        <f>$H106*factors!BM$3</f>
        <v>0.4147732293768</v>
      </c>
      <c r="BT106" s="3">
        <f>$H106*factors!BN$3</f>
        <v>0.41598601659719997</v>
      </c>
      <c r="BU106" s="3">
        <f>$H106*factors!BO$3</f>
        <v>0.42285847751280004</v>
      </c>
      <c r="BV106" s="3">
        <f>$H106*factors!BP$3</f>
        <v>0.39334732181639998</v>
      </c>
      <c r="BW106" s="3">
        <f>$H106*factors!BQ$3</f>
        <v>0.40224109476600001</v>
      </c>
      <c r="BX106" s="3">
        <f>$H106*factors!BR$3</f>
        <v>0.39456010903679994</v>
      </c>
      <c r="BY106" s="3">
        <f>$H106*factors!BS$3</f>
        <v>0.41275191734279992</v>
      </c>
      <c r="BZ106" s="3">
        <f>$H106*factors!BT$3</f>
        <v>0.40507093161359997</v>
      </c>
      <c r="CA106" s="3">
        <f>$H106*factors!BU$3</f>
        <v>0.39981552032520001</v>
      </c>
      <c r="CB106" s="3">
        <f>$H106*factors!BV$3</f>
        <v>0.38687912330759999</v>
      </c>
      <c r="CC106" s="3">
        <f>$H106*factors!BW$3</f>
        <v>0.39819847069799996</v>
      </c>
      <c r="CD106" s="3">
        <f>$H106*factors!BX$3</f>
        <v>0.39941125791839999</v>
      </c>
      <c r="CE106" s="3">
        <f>$H106*factors!BY$3</f>
        <v>0.40507093161359997</v>
      </c>
      <c r="CF106" s="3">
        <f>$H106*factors!BZ$3</f>
        <v>0.39900699551160002</v>
      </c>
      <c r="CG106" s="3">
        <f>$H106*factors!CA$3</f>
        <v>0.38566633608719997</v>
      </c>
      <c r="CH106" s="3">
        <f>$H106*factors!CB$3</f>
        <v>0.38607059849399994</v>
      </c>
      <c r="CI106" s="3">
        <f>$H106*factors!CC$3</f>
        <v>0.38404928646000003</v>
      </c>
      <c r="CJ106" s="3">
        <f>$H106*factors!CD$3</f>
        <v>0.39981552032520001</v>
      </c>
      <c r="CK106" s="3">
        <f>$H106*factors!CE$3</f>
        <v>0.41760306622439997</v>
      </c>
      <c r="CL106" s="3">
        <f>$H106*factors!CF$3</f>
        <v>0.39132600978240001</v>
      </c>
      <c r="CM106" s="3">
        <f>$H106*factors!CG$3</f>
        <v>0.40062404513879996</v>
      </c>
      <c r="CN106" s="3">
        <f>$H106*factors!CH$3</f>
        <v>0.38728338571439996</v>
      </c>
      <c r="CO106" s="3">
        <f>$H106*factors!CI$3</f>
        <v>0.39011322256199993</v>
      </c>
      <c r="CP106" s="3">
        <f>$H106*factors!CJ$3</f>
        <v>0.40870929327479993</v>
      </c>
      <c r="CQ106" s="3">
        <f>$H106*factors!CK$3</f>
        <v>0.39658142107079997</v>
      </c>
      <c r="CR106" s="3">
        <f>$H106*factors!CL$3</f>
        <v>0.40911355568159996</v>
      </c>
      <c r="CS106" s="3">
        <f>$H106*factors!CM$3</f>
        <v>0.42204995269919998</v>
      </c>
      <c r="CT106" s="3">
        <f>$H106*factors!CN$3</f>
        <v>0.41719880381759999</v>
      </c>
      <c r="CU106" s="3">
        <f>$H106*factors!CO$3</f>
        <v>0.40790076846119994</v>
      </c>
      <c r="CV106" s="3">
        <f>$H106*factors!CP$3</f>
        <v>0.42447552713999998</v>
      </c>
      <c r="CW106" s="3">
        <f>$H106*factors!CQ$3</f>
        <v>0.40143256995240001</v>
      </c>
      <c r="CX106" s="3">
        <f>$H106*factors!CR$3</f>
        <v>0.3953686338504</v>
      </c>
      <c r="CY106" s="3">
        <f>$H106*factors!CS$3</f>
        <v>0.39173027218919998</v>
      </c>
      <c r="CZ106" s="3">
        <f>$H106*factors!CT$3</f>
        <v>0.38607059849399994</v>
      </c>
      <c r="DA106" s="3">
        <f>$H106*factors!CU$3</f>
        <v>0.40083645419999997</v>
      </c>
      <c r="DB106" s="3">
        <f>$H106*factors!CV$3</f>
        <v>0.42673665585600001</v>
      </c>
      <c r="DC106" s="3">
        <f>$H106*factors!CW$3</f>
        <v>0.40864762612799999</v>
      </c>
      <c r="DD106" s="3">
        <f>$H106*factors!CX$3</f>
        <v>0.40576982594399996</v>
      </c>
      <c r="DE106" s="3">
        <f>$H106*factors!CY$3</f>
        <v>0.41769214099200003</v>
      </c>
      <c r="DF106" s="3">
        <f>$H106*factors!CZ$3</f>
        <v>0.41686991236799997</v>
      </c>
      <c r="DG106" s="3">
        <f>$H106*factors!DA$3</f>
        <v>0.41522545512000003</v>
      </c>
      <c r="DH106" s="3">
        <f>$H106*factors!DB$3</f>
        <v>0.41522545512000003</v>
      </c>
      <c r="DI106" s="3">
        <f>$H106*factors!DC$3</f>
        <v>0.399603111264</v>
      </c>
      <c r="DJ106" s="3">
        <f>$H106*factors!DD$3</f>
        <v>0.42344774136000002</v>
      </c>
      <c r="DK106" s="3">
        <f>$H106*factors!DE$3</f>
        <v>0.42344774136000002</v>
      </c>
      <c r="DL106" s="3">
        <f>$H106*factors!DF$3</f>
        <v>0.41851436961600003</v>
      </c>
      <c r="DM106" s="3">
        <f>$H106*factors!DG$3</f>
        <v>0.39425862520799998</v>
      </c>
      <c r="DN106" s="3">
        <f>$H106*factors!DH$3</f>
        <v>0.41358099787200003</v>
      </c>
      <c r="DO106" s="3">
        <f>$H106*factors!DI$3</f>
        <v>0.42714777016799998</v>
      </c>
      <c r="DP106" s="3">
        <f>$H106*factors!DJ$3</f>
        <v>0.42344774136000002</v>
      </c>
      <c r="DQ106" s="3">
        <f>$H106*factors!DK$3</f>
        <v>0.40371425438399999</v>
      </c>
      <c r="DR106" s="3">
        <f>$H106*factors!DL$3</f>
        <v>0.39919199695200003</v>
      </c>
      <c r="DS106" s="3">
        <f>$H106*factors!DM$3</f>
        <v>0.43125891328799998</v>
      </c>
      <c r="DT106" s="3">
        <f>$H106*factors!DN$3</f>
        <v>0.40535871163200005</v>
      </c>
      <c r="DU106" s="3">
        <f>$H106*factors!DO$3</f>
        <v>0.42426996998400002</v>
      </c>
      <c r="DV106" s="3">
        <f>$H106*factors!DP$3</f>
        <v>0.41440322649600003</v>
      </c>
      <c r="DW106" s="3">
        <f>$H106*factors!DQ$3</f>
        <v>0.39549196814399995</v>
      </c>
      <c r="DX106" s="3">
        <f>$H106*factors!DR$3</f>
        <v>0.418925483928</v>
      </c>
      <c r="DY106" s="3">
        <f>$H106*factors!DS$3</f>
        <v>0.39754753970399997</v>
      </c>
      <c r="DZ106" s="3">
        <f>$H106*factors!DT$3</f>
        <v>0.42509219860799996</v>
      </c>
      <c r="EA106" s="3">
        <f>$H106*factors!DU$3</f>
        <v>0.40042533988799994</v>
      </c>
      <c r="EB106" s="3">
        <f>$H106*factors!DV$3</f>
        <v>0.39055859639999996</v>
      </c>
      <c r="EC106" s="3">
        <f>$H106*factors!DW$3</f>
        <v>0.42015882686399997</v>
      </c>
      <c r="ED106" s="3">
        <f>$H106*factors!DX$3</f>
        <v>0.39425862520799998</v>
      </c>
      <c r="EE106" s="3">
        <f>$H106*factors!DY$3</f>
        <v>0.39754753970399997</v>
      </c>
      <c r="EF106" s="3">
        <f>$H106*factors!DZ$3</f>
        <v>0.43125891328799998</v>
      </c>
      <c r="EG106" s="3">
        <f>$H106*factors!EA$3</f>
        <v>0.40289202575999999</v>
      </c>
      <c r="EH106" s="3">
        <f>$H106*factors!EB$3</f>
        <v>0.40412536869600002</v>
      </c>
      <c r="EI106" s="3">
        <f>$H106*factors!EC$3</f>
        <v>0.40330314007200002</v>
      </c>
      <c r="EJ106" s="3">
        <f>$H106*factors!ED$3</f>
        <v>0.39302528227200001</v>
      </c>
      <c r="EK106" s="3">
        <f>$H106*factors!EE$3</f>
        <v>0.42015882686399997</v>
      </c>
      <c r="EL106" s="3">
        <f>$H106*factors!EF$3</f>
        <v>0.399603111264</v>
      </c>
      <c r="EM106" s="3">
        <f>$H106*factors!EG$3</f>
        <v>0.41563656943199995</v>
      </c>
      <c r="EN106" s="3">
        <f>$H106*factors!EH$3</f>
        <v>0.39055859639999996</v>
      </c>
      <c r="EO106" s="3">
        <f>$H106*factors!EI$3</f>
        <v>0.39631419676799995</v>
      </c>
      <c r="EP106" s="3">
        <f>$H106*factors!EJ$3</f>
        <v>0.418103255304</v>
      </c>
      <c r="EQ106" s="3">
        <f>$H106*factors!EK$3</f>
        <v>0.40659205456799996</v>
      </c>
      <c r="ER106" s="3">
        <f>$H106*factors!EL$3</f>
        <v>0.42344774136000002</v>
      </c>
      <c r="ES106" s="3">
        <f>$H106*factors!EM$3</f>
        <v>0.418103255304</v>
      </c>
      <c r="ET106" s="3">
        <f>$H106*factors!EN$3</f>
        <v>0.42755888448000001</v>
      </c>
      <c r="EU106" s="3">
        <f>$H106*factors!EO$3</f>
        <v>0.43167002760000001</v>
      </c>
      <c r="EV106" s="3">
        <f>$H106*factors!EP$3</f>
        <v>0.40453648300799994</v>
      </c>
      <c r="EW106" s="3">
        <f>$H106*factors!EQ$3</f>
        <v>0.44494559392499994</v>
      </c>
      <c r="EX106" s="3">
        <f>$H106*factors!ER$3</f>
        <v>0.44023490910000007</v>
      </c>
      <c r="EY106" s="3">
        <f>$H106*factors!ES$3</f>
        <v>0.44922803467499994</v>
      </c>
      <c r="EZ106" s="3">
        <f>$H106*factors!ET$3</f>
        <v>0.44494559392499994</v>
      </c>
      <c r="FA106" s="3">
        <f>$H106*factors!EU$3</f>
        <v>0.40897309162499995</v>
      </c>
      <c r="FB106" s="3">
        <f>$H106*factors!EV$3</f>
        <v>0.42738758685000006</v>
      </c>
      <c r="FC106" s="3">
        <f>$H106*factors!EW$3</f>
        <v>0.43937842095000001</v>
      </c>
      <c r="FD106" s="3">
        <f>$H106*factors!EX$3</f>
        <v>0.42396163425000005</v>
      </c>
      <c r="FE106" s="3">
        <f>$H106*factors!EY$3</f>
        <v>0.446658570225</v>
      </c>
      <c r="FF106" s="3">
        <f>$H106*factors!EZ$3</f>
        <v>0.44708681430000008</v>
      </c>
      <c r="FG106" s="3">
        <f>$H106*factors!FA$3</f>
        <v>0.40897309162499995</v>
      </c>
      <c r="FH106" s="3">
        <f>$H106*factors!FB$3</f>
        <v>0.43038529537499998</v>
      </c>
      <c r="FI106" s="3">
        <f>$H106*factors!FC$3</f>
        <v>0.44837154652499994</v>
      </c>
      <c r="FJ106" s="3">
        <f>$H106*factors!FD$3</f>
        <v>0.43038529537499998</v>
      </c>
      <c r="FK106" s="3">
        <f>$H106*factors!FE$3</f>
        <v>0.43766544465000007</v>
      </c>
      <c r="FL106" s="3">
        <f>$H106*factors!FF$3</f>
        <v>0.43895017687500004</v>
      </c>
      <c r="FM106" s="3">
        <f>$H106*factors!FG$3</f>
        <v>0.44366086169999996</v>
      </c>
      <c r="FN106" s="3">
        <f>$H106*factors!FH$3</f>
        <v>0.41496850867500001</v>
      </c>
      <c r="FO106" s="3">
        <f>$H106*factors!FI$3</f>
        <v>0.44066315317499999</v>
      </c>
      <c r="FP106" s="3">
        <f>$H106*factors!FJ$3</f>
        <v>0.428244075</v>
      </c>
      <c r="FQ106" s="3">
        <f>$H106*factors!FK$3</f>
        <v>0.42396163425000005</v>
      </c>
      <c r="FR106" s="3">
        <f>$H106*factors!FL$3</f>
        <v>0.43252651575000001</v>
      </c>
      <c r="FS106" s="3">
        <f>$H106*factors!FM$3</f>
        <v>0.4299570513</v>
      </c>
      <c r="FT106" s="3">
        <f>$H106*factors!FN$3</f>
        <v>0.43937842095000001</v>
      </c>
      <c r="FU106" s="3">
        <f>$H106*factors!FO$3</f>
        <v>0.42224865794999999</v>
      </c>
      <c r="FV106" s="3">
        <f>$H106*factors!FP$3</f>
        <v>0.41882270534999999</v>
      </c>
      <c r="FW106" s="3">
        <f>$H106*factors!FQ$3</f>
        <v>0.44837154652499994</v>
      </c>
      <c r="FX106" s="3">
        <f>$H106*factors!FR$3</f>
        <v>0.44023490910000007</v>
      </c>
      <c r="FY106" s="3">
        <f>$H106*factors!FS$3</f>
        <v>0.43124178352499998</v>
      </c>
      <c r="FZ106" s="3">
        <f>$H106*factors!FT$3</f>
        <v>0.40982957977500001</v>
      </c>
      <c r="GA106" s="3">
        <f>$H106*factors!FU$3</f>
        <v>0.43124178352499998</v>
      </c>
      <c r="GB106" s="3">
        <f>$H106*factors!FV$3</f>
        <v>0.44708681430000008</v>
      </c>
      <c r="GC106" s="3">
        <f>$H106*factors!FW$3</f>
        <v>0.41882270534999999</v>
      </c>
      <c r="GD106" s="3">
        <f>$H106*factors!FX$3</f>
        <v>0.42610285462499997</v>
      </c>
      <c r="GE106" s="3">
        <f>$H106*factors!FY$3</f>
        <v>0.42610285462499997</v>
      </c>
      <c r="GF106" s="3">
        <f>$H106*factors!FZ$3</f>
        <v>0.4248181224</v>
      </c>
      <c r="GG106" s="3">
        <f>$H106*factors!GA$3</f>
        <v>0.40811660347500001</v>
      </c>
      <c r="GH106" s="3">
        <f>$H106*factors!GB$3</f>
        <v>0.43423949205000006</v>
      </c>
      <c r="GI106" s="3">
        <f>$H106*factors!GC$3</f>
        <v>0.40726011532500001</v>
      </c>
      <c r="GJ106" s="3">
        <f>$H106*factors!GD$3</f>
        <v>0.40811660347500001</v>
      </c>
      <c r="GK106" s="3">
        <f>$H106*factors!GE$3</f>
        <v>0.41839446127500002</v>
      </c>
      <c r="GL106" s="3">
        <f>$H106*factors!GF$3</f>
        <v>0.44323261762499999</v>
      </c>
      <c r="GM106" s="3">
        <f>$H106*factors!GG$3</f>
        <v>0.42010743757500002</v>
      </c>
      <c r="GN106" s="3">
        <f>$H106*factors!GH$3</f>
        <v>0.43338300390000006</v>
      </c>
      <c r="GO106" s="3">
        <f>$H106*factors!GI$3</f>
        <v>0.40940133569999998</v>
      </c>
      <c r="GP106" s="3">
        <f>$H106*factors!GJ$3</f>
        <v>0.43895017687500004</v>
      </c>
      <c r="GQ106" s="3">
        <f>$H106*factors!GK$3</f>
        <v>0.44794330245000008</v>
      </c>
      <c r="GR106" s="3">
        <f>$H106*factors!GL$3</f>
        <v>0.43937842095000001</v>
      </c>
      <c r="GS106" s="3">
        <f>$H106*factors!GM$3</f>
        <v>0.41551666109099999</v>
      </c>
      <c r="GT106" s="3">
        <f>$H106*factors!GN$3</f>
        <v>0.42508877265540002</v>
      </c>
      <c r="GU106" s="3">
        <f>$H106*factors!GO$3</f>
        <v>0.43509598020000001</v>
      </c>
      <c r="GV106" s="3">
        <f>$H106*factors!GP$3</f>
        <v>0.41769214099200003</v>
      </c>
      <c r="GW106" s="3">
        <f>$H106*factors!GQ$3</f>
        <v>0.43248540431880006</v>
      </c>
      <c r="GX106" s="3">
        <f>$H106*factors!GR$3</f>
        <v>0.42552386863559999</v>
      </c>
      <c r="GY106" s="3">
        <f>$H106*factors!GS$3</f>
        <v>0.42334838873460007</v>
      </c>
      <c r="GZ106" s="3">
        <f>$H106*factors!GT$3</f>
        <v>0.43901184402179999</v>
      </c>
      <c r="HA106" s="3">
        <f>$H106*factors!GU$3</f>
        <v>0.42465367667519999</v>
      </c>
      <c r="HB106" s="3">
        <f>$H106*factors!GV$3</f>
        <v>0.43901184402179999</v>
      </c>
      <c r="HC106" s="3">
        <f>$H106*factors!GW$3</f>
        <v>0.42813444451679999</v>
      </c>
      <c r="HD106" s="3">
        <f>$H106*factors!GX$3</f>
        <v>0.44075222794259994</v>
      </c>
      <c r="HE106" s="3">
        <f>$H106*factors!GY$3</f>
        <v>0.43509598020000001</v>
      </c>
      <c r="HF106" s="3">
        <f>$H106*factors!GZ$3</f>
        <v>0.44858395558620001</v>
      </c>
      <c r="HG106" s="3">
        <f>$H106*factors!HA$3</f>
        <v>0.43118011637820003</v>
      </c>
      <c r="HH106" s="3">
        <f>$H106*factors!HB$3</f>
        <v>0.42552386863559999</v>
      </c>
      <c r="HI106" s="3">
        <f>$H106*factors!HC$3</f>
        <v>0.42030271687320003</v>
      </c>
      <c r="HJ106" s="3">
        <f>$H106*factors!HD$3</f>
        <v>0.41551666109099999</v>
      </c>
      <c r="HK106" s="3">
        <f>$H106*factors!HE$3</f>
        <v>0.43944694000200002</v>
      </c>
      <c r="HL106" s="3">
        <f>$H106*factors!HF$3</f>
        <v>0.41421137315039996</v>
      </c>
      <c r="HM106" s="3">
        <f>$H106*factors!HG$3</f>
        <v>0.41856233295240003</v>
      </c>
      <c r="HN106" s="3">
        <f>$H106*factors!HH$3</f>
        <v>0.44640847568520003</v>
      </c>
      <c r="HO106" s="3">
        <f>$H106*factors!HI$3</f>
        <v>0.42813444451679999</v>
      </c>
      <c r="HP106" s="3">
        <f>$H106*factors!HJ$3</f>
        <v>0.45685077921000006</v>
      </c>
      <c r="HQ106" s="3">
        <f>$H106*factors!HK$3</f>
        <v>0.41769214099200003</v>
      </c>
      <c r="HR106" s="3">
        <f>$H106*factors!HL$3</f>
        <v>0.44292770784360008</v>
      </c>
      <c r="HS106" s="3">
        <f>$H106*factors!HM$3</f>
        <v>0.45075943548720004</v>
      </c>
      <c r="HT106" s="3">
        <f>$H106*factors!HN$3</f>
        <v>0.42030271687320003</v>
      </c>
      <c r="HU106" s="3">
        <f>$H106*factors!HO$3</f>
        <v>0.42465367667519999</v>
      </c>
      <c r="HV106" s="3">
        <f>$H106*factors!HP$3</f>
        <v>0.42987482843760005</v>
      </c>
      <c r="HW106" s="3">
        <f>$H106*factors!HQ$3</f>
        <v>0.43596617216040001</v>
      </c>
      <c r="HX106" s="3">
        <f>$H106*factors!HR$3</f>
        <v>0.45380510734859997</v>
      </c>
      <c r="HY106" s="3">
        <f>$H106*factors!HS$3</f>
        <v>0.43118011637820003</v>
      </c>
      <c r="HZ106" s="3">
        <f>$H106*factors!HT$3</f>
        <v>0.44771376362580001</v>
      </c>
      <c r="IA106" s="3">
        <f>$H106*factors!HU$3</f>
        <v>0.42595896461580002</v>
      </c>
      <c r="IB106" s="3">
        <f>$H106*factors!HV$3</f>
        <v>0.44075222794259994</v>
      </c>
      <c r="IC106" s="3">
        <f>$H106*factors!HW$3</f>
        <v>0.4451031877446</v>
      </c>
      <c r="ID106" s="3">
        <f>$H106*factors!HX$3</f>
        <v>0.41334118118999996</v>
      </c>
      <c r="IE106" s="3">
        <f>$H106*factors!HY$3</f>
        <v>0.43901184402179999</v>
      </c>
      <c r="IF106" s="3">
        <f>$H106*factors!HZ$3</f>
        <v>0.43640126814059998</v>
      </c>
      <c r="IG106" s="3">
        <f>$H106*factors!IA$3</f>
        <v>0.43248540431880006</v>
      </c>
      <c r="IH106" s="3">
        <f>$H106*factors!IB$3</f>
        <v>0.44858395558620001</v>
      </c>
      <c r="II106" s="3">
        <f>$H106*factors!IC$3</f>
        <v>0.42943973245740003</v>
      </c>
      <c r="IJ106" s="3">
        <f>$H106*factors!ID$3</f>
        <v>0.43335559627920001</v>
      </c>
      <c r="IK106" s="3">
        <f>$H106*factors!IE$3</f>
        <v>0.44901905156640004</v>
      </c>
      <c r="IL106" s="3">
        <f>$H106*factors!IF$3</f>
        <v>0.42987482843760005</v>
      </c>
      <c r="IM106" s="3">
        <f>$H106*factors!IG$3</f>
        <v>0.42595896461580002</v>
      </c>
      <c r="IN106" s="3">
        <f>$H106*factors!IH$3</f>
        <v>0.42856954049700002</v>
      </c>
      <c r="IO106" s="3">
        <f>$H106*factors!II$3</f>
        <v>0.43292050029899998</v>
      </c>
      <c r="IP106" s="3">
        <f>$H106*factors!IJ$3</f>
        <v>0.41856233295240003</v>
      </c>
      <c r="IQ106" s="3">
        <f>$H106*factors!IK$3</f>
        <v>0.4172570450118</v>
      </c>
      <c r="IR106" s="3">
        <f>$H106*factors!IL$3</f>
        <v>0.42943973245740003</v>
      </c>
      <c r="IS106" s="3">
        <f>$H106*factors!IM$3</f>
        <v>0.43292050029899998</v>
      </c>
      <c r="IT106" s="3">
        <f>$H106*factors!IN$3</f>
        <v>0.43596617216040001</v>
      </c>
      <c r="IU106" s="3">
        <f>$H106*factors!IO$3</f>
        <v>0.44553828372480003</v>
      </c>
      <c r="IV106" s="3">
        <f>$H106*factors!IP$3</f>
        <v>0.45119453146739996</v>
      </c>
      <c r="IW106" s="3">
        <f>$H106*factors!IQ$3</f>
        <v>0.42639406059599999</v>
      </c>
      <c r="IX106" s="3">
        <f>$H106*factors!IR$3</f>
        <v>0.44553828372480003</v>
      </c>
      <c r="IY106" s="3">
        <f>$H106*factors!IS$3</f>
        <v>0.43901184402179999</v>
      </c>
      <c r="IZ106" s="3">
        <f>$H106*factors!IT$3</f>
        <v>0.44640847568520003</v>
      </c>
      <c r="JA106" s="3">
        <f>$H106*factors!IU$3</f>
        <v>0.42160800481379995</v>
      </c>
      <c r="JB106" s="3">
        <f>$H106*factors!IV$3</f>
        <v>0.42943973245740003</v>
      </c>
      <c r="JC106" s="3">
        <f>$H106*factors!IW$3</f>
        <v>0.41943252491280003</v>
      </c>
      <c r="JD106" s="3">
        <f>$H106*factors!IX$3</f>
        <v>0.45685077921000006</v>
      </c>
      <c r="JE106" s="3">
        <f>$H106*factors!IY$3</f>
        <v>0.42073781285340001</v>
      </c>
      <c r="JF106" s="3">
        <f>$H106*factors!IZ$3</f>
        <v>0.44162241990299994</v>
      </c>
      <c r="JG106" s="3">
        <f>$H106*factors!JA$3</f>
        <v>0.43379069225939998</v>
      </c>
      <c r="JH106" s="3">
        <f>$H106*factors!JB$3</f>
        <v>0.44205751588320008</v>
      </c>
      <c r="JI106" s="3">
        <f>$H106*factors!JC$3</f>
        <v>0.41377627717020005</v>
      </c>
      <c r="JJ106" s="3">
        <f>$H106*factors!JD$3</f>
        <v>0.44553828372480003</v>
      </c>
      <c r="JK106" s="3">
        <f>$H106*factors!JE$3</f>
        <v>0.43118011637820003</v>
      </c>
      <c r="JL106" s="3">
        <f>$H106*factors!JF$3</f>
        <v>0.44858395558620001</v>
      </c>
      <c r="JM106" s="3">
        <f>$H106*factors!JG$3</f>
        <v>0.41856233295240003</v>
      </c>
      <c r="JN106" s="3">
        <f>$H106*factors!JH$3</f>
        <v>0.41856233295240003</v>
      </c>
      <c r="JO106" s="3">
        <f>$H106*factors!JI$3</f>
        <v>0.41334118118999996</v>
      </c>
      <c r="JP106" s="3">
        <f>$H106*factors!JJ$3</f>
        <v>0.44684357166540001</v>
      </c>
      <c r="JQ106" s="3">
        <f>$H106*factors!JK$3</f>
        <v>0.43553107618019998</v>
      </c>
      <c r="JR106" s="3">
        <f>$H106*factors!JL$3</f>
        <v>0.45249981940799999</v>
      </c>
      <c r="JS106" s="3">
        <f>$H106*factors!JM$3</f>
        <v>0.41334118118999996</v>
      </c>
      <c r="JT106" s="3">
        <f>$H106*factors!JN$3</f>
        <v>0.43422578823960001</v>
      </c>
      <c r="JU106" s="3">
        <f>$H106*factors!JO$3</f>
        <v>0.419867620893</v>
      </c>
      <c r="JV106" s="3">
        <f>$H106*factors!JP$3</f>
        <v>0.42682915657620002</v>
      </c>
      <c r="JW106" s="3">
        <f>$H106*factors!JQ$3</f>
        <v>0.45598058724960006</v>
      </c>
      <c r="JX106" s="3">
        <f>$H106*factors!JR$3</f>
        <v>0.45162962744759999</v>
      </c>
      <c r="JY106" s="3">
        <f>$H106*factors!JS$3</f>
        <v>0.42508877265540002</v>
      </c>
      <c r="JZ106" s="3">
        <f>$H106*factors!JT$3</f>
        <v>0.42987482843760005</v>
      </c>
      <c r="KA106" s="3">
        <f>$H106*factors!JU$3</f>
        <v>0.43161521235840006</v>
      </c>
      <c r="KB106" s="3">
        <f>$H106*factors!JV$3</f>
        <v>0.4172570450118</v>
      </c>
      <c r="KC106" s="3">
        <f>$H106*factors!JW$3</f>
        <v>0.41943252491280003</v>
      </c>
      <c r="KD106" s="3">
        <f>$H106*factors!JX$3</f>
        <v>0.419867620893</v>
      </c>
      <c r="KE106" s="3">
        <f>$H106*factors!JY$3</f>
        <v>0.44684357166540001</v>
      </c>
      <c r="KF106" s="3">
        <f>$H106*factors!JZ$3</f>
        <v>0.45206472342779996</v>
      </c>
      <c r="KG106" s="3">
        <f>$H106*factors!KA$3</f>
        <v>0.43596617216040001</v>
      </c>
      <c r="KH106" s="3">
        <f>$H106*factors!KB$3</f>
        <v>0.42639406059599999</v>
      </c>
      <c r="KI106" s="3">
        <f>$H106*factors!KC$3</f>
        <v>0.42247819677419995</v>
      </c>
    </row>
    <row r="107" spans="1:295" x14ac:dyDescent="0.55000000000000004">
      <c r="A107" t="s">
        <v>484</v>
      </c>
      <c r="B107">
        <v>106</v>
      </c>
      <c r="C107">
        <v>230</v>
      </c>
      <c r="D107" t="s">
        <v>377</v>
      </c>
      <c r="E107">
        <v>3.0869999999999999E-3</v>
      </c>
      <c r="F107">
        <v>106</v>
      </c>
      <c r="G107">
        <f>VLOOKUP(D107,demand_forecasted!$A$2:$G$11,2)</f>
        <v>11098</v>
      </c>
      <c r="H107" s="3">
        <f t="shared" si="2"/>
        <v>0.34259526000000001</v>
      </c>
      <c r="I107" s="3">
        <f>$H107*factors!C$3</f>
        <v>0.37925295281999999</v>
      </c>
      <c r="J107" s="3">
        <f>$H107*factors!D$3</f>
        <v>0.36556284623040003</v>
      </c>
      <c r="K107" s="3">
        <f>$H107*factors!E$3</f>
        <v>0.35927279725680006</v>
      </c>
      <c r="L107" s="3">
        <f>$H107*factors!F$3</f>
        <v>0.35816278861440004</v>
      </c>
      <c r="M107" s="3">
        <f>$H107*factors!G$3</f>
        <v>0.35779278573360002</v>
      </c>
      <c r="N107" s="3">
        <f>$H107*factors!H$3</f>
        <v>0.36815286639600003</v>
      </c>
      <c r="O107" s="3">
        <f>$H107*factors!I$3</f>
        <v>0.37629292977360002</v>
      </c>
      <c r="P107" s="3">
        <f>$H107*factors!J$3</f>
        <v>0.38073296434320003</v>
      </c>
      <c r="Q107" s="3">
        <f>$H107*factors!K$3</f>
        <v>0.35742278285279999</v>
      </c>
      <c r="R107" s="3">
        <f>$H107*factors!L$3</f>
        <v>0.35150273676000005</v>
      </c>
      <c r="S107" s="3">
        <f>$H107*factors!M$3</f>
        <v>0.3659328491112</v>
      </c>
      <c r="T107" s="3">
        <f>$H107*factors!N$3</f>
        <v>0.37851294705840005</v>
      </c>
      <c r="U107" s="3">
        <f>$H107*factors!O$3</f>
        <v>0.35853279149520006</v>
      </c>
      <c r="V107" s="3">
        <f>$H107*factors!P$3</f>
        <v>0.37296290384640002</v>
      </c>
      <c r="W107" s="3">
        <f>$H107*factors!Q$3</f>
        <v>0.37629292977360002</v>
      </c>
      <c r="X107" s="3">
        <f>$H107*factors!R$3</f>
        <v>0.3600128030184</v>
      </c>
      <c r="Y107" s="3">
        <f>$H107*factors!S$3</f>
        <v>0.35668277709120005</v>
      </c>
      <c r="Z107" s="3">
        <f>$H107*factors!T$3</f>
        <v>0.38480299603200008</v>
      </c>
      <c r="AA107" s="3">
        <f>$H107*factors!U$3</f>
        <v>0.36334282894559999</v>
      </c>
      <c r="AB107" s="3">
        <f>$H107*factors!V$3</f>
        <v>0.36371283182640007</v>
      </c>
      <c r="AC107" s="3">
        <f>$H107*factors!W$3</f>
        <v>0.36408283470720004</v>
      </c>
      <c r="AD107" s="3">
        <f>$H107*factors!X$3</f>
        <v>0.35631277421040003</v>
      </c>
      <c r="AE107" s="3">
        <f>$H107*factors!Y$3</f>
        <v>0.35927279725680006</v>
      </c>
      <c r="AF107" s="3">
        <f>$H107*factors!Z$3</f>
        <v>0.36667285487280005</v>
      </c>
      <c r="AG107" s="3">
        <f>$H107*factors!AA$3</f>
        <v>0.35742278285279999</v>
      </c>
      <c r="AH107" s="3">
        <f>$H107*factors!AB$3</f>
        <v>0.35594277132960006</v>
      </c>
      <c r="AI107" s="3">
        <f>$H107*factors!AC$3</f>
        <v>0.36741286063440004</v>
      </c>
      <c r="AJ107" s="3">
        <f>$H107*factors!AD$3</f>
        <v>0.38147297010480002</v>
      </c>
      <c r="AK107" s="3">
        <f>$H107*factors!AE$3</f>
        <v>0.36704285775360007</v>
      </c>
      <c r="AL107" s="3">
        <f>$H107*factors!AF$3</f>
        <v>0.35261274540240001</v>
      </c>
      <c r="AM107" s="3">
        <f>$H107*factors!AG$3</f>
        <v>0.362602823184</v>
      </c>
      <c r="AN107" s="3">
        <f>$H107*factors!AH$3</f>
        <v>0.35668277709120005</v>
      </c>
      <c r="AO107" s="3">
        <f>$H107*factors!AI$3</f>
        <v>0.37370290960800001</v>
      </c>
      <c r="AP107" s="3">
        <f>$H107*factors!AJ$3</f>
        <v>0.35816278861440004</v>
      </c>
      <c r="AQ107" s="3">
        <f>$H107*factors!AK$3</f>
        <v>0.36963287791920008</v>
      </c>
      <c r="AR107" s="3">
        <f>$H107*factors!AL$3</f>
        <v>0.36149281454160004</v>
      </c>
      <c r="AS107" s="3">
        <f>$H107*factors!AM$3</f>
        <v>0.35261274540240001</v>
      </c>
      <c r="AT107" s="3">
        <f>$H107*factors!AN$3</f>
        <v>0.36371283182640007</v>
      </c>
      <c r="AU107" s="3">
        <f>$H107*factors!AO$3</f>
        <v>0.38517299891279999</v>
      </c>
      <c r="AV107" s="3">
        <f>$H107*factors!AP$3</f>
        <v>0.36408283470720004</v>
      </c>
      <c r="AW107" s="3">
        <f>$H107*factors!AQ$3</f>
        <v>0.36038280589920002</v>
      </c>
      <c r="AX107" s="3">
        <f>$H107*factors!AR$3</f>
        <v>0.38110296722400006</v>
      </c>
      <c r="AY107" s="3">
        <f>$H107*factors!AS$3</f>
        <v>0.35150273676000005</v>
      </c>
      <c r="AZ107" s="3">
        <f>$H107*factors!AT$3</f>
        <v>0.3766629326544001</v>
      </c>
      <c r="BA107" s="3">
        <f>$H107*factors!AU$3</f>
        <v>0.3685228692768</v>
      </c>
      <c r="BB107" s="3">
        <f>$H107*factors!AV$3</f>
        <v>0.36371283182640007</v>
      </c>
      <c r="BC107" s="3">
        <f>$H107*factors!AW$3</f>
        <v>0.38480299603200008</v>
      </c>
      <c r="BD107" s="3">
        <f>$H107*factors!AX$3</f>
        <v>0.35520276556800001</v>
      </c>
      <c r="BE107" s="3">
        <f>$H107*factors!AY$3</f>
        <v>0.41760306622439997</v>
      </c>
      <c r="BF107" s="3">
        <f>$H107*factors!AZ$3</f>
        <v>0.38890043534160001</v>
      </c>
      <c r="BG107" s="3">
        <f>$H107*factors!BA$3</f>
        <v>0.39456010903679994</v>
      </c>
      <c r="BH107" s="3">
        <f>$H107*factors!BB$3</f>
        <v>0.39981552032520001</v>
      </c>
      <c r="BI107" s="3">
        <f>$H107*factors!BC$3</f>
        <v>0.41436896696999992</v>
      </c>
      <c r="BJ107" s="3">
        <f>$H107*factors!BD$3</f>
        <v>0.39577289625719997</v>
      </c>
      <c r="BK107" s="3">
        <f>$H107*factors!BE$3</f>
        <v>0.39658142107079997</v>
      </c>
      <c r="BL107" s="3">
        <f>$H107*factors!BF$3</f>
        <v>0.39213453459599995</v>
      </c>
      <c r="BM107" s="3">
        <f>$H107*factors!BG$3</f>
        <v>0.41881585344480005</v>
      </c>
      <c r="BN107" s="3">
        <f>$H107*factors!BH$3</f>
        <v>0.41356044215639998</v>
      </c>
      <c r="BO107" s="3">
        <f>$H107*factors!BI$3</f>
        <v>0.38890043534160001</v>
      </c>
      <c r="BP107" s="3">
        <f>$H107*factors!BJ$3</f>
        <v>0.38768764812119993</v>
      </c>
      <c r="BQ107" s="3">
        <f>$H107*factors!BK$3</f>
        <v>0.39415584662999997</v>
      </c>
      <c r="BR107" s="3">
        <f>$H107*factors!BL$3</f>
        <v>0.40830503086800002</v>
      </c>
      <c r="BS107" s="3">
        <f>$H107*factors!BM$3</f>
        <v>0.4147732293768</v>
      </c>
      <c r="BT107" s="3">
        <f>$H107*factors!BN$3</f>
        <v>0.41598601659719997</v>
      </c>
      <c r="BU107" s="3">
        <f>$H107*factors!BO$3</f>
        <v>0.42285847751280004</v>
      </c>
      <c r="BV107" s="3">
        <f>$H107*factors!BP$3</f>
        <v>0.39334732181639998</v>
      </c>
      <c r="BW107" s="3">
        <f>$H107*factors!BQ$3</f>
        <v>0.40224109476600001</v>
      </c>
      <c r="BX107" s="3">
        <f>$H107*factors!BR$3</f>
        <v>0.39456010903679994</v>
      </c>
      <c r="BY107" s="3">
        <f>$H107*factors!BS$3</f>
        <v>0.41275191734279992</v>
      </c>
      <c r="BZ107" s="3">
        <f>$H107*factors!BT$3</f>
        <v>0.40507093161359997</v>
      </c>
      <c r="CA107" s="3">
        <f>$H107*factors!BU$3</f>
        <v>0.39981552032520001</v>
      </c>
      <c r="CB107" s="3">
        <f>$H107*factors!BV$3</f>
        <v>0.38687912330759999</v>
      </c>
      <c r="CC107" s="3">
        <f>$H107*factors!BW$3</f>
        <v>0.39819847069799996</v>
      </c>
      <c r="CD107" s="3">
        <f>$H107*factors!BX$3</f>
        <v>0.39941125791839999</v>
      </c>
      <c r="CE107" s="3">
        <f>$H107*factors!BY$3</f>
        <v>0.40507093161359997</v>
      </c>
      <c r="CF107" s="3">
        <f>$H107*factors!BZ$3</f>
        <v>0.39900699551160002</v>
      </c>
      <c r="CG107" s="3">
        <f>$H107*factors!CA$3</f>
        <v>0.38566633608719997</v>
      </c>
      <c r="CH107" s="3">
        <f>$H107*factors!CB$3</f>
        <v>0.38607059849399994</v>
      </c>
      <c r="CI107" s="3">
        <f>$H107*factors!CC$3</f>
        <v>0.38404928646000003</v>
      </c>
      <c r="CJ107" s="3">
        <f>$H107*factors!CD$3</f>
        <v>0.39981552032520001</v>
      </c>
      <c r="CK107" s="3">
        <f>$H107*factors!CE$3</f>
        <v>0.41760306622439997</v>
      </c>
      <c r="CL107" s="3">
        <f>$H107*factors!CF$3</f>
        <v>0.39132600978240001</v>
      </c>
      <c r="CM107" s="3">
        <f>$H107*factors!CG$3</f>
        <v>0.40062404513879996</v>
      </c>
      <c r="CN107" s="3">
        <f>$H107*factors!CH$3</f>
        <v>0.38728338571439996</v>
      </c>
      <c r="CO107" s="3">
        <f>$H107*factors!CI$3</f>
        <v>0.39011322256199993</v>
      </c>
      <c r="CP107" s="3">
        <f>$H107*factors!CJ$3</f>
        <v>0.40870929327479993</v>
      </c>
      <c r="CQ107" s="3">
        <f>$H107*factors!CK$3</f>
        <v>0.39658142107079997</v>
      </c>
      <c r="CR107" s="3">
        <f>$H107*factors!CL$3</f>
        <v>0.40911355568159996</v>
      </c>
      <c r="CS107" s="3">
        <f>$H107*factors!CM$3</f>
        <v>0.42204995269919998</v>
      </c>
      <c r="CT107" s="3">
        <f>$H107*factors!CN$3</f>
        <v>0.41719880381759999</v>
      </c>
      <c r="CU107" s="3">
        <f>$H107*factors!CO$3</f>
        <v>0.40790076846119994</v>
      </c>
      <c r="CV107" s="3">
        <f>$H107*factors!CP$3</f>
        <v>0.42447552713999998</v>
      </c>
      <c r="CW107" s="3">
        <f>$H107*factors!CQ$3</f>
        <v>0.40143256995240001</v>
      </c>
      <c r="CX107" s="3">
        <f>$H107*factors!CR$3</f>
        <v>0.3953686338504</v>
      </c>
      <c r="CY107" s="3">
        <f>$H107*factors!CS$3</f>
        <v>0.39173027218919998</v>
      </c>
      <c r="CZ107" s="3">
        <f>$H107*factors!CT$3</f>
        <v>0.38607059849399994</v>
      </c>
      <c r="DA107" s="3">
        <f>$H107*factors!CU$3</f>
        <v>0.40083645419999997</v>
      </c>
      <c r="DB107" s="3">
        <f>$H107*factors!CV$3</f>
        <v>0.42673665585600001</v>
      </c>
      <c r="DC107" s="3">
        <f>$H107*factors!CW$3</f>
        <v>0.40864762612799999</v>
      </c>
      <c r="DD107" s="3">
        <f>$H107*factors!CX$3</f>
        <v>0.40576982594399996</v>
      </c>
      <c r="DE107" s="3">
        <f>$H107*factors!CY$3</f>
        <v>0.41769214099200003</v>
      </c>
      <c r="DF107" s="3">
        <f>$H107*factors!CZ$3</f>
        <v>0.41686991236799997</v>
      </c>
      <c r="DG107" s="3">
        <f>$H107*factors!DA$3</f>
        <v>0.41522545512000003</v>
      </c>
      <c r="DH107" s="3">
        <f>$H107*factors!DB$3</f>
        <v>0.41522545512000003</v>
      </c>
      <c r="DI107" s="3">
        <f>$H107*factors!DC$3</f>
        <v>0.399603111264</v>
      </c>
      <c r="DJ107" s="3">
        <f>$H107*factors!DD$3</f>
        <v>0.42344774136000002</v>
      </c>
      <c r="DK107" s="3">
        <f>$H107*factors!DE$3</f>
        <v>0.42344774136000002</v>
      </c>
      <c r="DL107" s="3">
        <f>$H107*factors!DF$3</f>
        <v>0.41851436961600003</v>
      </c>
      <c r="DM107" s="3">
        <f>$H107*factors!DG$3</f>
        <v>0.39425862520799998</v>
      </c>
      <c r="DN107" s="3">
        <f>$H107*factors!DH$3</f>
        <v>0.41358099787200003</v>
      </c>
      <c r="DO107" s="3">
        <f>$H107*factors!DI$3</f>
        <v>0.42714777016799998</v>
      </c>
      <c r="DP107" s="3">
        <f>$H107*factors!DJ$3</f>
        <v>0.42344774136000002</v>
      </c>
      <c r="DQ107" s="3">
        <f>$H107*factors!DK$3</f>
        <v>0.40371425438399999</v>
      </c>
      <c r="DR107" s="3">
        <f>$H107*factors!DL$3</f>
        <v>0.39919199695200003</v>
      </c>
      <c r="DS107" s="3">
        <f>$H107*factors!DM$3</f>
        <v>0.43125891328799998</v>
      </c>
      <c r="DT107" s="3">
        <f>$H107*factors!DN$3</f>
        <v>0.40535871163200005</v>
      </c>
      <c r="DU107" s="3">
        <f>$H107*factors!DO$3</f>
        <v>0.42426996998400002</v>
      </c>
      <c r="DV107" s="3">
        <f>$H107*factors!DP$3</f>
        <v>0.41440322649600003</v>
      </c>
      <c r="DW107" s="3">
        <f>$H107*factors!DQ$3</f>
        <v>0.39549196814399995</v>
      </c>
      <c r="DX107" s="3">
        <f>$H107*factors!DR$3</f>
        <v>0.418925483928</v>
      </c>
      <c r="DY107" s="3">
        <f>$H107*factors!DS$3</f>
        <v>0.39754753970399997</v>
      </c>
      <c r="DZ107" s="3">
        <f>$H107*factors!DT$3</f>
        <v>0.42509219860799996</v>
      </c>
      <c r="EA107" s="3">
        <f>$H107*factors!DU$3</f>
        <v>0.40042533988799994</v>
      </c>
      <c r="EB107" s="3">
        <f>$H107*factors!DV$3</f>
        <v>0.39055859639999996</v>
      </c>
      <c r="EC107" s="3">
        <f>$H107*factors!DW$3</f>
        <v>0.42015882686399997</v>
      </c>
      <c r="ED107" s="3">
        <f>$H107*factors!DX$3</f>
        <v>0.39425862520799998</v>
      </c>
      <c r="EE107" s="3">
        <f>$H107*factors!DY$3</f>
        <v>0.39754753970399997</v>
      </c>
      <c r="EF107" s="3">
        <f>$H107*factors!DZ$3</f>
        <v>0.43125891328799998</v>
      </c>
      <c r="EG107" s="3">
        <f>$H107*factors!EA$3</f>
        <v>0.40289202575999999</v>
      </c>
      <c r="EH107" s="3">
        <f>$H107*factors!EB$3</f>
        <v>0.40412536869600002</v>
      </c>
      <c r="EI107" s="3">
        <f>$H107*factors!EC$3</f>
        <v>0.40330314007200002</v>
      </c>
      <c r="EJ107" s="3">
        <f>$H107*factors!ED$3</f>
        <v>0.39302528227200001</v>
      </c>
      <c r="EK107" s="3">
        <f>$H107*factors!EE$3</f>
        <v>0.42015882686399997</v>
      </c>
      <c r="EL107" s="3">
        <f>$H107*factors!EF$3</f>
        <v>0.399603111264</v>
      </c>
      <c r="EM107" s="3">
        <f>$H107*factors!EG$3</f>
        <v>0.41563656943199995</v>
      </c>
      <c r="EN107" s="3">
        <f>$H107*factors!EH$3</f>
        <v>0.39055859639999996</v>
      </c>
      <c r="EO107" s="3">
        <f>$H107*factors!EI$3</f>
        <v>0.39631419676799995</v>
      </c>
      <c r="EP107" s="3">
        <f>$H107*factors!EJ$3</f>
        <v>0.418103255304</v>
      </c>
      <c r="EQ107" s="3">
        <f>$H107*factors!EK$3</f>
        <v>0.40659205456799996</v>
      </c>
      <c r="ER107" s="3">
        <f>$H107*factors!EL$3</f>
        <v>0.42344774136000002</v>
      </c>
      <c r="ES107" s="3">
        <f>$H107*factors!EM$3</f>
        <v>0.418103255304</v>
      </c>
      <c r="ET107" s="3">
        <f>$H107*factors!EN$3</f>
        <v>0.42755888448000001</v>
      </c>
      <c r="EU107" s="3">
        <f>$H107*factors!EO$3</f>
        <v>0.43167002760000001</v>
      </c>
      <c r="EV107" s="3">
        <f>$H107*factors!EP$3</f>
        <v>0.40453648300799994</v>
      </c>
      <c r="EW107" s="3">
        <f>$H107*factors!EQ$3</f>
        <v>0.44494559392499994</v>
      </c>
      <c r="EX107" s="3">
        <f>$H107*factors!ER$3</f>
        <v>0.44023490910000007</v>
      </c>
      <c r="EY107" s="3">
        <f>$H107*factors!ES$3</f>
        <v>0.44922803467499994</v>
      </c>
      <c r="EZ107" s="3">
        <f>$H107*factors!ET$3</f>
        <v>0.44494559392499994</v>
      </c>
      <c r="FA107" s="3">
        <f>$H107*factors!EU$3</f>
        <v>0.40897309162499995</v>
      </c>
      <c r="FB107" s="3">
        <f>$H107*factors!EV$3</f>
        <v>0.42738758685000006</v>
      </c>
      <c r="FC107" s="3">
        <f>$H107*factors!EW$3</f>
        <v>0.43937842095000001</v>
      </c>
      <c r="FD107" s="3">
        <f>$H107*factors!EX$3</f>
        <v>0.42396163425000005</v>
      </c>
      <c r="FE107" s="3">
        <f>$H107*factors!EY$3</f>
        <v>0.446658570225</v>
      </c>
      <c r="FF107" s="3">
        <f>$H107*factors!EZ$3</f>
        <v>0.44708681430000008</v>
      </c>
      <c r="FG107" s="3">
        <f>$H107*factors!FA$3</f>
        <v>0.40897309162499995</v>
      </c>
      <c r="FH107" s="3">
        <f>$H107*factors!FB$3</f>
        <v>0.43038529537499998</v>
      </c>
      <c r="FI107" s="3">
        <f>$H107*factors!FC$3</f>
        <v>0.44837154652499994</v>
      </c>
      <c r="FJ107" s="3">
        <f>$H107*factors!FD$3</f>
        <v>0.43038529537499998</v>
      </c>
      <c r="FK107" s="3">
        <f>$H107*factors!FE$3</f>
        <v>0.43766544465000007</v>
      </c>
      <c r="FL107" s="3">
        <f>$H107*factors!FF$3</f>
        <v>0.43895017687500004</v>
      </c>
      <c r="FM107" s="3">
        <f>$H107*factors!FG$3</f>
        <v>0.44366086169999996</v>
      </c>
      <c r="FN107" s="3">
        <f>$H107*factors!FH$3</f>
        <v>0.41496850867500001</v>
      </c>
      <c r="FO107" s="3">
        <f>$H107*factors!FI$3</f>
        <v>0.44066315317499999</v>
      </c>
      <c r="FP107" s="3">
        <f>$H107*factors!FJ$3</f>
        <v>0.428244075</v>
      </c>
      <c r="FQ107" s="3">
        <f>$H107*factors!FK$3</f>
        <v>0.42396163425000005</v>
      </c>
      <c r="FR107" s="3">
        <f>$H107*factors!FL$3</f>
        <v>0.43252651575000001</v>
      </c>
      <c r="FS107" s="3">
        <f>$H107*factors!FM$3</f>
        <v>0.4299570513</v>
      </c>
      <c r="FT107" s="3">
        <f>$H107*factors!FN$3</f>
        <v>0.43937842095000001</v>
      </c>
      <c r="FU107" s="3">
        <f>$H107*factors!FO$3</f>
        <v>0.42224865794999999</v>
      </c>
      <c r="FV107" s="3">
        <f>$H107*factors!FP$3</f>
        <v>0.41882270534999999</v>
      </c>
      <c r="FW107" s="3">
        <f>$H107*factors!FQ$3</f>
        <v>0.44837154652499994</v>
      </c>
      <c r="FX107" s="3">
        <f>$H107*factors!FR$3</f>
        <v>0.44023490910000007</v>
      </c>
      <c r="FY107" s="3">
        <f>$H107*factors!FS$3</f>
        <v>0.43124178352499998</v>
      </c>
      <c r="FZ107" s="3">
        <f>$H107*factors!FT$3</f>
        <v>0.40982957977500001</v>
      </c>
      <c r="GA107" s="3">
        <f>$H107*factors!FU$3</f>
        <v>0.43124178352499998</v>
      </c>
      <c r="GB107" s="3">
        <f>$H107*factors!FV$3</f>
        <v>0.44708681430000008</v>
      </c>
      <c r="GC107" s="3">
        <f>$H107*factors!FW$3</f>
        <v>0.41882270534999999</v>
      </c>
      <c r="GD107" s="3">
        <f>$H107*factors!FX$3</f>
        <v>0.42610285462499997</v>
      </c>
      <c r="GE107" s="3">
        <f>$H107*factors!FY$3</f>
        <v>0.42610285462499997</v>
      </c>
      <c r="GF107" s="3">
        <f>$H107*factors!FZ$3</f>
        <v>0.4248181224</v>
      </c>
      <c r="GG107" s="3">
        <f>$H107*factors!GA$3</f>
        <v>0.40811660347500001</v>
      </c>
      <c r="GH107" s="3">
        <f>$H107*factors!GB$3</f>
        <v>0.43423949205000006</v>
      </c>
      <c r="GI107" s="3">
        <f>$H107*factors!GC$3</f>
        <v>0.40726011532500001</v>
      </c>
      <c r="GJ107" s="3">
        <f>$H107*factors!GD$3</f>
        <v>0.40811660347500001</v>
      </c>
      <c r="GK107" s="3">
        <f>$H107*factors!GE$3</f>
        <v>0.41839446127500002</v>
      </c>
      <c r="GL107" s="3">
        <f>$H107*factors!GF$3</f>
        <v>0.44323261762499999</v>
      </c>
      <c r="GM107" s="3">
        <f>$H107*factors!GG$3</f>
        <v>0.42010743757500002</v>
      </c>
      <c r="GN107" s="3">
        <f>$H107*factors!GH$3</f>
        <v>0.43338300390000006</v>
      </c>
      <c r="GO107" s="3">
        <f>$H107*factors!GI$3</f>
        <v>0.40940133569999998</v>
      </c>
      <c r="GP107" s="3">
        <f>$H107*factors!GJ$3</f>
        <v>0.43895017687500004</v>
      </c>
      <c r="GQ107" s="3">
        <f>$H107*factors!GK$3</f>
        <v>0.44794330245000008</v>
      </c>
      <c r="GR107" s="3">
        <f>$H107*factors!GL$3</f>
        <v>0.43937842095000001</v>
      </c>
      <c r="GS107" s="3">
        <f>$H107*factors!GM$3</f>
        <v>0.41551666109099999</v>
      </c>
      <c r="GT107" s="3">
        <f>$H107*factors!GN$3</f>
        <v>0.42508877265540002</v>
      </c>
      <c r="GU107" s="3">
        <f>$H107*factors!GO$3</f>
        <v>0.43509598020000001</v>
      </c>
      <c r="GV107" s="3">
        <f>$H107*factors!GP$3</f>
        <v>0.41769214099200003</v>
      </c>
      <c r="GW107" s="3">
        <f>$H107*factors!GQ$3</f>
        <v>0.43248540431880006</v>
      </c>
      <c r="GX107" s="3">
        <f>$H107*factors!GR$3</f>
        <v>0.42552386863559999</v>
      </c>
      <c r="GY107" s="3">
        <f>$H107*factors!GS$3</f>
        <v>0.42334838873460007</v>
      </c>
      <c r="GZ107" s="3">
        <f>$H107*factors!GT$3</f>
        <v>0.43901184402179999</v>
      </c>
      <c r="HA107" s="3">
        <f>$H107*factors!GU$3</f>
        <v>0.42465367667519999</v>
      </c>
      <c r="HB107" s="3">
        <f>$H107*factors!GV$3</f>
        <v>0.43901184402179999</v>
      </c>
      <c r="HC107" s="3">
        <f>$H107*factors!GW$3</f>
        <v>0.42813444451679999</v>
      </c>
      <c r="HD107" s="3">
        <f>$H107*factors!GX$3</f>
        <v>0.44075222794259994</v>
      </c>
      <c r="HE107" s="3">
        <f>$H107*factors!GY$3</f>
        <v>0.43509598020000001</v>
      </c>
      <c r="HF107" s="3">
        <f>$H107*factors!GZ$3</f>
        <v>0.44858395558620001</v>
      </c>
      <c r="HG107" s="3">
        <f>$H107*factors!HA$3</f>
        <v>0.43118011637820003</v>
      </c>
      <c r="HH107" s="3">
        <f>$H107*factors!HB$3</f>
        <v>0.42552386863559999</v>
      </c>
      <c r="HI107" s="3">
        <f>$H107*factors!HC$3</f>
        <v>0.42030271687320003</v>
      </c>
      <c r="HJ107" s="3">
        <f>$H107*factors!HD$3</f>
        <v>0.41551666109099999</v>
      </c>
      <c r="HK107" s="3">
        <f>$H107*factors!HE$3</f>
        <v>0.43944694000200002</v>
      </c>
      <c r="HL107" s="3">
        <f>$H107*factors!HF$3</f>
        <v>0.41421137315039996</v>
      </c>
      <c r="HM107" s="3">
        <f>$H107*factors!HG$3</f>
        <v>0.41856233295240003</v>
      </c>
      <c r="HN107" s="3">
        <f>$H107*factors!HH$3</f>
        <v>0.44640847568520003</v>
      </c>
      <c r="HO107" s="3">
        <f>$H107*factors!HI$3</f>
        <v>0.42813444451679999</v>
      </c>
      <c r="HP107" s="3">
        <f>$H107*factors!HJ$3</f>
        <v>0.45685077921000006</v>
      </c>
      <c r="HQ107" s="3">
        <f>$H107*factors!HK$3</f>
        <v>0.41769214099200003</v>
      </c>
      <c r="HR107" s="3">
        <f>$H107*factors!HL$3</f>
        <v>0.44292770784360008</v>
      </c>
      <c r="HS107" s="3">
        <f>$H107*factors!HM$3</f>
        <v>0.45075943548720004</v>
      </c>
      <c r="HT107" s="3">
        <f>$H107*factors!HN$3</f>
        <v>0.42030271687320003</v>
      </c>
      <c r="HU107" s="3">
        <f>$H107*factors!HO$3</f>
        <v>0.42465367667519999</v>
      </c>
      <c r="HV107" s="3">
        <f>$H107*factors!HP$3</f>
        <v>0.42987482843760005</v>
      </c>
      <c r="HW107" s="3">
        <f>$H107*factors!HQ$3</f>
        <v>0.43596617216040001</v>
      </c>
      <c r="HX107" s="3">
        <f>$H107*factors!HR$3</f>
        <v>0.45380510734859997</v>
      </c>
      <c r="HY107" s="3">
        <f>$H107*factors!HS$3</f>
        <v>0.43118011637820003</v>
      </c>
      <c r="HZ107" s="3">
        <f>$H107*factors!HT$3</f>
        <v>0.44771376362580001</v>
      </c>
      <c r="IA107" s="3">
        <f>$H107*factors!HU$3</f>
        <v>0.42595896461580002</v>
      </c>
      <c r="IB107" s="3">
        <f>$H107*factors!HV$3</f>
        <v>0.44075222794259994</v>
      </c>
      <c r="IC107" s="3">
        <f>$H107*factors!HW$3</f>
        <v>0.4451031877446</v>
      </c>
      <c r="ID107" s="3">
        <f>$H107*factors!HX$3</f>
        <v>0.41334118118999996</v>
      </c>
      <c r="IE107" s="3">
        <f>$H107*factors!HY$3</f>
        <v>0.43901184402179999</v>
      </c>
      <c r="IF107" s="3">
        <f>$H107*factors!HZ$3</f>
        <v>0.43640126814059998</v>
      </c>
      <c r="IG107" s="3">
        <f>$H107*factors!IA$3</f>
        <v>0.43248540431880006</v>
      </c>
      <c r="IH107" s="3">
        <f>$H107*factors!IB$3</f>
        <v>0.44858395558620001</v>
      </c>
      <c r="II107" s="3">
        <f>$H107*factors!IC$3</f>
        <v>0.42943973245740003</v>
      </c>
      <c r="IJ107" s="3">
        <f>$H107*factors!ID$3</f>
        <v>0.43335559627920001</v>
      </c>
      <c r="IK107" s="3">
        <f>$H107*factors!IE$3</f>
        <v>0.44901905156640004</v>
      </c>
      <c r="IL107" s="3">
        <f>$H107*factors!IF$3</f>
        <v>0.42987482843760005</v>
      </c>
      <c r="IM107" s="3">
        <f>$H107*factors!IG$3</f>
        <v>0.42595896461580002</v>
      </c>
      <c r="IN107" s="3">
        <f>$H107*factors!IH$3</f>
        <v>0.42856954049700002</v>
      </c>
      <c r="IO107" s="3">
        <f>$H107*factors!II$3</f>
        <v>0.43292050029899998</v>
      </c>
      <c r="IP107" s="3">
        <f>$H107*factors!IJ$3</f>
        <v>0.41856233295240003</v>
      </c>
      <c r="IQ107" s="3">
        <f>$H107*factors!IK$3</f>
        <v>0.4172570450118</v>
      </c>
      <c r="IR107" s="3">
        <f>$H107*factors!IL$3</f>
        <v>0.42943973245740003</v>
      </c>
      <c r="IS107" s="3">
        <f>$H107*factors!IM$3</f>
        <v>0.43292050029899998</v>
      </c>
      <c r="IT107" s="3">
        <f>$H107*factors!IN$3</f>
        <v>0.43596617216040001</v>
      </c>
      <c r="IU107" s="3">
        <f>$H107*factors!IO$3</f>
        <v>0.44553828372480003</v>
      </c>
      <c r="IV107" s="3">
        <f>$H107*factors!IP$3</f>
        <v>0.45119453146739996</v>
      </c>
      <c r="IW107" s="3">
        <f>$H107*factors!IQ$3</f>
        <v>0.42639406059599999</v>
      </c>
      <c r="IX107" s="3">
        <f>$H107*factors!IR$3</f>
        <v>0.44553828372480003</v>
      </c>
      <c r="IY107" s="3">
        <f>$H107*factors!IS$3</f>
        <v>0.43901184402179999</v>
      </c>
      <c r="IZ107" s="3">
        <f>$H107*factors!IT$3</f>
        <v>0.44640847568520003</v>
      </c>
      <c r="JA107" s="3">
        <f>$H107*factors!IU$3</f>
        <v>0.42160800481379995</v>
      </c>
      <c r="JB107" s="3">
        <f>$H107*factors!IV$3</f>
        <v>0.42943973245740003</v>
      </c>
      <c r="JC107" s="3">
        <f>$H107*factors!IW$3</f>
        <v>0.41943252491280003</v>
      </c>
      <c r="JD107" s="3">
        <f>$H107*factors!IX$3</f>
        <v>0.45685077921000006</v>
      </c>
      <c r="JE107" s="3">
        <f>$H107*factors!IY$3</f>
        <v>0.42073781285340001</v>
      </c>
      <c r="JF107" s="3">
        <f>$H107*factors!IZ$3</f>
        <v>0.44162241990299994</v>
      </c>
      <c r="JG107" s="3">
        <f>$H107*factors!JA$3</f>
        <v>0.43379069225939998</v>
      </c>
      <c r="JH107" s="3">
        <f>$H107*factors!JB$3</f>
        <v>0.44205751588320008</v>
      </c>
      <c r="JI107" s="3">
        <f>$H107*factors!JC$3</f>
        <v>0.41377627717020005</v>
      </c>
      <c r="JJ107" s="3">
        <f>$H107*factors!JD$3</f>
        <v>0.44553828372480003</v>
      </c>
      <c r="JK107" s="3">
        <f>$H107*factors!JE$3</f>
        <v>0.43118011637820003</v>
      </c>
      <c r="JL107" s="3">
        <f>$H107*factors!JF$3</f>
        <v>0.44858395558620001</v>
      </c>
      <c r="JM107" s="3">
        <f>$H107*factors!JG$3</f>
        <v>0.41856233295240003</v>
      </c>
      <c r="JN107" s="3">
        <f>$H107*factors!JH$3</f>
        <v>0.41856233295240003</v>
      </c>
      <c r="JO107" s="3">
        <f>$H107*factors!JI$3</f>
        <v>0.41334118118999996</v>
      </c>
      <c r="JP107" s="3">
        <f>$H107*factors!JJ$3</f>
        <v>0.44684357166540001</v>
      </c>
      <c r="JQ107" s="3">
        <f>$H107*factors!JK$3</f>
        <v>0.43553107618019998</v>
      </c>
      <c r="JR107" s="3">
        <f>$H107*factors!JL$3</f>
        <v>0.45249981940799999</v>
      </c>
      <c r="JS107" s="3">
        <f>$H107*factors!JM$3</f>
        <v>0.41334118118999996</v>
      </c>
      <c r="JT107" s="3">
        <f>$H107*factors!JN$3</f>
        <v>0.43422578823960001</v>
      </c>
      <c r="JU107" s="3">
        <f>$H107*factors!JO$3</f>
        <v>0.419867620893</v>
      </c>
      <c r="JV107" s="3">
        <f>$H107*factors!JP$3</f>
        <v>0.42682915657620002</v>
      </c>
      <c r="JW107" s="3">
        <f>$H107*factors!JQ$3</f>
        <v>0.45598058724960006</v>
      </c>
      <c r="JX107" s="3">
        <f>$H107*factors!JR$3</f>
        <v>0.45162962744759999</v>
      </c>
      <c r="JY107" s="3">
        <f>$H107*factors!JS$3</f>
        <v>0.42508877265540002</v>
      </c>
      <c r="JZ107" s="3">
        <f>$H107*factors!JT$3</f>
        <v>0.42987482843760005</v>
      </c>
      <c r="KA107" s="3">
        <f>$H107*factors!JU$3</f>
        <v>0.43161521235840006</v>
      </c>
      <c r="KB107" s="3">
        <f>$H107*factors!JV$3</f>
        <v>0.4172570450118</v>
      </c>
      <c r="KC107" s="3">
        <f>$H107*factors!JW$3</f>
        <v>0.41943252491280003</v>
      </c>
      <c r="KD107" s="3">
        <f>$H107*factors!JX$3</f>
        <v>0.419867620893</v>
      </c>
      <c r="KE107" s="3">
        <f>$H107*factors!JY$3</f>
        <v>0.44684357166540001</v>
      </c>
      <c r="KF107" s="3">
        <f>$H107*factors!JZ$3</f>
        <v>0.45206472342779996</v>
      </c>
      <c r="KG107" s="3">
        <f>$H107*factors!KA$3</f>
        <v>0.43596617216040001</v>
      </c>
      <c r="KH107" s="3">
        <f>$H107*factors!KB$3</f>
        <v>0.42639406059599999</v>
      </c>
      <c r="KI107" s="3">
        <f>$H107*factors!KC$3</f>
        <v>0.42247819677419995</v>
      </c>
    </row>
    <row r="108" spans="1:295" x14ac:dyDescent="0.55000000000000004">
      <c r="A108" t="s">
        <v>485</v>
      </c>
      <c r="B108">
        <v>107</v>
      </c>
      <c r="C108">
        <v>230</v>
      </c>
      <c r="D108" t="s">
        <v>377</v>
      </c>
      <c r="E108">
        <v>7.1729999999999997E-3</v>
      </c>
      <c r="F108">
        <v>107</v>
      </c>
      <c r="G108">
        <f>VLOOKUP(D108,demand_forecasted!$A$2:$G$11,2)</f>
        <v>11098</v>
      </c>
      <c r="H108" s="3">
        <f t="shared" si="2"/>
        <v>0.79605954000000001</v>
      </c>
      <c r="I108" s="3">
        <f>$H108*factors!C$3</f>
        <v>0.88123791078000002</v>
      </c>
      <c r="J108" s="3">
        <f>$H108*factors!D$3</f>
        <v>0.84942737156159998</v>
      </c>
      <c r="K108" s="3">
        <f>$H108*factors!E$3</f>
        <v>0.83481171840720003</v>
      </c>
      <c r="L108" s="3">
        <f>$H108*factors!F$3</f>
        <v>0.83223248549760009</v>
      </c>
      <c r="M108" s="3">
        <f>$H108*factors!G$3</f>
        <v>0.83137274119439997</v>
      </c>
      <c r="N108" s="3">
        <f>$H108*factors!H$3</f>
        <v>0.85544558168399998</v>
      </c>
      <c r="O108" s="3">
        <f>$H108*factors!I$3</f>
        <v>0.8743599563544</v>
      </c>
      <c r="P108" s="3">
        <f>$H108*factors!J$3</f>
        <v>0.88467688799280009</v>
      </c>
      <c r="Q108" s="3">
        <f>$H108*factors!K$3</f>
        <v>0.83051299689119995</v>
      </c>
      <c r="R108" s="3">
        <f>$H108*factors!L$3</f>
        <v>0.81675708804000002</v>
      </c>
      <c r="S108" s="3">
        <f>$H108*factors!M$3</f>
        <v>0.85028711586479999</v>
      </c>
      <c r="T108" s="3">
        <f>$H108*factors!N$3</f>
        <v>0.8795184221736001</v>
      </c>
      <c r="U108" s="3">
        <f>$H108*factors!O$3</f>
        <v>0.83309222980080011</v>
      </c>
      <c r="V108" s="3">
        <f>$H108*factors!P$3</f>
        <v>0.86662225762560008</v>
      </c>
      <c r="W108" s="3">
        <f>$H108*factors!Q$3</f>
        <v>0.8743599563544</v>
      </c>
      <c r="X108" s="3">
        <f>$H108*factors!R$3</f>
        <v>0.83653120701359995</v>
      </c>
      <c r="Y108" s="3">
        <f>$H108*factors!S$3</f>
        <v>0.82879350828480003</v>
      </c>
      <c r="Z108" s="3">
        <f>$H108*factors!T$3</f>
        <v>0.89413407532800016</v>
      </c>
      <c r="AA108" s="3">
        <f>$H108*factors!U$3</f>
        <v>0.84426890574239999</v>
      </c>
      <c r="AB108" s="3">
        <f>$H108*factors!V$3</f>
        <v>0.84512865004560012</v>
      </c>
      <c r="AC108" s="3">
        <f>$H108*factors!W$3</f>
        <v>0.84598839434880013</v>
      </c>
      <c r="AD108" s="3">
        <f>$H108*factors!X$3</f>
        <v>0.82793376398160012</v>
      </c>
      <c r="AE108" s="3">
        <f>$H108*factors!Y$3</f>
        <v>0.83481171840720003</v>
      </c>
      <c r="AF108" s="3">
        <f>$H108*factors!Z$3</f>
        <v>0.85200660447120014</v>
      </c>
      <c r="AG108" s="3">
        <f>$H108*factors!AA$3</f>
        <v>0.83051299689119995</v>
      </c>
      <c r="AH108" s="3">
        <f>$H108*factors!AB$3</f>
        <v>0.82707401967840011</v>
      </c>
      <c r="AI108" s="3">
        <f>$H108*factors!AC$3</f>
        <v>0.85372609307760006</v>
      </c>
      <c r="AJ108" s="3">
        <f>$H108*factors!AD$3</f>
        <v>0.88639637659920001</v>
      </c>
      <c r="AK108" s="3">
        <f>$H108*factors!AE$3</f>
        <v>0.85286634877440004</v>
      </c>
      <c r="AL108" s="3">
        <f>$H108*factors!AF$3</f>
        <v>0.81933632094959996</v>
      </c>
      <c r="AM108" s="3">
        <f>$H108*factors!AG$3</f>
        <v>0.84254941713600007</v>
      </c>
      <c r="AN108" s="3">
        <f>$H108*factors!AH$3</f>
        <v>0.82879350828480003</v>
      </c>
      <c r="AO108" s="3">
        <f>$H108*factors!AI$3</f>
        <v>0.868341746232</v>
      </c>
      <c r="AP108" s="3">
        <f>$H108*factors!AJ$3</f>
        <v>0.83223248549760009</v>
      </c>
      <c r="AQ108" s="3">
        <f>$H108*factors!AK$3</f>
        <v>0.85888455889680004</v>
      </c>
      <c r="AR108" s="3">
        <f>$H108*factors!AL$3</f>
        <v>0.83997018422640013</v>
      </c>
      <c r="AS108" s="3">
        <f>$H108*factors!AM$3</f>
        <v>0.81933632094959996</v>
      </c>
      <c r="AT108" s="3">
        <f>$H108*factors!AN$3</f>
        <v>0.84512865004560012</v>
      </c>
      <c r="AU108" s="3">
        <f>$H108*factors!AO$3</f>
        <v>0.89499381963119995</v>
      </c>
      <c r="AV108" s="3">
        <f>$H108*factors!AP$3</f>
        <v>0.84598839434880013</v>
      </c>
      <c r="AW108" s="3">
        <f>$H108*factors!AQ$3</f>
        <v>0.83739095131679997</v>
      </c>
      <c r="AX108" s="3">
        <f>$H108*factors!AR$3</f>
        <v>0.8855366322960001</v>
      </c>
      <c r="AY108" s="3">
        <f>$H108*factors!AS$3</f>
        <v>0.81675708804000002</v>
      </c>
      <c r="AZ108" s="3">
        <f>$H108*factors!AT$3</f>
        <v>0.87521970065760013</v>
      </c>
      <c r="BA108" s="3">
        <f>$H108*factors!AU$3</f>
        <v>0.85630532598719999</v>
      </c>
      <c r="BB108" s="3">
        <f>$H108*factors!AV$3</f>
        <v>0.84512865004560012</v>
      </c>
      <c r="BC108" s="3">
        <f>$H108*factors!AW$3</f>
        <v>0.89413407532800016</v>
      </c>
      <c r="BD108" s="3">
        <f>$H108*factors!AX$3</f>
        <v>0.82535453107199996</v>
      </c>
      <c r="BE108" s="3">
        <f>$H108*factors!AY$3</f>
        <v>0.9703488156875999</v>
      </c>
      <c r="BF108" s="3">
        <f>$H108*factors!AZ$3</f>
        <v>0.90365494742639996</v>
      </c>
      <c r="BG108" s="3">
        <f>$H108*factors!BA$3</f>
        <v>0.91680585102719991</v>
      </c>
      <c r="BH108" s="3">
        <f>$H108*factors!BB$3</f>
        <v>0.92901740437079994</v>
      </c>
      <c r="BI108" s="3">
        <f>$H108*factors!BC$3</f>
        <v>0.96283401362999987</v>
      </c>
      <c r="BJ108" s="3">
        <f>$H108*factors!BD$3</f>
        <v>0.91962390179879994</v>
      </c>
      <c r="BK108" s="3">
        <f>$H108*factors!BE$3</f>
        <v>0.92150260231319991</v>
      </c>
      <c r="BL108" s="3">
        <f>$H108*factors!BF$3</f>
        <v>0.91116974948399987</v>
      </c>
      <c r="BM108" s="3">
        <f>$H108*factors!BG$3</f>
        <v>0.97316686645920003</v>
      </c>
      <c r="BN108" s="3">
        <f>$H108*factors!BH$3</f>
        <v>0.9609553131155999</v>
      </c>
      <c r="BO108" s="3">
        <f>$H108*factors!BI$3</f>
        <v>0.90365494742639996</v>
      </c>
      <c r="BP108" s="3">
        <f>$H108*factors!BJ$3</f>
        <v>0.90083689665479993</v>
      </c>
      <c r="BQ108" s="3">
        <f>$H108*factors!BK$3</f>
        <v>0.91586650076999987</v>
      </c>
      <c r="BR108" s="3">
        <f>$H108*factors!BL$3</f>
        <v>0.94874375977199998</v>
      </c>
      <c r="BS108" s="3">
        <f>$H108*factors!BM$3</f>
        <v>0.96377336388720003</v>
      </c>
      <c r="BT108" s="3">
        <f>$H108*factors!BN$3</f>
        <v>0.96659141465879994</v>
      </c>
      <c r="BU108" s="3">
        <f>$H108*factors!BO$3</f>
        <v>0.98256036903120003</v>
      </c>
      <c r="BV108" s="3">
        <f>$H108*factors!BP$3</f>
        <v>0.9139878002556</v>
      </c>
      <c r="BW108" s="3">
        <f>$H108*factors!BQ$3</f>
        <v>0.93465350591399998</v>
      </c>
      <c r="BX108" s="3">
        <f>$H108*factors!BR$3</f>
        <v>0.91680585102719991</v>
      </c>
      <c r="BY108" s="3">
        <f>$H108*factors!BS$3</f>
        <v>0.95907661260119981</v>
      </c>
      <c r="BZ108" s="3">
        <f>$H108*factors!BT$3</f>
        <v>0.94122895771439985</v>
      </c>
      <c r="CA108" s="3">
        <f>$H108*factors!BU$3</f>
        <v>0.92901740437079994</v>
      </c>
      <c r="CB108" s="3">
        <f>$H108*factors!BV$3</f>
        <v>0.89895819614039996</v>
      </c>
      <c r="CC108" s="3">
        <f>$H108*factors!BW$3</f>
        <v>0.92526000334199987</v>
      </c>
      <c r="CD108" s="3">
        <f>$H108*factors!BX$3</f>
        <v>0.9280780541136</v>
      </c>
      <c r="CE108" s="3">
        <f>$H108*factors!BY$3</f>
        <v>0.94122895771439985</v>
      </c>
      <c r="CF108" s="3">
        <f>$H108*factors!BZ$3</f>
        <v>0.92713870385640007</v>
      </c>
      <c r="CG108" s="3">
        <f>$H108*factors!CA$3</f>
        <v>0.89614014536879982</v>
      </c>
      <c r="CH108" s="3">
        <f>$H108*factors!CB$3</f>
        <v>0.89707949562599987</v>
      </c>
      <c r="CI108" s="3">
        <f>$H108*factors!CC$3</f>
        <v>0.89238274433999998</v>
      </c>
      <c r="CJ108" s="3">
        <f>$H108*factors!CD$3</f>
        <v>0.92901740437079994</v>
      </c>
      <c r="CK108" s="3">
        <f>$H108*factors!CE$3</f>
        <v>0.9703488156875999</v>
      </c>
      <c r="CL108" s="3">
        <f>$H108*factors!CF$3</f>
        <v>0.9092910489696</v>
      </c>
      <c r="CM108" s="3">
        <f>$H108*factors!CG$3</f>
        <v>0.93089610488519992</v>
      </c>
      <c r="CN108" s="3">
        <f>$H108*factors!CH$3</f>
        <v>0.89989754639759989</v>
      </c>
      <c r="CO108" s="3">
        <f>$H108*factors!CI$3</f>
        <v>0.90647299819799987</v>
      </c>
      <c r="CP108" s="3">
        <f>$H108*factors!CJ$3</f>
        <v>0.94968311002919981</v>
      </c>
      <c r="CQ108" s="3">
        <f>$H108*factors!CK$3</f>
        <v>0.92150260231319991</v>
      </c>
      <c r="CR108" s="3">
        <f>$H108*factors!CL$3</f>
        <v>0.95062246028639996</v>
      </c>
      <c r="CS108" s="3">
        <f>$H108*factors!CM$3</f>
        <v>0.98068166851679994</v>
      </c>
      <c r="CT108" s="3">
        <f>$H108*factors!CN$3</f>
        <v>0.96940946543039996</v>
      </c>
      <c r="CU108" s="3">
        <f>$H108*factors!CO$3</f>
        <v>0.94780440951479983</v>
      </c>
      <c r="CV108" s="3">
        <f>$H108*factors!CP$3</f>
        <v>0.98631777005999988</v>
      </c>
      <c r="CW108" s="3">
        <f>$H108*factors!CQ$3</f>
        <v>0.9327748053996</v>
      </c>
      <c r="CX108" s="3">
        <f>$H108*factors!CR$3</f>
        <v>0.9186845515416</v>
      </c>
      <c r="CY108" s="3">
        <f>$H108*factors!CS$3</f>
        <v>0.91023039922679994</v>
      </c>
      <c r="CZ108" s="3">
        <f>$H108*factors!CT$3</f>
        <v>0.89707949562599987</v>
      </c>
      <c r="DA108" s="3">
        <f>$H108*factors!CU$3</f>
        <v>0.93138966179999993</v>
      </c>
      <c r="DB108" s="3">
        <f>$H108*factors!CV$3</f>
        <v>0.99157176302400007</v>
      </c>
      <c r="DC108" s="3">
        <f>$H108*factors!CW$3</f>
        <v>0.94953981931199993</v>
      </c>
      <c r="DD108" s="3">
        <f>$H108*factors!CX$3</f>
        <v>0.94285291917599989</v>
      </c>
      <c r="DE108" s="3">
        <f>$H108*factors!CY$3</f>
        <v>0.97055579116800006</v>
      </c>
      <c r="DF108" s="3">
        <f>$H108*factors!CZ$3</f>
        <v>0.96864524827199994</v>
      </c>
      <c r="DG108" s="3">
        <f>$H108*factors!DA$3</f>
        <v>0.96482416248000002</v>
      </c>
      <c r="DH108" s="3">
        <f>$H108*factors!DB$3</f>
        <v>0.96482416248000002</v>
      </c>
      <c r="DI108" s="3">
        <f>$H108*factors!DC$3</f>
        <v>0.92852384745599992</v>
      </c>
      <c r="DJ108" s="3">
        <f>$H108*factors!DD$3</f>
        <v>0.98392959144000003</v>
      </c>
      <c r="DK108" s="3">
        <f>$H108*factors!DE$3</f>
        <v>0.98392959144000003</v>
      </c>
      <c r="DL108" s="3">
        <f>$H108*factors!DF$3</f>
        <v>0.97246633406400007</v>
      </c>
      <c r="DM108" s="3">
        <f>$H108*factors!DG$3</f>
        <v>0.91610531863199984</v>
      </c>
      <c r="DN108" s="3">
        <f>$H108*factors!DH$3</f>
        <v>0.961003076688</v>
      </c>
      <c r="DO108" s="3">
        <f>$H108*factors!DI$3</f>
        <v>0.99252703447199997</v>
      </c>
      <c r="DP108" s="3">
        <f>$H108*factors!DJ$3</f>
        <v>0.98392959144000003</v>
      </c>
      <c r="DQ108" s="3">
        <f>$H108*factors!DK$3</f>
        <v>0.93807656193599998</v>
      </c>
      <c r="DR108" s="3">
        <f>$H108*factors!DL$3</f>
        <v>0.92756857600800002</v>
      </c>
      <c r="DS108" s="3">
        <f>$H108*factors!DM$3</f>
        <v>1.0020797489519999</v>
      </c>
      <c r="DT108" s="3">
        <f>$H108*factors!DN$3</f>
        <v>0.941897647728</v>
      </c>
      <c r="DU108" s="3">
        <f>$H108*factors!DO$3</f>
        <v>0.98584013433599993</v>
      </c>
      <c r="DV108" s="3">
        <f>$H108*factors!DP$3</f>
        <v>0.96291361958400001</v>
      </c>
      <c r="DW108" s="3">
        <f>$H108*factors!DQ$3</f>
        <v>0.91897113297599986</v>
      </c>
      <c r="DX108" s="3">
        <f>$H108*factors!DR$3</f>
        <v>0.97342160551199997</v>
      </c>
      <c r="DY108" s="3">
        <f>$H108*factors!DS$3</f>
        <v>0.92374749021599989</v>
      </c>
      <c r="DZ108" s="3">
        <f>$H108*factors!DT$3</f>
        <v>0.98775067723199994</v>
      </c>
      <c r="EA108" s="3">
        <f>$H108*factors!DU$3</f>
        <v>0.93043439035199993</v>
      </c>
      <c r="EB108" s="3">
        <f>$H108*factors!DV$3</f>
        <v>0.9075078755999999</v>
      </c>
      <c r="EC108" s="3">
        <f>$H108*factors!DW$3</f>
        <v>0.97628741985599998</v>
      </c>
      <c r="ED108" s="3">
        <f>$H108*factors!DX$3</f>
        <v>0.91610531863199984</v>
      </c>
      <c r="EE108" s="3">
        <f>$H108*factors!DY$3</f>
        <v>0.92374749021599989</v>
      </c>
      <c r="EF108" s="3">
        <f>$H108*factors!DZ$3</f>
        <v>1.0020797489519999</v>
      </c>
      <c r="EG108" s="3">
        <f>$H108*factors!EA$3</f>
        <v>0.93616601903999996</v>
      </c>
      <c r="EH108" s="3">
        <f>$H108*factors!EB$3</f>
        <v>0.93903183338399998</v>
      </c>
      <c r="EI108" s="3">
        <f>$H108*factors!EC$3</f>
        <v>0.93712129048800008</v>
      </c>
      <c r="EJ108" s="3">
        <f>$H108*factors!ED$3</f>
        <v>0.91323950428800005</v>
      </c>
      <c r="EK108" s="3">
        <f>$H108*factors!EE$3</f>
        <v>0.97628741985599998</v>
      </c>
      <c r="EL108" s="3">
        <f>$H108*factors!EF$3</f>
        <v>0.92852384745599992</v>
      </c>
      <c r="EM108" s="3">
        <f>$H108*factors!EG$3</f>
        <v>0.96577943392799992</v>
      </c>
      <c r="EN108" s="3">
        <f>$H108*factors!EH$3</f>
        <v>0.9075078755999999</v>
      </c>
      <c r="EO108" s="3">
        <f>$H108*factors!EI$3</f>
        <v>0.92088167587199987</v>
      </c>
      <c r="EP108" s="3">
        <f>$H108*factors!EJ$3</f>
        <v>0.97151106261599995</v>
      </c>
      <c r="EQ108" s="3">
        <f>$H108*factors!EK$3</f>
        <v>0.9447634620719999</v>
      </c>
      <c r="ER108" s="3">
        <f>$H108*factors!EL$3</f>
        <v>0.98392959144000003</v>
      </c>
      <c r="ES108" s="3">
        <f>$H108*factors!EM$3</f>
        <v>0.97151106261599995</v>
      </c>
      <c r="ET108" s="3">
        <f>$H108*factors!EN$3</f>
        <v>0.99348230591999998</v>
      </c>
      <c r="EU108" s="3">
        <f>$H108*factors!EO$3</f>
        <v>1.0030350204</v>
      </c>
      <c r="EV108" s="3">
        <f>$H108*factors!EP$3</f>
        <v>0.93998710483199988</v>
      </c>
      <c r="EW108" s="3">
        <f>$H108*factors!EQ$3</f>
        <v>1.033882327575</v>
      </c>
      <c r="EX108" s="3">
        <f>$H108*factors!ER$3</f>
        <v>1.0229365089000002</v>
      </c>
      <c r="EY108" s="3">
        <f>$H108*factors!ES$3</f>
        <v>1.043833071825</v>
      </c>
      <c r="EZ108" s="3">
        <f>$H108*factors!ET$3</f>
        <v>1.033882327575</v>
      </c>
      <c r="FA108" s="3">
        <f>$H108*factors!EU$3</f>
        <v>0.95029607587499987</v>
      </c>
      <c r="FB108" s="3">
        <f>$H108*factors!EV$3</f>
        <v>0.99308427615000006</v>
      </c>
      <c r="FC108" s="3">
        <f>$H108*factors!EW$3</f>
        <v>1.0209463600499999</v>
      </c>
      <c r="FD108" s="3">
        <f>$H108*factors!EX$3</f>
        <v>0.98512368075000001</v>
      </c>
      <c r="FE108" s="3">
        <f>$H108*factors!EY$3</f>
        <v>1.0378626252750001</v>
      </c>
      <c r="FF108" s="3">
        <f>$H108*factors!EZ$3</f>
        <v>1.0388576997000001</v>
      </c>
      <c r="FG108" s="3">
        <f>$H108*factors!FA$3</f>
        <v>0.95029607587499987</v>
      </c>
      <c r="FH108" s="3">
        <f>$H108*factors!FB$3</f>
        <v>1.000049797125</v>
      </c>
      <c r="FI108" s="3">
        <f>$H108*factors!FC$3</f>
        <v>1.0418429229749999</v>
      </c>
      <c r="FJ108" s="3">
        <f>$H108*factors!FD$3</f>
        <v>1.000049797125</v>
      </c>
      <c r="FK108" s="3">
        <f>$H108*factors!FE$3</f>
        <v>1.0169660623500001</v>
      </c>
      <c r="FL108" s="3">
        <f>$H108*factors!FF$3</f>
        <v>1.0199512856249999</v>
      </c>
      <c r="FM108" s="3">
        <f>$H108*factors!FG$3</f>
        <v>1.0308971042999999</v>
      </c>
      <c r="FN108" s="3">
        <f>$H108*factors!FH$3</f>
        <v>0.96422711782499992</v>
      </c>
      <c r="FO108" s="3">
        <f>$H108*factors!FI$3</f>
        <v>1.023931583325</v>
      </c>
      <c r="FP108" s="3">
        <f>$H108*factors!FJ$3</f>
        <v>0.99507442499999998</v>
      </c>
      <c r="FQ108" s="3">
        <f>$H108*factors!FK$3</f>
        <v>0.98512368075000001</v>
      </c>
      <c r="FR108" s="3">
        <f>$H108*factors!FL$3</f>
        <v>1.0050251692500001</v>
      </c>
      <c r="FS108" s="3">
        <f>$H108*factors!FM$3</f>
        <v>0.99905472269999995</v>
      </c>
      <c r="FT108" s="3">
        <f>$H108*factors!FN$3</f>
        <v>1.0209463600499999</v>
      </c>
      <c r="FU108" s="3">
        <f>$H108*factors!FO$3</f>
        <v>0.98114338304999993</v>
      </c>
      <c r="FV108" s="3">
        <f>$H108*factors!FP$3</f>
        <v>0.97318278764999999</v>
      </c>
      <c r="FW108" s="3">
        <f>$H108*factors!FQ$3</f>
        <v>1.0418429229749999</v>
      </c>
      <c r="FX108" s="3">
        <f>$H108*factors!FR$3</f>
        <v>1.0229365089000002</v>
      </c>
      <c r="FY108" s="3">
        <f>$H108*factors!FS$3</f>
        <v>1.0020399459749998</v>
      </c>
      <c r="FZ108" s="3">
        <f>$H108*factors!FT$3</f>
        <v>0.95228622472500002</v>
      </c>
      <c r="GA108" s="3">
        <f>$H108*factors!FU$3</f>
        <v>1.0020399459749998</v>
      </c>
      <c r="GB108" s="3">
        <f>$H108*factors!FV$3</f>
        <v>1.0388576997000001</v>
      </c>
      <c r="GC108" s="3">
        <f>$H108*factors!FW$3</f>
        <v>0.97318278764999999</v>
      </c>
      <c r="GD108" s="3">
        <f>$H108*factors!FX$3</f>
        <v>0.990099052875</v>
      </c>
      <c r="GE108" s="3">
        <f>$H108*factors!FY$3</f>
        <v>0.990099052875</v>
      </c>
      <c r="GF108" s="3">
        <f>$H108*factors!FZ$3</f>
        <v>0.98711382960000005</v>
      </c>
      <c r="GG108" s="3">
        <f>$H108*factors!GA$3</f>
        <v>0.94830592702499994</v>
      </c>
      <c r="GH108" s="3">
        <f>$H108*factors!GB$3</f>
        <v>1.0090054669500002</v>
      </c>
      <c r="GI108" s="3">
        <f>$H108*factors!GC$3</f>
        <v>0.94631577817500001</v>
      </c>
      <c r="GJ108" s="3">
        <f>$H108*factors!GD$3</f>
        <v>0.94830592702499994</v>
      </c>
      <c r="GK108" s="3">
        <f>$H108*factors!GE$3</f>
        <v>0.97218771322499997</v>
      </c>
      <c r="GL108" s="3">
        <f>$H108*factors!GF$3</f>
        <v>1.0299020298749999</v>
      </c>
      <c r="GM108" s="3">
        <f>$H108*factors!GG$3</f>
        <v>0.97616801092500005</v>
      </c>
      <c r="GN108" s="3">
        <f>$H108*factors!GH$3</f>
        <v>1.0070153181000001</v>
      </c>
      <c r="GO108" s="3">
        <f>$H108*factors!GI$3</f>
        <v>0.95129115029999989</v>
      </c>
      <c r="GP108" s="3">
        <f>$H108*factors!GJ$3</f>
        <v>1.0199512856249999</v>
      </c>
      <c r="GQ108" s="3">
        <f>$H108*factors!GK$3</f>
        <v>1.0408478485500001</v>
      </c>
      <c r="GR108" s="3">
        <f>$H108*factors!GL$3</f>
        <v>1.0209463600499999</v>
      </c>
      <c r="GS108" s="3">
        <f>$H108*factors!GM$3</f>
        <v>0.96550081308900004</v>
      </c>
      <c r="GT108" s="3">
        <f>$H108*factors!GN$3</f>
        <v>0.98774271663660007</v>
      </c>
      <c r="GU108" s="3">
        <f>$H108*factors!GO$3</f>
        <v>1.0109956158</v>
      </c>
      <c r="GV108" s="3">
        <f>$H108*factors!GP$3</f>
        <v>0.97055579116800006</v>
      </c>
      <c r="GW108" s="3">
        <f>$H108*factors!GQ$3</f>
        <v>1.0049296421052001</v>
      </c>
      <c r="GX108" s="3">
        <f>$H108*factors!GR$3</f>
        <v>0.98875371225239994</v>
      </c>
      <c r="GY108" s="3">
        <f>$H108*factors!GS$3</f>
        <v>0.98369873417340004</v>
      </c>
      <c r="GZ108" s="3">
        <f>$H108*factors!GT$3</f>
        <v>1.0200945763421998</v>
      </c>
      <c r="HA108" s="3">
        <f>$H108*factors!GU$3</f>
        <v>0.98673172102079998</v>
      </c>
      <c r="HB108" s="3">
        <f>$H108*factors!GV$3</f>
        <v>1.0200945763421998</v>
      </c>
      <c r="HC108" s="3">
        <f>$H108*factors!GW$3</f>
        <v>0.99481968594719994</v>
      </c>
      <c r="HD108" s="3">
        <f>$H108*factors!GX$3</f>
        <v>1.0241385588053999</v>
      </c>
      <c r="HE108" s="3">
        <f>$H108*factors!GY$3</f>
        <v>1.0109956158</v>
      </c>
      <c r="HF108" s="3">
        <f>$H108*factors!GZ$3</f>
        <v>1.0423364798898</v>
      </c>
      <c r="HG108" s="3">
        <f>$H108*factors!HA$3</f>
        <v>1.0018966552577999</v>
      </c>
      <c r="HH108" s="3">
        <f>$H108*factors!HB$3</f>
        <v>0.98875371225239994</v>
      </c>
      <c r="HI108" s="3">
        <f>$H108*factors!HC$3</f>
        <v>0.97662176486280006</v>
      </c>
      <c r="HJ108" s="3">
        <f>$H108*factors!HD$3</f>
        <v>0.96550081308900004</v>
      </c>
      <c r="HK108" s="3">
        <f>$H108*factors!HE$3</f>
        <v>1.021105571958</v>
      </c>
      <c r="HL108" s="3">
        <f>$H108*factors!HF$3</f>
        <v>0.96246782624159988</v>
      </c>
      <c r="HM108" s="3">
        <f>$H108*factors!HG$3</f>
        <v>0.97257778239960002</v>
      </c>
      <c r="HN108" s="3">
        <f>$H108*factors!HH$3</f>
        <v>1.0372815018108001</v>
      </c>
      <c r="HO108" s="3">
        <f>$H108*factors!HI$3</f>
        <v>0.99481968594719994</v>
      </c>
      <c r="HP108" s="3">
        <f>$H108*factors!HJ$3</f>
        <v>1.0615453965900001</v>
      </c>
      <c r="HQ108" s="3">
        <f>$H108*factors!HK$3</f>
        <v>0.97055579116800006</v>
      </c>
      <c r="HR108" s="3">
        <f>$H108*factors!HL$3</f>
        <v>1.0291935368844001</v>
      </c>
      <c r="HS108" s="3">
        <f>$H108*factors!HM$3</f>
        <v>1.0473914579688</v>
      </c>
      <c r="HT108" s="3">
        <f>$H108*factors!HN$3</f>
        <v>0.97662176486280006</v>
      </c>
      <c r="HU108" s="3">
        <f>$H108*factors!HO$3</f>
        <v>0.98673172102079998</v>
      </c>
      <c r="HV108" s="3">
        <f>$H108*factors!HP$3</f>
        <v>0.99886366841040009</v>
      </c>
      <c r="HW108" s="3">
        <f>$H108*factors!HQ$3</f>
        <v>1.0130176070315999</v>
      </c>
      <c r="HX108" s="3">
        <f>$H108*factors!HR$3</f>
        <v>1.0544684272793998</v>
      </c>
      <c r="HY108" s="3">
        <f>$H108*factors!HS$3</f>
        <v>1.0018966552577999</v>
      </c>
      <c r="HZ108" s="3">
        <f>$H108*factors!HT$3</f>
        <v>1.0403144886581999</v>
      </c>
      <c r="IA108" s="3">
        <f>$H108*factors!HU$3</f>
        <v>0.98976470786820003</v>
      </c>
      <c r="IB108" s="3">
        <f>$H108*factors!HV$3</f>
        <v>1.0241385588053999</v>
      </c>
      <c r="IC108" s="3">
        <f>$H108*factors!HW$3</f>
        <v>1.0342485149634</v>
      </c>
      <c r="ID108" s="3">
        <f>$H108*factors!HX$3</f>
        <v>0.96044583500999992</v>
      </c>
      <c r="IE108" s="3">
        <f>$H108*factors!HY$3</f>
        <v>1.0200945763421998</v>
      </c>
      <c r="IF108" s="3">
        <f>$H108*factors!HZ$3</f>
        <v>1.0140286026473999</v>
      </c>
      <c r="IG108" s="3">
        <f>$H108*factors!IA$3</f>
        <v>1.0049296421052001</v>
      </c>
      <c r="IH108" s="3">
        <f>$H108*factors!IB$3</f>
        <v>1.0423364798898</v>
      </c>
      <c r="II108" s="3">
        <f>$H108*factors!IC$3</f>
        <v>0.99785267279459999</v>
      </c>
      <c r="IJ108" s="3">
        <f>$H108*factors!ID$3</f>
        <v>1.0069516333368</v>
      </c>
      <c r="IK108" s="3">
        <f>$H108*factors!IE$3</f>
        <v>1.0433474755056</v>
      </c>
      <c r="IL108" s="3">
        <f>$H108*factors!IF$3</f>
        <v>0.99886366841040009</v>
      </c>
      <c r="IM108" s="3">
        <f>$H108*factors!IG$3</f>
        <v>0.98976470786820003</v>
      </c>
      <c r="IN108" s="3">
        <f>$H108*factors!IH$3</f>
        <v>0.99583068156300003</v>
      </c>
      <c r="IO108" s="3">
        <f>$H108*factors!II$3</f>
        <v>1.0059406377210001</v>
      </c>
      <c r="IP108" s="3">
        <f>$H108*factors!IJ$3</f>
        <v>0.97257778239960002</v>
      </c>
      <c r="IQ108" s="3">
        <f>$H108*factors!IK$3</f>
        <v>0.96954479555219997</v>
      </c>
      <c r="IR108" s="3">
        <f>$H108*factors!IL$3</f>
        <v>0.99785267279459999</v>
      </c>
      <c r="IS108" s="3">
        <f>$H108*factors!IM$3</f>
        <v>1.0059406377210001</v>
      </c>
      <c r="IT108" s="3">
        <f>$H108*factors!IN$3</f>
        <v>1.0130176070315999</v>
      </c>
      <c r="IU108" s="3">
        <f>$H108*factors!IO$3</f>
        <v>1.0352595105792002</v>
      </c>
      <c r="IV108" s="3">
        <f>$H108*factors!IP$3</f>
        <v>1.0484024535845999</v>
      </c>
      <c r="IW108" s="3">
        <f>$H108*factors!IQ$3</f>
        <v>0.9907757034839999</v>
      </c>
      <c r="IX108" s="3">
        <f>$H108*factors!IR$3</f>
        <v>1.0352595105792002</v>
      </c>
      <c r="IY108" s="3">
        <f>$H108*factors!IS$3</f>
        <v>1.0200945763421998</v>
      </c>
      <c r="IZ108" s="3">
        <f>$H108*factors!IT$3</f>
        <v>1.0372815018108001</v>
      </c>
      <c r="JA108" s="3">
        <f>$H108*factors!IU$3</f>
        <v>0.97965475171019989</v>
      </c>
      <c r="JB108" s="3">
        <f>$H108*factors!IV$3</f>
        <v>0.99785267279459999</v>
      </c>
      <c r="JC108" s="3">
        <f>$H108*factors!IW$3</f>
        <v>0.97459977363120009</v>
      </c>
      <c r="JD108" s="3">
        <f>$H108*factors!IX$3</f>
        <v>1.0615453965900001</v>
      </c>
      <c r="JE108" s="3">
        <f>$H108*factors!IY$3</f>
        <v>0.97763276047859993</v>
      </c>
      <c r="JF108" s="3">
        <f>$H108*factors!IZ$3</f>
        <v>1.0261605500369999</v>
      </c>
      <c r="JG108" s="3">
        <f>$H108*factors!JA$3</f>
        <v>1.0079626289526</v>
      </c>
      <c r="JH108" s="3">
        <f>$H108*factors!JB$3</f>
        <v>1.0271715456528001</v>
      </c>
      <c r="JI108" s="3">
        <f>$H108*factors!JC$3</f>
        <v>0.96145683062580001</v>
      </c>
      <c r="JJ108" s="3">
        <f>$H108*factors!JD$3</f>
        <v>1.0352595105792002</v>
      </c>
      <c r="JK108" s="3">
        <f>$H108*factors!JE$3</f>
        <v>1.0018966552577999</v>
      </c>
      <c r="JL108" s="3">
        <f>$H108*factors!JF$3</f>
        <v>1.0423364798898</v>
      </c>
      <c r="JM108" s="3">
        <f>$H108*factors!JG$3</f>
        <v>0.97257778239960002</v>
      </c>
      <c r="JN108" s="3">
        <f>$H108*factors!JH$3</f>
        <v>0.97257778239960002</v>
      </c>
      <c r="JO108" s="3">
        <f>$H108*factors!JI$3</f>
        <v>0.96044583500999992</v>
      </c>
      <c r="JP108" s="3">
        <f>$H108*factors!JJ$3</f>
        <v>1.0382924974265999</v>
      </c>
      <c r="JQ108" s="3">
        <f>$H108*factors!JK$3</f>
        <v>1.0120066114158</v>
      </c>
      <c r="JR108" s="3">
        <f>$H108*factors!JL$3</f>
        <v>1.0514354404320001</v>
      </c>
      <c r="JS108" s="3">
        <f>$H108*factors!JM$3</f>
        <v>0.96044583500999992</v>
      </c>
      <c r="JT108" s="3">
        <f>$H108*factors!JN$3</f>
        <v>1.0089736245684</v>
      </c>
      <c r="JU108" s="3">
        <f>$H108*factors!JO$3</f>
        <v>0.97561076924699996</v>
      </c>
      <c r="JV108" s="3">
        <f>$H108*factors!JP$3</f>
        <v>0.9917866990998</v>
      </c>
      <c r="JW108" s="3">
        <f>$H108*factors!JQ$3</f>
        <v>1.0595234053584002</v>
      </c>
      <c r="JX108" s="3">
        <f>$H108*factors!JR$3</f>
        <v>1.0494134492003999</v>
      </c>
      <c r="JY108" s="3">
        <f>$H108*factors!JS$3</f>
        <v>0.98774271663660007</v>
      </c>
      <c r="JZ108" s="3">
        <f>$H108*factors!JT$3</f>
        <v>0.99886366841040009</v>
      </c>
      <c r="KA108" s="3">
        <f>$H108*factors!JU$3</f>
        <v>1.0029076508736001</v>
      </c>
      <c r="KB108" s="3">
        <f>$H108*factors!JV$3</f>
        <v>0.96954479555219997</v>
      </c>
      <c r="KC108" s="3">
        <f>$H108*factors!JW$3</f>
        <v>0.97459977363120009</v>
      </c>
      <c r="KD108" s="3">
        <f>$H108*factors!JX$3</f>
        <v>0.97561076924699996</v>
      </c>
      <c r="KE108" s="3">
        <f>$H108*factors!JY$3</f>
        <v>1.0382924974265999</v>
      </c>
      <c r="KF108" s="3">
        <f>$H108*factors!JZ$3</f>
        <v>1.0504244448161999</v>
      </c>
      <c r="KG108" s="3">
        <f>$H108*factors!KA$3</f>
        <v>1.0130176070315999</v>
      </c>
      <c r="KH108" s="3">
        <f>$H108*factors!KB$3</f>
        <v>0.9907757034839999</v>
      </c>
      <c r="KI108" s="3">
        <f>$H108*factors!KC$3</f>
        <v>0.98167674294179996</v>
      </c>
    </row>
    <row r="109" spans="1:295" x14ac:dyDescent="0.55000000000000004">
      <c r="A109" t="s">
        <v>486</v>
      </c>
      <c r="B109">
        <v>108</v>
      </c>
      <c r="C109">
        <v>230</v>
      </c>
      <c r="D109" t="s">
        <v>377</v>
      </c>
      <c r="E109">
        <v>2.1940000000000002E-3</v>
      </c>
      <c r="F109">
        <v>108</v>
      </c>
      <c r="G109">
        <f>VLOOKUP(D109,demand_forecasted!$A$2:$G$11,2)</f>
        <v>11098</v>
      </c>
      <c r="H109" s="3">
        <f t="shared" si="2"/>
        <v>0.24349012000000003</v>
      </c>
      <c r="I109" s="3">
        <f>$H109*factors!C$3</f>
        <v>0.26954356284000003</v>
      </c>
      <c r="J109" s="3">
        <f>$H109*factors!D$3</f>
        <v>0.25981369764480006</v>
      </c>
      <c r="K109" s="3">
        <f>$H109*factors!E$3</f>
        <v>0.25534321904160007</v>
      </c>
      <c r="L109" s="3">
        <f>$H109*factors!F$3</f>
        <v>0.25455431105280008</v>
      </c>
      <c r="M109" s="3">
        <f>$H109*factors!G$3</f>
        <v>0.2542913417232</v>
      </c>
      <c r="N109" s="3">
        <f>$H109*factors!H$3</f>
        <v>0.26165448295200006</v>
      </c>
      <c r="O109" s="3">
        <f>$H109*factors!I$3</f>
        <v>0.26743980820320001</v>
      </c>
      <c r="P109" s="3">
        <f>$H109*factors!J$3</f>
        <v>0.27059544015840004</v>
      </c>
      <c r="Q109" s="3">
        <f>$H109*factors!K$3</f>
        <v>0.25402837239360004</v>
      </c>
      <c r="R109" s="3">
        <f>$H109*factors!L$3</f>
        <v>0.24982086312000004</v>
      </c>
      <c r="S109" s="3">
        <f>$H109*factors!M$3</f>
        <v>0.26007666697440002</v>
      </c>
      <c r="T109" s="3">
        <f>$H109*factors!N$3</f>
        <v>0.26901762418080005</v>
      </c>
      <c r="U109" s="3">
        <f>$H109*factors!O$3</f>
        <v>0.25481728038240004</v>
      </c>
      <c r="V109" s="3">
        <f>$H109*factors!P$3</f>
        <v>0.26507308423680004</v>
      </c>
      <c r="W109" s="3">
        <f>$H109*factors!Q$3</f>
        <v>0.26743980820320001</v>
      </c>
      <c r="X109" s="3">
        <f>$H109*factors!R$3</f>
        <v>0.25586915770080004</v>
      </c>
      <c r="Y109" s="3">
        <f>$H109*factors!S$3</f>
        <v>0.25350243373440007</v>
      </c>
      <c r="Z109" s="3">
        <f>$H109*factors!T$3</f>
        <v>0.2734881027840001</v>
      </c>
      <c r="AA109" s="3">
        <f>$H109*factors!U$3</f>
        <v>0.25823588166720002</v>
      </c>
      <c r="AB109" s="3">
        <f>$H109*factors!V$3</f>
        <v>0.25849885099680009</v>
      </c>
      <c r="AC109" s="3">
        <f>$H109*factors!W$3</f>
        <v>0.25876182032640005</v>
      </c>
      <c r="AD109" s="3">
        <f>$H109*factors!X$3</f>
        <v>0.25323946440480005</v>
      </c>
      <c r="AE109" s="3">
        <f>$H109*factors!Y$3</f>
        <v>0.25534321904160007</v>
      </c>
      <c r="AF109" s="3">
        <f>$H109*factors!Z$3</f>
        <v>0.26060260563360005</v>
      </c>
      <c r="AG109" s="3">
        <f>$H109*factors!AA$3</f>
        <v>0.25402837239360004</v>
      </c>
      <c r="AH109" s="3">
        <f>$H109*factors!AB$3</f>
        <v>0.25297649507520004</v>
      </c>
      <c r="AI109" s="3">
        <f>$H109*factors!AC$3</f>
        <v>0.26112854429280002</v>
      </c>
      <c r="AJ109" s="3">
        <f>$H109*factors!AD$3</f>
        <v>0.27112137881760007</v>
      </c>
      <c r="AK109" s="3">
        <f>$H109*factors!AE$3</f>
        <v>0.26086557496320006</v>
      </c>
      <c r="AL109" s="3">
        <f>$H109*factors!AF$3</f>
        <v>0.25060977110880001</v>
      </c>
      <c r="AM109" s="3">
        <f>$H109*factors!AG$3</f>
        <v>0.25770994300800004</v>
      </c>
      <c r="AN109" s="3">
        <f>$H109*factors!AH$3</f>
        <v>0.25350243373440007</v>
      </c>
      <c r="AO109" s="3">
        <f>$H109*factors!AI$3</f>
        <v>0.26559902289600001</v>
      </c>
      <c r="AP109" s="3">
        <f>$H109*factors!AJ$3</f>
        <v>0.25455431105280008</v>
      </c>
      <c r="AQ109" s="3">
        <f>$H109*factors!AK$3</f>
        <v>0.26270636027040006</v>
      </c>
      <c r="AR109" s="3">
        <f>$H109*factors!AL$3</f>
        <v>0.25692103501920005</v>
      </c>
      <c r="AS109" s="3">
        <f>$H109*factors!AM$3</f>
        <v>0.25060977110880001</v>
      </c>
      <c r="AT109" s="3">
        <f>$H109*factors!AN$3</f>
        <v>0.25849885099680009</v>
      </c>
      <c r="AU109" s="3">
        <f>$H109*factors!AO$3</f>
        <v>0.2737510721136</v>
      </c>
      <c r="AV109" s="3">
        <f>$H109*factors!AP$3</f>
        <v>0.25876182032640005</v>
      </c>
      <c r="AW109" s="3">
        <f>$H109*factors!AQ$3</f>
        <v>0.2561321270304</v>
      </c>
      <c r="AX109" s="3">
        <f>$H109*factors!AR$3</f>
        <v>0.27085840948800005</v>
      </c>
      <c r="AY109" s="3">
        <f>$H109*factors!AS$3</f>
        <v>0.24982086312000004</v>
      </c>
      <c r="AZ109" s="3">
        <f>$H109*factors!AT$3</f>
        <v>0.26770277753280008</v>
      </c>
      <c r="BA109" s="3">
        <f>$H109*factors!AU$3</f>
        <v>0.26191745228160002</v>
      </c>
      <c r="BB109" s="3">
        <f>$H109*factors!AV$3</f>
        <v>0.25849885099680009</v>
      </c>
      <c r="BC109" s="3">
        <f>$H109*factors!AW$3</f>
        <v>0.2734881027840001</v>
      </c>
      <c r="BD109" s="3">
        <f>$H109*factors!AX$3</f>
        <v>0.252450556416</v>
      </c>
      <c r="BE109" s="3">
        <f>$H109*factors!AY$3</f>
        <v>0.29679984687280003</v>
      </c>
      <c r="BF109" s="3">
        <f>$H109*factors!AZ$3</f>
        <v>0.27640024461920004</v>
      </c>
      <c r="BG109" s="3">
        <f>$H109*factors!BA$3</f>
        <v>0.28042270140159997</v>
      </c>
      <c r="BH109" s="3">
        <f>$H109*factors!BB$3</f>
        <v>0.28415783984240001</v>
      </c>
      <c r="BI109" s="3">
        <f>$H109*factors!BC$3</f>
        <v>0.29450130013999998</v>
      </c>
      <c r="BJ109" s="3">
        <f>$H109*factors!BD$3</f>
        <v>0.28128465642639999</v>
      </c>
      <c r="BK109" s="3">
        <f>$H109*factors!BE$3</f>
        <v>0.28185929310960001</v>
      </c>
      <c r="BL109" s="3">
        <f>$H109*factors!BF$3</f>
        <v>0.27869879135199999</v>
      </c>
      <c r="BM109" s="3">
        <f>$H109*factors!BG$3</f>
        <v>0.29766180189760005</v>
      </c>
      <c r="BN109" s="3">
        <f>$H109*factors!BH$3</f>
        <v>0.29392666345680002</v>
      </c>
      <c r="BO109" s="3">
        <f>$H109*factors!BI$3</f>
        <v>0.27640024461920004</v>
      </c>
      <c r="BP109" s="3">
        <f>$H109*factors!BJ$3</f>
        <v>0.27553828959440002</v>
      </c>
      <c r="BQ109" s="3">
        <f>$H109*factors!BK$3</f>
        <v>0.28013538306000002</v>
      </c>
      <c r="BR109" s="3">
        <f>$H109*factors!BL$3</f>
        <v>0.29019152501600004</v>
      </c>
      <c r="BS109" s="3">
        <f>$H109*factors!BM$3</f>
        <v>0.29478861848160004</v>
      </c>
      <c r="BT109" s="3">
        <f>$H109*factors!BN$3</f>
        <v>0.29565057350640001</v>
      </c>
      <c r="BU109" s="3">
        <f>$H109*factors!BO$3</f>
        <v>0.30053498531360007</v>
      </c>
      <c r="BV109" s="3">
        <f>$H109*factors!BP$3</f>
        <v>0.27956074637680001</v>
      </c>
      <c r="BW109" s="3">
        <f>$H109*factors!BQ$3</f>
        <v>0.28588174989199999</v>
      </c>
      <c r="BX109" s="3">
        <f>$H109*factors!BR$3</f>
        <v>0.28042270140159997</v>
      </c>
      <c r="BY109" s="3">
        <f>$H109*factors!BS$3</f>
        <v>0.29335202677359995</v>
      </c>
      <c r="BZ109" s="3">
        <f>$H109*factors!BT$3</f>
        <v>0.28789297828319999</v>
      </c>
      <c r="CA109" s="3">
        <f>$H109*factors!BU$3</f>
        <v>0.28415783984240001</v>
      </c>
      <c r="CB109" s="3">
        <f>$H109*factors!BV$3</f>
        <v>0.27496365291120001</v>
      </c>
      <c r="CC109" s="3">
        <f>$H109*factors!BW$3</f>
        <v>0.28300856647600003</v>
      </c>
      <c r="CD109" s="3">
        <f>$H109*factors!BX$3</f>
        <v>0.28387052150080005</v>
      </c>
      <c r="CE109" s="3">
        <f>$H109*factors!BY$3</f>
        <v>0.28789297828319999</v>
      </c>
      <c r="CF109" s="3">
        <f>$H109*factors!BZ$3</f>
        <v>0.28358320315920005</v>
      </c>
      <c r="CG109" s="3">
        <f>$H109*factors!CA$3</f>
        <v>0.27410169788639999</v>
      </c>
      <c r="CH109" s="3">
        <f>$H109*factors!CB$3</f>
        <v>0.27438901622799999</v>
      </c>
      <c r="CI109" s="3">
        <f>$H109*factors!CC$3</f>
        <v>0.27295242452000001</v>
      </c>
      <c r="CJ109" s="3">
        <f>$H109*factors!CD$3</f>
        <v>0.28415783984240001</v>
      </c>
      <c r="CK109" s="3">
        <f>$H109*factors!CE$3</f>
        <v>0.29679984687280003</v>
      </c>
      <c r="CL109" s="3">
        <f>$H109*factors!CF$3</f>
        <v>0.27812415466880003</v>
      </c>
      <c r="CM109" s="3">
        <f>$H109*factors!CG$3</f>
        <v>0.28473247652560002</v>
      </c>
      <c r="CN109" s="3">
        <f>$H109*factors!CH$3</f>
        <v>0.27525097125280001</v>
      </c>
      <c r="CO109" s="3">
        <f>$H109*factors!CI$3</f>
        <v>0.27726219964400001</v>
      </c>
      <c r="CP109" s="3">
        <f>$H109*factors!CJ$3</f>
        <v>0.29047884335759999</v>
      </c>
      <c r="CQ109" s="3">
        <f>$H109*factors!CK$3</f>
        <v>0.28185929310960001</v>
      </c>
      <c r="CR109" s="3">
        <f>$H109*factors!CL$3</f>
        <v>0.2907661616992</v>
      </c>
      <c r="CS109" s="3">
        <f>$H109*factors!CM$3</f>
        <v>0.2999603486304</v>
      </c>
      <c r="CT109" s="3">
        <f>$H109*factors!CN$3</f>
        <v>0.29651252853120003</v>
      </c>
      <c r="CU109" s="3">
        <f>$H109*factors!CO$3</f>
        <v>0.28990420667439998</v>
      </c>
      <c r="CV109" s="3">
        <f>$H109*factors!CP$3</f>
        <v>0.30168425867999998</v>
      </c>
      <c r="CW109" s="3">
        <f>$H109*factors!CQ$3</f>
        <v>0.28530711320880003</v>
      </c>
      <c r="CX109" s="3">
        <f>$H109*factors!CR$3</f>
        <v>0.28099733808480004</v>
      </c>
      <c r="CY109" s="3">
        <f>$H109*factors!CS$3</f>
        <v>0.27841147301040003</v>
      </c>
      <c r="CZ109" s="3">
        <f>$H109*factors!CT$3</f>
        <v>0.27438901622799999</v>
      </c>
      <c r="DA109" s="3">
        <f>$H109*factors!CU$3</f>
        <v>0.28488344040000002</v>
      </c>
      <c r="DB109" s="3">
        <f>$H109*factors!CV$3</f>
        <v>0.30329129347200007</v>
      </c>
      <c r="DC109" s="3">
        <f>$H109*factors!CW$3</f>
        <v>0.29043501513600001</v>
      </c>
      <c r="DD109" s="3">
        <f>$H109*factors!CX$3</f>
        <v>0.28838969812800003</v>
      </c>
      <c r="DE109" s="3">
        <f>$H109*factors!CY$3</f>
        <v>0.29686315430400007</v>
      </c>
      <c r="DF109" s="3">
        <f>$H109*factors!CZ$3</f>
        <v>0.296278778016</v>
      </c>
      <c r="DG109" s="3">
        <f>$H109*factors!DA$3</f>
        <v>0.29511002544000003</v>
      </c>
      <c r="DH109" s="3">
        <f>$H109*factors!DB$3</f>
        <v>0.29511002544000003</v>
      </c>
      <c r="DI109" s="3">
        <f>$H109*factors!DC$3</f>
        <v>0.28400687596800001</v>
      </c>
      <c r="DJ109" s="3">
        <f>$H109*factors!DD$3</f>
        <v>0.30095378832000003</v>
      </c>
      <c r="DK109" s="3">
        <f>$H109*factors!DE$3</f>
        <v>0.30095378832000003</v>
      </c>
      <c r="DL109" s="3">
        <f>$H109*factors!DF$3</f>
        <v>0.29744753059200002</v>
      </c>
      <c r="DM109" s="3">
        <f>$H109*factors!DG$3</f>
        <v>0.28020843009599999</v>
      </c>
      <c r="DN109" s="3">
        <f>$H109*factors!DH$3</f>
        <v>0.29394127286400007</v>
      </c>
      <c r="DO109" s="3">
        <f>$H109*factors!DI$3</f>
        <v>0.30358348161600002</v>
      </c>
      <c r="DP109" s="3">
        <f>$H109*factors!DJ$3</f>
        <v>0.30095378832000003</v>
      </c>
      <c r="DQ109" s="3">
        <f>$H109*factors!DK$3</f>
        <v>0.286928757408</v>
      </c>
      <c r="DR109" s="3">
        <f>$H109*factors!DL$3</f>
        <v>0.28371468782400006</v>
      </c>
      <c r="DS109" s="3">
        <f>$H109*factors!DM$3</f>
        <v>0.30650536305600001</v>
      </c>
      <c r="DT109" s="3">
        <f>$H109*factors!DN$3</f>
        <v>0.28809750998400002</v>
      </c>
      <c r="DU109" s="3">
        <f>$H109*factors!DO$3</f>
        <v>0.30153816460800004</v>
      </c>
      <c r="DV109" s="3">
        <f>$H109*factors!DP$3</f>
        <v>0.29452564915200002</v>
      </c>
      <c r="DW109" s="3">
        <f>$H109*factors!DQ$3</f>
        <v>0.28108499452800001</v>
      </c>
      <c r="DX109" s="3">
        <f>$H109*factors!DR$3</f>
        <v>0.29773971873600003</v>
      </c>
      <c r="DY109" s="3">
        <f>$H109*factors!DS$3</f>
        <v>0.28254593524799998</v>
      </c>
      <c r="DZ109" s="3">
        <f>$H109*factors!DT$3</f>
        <v>0.30212254089599999</v>
      </c>
      <c r="EA109" s="3">
        <f>$H109*factors!DU$3</f>
        <v>0.28459125225600002</v>
      </c>
      <c r="EB109" s="3">
        <f>$H109*factors!DV$3</f>
        <v>0.2775787368</v>
      </c>
      <c r="EC109" s="3">
        <f>$H109*factors!DW$3</f>
        <v>0.29861628316800004</v>
      </c>
      <c r="ED109" s="3">
        <f>$H109*factors!DX$3</f>
        <v>0.28020843009599999</v>
      </c>
      <c r="EE109" s="3">
        <f>$H109*factors!DY$3</f>
        <v>0.28254593524799998</v>
      </c>
      <c r="EF109" s="3">
        <f>$H109*factors!DZ$3</f>
        <v>0.30650536305600001</v>
      </c>
      <c r="EG109" s="3">
        <f>$H109*factors!EA$3</f>
        <v>0.28634438112000005</v>
      </c>
      <c r="EH109" s="3">
        <f>$H109*factors!EB$3</f>
        <v>0.28722094555200001</v>
      </c>
      <c r="EI109" s="3">
        <f>$H109*factors!EC$3</f>
        <v>0.28663656926400005</v>
      </c>
      <c r="EJ109" s="3">
        <f>$H109*factors!ED$3</f>
        <v>0.27933186566400003</v>
      </c>
      <c r="EK109" s="3">
        <f>$H109*factors!EE$3</f>
        <v>0.29861628316800004</v>
      </c>
      <c r="EL109" s="3">
        <f>$H109*factors!EF$3</f>
        <v>0.28400687596800001</v>
      </c>
      <c r="EM109" s="3">
        <f>$H109*factors!EG$3</f>
        <v>0.29540221358399998</v>
      </c>
      <c r="EN109" s="3">
        <f>$H109*factors!EH$3</f>
        <v>0.2775787368</v>
      </c>
      <c r="EO109" s="3">
        <f>$H109*factors!EI$3</f>
        <v>0.28166937081600002</v>
      </c>
      <c r="EP109" s="3">
        <f>$H109*factors!EJ$3</f>
        <v>0.29715534244800001</v>
      </c>
      <c r="EQ109" s="3">
        <f>$H109*factors!EK$3</f>
        <v>0.28897407441599998</v>
      </c>
      <c r="ER109" s="3">
        <f>$H109*factors!EL$3</f>
        <v>0.30095378832000003</v>
      </c>
      <c r="ES109" s="3">
        <f>$H109*factors!EM$3</f>
        <v>0.29715534244800001</v>
      </c>
      <c r="ET109" s="3">
        <f>$H109*factors!EN$3</f>
        <v>0.30387566976000002</v>
      </c>
      <c r="EU109" s="3">
        <f>$H109*factors!EO$3</f>
        <v>0.30679755120000002</v>
      </c>
      <c r="EV109" s="3">
        <f>$H109*factors!EP$3</f>
        <v>0.28751313369600001</v>
      </c>
      <c r="EW109" s="3">
        <f>$H109*factors!EQ$3</f>
        <v>0.31623279334999999</v>
      </c>
      <c r="EX109" s="3">
        <f>$H109*factors!ER$3</f>
        <v>0.31288480420000009</v>
      </c>
      <c r="EY109" s="3">
        <f>$H109*factors!ES$3</f>
        <v>0.31927641984999999</v>
      </c>
      <c r="EZ109" s="3">
        <f>$H109*factors!ET$3</f>
        <v>0.31623279334999999</v>
      </c>
      <c r="FA109" s="3">
        <f>$H109*factors!EU$3</f>
        <v>0.29066633074999998</v>
      </c>
      <c r="FB109" s="3">
        <f>$H109*factors!EV$3</f>
        <v>0.30375392470000007</v>
      </c>
      <c r="FC109" s="3">
        <f>$H109*factors!EW$3</f>
        <v>0.31227607890000003</v>
      </c>
      <c r="FD109" s="3">
        <f>$H109*factors!EX$3</f>
        <v>0.30131902350000006</v>
      </c>
      <c r="FE109" s="3">
        <f>$H109*factors!EY$3</f>
        <v>0.31745024395000004</v>
      </c>
      <c r="FF109" s="3">
        <f>$H109*factors!EZ$3</f>
        <v>0.3177546066000001</v>
      </c>
      <c r="FG109" s="3">
        <f>$H109*factors!FA$3</f>
        <v>0.29066633074999998</v>
      </c>
      <c r="FH109" s="3">
        <f>$H109*factors!FB$3</f>
        <v>0.30588446325000002</v>
      </c>
      <c r="FI109" s="3">
        <f>$H109*factors!FC$3</f>
        <v>0.31866769454999999</v>
      </c>
      <c r="FJ109" s="3">
        <f>$H109*factors!FD$3</f>
        <v>0.30588446325000002</v>
      </c>
      <c r="FK109" s="3">
        <f>$H109*factors!FE$3</f>
        <v>0.31105862830000008</v>
      </c>
      <c r="FL109" s="3">
        <f>$H109*factors!FF$3</f>
        <v>0.31197171625000003</v>
      </c>
      <c r="FM109" s="3">
        <f>$H109*factors!FG$3</f>
        <v>0.31531970540000004</v>
      </c>
      <c r="FN109" s="3">
        <f>$H109*factors!FH$3</f>
        <v>0.29492740785000005</v>
      </c>
      <c r="FO109" s="3">
        <f>$H109*factors!FI$3</f>
        <v>0.31318916685000003</v>
      </c>
      <c r="FP109" s="3">
        <f>$H109*factors!FJ$3</f>
        <v>0.30436265000000007</v>
      </c>
      <c r="FQ109" s="3">
        <f>$H109*factors!FK$3</f>
        <v>0.30131902350000006</v>
      </c>
      <c r="FR109" s="3">
        <f>$H109*factors!FL$3</f>
        <v>0.30740627650000002</v>
      </c>
      <c r="FS109" s="3">
        <f>$H109*factors!FM$3</f>
        <v>0.30558010060000002</v>
      </c>
      <c r="FT109" s="3">
        <f>$H109*factors!FN$3</f>
        <v>0.31227607890000003</v>
      </c>
      <c r="FU109" s="3">
        <f>$H109*factors!FO$3</f>
        <v>0.3001015729</v>
      </c>
      <c r="FV109" s="3">
        <f>$H109*factors!FP$3</f>
        <v>0.2976666717</v>
      </c>
      <c r="FW109" s="3">
        <f>$H109*factors!FQ$3</f>
        <v>0.31866769454999999</v>
      </c>
      <c r="FX109" s="3">
        <f>$H109*factors!FR$3</f>
        <v>0.31288480420000009</v>
      </c>
      <c r="FY109" s="3">
        <f>$H109*factors!FS$3</f>
        <v>0.30649318855000002</v>
      </c>
      <c r="FZ109" s="3">
        <f>$H109*factors!FT$3</f>
        <v>0.29127505605000004</v>
      </c>
      <c r="GA109" s="3">
        <f>$H109*factors!FU$3</f>
        <v>0.30649318855000002</v>
      </c>
      <c r="GB109" s="3">
        <f>$H109*factors!FV$3</f>
        <v>0.3177546066000001</v>
      </c>
      <c r="GC109" s="3">
        <f>$H109*factors!FW$3</f>
        <v>0.2976666717</v>
      </c>
      <c r="GD109" s="3">
        <f>$H109*factors!FX$3</f>
        <v>0.30284083675000001</v>
      </c>
      <c r="GE109" s="3">
        <f>$H109*factors!FY$3</f>
        <v>0.30284083675000001</v>
      </c>
      <c r="GF109" s="3">
        <f>$H109*factors!FZ$3</f>
        <v>0.30192774880000006</v>
      </c>
      <c r="GG109" s="3">
        <f>$H109*factors!GA$3</f>
        <v>0.29005760545000003</v>
      </c>
      <c r="GH109" s="3">
        <f>$H109*factors!GB$3</f>
        <v>0.30862372710000008</v>
      </c>
      <c r="GI109" s="3">
        <f>$H109*factors!GC$3</f>
        <v>0.28944888015000003</v>
      </c>
      <c r="GJ109" s="3">
        <f>$H109*factors!GD$3</f>
        <v>0.29005760545000003</v>
      </c>
      <c r="GK109" s="3">
        <f>$H109*factors!GE$3</f>
        <v>0.29736230905000005</v>
      </c>
      <c r="GL109" s="3">
        <f>$H109*factors!GF$3</f>
        <v>0.31501534275000004</v>
      </c>
      <c r="GM109" s="3">
        <f>$H109*factors!GG$3</f>
        <v>0.29857975965000005</v>
      </c>
      <c r="GN109" s="3">
        <f>$H109*factors!GH$3</f>
        <v>0.30801500180000008</v>
      </c>
      <c r="GO109" s="3">
        <f>$H109*factors!GI$3</f>
        <v>0.29097069339999998</v>
      </c>
      <c r="GP109" s="3">
        <f>$H109*factors!GJ$3</f>
        <v>0.31197171625000003</v>
      </c>
      <c r="GQ109" s="3">
        <f>$H109*factors!GK$3</f>
        <v>0.31836333190000005</v>
      </c>
      <c r="GR109" s="3">
        <f>$H109*factors!GL$3</f>
        <v>0.31227607890000003</v>
      </c>
      <c r="GS109" s="3">
        <f>$H109*factors!GM$3</f>
        <v>0.29531699204200001</v>
      </c>
      <c r="GT109" s="3">
        <f>$H109*factors!GN$3</f>
        <v>0.30212010599480005</v>
      </c>
      <c r="GU109" s="3">
        <f>$H109*factors!GO$3</f>
        <v>0.30923245240000002</v>
      </c>
      <c r="GV109" s="3">
        <f>$H109*factors!GP$3</f>
        <v>0.29686315430400007</v>
      </c>
      <c r="GW109" s="3">
        <f>$H109*factors!GQ$3</f>
        <v>0.30737705768560003</v>
      </c>
      <c r="GX109" s="3">
        <f>$H109*factors!GR$3</f>
        <v>0.30242933844720005</v>
      </c>
      <c r="GY109" s="3">
        <f>$H109*factors!GS$3</f>
        <v>0.30088317618520005</v>
      </c>
      <c r="GZ109" s="3">
        <f>$H109*factors!GT$3</f>
        <v>0.31201554447160001</v>
      </c>
      <c r="HA109" s="3">
        <f>$H109*factors!GU$3</f>
        <v>0.30181087354240005</v>
      </c>
      <c r="HB109" s="3">
        <f>$H109*factors!GV$3</f>
        <v>0.31201554447160001</v>
      </c>
      <c r="HC109" s="3">
        <f>$H109*factors!GW$3</f>
        <v>0.30428473316160004</v>
      </c>
      <c r="HD109" s="3">
        <f>$H109*factors!GX$3</f>
        <v>0.31325247428120001</v>
      </c>
      <c r="HE109" s="3">
        <f>$H109*factors!GY$3</f>
        <v>0.30923245240000002</v>
      </c>
      <c r="HF109" s="3">
        <f>$H109*factors!GZ$3</f>
        <v>0.31881865842440005</v>
      </c>
      <c r="HG109" s="3">
        <f>$H109*factors!HA$3</f>
        <v>0.30644936032840003</v>
      </c>
      <c r="HH109" s="3">
        <f>$H109*factors!HB$3</f>
        <v>0.30242933844720005</v>
      </c>
      <c r="HI109" s="3">
        <f>$H109*factors!HC$3</f>
        <v>0.29871854901840006</v>
      </c>
      <c r="HJ109" s="3">
        <f>$H109*factors!HD$3</f>
        <v>0.29531699204200001</v>
      </c>
      <c r="HK109" s="3">
        <f>$H109*factors!HE$3</f>
        <v>0.31232477692400001</v>
      </c>
      <c r="HL109" s="3">
        <f>$H109*factors!HF$3</f>
        <v>0.29438929468480002</v>
      </c>
      <c r="HM109" s="3">
        <f>$H109*factors!HG$3</f>
        <v>0.29748161920880006</v>
      </c>
      <c r="HN109" s="3">
        <f>$H109*factors!HH$3</f>
        <v>0.31727249616240005</v>
      </c>
      <c r="HO109" s="3">
        <f>$H109*factors!HI$3</f>
        <v>0.30428473316160004</v>
      </c>
      <c r="HP109" s="3">
        <f>$H109*factors!HJ$3</f>
        <v>0.32469407502000008</v>
      </c>
      <c r="HQ109" s="3">
        <f>$H109*factors!HK$3</f>
        <v>0.29686315430400007</v>
      </c>
      <c r="HR109" s="3">
        <f>$H109*factors!HL$3</f>
        <v>0.31479863654320006</v>
      </c>
      <c r="HS109" s="3">
        <f>$H109*factors!HM$3</f>
        <v>0.32036482068640004</v>
      </c>
      <c r="HT109" s="3">
        <f>$H109*factors!HN$3</f>
        <v>0.29871854901840006</v>
      </c>
      <c r="HU109" s="3">
        <f>$H109*factors!HO$3</f>
        <v>0.30181087354240005</v>
      </c>
      <c r="HV109" s="3">
        <f>$H109*factors!HP$3</f>
        <v>0.30552166297120004</v>
      </c>
      <c r="HW109" s="3">
        <f>$H109*factors!HQ$3</f>
        <v>0.30985091730480002</v>
      </c>
      <c r="HX109" s="3">
        <f>$H109*factors!HR$3</f>
        <v>0.32252944785319998</v>
      </c>
      <c r="HY109" s="3">
        <f>$H109*factors!HS$3</f>
        <v>0.30644936032840003</v>
      </c>
      <c r="HZ109" s="3">
        <f>$H109*factors!HT$3</f>
        <v>0.31820019351960005</v>
      </c>
      <c r="IA109" s="3">
        <f>$H109*factors!HU$3</f>
        <v>0.30273857089960005</v>
      </c>
      <c r="IB109" s="3">
        <f>$H109*factors!HV$3</f>
        <v>0.31325247428120001</v>
      </c>
      <c r="IC109" s="3">
        <f>$H109*factors!HW$3</f>
        <v>0.31634479880520006</v>
      </c>
      <c r="ID109" s="3">
        <f>$H109*factors!HX$3</f>
        <v>0.29377082978000002</v>
      </c>
      <c r="IE109" s="3">
        <f>$H109*factors!HY$3</f>
        <v>0.31201554447160001</v>
      </c>
      <c r="IF109" s="3">
        <f>$H109*factors!HZ$3</f>
        <v>0.31016014975720002</v>
      </c>
      <c r="IG109" s="3">
        <f>$H109*factors!IA$3</f>
        <v>0.30737705768560003</v>
      </c>
      <c r="IH109" s="3">
        <f>$H109*factors!IB$3</f>
        <v>0.31881865842440005</v>
      </c>
      <c r="II109" s="3">
        <f>$H109*factors!IC$3</f>
        <v>0.30521243051880004</v>
      </c>
      <c r="IJ109" s="3">
        <f>$H109*factors!ID$3</f>
        <v>0.30799552259040003</v>
      </c>
      <c r="IK109" s="3">
        <f>$H109*factors!IE$3</f>
        <v>0.31912789087680005</v>
      </c>
      <c r="IL109" s="3">
        <f>$H109*factors!IF$3</f>
        <v>0.30552166297120004</v>
      </c>
      <c r="IM109" s="3">
        <f>$H109*factors!IG$3</f>
        <v>0.30273857089960005</v>
      </c>
      <c r="IN109" s="3">
        <f>$H109*factors!IH$3</f>
        <v>0.30459396561400004</v>
      </c>
      <c r="IO109" s="3">
        <f>$H109*factors!II$3</f>
        <v>0.30768629013800003</v>
      </c>
      <c r="IP109" s="3">
        <f>$H109*factors!IJ$3</f>
        <v>0.29748161920880006</v>
      </c>
      <c r="IQ109" s="3">
        <f>$H109*factors!IK$3</f>
        <v>0.29655392185160001</v>
      </c>
      <c r="IR109" s="3">
        <f>$H109*factors!IL$3</f>
        <v>0.30521243051880004</v>
      </c>
      <c r="IS109" s="3">
        <f>$H109*factors!IM$3</f>
        <v>0.30768629013800003</v>
      </c>
      <c r="IT109" s="3">
        <f>$H109*factors!IN$3</f>
        <v>0.30985091730480002</v>
      </c>
      <c r="IU109" s="3">
        <f>$H109*factors!IO$3</f>
        <v>0.31665403125760005</v>
      </c>
      <c r="IV109" s="3">
        <f>$H109*factors!IP$3</f>
        <v>0.32067405313880004</v>
      </c>
      <c r="IW109" s="3">
        <f>$H109*factors!IQ$3</f>
        <v>0.30304780335200004</v>
      </c>
      <c r="IX109" s="3">
        <f>$H109*factors!IR$3</f>
        <v>0.31665403125760005</v>
      </c>
      <c r="IY109" s="3">
        <f>$H109*factors!IS$3</f>
        <v>0.31201554447160001</v>
      </c>
      <c r="IZ109" s="3">
        <f>$H109*factors!IT$3</f>
        <v>0.31727249616240005</v>
      </c>
      <c r="JA109" s="3">
        <f>$H109*factors!IU$3</f>
        <v>0.2996462463756</v>
      </c>
      <c r="JB109" s="3">
        <f>$H109*factors!IV$3</f>
        <v>0.30521243051880004</v>
      </c>
      <c r="JC109" s="3">
        <f>$H109*factors!IW$3</f>
        <v>0.29810008411360006</v>
      </c>
      <c r="JD109" s="3">
        <f>$H109*factors!IX$3</f>
        <v>0.32469407502000008</v>
      </c>
      <c r="JE109" s="3">
        <f>$H109*factors!IY$3</f>
        <v>0.2990277814708</v>
      </c>
      <c r="JF109" s="3">
        <f>$H109*factors!IZ$3</f>
        <v>0.31387093918600001</v>
      </c>
      <c r="JG109" s="3">
        <f>$H109*factors!JA$3</f>
        <v>0.30830475504280003</v>
      </c>
      <c r="JH109" s="3">
        <f>$H109*factors!JB$3</f>
        <v>0.31418017163840006</v>
      </c>
      <c r="JI109" s="3">
        <f>$H109*factors!JC$3</f>
        <v>0.29408006223240002</v>
      </c>
      <c r="JJ109" s="3">
        <f>$H109*factors!JD$3</f>
        <v>0.31665403125760005</v>
      </c>
      <c r="JK109" s="3">
        <f>$H109*factors!JE$3</f>
        <v>0.30644936032840003</v>
      </c>
      <c r="JL109" s="3">
        <f>$H109*factors!JF$3</f>
        <v>0.31881865842440005</v>
      </c>
      <c r="JM109" s="3">
        <f>$H109*factors!JG$3</f>
        <v>0.29748161920880006</v>
      </c>
      <c r="JN109" s="3">
        <f>$H109*factors!JH$3</f>
        <v>0.29748161920880006</v>
      </c>
      <c r="JO109" s="3">
        <f>$H109*factors!JI$3</f>
        <v>0.29377082978000002</v>
      </c>
      <c r="JP109" s="3">
        <f>$H109*factors!JJ$3</f>
        <v>0.31758172861480005</v>
      </c>
      <c r="JQ109" s="3">
        <f>$H109*factors!JK$3</f>
        <v>0.30954168485240002</v>
      </c>
      <c r="JR109" s="3">
        <f>$H109*factors!JL$3</f>
        <v>0.32160175049600004</v>
      </c>
      <c r="JS109" s="3">
        <f>$H109*factors!JM$3</f>
        <v>0.29377082978000002</v>
      </c>
      <c r="JT109" s="3">
        <f>$H109*factors!JN$3</f>
        <v>0.30861398749520003</v>
      </c>
      <c r="JU109" s="3">
        <f>$H109*factors!JO$3</f>
        <v>0.298409316566</v>
      </c>
      <c r="JV109" s="3">
        <f>$H109*factors!JP$3</f>
        <v>0.30335703580440004</v>
      </c>
      <c r="JW109" s="3">
        <f>$H109*factors!JQ$3</f>
        <v>0.32407561011520009</v>
      </c>
      <c r="JX109" s="3">
        <f>$H109*factors!JR$3</f>
        <v>0.32098328559120004</v>
      </c>
      <c r="JY109" s="3">
        <f>$H109*factors!JS$3</f>
        <v>0.30212010599480005</v>
      </c>
      <c r="JZ109" s="3">
        <f>$H109*factors!JT$3</f>
        <v>0.30552166297120004</v>
      </c>
      <c r="KA109" s="3">
        <f>$H109*factors!JU$3</f>
        <v>0.30675859278080003</v>
      </c>
      <c r="KB109" s="3">
        <f>$H109*factors!JV$3</f>
        <v>0.29655392185160001</v>
      </c>
      <c r="KC109" s="3">
        <f>$H109*factors!JW$3</f>
        <v>0.29810008411360006</v>
      </c>
      <c r="KD109" s="3">
        <f>$H109*factors!JX$3</f>
        <v>0.298409316566</v>
      </c>
      <c r="KE109" s="3">
        <f>$H109*factors!JY$3</f>
        <v>0.31758172861480005</v>
      </c>
      <c r="KF109" s="3">
        <f>$H109*factors!JZ$3</f>
        <v>0.32129251804359998</v>
      </c>
      <c r="KG109" s="3">
        <f>$H109*factors!KA$3</f>
        <v>0.30985091730480002</v>
      </c>
      <c r="KH109" s="3">
        <f>$H109*factors!KB$3</f>
        <v>0.30304780335200004</v>
      </c>
      <c r="KI109" s="3">
        <f>$H109*factors!KC$3</f>
        <v>0.3002647112804</v>
      </c>
    </row>
    <row r="110" spans="1:295" x14ac:dyDescent="0.55000000000000004">
      <c r="A110" t="s">
        <v>487</v>
      </c>
      <c r="B110">
        <v>109</v>
      </c>
      <c r="C110">
        <v>230</v>
      </c>
      <c r="D110" t="s">
        <v>377</v>
      </c>
      <c r="E110">
        <v>3.3409999999999998E-3</v>
      </c>
      <c r="F110">
        <v>109</v>
      </c>
      <c r="G110">
        <f>VLOOKUP(D110,demand_forecasted!$A$2:$G$11,2)</f>
        <v>11098</v>
      </c>
      <c r="H110" s="3">
        <f t="shared" si="2"/>
        <v>0.37078418000000002</v>
      </c>
      <c r="I110" s="3">
        <f>$H110*factors!C$3</f>
        <v>0.41045808725999999</v>
      </c>
      <c r="J110" s="3">
        <f>$H110*factors!D$3</f>
        <v>0.39564155142720003</v>
      </c>
      <c r="K110" s="3">
        <f>$H110*factors!E$3</f>
        <v>0.38883395388240005</v>
      </c>
      <c r="L110" s="3">
        <f>$H110*factors!F$3</f>
        <v>0.38763261313920006</v>
      </c>
      <c r="M110" s="3">
        <f>$H110*factors!G$3</f>
        <v>0.3872321662248</v>
      </c>
      <c r="N110" s="3">
        <f>$H110*factors!H$3</f>
        <v>0.39844467982800003</v>
      </c>
      <c r="O110" s="3">
        <f>$H110*factors!I$3</f>
        <v>0.4072545119448</v>
      </c>
      <c r="P110" s="3">
        <f>$H110*factors!J$3</f>
        <v>0.41205987491760004</v>
      </c>
      <c r="Q110" s="3">
        <f>$H110*factors!K$3</f>
        <v>0.3868317193104</v>
      </c>
      <c r="R110" s="3">
        <f>$H110*factors!L$3</f>
        <v>0.38042456868000002</v>
      </c>
      <c r="S110" s="3">
        <f>$H110*factors!M$3</f>
        <v>0.39604199834160003</v>
      </c>
      <c r="T110" s="3">
        <f>$H110*factors!N$3</f>
        <v>0.40965719343120005</v>
      </c>
      <c r="U110" s="3">
        <f>$H110*factors!O$3</f>
        <v>0.38803306005360005</v>
      </c>
      <c r="V110" s="3">
        <f>$H110*factors!P$3</f>
        <v>0.40365048971520007</v>
      </c>
      <c r="W110" s="3">
        <f>$H110*factors!Q$3</f>
        <v>0.4072545119448</v>
      </c>
      <c r="X110" s="3">
        <f>$H110*factors!R$3</f>
        <v>0.38963484771119999</v>
      </c>
      <c r="Y110" s="3">
        <f>$H110*factors!S$3</f>
        <v>0.38603082548160006</v>
      </c>
      <c r="Z110" s="3">
        <f>$H110*factors!T$3</f>
        <v>0.41646479097600009</v>
      </c>
      <c r="AA110" s="3">
        <f>$H110*factors!U$3</f>
        <v>0.39323886994079998</v>
      </c>
      <c r="AB110" s="3">
        <f>$H110*factors!V$3</f>
        <v>0.39363931685520009</v>
      </c>
      <c r="AC110" s="3">
        <f>$H110*factors!W$3</f>
        <v>0.39403976376960004</v>
      </c>
      <c r="AD110" s="3">
        <f>$H110*factors!X$3</f>
        <v>0.38563037856720006</v>
      </c>
      <c r="AE110" s="3">
        <f>$H110*factors!Y$3</f>
        <v>0.38883395388240005</v>
      </c>
      <c r="AF110" s="3">
        <f>$H110*factors!Z$3</f>
        <v>0.39684289217040009</v>
      </c>
      <c r="AG110" s="3">
        <f>$H110*factors!AA$3</f>
        <v>0.3868317193104</v>
      </c>
      <c r="AH110" s="3">
        <f>$H110*factors!AB$3</f>
        <v>0.38522993165280006</v>
      </c>
      <c r="AI110" s="3">
        <f>$H110*factors!AC$3</f>
        <v>0.39764378599920003</v>
      </c>
      <c r="AJ110" s="3">
        <f>$H110*factors!AD$3</f>
        <v>0.41286076874640004</v>
      </c>
      <c r="AK110" s="3">
        <f>$H110*factors!AE$3</f>
        <v>0.39724333908480003</v>
      </c>
      <c r="AL110" s="3">
        <f>$H110*factors!AF$3</f>
        <v>0.38162590942320002</v>
      </c>
      <c r="AM110" s="3">
        <f>$H110*factors!AG$3</f>
        <v>0.39243797611200004</v>
      </c>
      <c r="AN110" s="3">
        <f>$H110*factors!AH$3</f>
        <v>0.38603082548160006</v>
      </c>
      <c r="AO110" s="3">
        <f>$H110*factors!AI$3</f>
        <v>0.40445138354400001</v>
      </c>
      <c r="AP110" s="3">
        <f>$H110*factors!AJ$3</f>
        <v>0.38763261313920006</v>
      </c>
      <c r="AQ110" s="3">
        <f>$H110*factors!AK$3</f>
        <v>0.40004646748560008</v>
      </c>
      <c r="AR110" s="3">
        <f>$H110*factors!AL$3</f>
        <v>0.39123663536880005</v>
      </c>
      <c r="AS110" s="3">
        <f>$H110*factors!AM$3</f>
        <v>0.38162590942320002</v>
      </c>
      <c r="AT110" s="3">
        <f>$H110*factors!AN$3</f>
        <v>0.39363931685520009</v>
      </c>
      <c r="AU110" s="3">
        <f>$H110*factors!AO$3</f>
        <v>0.41686523789039998</v>
      </c>
      <c r="AV110" s="3">
        <f>$H110*factors!AP$3</f>
        <v>0.39403976376960004</v>
      </c>
      <c r="AW110" s="3">
        <f>$H110*factors!AQ$3</f>
        <v>0.39003529462559999</v>
      </c>
      <c r="AX110" s="3">
        <f>$H110*factors!AR$3</f>
        <v>0.41246032183200004</v>
      </c>
      <c r="AY110" s="3">
        <f>$H110*factors!AS$3</f>
        <v>0.38042456868000002</v>
      </c>
      <c r="AZ110" s="3">
        <f>$H110*factors!AT$3</f>
        <v>0.40765495885920011</v>
      </c>
      <c r="BA110" s="3">
        <f>$H110*factors!AU$3</f>
        <v>0.39884512674240002</v>
      </c>
      <c r="BB110" s="3">
        <f>$H110*factors!AV$3</f>
        <v>0.39363931685520009</v>
      </c>
      <c r="BC110" s="3">
        <f>$H110*factors!AW$3</f>
        <v>0.41646479097600009</v>
      </c>
      <c r="BD110" s="3">
        <f>$H110*factors!AX$3</f>
        <v>0.38442903782400001</v>
      </c>
      <c r="BE110" s="3">
        <f>$H110*factors!AY$3</f>
        <v>0.45196366836919999</v>
      </c>
      <c r="BF110" s="3">
        <f>$H110*factors!AZ$3</f>
        <v>0.42089936976879999</v>
      </c>
      <c r="BG110" s="3">
        <f>$H110*factors!BA$3</f>
        <v>0.42702472442239997</v>
      </c>
      <c r="BH110" s="3">
        <f>$H110*factors!BB$3</f>
        <v>0.43271255374360001</v>
      </c>
      <c r="BI110" s="3">
        <f>$H110*factors!BC$3</f>
        <v>0.44846346570999995</v>
      </c>
      <c r="BJ110" s="3">
        <f>$H110*factors!BD$3</f>
        <v>0.4283373004196</v>
      </c>
      <c r="BK110" s="3">
        <f>$H110*factors!BE$3</f>
        <v>0.42921235108439998</v>
      </c>
      <c r="BL110" s="3">
        <f>$H110*factors!BF$3</f>
        <v>0.42439957242799997</v>
      </c>
      <c r="BM110" s="3">
        <f>$H110*factors!BG$3</f>
        <v>0.45327624436640002</v>
      </c>
      <c r="BN110" s="3">
        <f>$H110*factors!BH$3</f>
        <v>0.44758841504519997</v>
      </c>
      <c r="BO110" s="3">
        <f>$H110*factors!BI$3</f>
        <v>0.42089936976879999</v>
      </c>
      <c r="BP110" s="3">
        <f>$H110*factors!BJ$3</f>
        <v>0.41958679377159996</v>
      </c>
      <c r="BQ110" s="3">
        <f>$H110*factors!BK$3</f>
        <v>0.42658719908999998</v>
      </c>
      <c r="BR110" s="3">
        <f>$H110*factors!BL$3</f>
        <v>0.44190058572400004</v>
      </c>
      <c r="BS110" s="3">
        <f>$H110*factors!BM$3</f>
        <v>0.4489009910424</v>
      </c>
      <c r="BT110" s="3">
        <f>$H110*factors!BN$3</f>
        <v>0.45021356703959997</v>
      </c>
      <c r="BU110" s="3">
        <f>$H110*factors!BO$3</f>
        <v>0.45765149769040003</v>
      </c>
      <c r="BV110" s="3">
        <f>$H110*factors!BP$3</f>
        <v>0.4257121484252</v>
      </c>
      <c r="BW110" s="3">
        <f>$H110*factors!BQ$3</f>
        <v>0.43533770573800001</v>
      </c>
      <c r="BX110" s="3">
        <f>$H110*factors!BR$3</f>
        <v>0.42702472442239997</v>
      </c>
      <c r="BY110" s="3">
        <f>$H110*factors!BS$3</f>
        <v>0.44671336438039994</v>
      </c>
      <c r="BZ110" s="3">
        <f>$H110*factors!BT$3</f>
        <v>0.43840038306479995</v>
      </c>
      <c r="CA110" s="3">
        <f>$H110*factors!BU$3</f>
        <v>0.43271255374360001</v>
      </c>
      <c r="CB110" s="3">
        <f>$H110*factors!BV$3</f>
        <v>0.41871174310679998</v>
      </c>
      <c r="CC110" s="3">
        <f>$H110*factors!BW$3</f>
        <v>0.430962452414</v>
      </c>
      <c r="CD110" s="3">
        <f>$H110*factors!BX$3</f>
        <v>0.43227502841120002</v>
      </c>
      <c r="CE110" s="3">
        <f>$H110*factors!BY$3</f>
        <v>0.43840038306479995</v>
      </c>
      <c r="CF110" s="3">
        <f>$H110*factors!BZ$3</f>
        <v>0.43183750307880003</v>
      </c>
      <c r="CG110" s="3">
        <f>$H110*factors!CA$3</f>
        <v>0.41739916710959996</v>
      </c>
      <c r="CH110" s="3">
        <f>$H110*factors!CB$3</f>
        <v>0.41783669244199995</v>
      </c>
      <c r="CI110" s="3">
        <f>$H110*factors!CC$3</f>
        <v>0.41564906577999999</v>
      </c>
      <c r="CJ110" s="3">
        <f>$H110*factors!CD$3</f>
        <v>0.43271255374360001</v>
      </c>
      <c r="CK110" s="3">
        <f>$H110*factors!CE$3</f>
        <v>0.45196366836919999</v>
      </c>
      <c r="CL110" s="3">
        <f>$H110*factors!CF$3</f>
        <v>0.42352452176319999</v>
      </c>
      <c r="CM110" s="3">
        <f>$H110*factors!CG$3</f>
        <v>0.4335876044084</v>
      </c>
      <c r="CN110" s="3">
        <f>$H110*factors!CH$3</f>
        <v>0.41914926843919997</v>
      </c>
      <c r="CO110" s="3">
        <f>$H110*factors!CI$3</f>
        <v>0.42221194576599996</v>
      </c>
      <c r="CP110" s="3">
        <f>$H110*factors!CJ$3</f>
        <v>0.44233811105639992</v>
      </c>
      <c r="CQ110" s="3">
        <f>$H110*factors!CK$3</f>
        <v>0.42921235108439998</v>
      </c>
      <c r="CR110" s="3">
        <f>$H110*factors!CL$3</f>
        <v>0.44277563638879996</v>
      </c>
      <c r="CS110" s="3">
        <f>$H110*factors!CM$3</f>
        <v>0.4567764470256</v>
      </c>
      <c r="CT110" s="3">
        <f>$H110*factors!CN$3</f>
        <v>0.4515261430368</v>
      </c>
      <c r="CU110" s="3">
        <f>$H110*factors!CO$3</f>
        <v>0.44146306039159994</v>
      </c>
      <c r="CV110" s="3">
        <f>$H110*factors!CP$3</f>
        <v>0.45940159902</v>
      </c>
      <c r="CW110" s="3">
        <f>$H110*factors!CQ$3</f>
        <v>0.43446265507320003</v>
      </c>
      <c r="CX110" s="3">
        <f>$H110*factors!CR$3</f>
        <v>0.42789977508720001</v>
      </c>
      <c r="CY110" s="3">
        <f>$H110*factors!CS$3</f>
        <v>0.42396204709559998</v>
      </c>
      <c r="CZ110" s="3">
        <f>$H110*factors!CT$3</f>
        <v>0.41783669244199995</v>
      </c>
      <c r="DA110" s="3">
        <f>$H110*factors!CU$3</f>
        <v>0.43381749060000002</v>
      </c>
      <c r="DB110" s="3">
        <f>$H110*factors!CV$3</f>
        <v>0.46184877460800006</v>
      </c>
      <c r="DC110" s="3">
        <f>$H110*factors!CW$3</f>
        <v>0.44227136990399996</v>
      </c>
      <c r="DD110" s="3">
        <f>$H110*factors!CX$3</f>
        <v>0.43915678279199999</v>
      </c>
      <c r="DE110" s="3">
        <f>$H110*factors!CY$3</f>
        <v>0.45206007225600003</v>
      </c>
      <c r="DF110" s="3">
        <f>$H110*factors!CZ$3</f>
        <v>0.45117019022399996</v>
      </c>
      <c r="DG110" s="3">
        <f>$H110*factors!DA$3</f>
        <v>0.44939042616000002</v>
      </c>
      <c r="DH110" s="3">
        <f>$H110*factors!DB$3</f>
        <v>0.44939042616000002</v>
      </c>
      <c r="DI110" s="3">
        <f>$H110*factors!DC$3</f>
        <v>0.43248266755199999</v>
      </c>
      <c r="DJ110" s="3">
        <f>$H110*factors!DD$3</f>
        <v>0.45828924648000002</v>
      </c>
      <c r="DK110" s="3">
        <f>$H110*factors!DE$3</f>
        <v>0.45828924648000002</v>
      </c>
      <c r="DL110" s="3">
        <f>$H110*factors!DF$3</f>
        <v>0.45294995428800006</v>
      </c>
      <c r="DM110" s="3">
        <f>$H110*factors!DG$3</f>
        <v>0.42669843434399995</v>
      </c>
      <c r="DN110" s="3">
        <f>$H110*factors!DH$3</f>
        <v>0.44761066209600003</v>
      </c>
      <c r="DO110" s="3">
        <f>$H110*factors!DI$3</f>
        <v>0.46229371562400001</v>
      </c>
      <c r="DP110" s="3">
        <f>$H110*factors!DJ$3</f>
        <v>0.45828924648000002</v>
      </c>
      <c r="DQ110" s="3">
        <f>$H110*factors!DK$3</f>
        <v>0.43693207771199999</v>
      </c>
      <c r="DR110" s="3">
        <f>$H110*factors!DL$3</f>
        <v>0.43203772653600003</v>
      </c>
      <c r="DS110" s="3">
        <f>$H110*factors!DM$3</f>
        <v>0.46674312578400001</v>
      </c>
      <c r="DT110" s="3">
        <f>$H110*factors!DN$3</f>
        <v>0.43871184177600003</v>
      </c>
      <c r="DU110" s="3">
        <f>$H110*factors!DO$3</f>
        <v>0.45917912851199999</v>
      </c>
      <c r="DV110" s="3">
        <f>$H110*factors!DP$3</f>
        <v>0.448500544128</v>
      </c>
      <c r="DW110" s="3">
        <f>$H110*factors!DQ$3</f>
        <v>0.42803325739199999</v>
      </c>
      <c r="DX110" s="3">
        <f>$H110*factors!DR$3</f>
        <v>0.45339489530399996</v>
      </c>
      <c r="DY110" s="3">
        <f>$H110*factors!DS$3</f>
        <v>0.43025796247199999</v>
      </c>
      <c r="DZ110" s="3">
        <f>$H110*factors!DT$3</f>
        <v>0.46006901054400001</v>
      </c>
      <c r="EA110" s="3">
        <f>$H110*factors!DU$3</f>
        <v>0.43337254958399996</v>
      </c>
      <c r="EB110" s="3">
        <f>$H110*factors!DV$3</f>
        <v>0.42269396519999997</v>
      </c>
      <c r="EC110" s="3">
        <f>$H110*factors!DW$3</f>
        <v>0.45472971835199999</v>
      </c>
      <c r="ED110" s="3">
        <f>$H110*factors!DX$3</f>
        <v>0.42669843434399995</v>
      </c>
      <c r="EE110" s="3">
        <f>$H110*factors!DY$3</f>
        <v>0.43025796247199999</v>
      </c>
      <c r="EF110" s="3">
        <f>$H110*factors!DZ$3</f>
        <v>0.46674312578400001</v>
      </c>
      <c r="EG110" s="3">
        <f>$H110*factors!EA$3</f>
        <v>0.43604219568000002</v>
      </c>
      <c r="EH110" s="3">
        <f>$H110*factors!EB$3</f>
        <v>0.437377018728</v>
      </c>
      <c r="EI110" s="3">
        <f>$H110*factors!EC$3</f>
        <v>0.43648713669600003</v>
      </c>
      <c r="EJ110" s="3">
        <f>$H110*factors!ED$3</f>
        <v>0.42536361129600003</v>
      </c>
      <c r="EK110" s="3">
        <f>$H110*factors!EE$3</f>
        <v>0.45472971835199999</v>
      </c>
      <c r="EL110" s="3">
        <f>$H110*factors!EF$3</f>
        <v>0.43248266755199999</v>
      </c>
      <c r="EM110" s="3">
        <f>$H110*factors!EG$3</f>
        <v>0.44983536717599998</v>
      </c>
      <c r="EN110" s="3">
        <f>$H110*factors!EH$3</f>
        <v>0.42269396519999997</v>
      </c>
      <c r="EO110" s="3">
        <f>$H110*factors!EI$3</f>
        <v>0.42892313942399996</v>
      </c>
      <c r="EP110" s="3">
        <f>$H110*factors!EJ$3</f>
        <v>0.45250501327199999</v>
      </c>
      <c r="EQ110" s="3">
        <f>$H110*factors!EK$3</f>
        <v>0.44004666482399996</v>
      </c>
      <c r="ER110" s="3">
        <f>$H110*factors!EL$3</f>
        <v>0.45828924648000002</v>
      </c>
      <c r="ES110" s="3">
        <f>$H110*factors!EM$3</f>
        <v>0.45250501327199999</v>
      </c>
      <c r="ET110" s="3">
        <f>$H110*factors!EN$3</f>
        <v>0.46273865664000002</v>
      </c>
      <c r="EU110" s="3">
        <f>$H110*factors!EO$3</f>
        <v>0.46718806680000002</v>
      </c>
      <c r="EV110" s="3">
        <f>$H110*factors!EP$3</f>
        <v>0.43782195974399996</v>
      </c>
      <c r="EW110" s="3">
        <f>$H110*factors!EQ$3</f>
        <v>0.48155595377499999</v>
      </c>
      <c r="EX110" s="3">
        <f>$H110*factors!ER$3</f>
        <v>0.47645767130000005</v>
      </c>
      <c r="EY110" s="3">
        <f>$H110*factors!ES$3</f>
        <v>0.48619075602499995</v>
      </c>
      <c r="EZ110" s="3">
        <f>$H110*factors!ET$3</f>
        <v>0.48155595377499999</v>
      </c>
      <c r="FA110" s="3">
        <f>$H110*factors!EU$3</f>
        <v>0.44262361487499996</v>
      </c>
      <c r="FB110" s="3">
        <f>$H110*factors!EV$3</f>
        <v>0.46255326455000007</v>
      </c>
      <c r="FC110" s="3">
        <f>$H110*factors!EW$3</f>
        <v>0.47553071085000004</v>
      </c>
      <c r="FD110" s="3">
        <f>$H110*factors!EX$3</f>
        <v>0.45884542275000006</v>
      </c>
      <c r="FE110" s="3">
        <f>$H110*factors!EY$3</f>
        <v>0.48340987467500002</v>
      </c>
      <c r="FF110" s="3">
        <f>$H110*factors!EZ$3</f>
        <v>0.48387335490000011</v>
      </c>
      <c r="FG110" s="3">
        <f>$H110*factors!FA$3</f>
        <v>0.44262361487499996</v>
      </c>
      <c r="FH110" s="3">
        <f>$H110*factors!FB$3</f>
        <v>0.46579762612499997</v>
      </c>
      <c r="FI110" s="3">
        <f>$H110*factors!FC$3</f>
        <v>0.48526379557499999</v>
      </c>
      <c r="FJ110" s="3">
        <f>$H110*factors!FD$3</f>
        <v>0.46579762612499997</v>
      </c>
      <c r="FK110" s="3">
        <f>$H110*factors!FE$3</f>
        <v>0.47367678995000007</v>
      </c>
      <c r="FL110" s="3">
        <f>$H110*factors!FF$3</f>
        <v>0.475067230625</v>
      </c>
      <c r="FM110" s="3">
        <f>$H110*factors!FG$3</f>
        <v>0.4801655131</v>
      </c>
      <c r="FN110" s="3">
        <f>$H110*factors!FH$3</f>
        <v>0.449112338025</v>
      </c>
      <c r="FO110" s="3">
        <f>$H110*factors!FI$3</f>
        <v>0.47692115152499998</v>
      </c>
      <c r="FP110" s="3">
        <f>$H110*factors!FJ$3</f>
        <v>0.46348022500000002</v>
      </c>
      <c r="FQ110" s="3">
        <f>$H110*factors!FK$3</f>
        <v>0.45884542275000006</v>
      </c>
      <c r="FR110" s="3">
        <f>$H110*factors!FL$3</f>
        <v>0.46811502724999998</v>
      </c>
      <c r="FS110" s="3">
        <f>$H110*factors!FM$3</f>
        <v>0.4653341459</v>
      </c>
      <c r="FT110" s="3">
        <f>$H110*factors!FN$3</f>
        <v>0.47553071085000004</v>
      </c>
      <c r="FU110" s="3">
        <f>$H110*factors!FO$3</f>
        <v>0.45699150184999998</v>
      </c>
      <c r="FV110" s="3">
        <f>$H110*factors!FP$3</f>
        <v>0.45328366004999998</v>
      </c>
      <c r="FW110" s="3">
        <f>$H110*factors!FQ$3</f>
        <v>0.48526379557499999</v>
      </c>
      <c r="FX110" s="3">
        <f>$H110*factors!FR$3</f>
        <v>0.47645767130000005</v>
      </c>
      <c r="FY110" s="3">
        <f>$H110*factors!FS$3</f>
        <v>0.46672458657499993</v>
      </c>
      <c r="FZ110" s="3">
        <f>$H110*factors!FT$3</f>
        <v>0.44355057532500003</v>
      </c>
      <c r="GA110" s="3">
        <f>$H110*factors!FU$3</f>
        <v>0.46672458657499993</v>
      </c>
      <c r="GB110" s="3">
        <f>$H110*factors!FV$3</f>
        <v>0.48387335490000011</v>
      </c>
      <c r="GC110" s="3">
        <f>$H110*factors!FW$3</f>
        <v>0.45328366004999998</v>
      </c>
      <c r="GD110" s="3">
        <f>$H110*factors!FX$3</f>
        <v>0.46116282387500002</v>
      </c>
      <c r="GE110" s="3">
        <f>$H110*factors!FY$3</f>
        <v>0.46116282387500002</v>
      </c>
      <c r="GF110" s="3">
        <f>$H110*factors!FZ$3</f>
        <v>0.45977238320000002</v>
      </c>
      <c r="GG110" s="3">
        <f>$H110*factors!GA$3</f>
        <v>0.441696654425</v>
      </c>
      <c r="GH110" s="3">
        <f>$H110*factors!GB$3</f>
        <v>0.46996894815000007</v>
      </c>
      <c r="GI110" s="3">
        <f>$H110*factors!GC$3</f>
        <v>0.44076969397499999</v>
      </c>
      <c r="GJ110" s="3">
        <f>$H110*factors!GD$3</f>
        <v>0.441696654425</v>
      </c>
      <c r="GK110" s="3">
        <f>$H110*factors!GE$3</f>
        <v>0.452820179825</v>
      </c>
      <c r="GL110" s="3">
        <f>$H110*factors!GF$3</f>
        <v>0.47970203287500002</v>
      </c>
      <c r="GM110" s="3">
        <f>$H110*factors!GG$3</f>
        <v>0.45467410072500003</v>
      </c>
      <c r="GN110" s="3">
        <f>$H110*factors!GH$3</f>
        <v>0.46904198770000005</v>
      </c>
      <c r="GO110" s="3">
        <f>$H110*factors!GI$3</f>
        <v>0.44308709509999994</v>
      </c>
      <c r="GP110" s="3">
        <f>$H110*factors!GJ$3</f>
        <v>0.475067230625</v>
      </c>
      <c r="GQ110" s="3">
        <f>$H110*factors!GK$3</f>
        <v>0.48480031535000007</v>
      </c>
      <c r="GR110" s="3">
        <f>$H110*factors!GL$3</f>
        <v>0.47553071085000004</v>
      </c>
      <c r="GS110" s="3">
        <f>$H110*factors!GM$3</f>
        <v>0.44970559271300004</v>
      </c>
      <c r="GT110" s="3">
        <f>$H110*factors!GN$3</f>
        <v>0.46006530270220003</v>
      </c>
      <c r="GU110" s="3">
        <f>$H110*factors!GO$3</f>
        <v>0.47089590860000002</v>
      </c>
      <c r="GV110" s="3">
        <f>$H110*factors!GP$3</f>
        <v>0.45206007225600003</v>
      </c>
      <c r="GW110" s="3">
        <f>$H110*factors!GQ$3</f>
        <v>0.46807053314840003</v>
      </c>
      <c r="GX110" s="3">
        <f>$H110*factors!GR$3</f>
        <v>0.46053619861080003</v>
      </c>
      <c r="GY110" s="3">
        <f>$H110*factors!GS$3</f>
        <v>0.45818171906780003</v>
      </c>
      <c r="GZ110" s="3">
        <f>$H110*factors!GT$3</f>
        <v>0.47513397177739997</v>
      </c>
      <c r="HA110" s="3">
        <f>$H110*factors!GU$3</f>
        <v>0.45959440679360003</v>
      </c>
      <c r="HB110" s="3">
        <f>$H110*factors!GV$3</f>
        <v>0.47513397177739997</v>
      </c>
      <c r="HC110" s="3">
        <f>$H110*factors!GW$3</f>
        <v>0.46336157406239997</v>
      </c>
      <c r="HD110" s="3">
        <f>$H110*factors!GX$3</f>
        <v>0.47701755541179997</v>
      </c>
      <c r="HE110" s="3">
        <f>$H110*factors!GY$3</f>
        <v>0.47089590860000002</v>
      </c>
      <c r="HF110" s="3">
        <f>$H110*factors!GZ$3</f>
        <v>0.48549368176660002</v>
      </c>
      <c r="HG110" s="3">
        <f>$H110*factors!HA$3</f>
        <v>0.46665784542260003</v>
      </c>
      <c r="HH110" s="3">
        <f>$H110*factors!HB$3</f>
        <v>0.46053619861080003</v>
      </c>
      <c r="HI110" s="3">
        <f>$H110*factors!HC$3</f>
        <v>0.45488544770760003</v>
      </c>
      <c r="HJ110" s="3">
        <f>$H110*factors!HD$3</f>
        <v>0.44970559271300004</v>
      </c>
      <c r="HK110" s="3">
        <f>$H110*factors!HE$3</f>
        <v>0.47560486768600002</v>
      </c>
      <c r="HL110" s="3">
        <f>$H110*factors!HF$3</f>
        <v>0.44829290498719998</v>
      </c>
      <c r="HM110" s="3">
        <f>$H110*factors!HG$3</f>
        <v>0.45300186407320003</v>
      </c>
      <c r="HN110" s="3">
        <f>$H110*factors!HH$3</f>
        <v>0.48313920222360007</v>
      </c>
      <c r="HO110" s="3">
        <f>$H110*factors!HI$3</f>
        <v>0.46336157406239997</v>
      </c>
      <c r="HP110" s="3">
        <f>$H110*factors!HJ$3</f>
        <v>0.49444070403000007</v>
      </c>
      <c r="HQ110" s="3">
        <f>$H110*factors!HK$3</f>
        <v>0.45206007225600003</v>
      </c>
      <c r="HR110" s="3">
        <f>$H110*factors!HL$3</f>
        <v>0.47937203495480007</v>
      </c>
      <c r="HS110" s="3">
        <f>$H110*factors!HM$3</f>
        <v>0.48784816130960001</v>
      </c>
      <c r="HT110" s="3">
        <f>$H110*factors!HN$3</f>
        <v>0.45488544770760003</v>
      </c>
      <c r="HU110" s="3">
        <f>$H110*factors!HO$3</f>
        <v>0.45959440679360003</v>
      </c>
      <c r="HV110" s="3">
        <f>$H110*factors!HP$3</f>
        <v>0.46524515769680008</v>
      </c>
      <c r="HW110" s="3">
        <f>$H110*factors!HQ$3</f>
        <v>0.47183770041720002</v>
      </c>
      <c r="HX110" s="3">
        <f>$H110*factors!HR$3</f>
        <v>0.49114443266979996</v>
      </c>
      <c r="HY110" s="3">
        <f>$H110*factors!HS$3</f>
        <v>0.46665784542260003</v>
      </c>
      <c r="HZ110" s="3">
        <f>$H110*factors!HT$3</f>
        <v>0.48455188994940002</v>
      </c>
      <c r="IA110" s="3">
        <f>$H110*factors!HU$3</f>
        <v>0.46100709451940003</v>
      </c>
      <c r="IB110" s="3">
        <f>$H110*factors!HV$3</f>
        <v>0.47701755541179997</v>
      </c>
      <c r="IC110" s="3">
        <f>$H110*factors!HW$3</f>
        <v>0.48172651449780002</v>
      </c>
      <c r="ID110" s="3">
        <f>$H110*factors!HX$3</f>
        <v>0.44735111316999998</v>
      </c>
      <c r="IE110" s="3">
        <f>$H110*factors!HY$3</f>
        <v>0.47513397177739997</v>
      </c>
      <c r="IF110" s="3">
        <f>$H110*factors!HZ$3</f>
        <v>0.47230859632579997</v>
      </c>
      <c r="IG110" s="3">
        <f>$H110*factors!IA$3</f>
        <v>0.46807053314840003</v>
      </c>
      <c r="IH110" s="3">
        <f>$H110*factors!IB$3</f>
        <v>0.48549368176660002</v>
      </c>
      <c r="II110" s="3">
        <f>$H110*factors!IC$3</f>
        <v>0.46477426178820003</v>
      </c>
      <c r="IJ110" s="3">
        <f>$H110*factors!ID$3</f>
        <v>0.46901232496560002</v>
      </c>
      <c r="IK110" s="3">
        <f>$H110*factors!IE$3</f>
        <v>0.48596457767520002</v>
      </c>
      <c r="IL110" s="3">
        <f>$H110*factors!IF$3</f>
        <v>0.46524515769680008</v>
      </c>
      <c r="IM110" s="3">
        <f>$H110*factors!IG$3</f>
        <v>0.46100709451940003</v>
      </c>
      <c r="IN110" s="3">
        <f>$H110*factors!IH$3</f>
        <v>0.46383246997100003</v>
      </c>
      <c r="IO110" s="3">
        <f>$H110*factors!II$3</f>
        <v>0.46854142905700003</v>
      </c>
      <c r="IP110" s="3">
        <f>$H110*factors!IJ$3</f>
        <v>0.45300186407320003</v>
      </c>
      <c r="IQ110" s="3">
        <f>$H110*factors!IK$3</f>
        <v>0.45158917634740003</v>
      </c>
      <c r="IR110" s="3">
        <f>$H110*factors!IL$3</f>
        <v>0.46477426178820003</v>
      </c>
      <c r="IS110" s="3">
        <f>$H110*factors!IM$3</f>
        <v>0.46854142905700003</v>
      </c>
      <c r="IT110" s="3">
        <f>$H110*factors!IN$3</f>
        <v>0.47183770041720002</v>
      </c>
      <c r="IU110" s="3">
        <f>$H110*factors!IO$3</f>
        <v>0.48219741040640007</v>
      </c>
      <c r="IV110" s="3">
        <f>$H110*factors!IP$3</f>
        <v>0.48831905721819996</v>
      </c>
      <c r="IW110" s="3">
        <f>$H110*factors!IQ$3</f>
        <v>0.46147799042799997</v>
      </c>
      <c r="IX110" s="3">
        <f>$H110*factors!IR$3</f>
        <v>0.48219741040640007</v>
      </c>
      <c r="IY110" s="3">
        <f>$H110*factors!IS$3</f>
        <v>0.47513397177739997</v>
      </c>
      <c r="IZ110" s="3">
        <f>$H110*factors!IT$3</f>
        <v>0.48313920222360007</v>
      </c>
      <c r="JA110" s="3">
        <f>$H110*factors!IU$3</f>
        <v>0.45629813543339998</v>
      </c>
      <c r="JB110" s="3">
        <f>$H110*factors!IV$3</f>
        <v>0.46477426178820003</v>
      </c>
      <c r="JC110" s="3">
        <f>$H110*factors!IW$3</f>
        <v>0.45394365589040003</v>
      </c>
      <c r="JD110" s="3">
        <f>$H110*factors!IX$3</f>
        <v>0.49444070403000007</v>
      </c>
      <c r="JE110" s="3">
        <f>$H110*factors!IY$3</f>
        <v>0.45535634361619998</v>
      </c>
      <c r="JF110" s="3">
        <f>$H110*factors!IZ$3</f>
        <v>0.47795934722899996</v>
      </c>
      <c r="JG110" s="3">
        <f>$H110*factors!JA$3</f>
        <v>0.46948322087419997</v>
      </c>
      <c r="JH110" s="3">
        <f>$H110*factors!JB$3</f>
        <v>0.47843024313760008</v>
      </c>
      <c r="JI110" s="3">
        <f>$H110*factors!JC$3</f>
        <v>0.44782200907860004</v>
      </c>
      <c r="JJ110" s="3">
        <f>$H110*factors!JD$3</f>
        <v>0.48219741040640007</v>
      </c>
      <c r="JK110" s="3">
        <f>$H110*factors!JE$3</f>
        <v>0.46665784542260003</v>
      </c>
      <c r="JL110" s="3">
        <f>$H110*factors!JF$3</f>
        <v>0.48549368176660002</v>
      </c>
      <c r="JM110" s="3">
        <f>$H110*factors!JG$3</f>
        <v>0.45300186407320003</v>
      </c>
      <c r="JN110" s="3">
        <f>$H110*factors!JH$3</f>
        <v>0.45300186407320003</v>
      </c>
      <c r="JO110" s="3">
        <f>$H110*factors!JI$3</f>
        <v>0.44735111316999998</v>
      </c>
      <c r="JP110" s="3">
        <f>$H110*factors!JJ$3</f>
        <v>0.48361009813220002</v>
      </c>
      <c r="JQ110" s="3">
        <f>$H110*factors!JK$3</f>
        <v>0.47136680450859997</v>
      </c>
      <c r="JR110" s="3">
        <f>$H110*factors!JL$3</f>
        <v>0.48973174494400001</v>
      </c>
      <c r="JS110" s="3">
        <f>$H110*factors!JM$3</f>
        <v>0.44735111316999998</v>
      </c>
      <c r="JT110" s="3">
        <f>$H110*factors!JN$3</f>
        <v>0.46995411678280002</v>
      </c>
      <c r="JU110" s="3">
        <f>$H110*factors!JO$3</f>
        <v>0.45441455179899998</v>
      </c>
      <c r="JV110" s="3">
        <f>$H110*factors!JP$3</f>
        <v>0.46194888633660003</v>
      </c>
      <c r="JW110" s="3">
        <f>$H110*factors!JQ$3</f>
        <v>0.49349891221280007</v>
      </c>
      <c r="JX110" s="3">
        <f>$H110*factors!JR$3</f>
        <v>0.48878995312680001</v>
      </c>
      <c r="JY110" s="3">
        <f>$H110*factors!JS$3</f>
        <v>0.46006530270220003</v>
      </c>
      <c r="JZ110" s="3">
        <f>$H110*factors!JT$3</f>
        <v>0.46524515769680008</v>
      </c>
      <c r="KA110" s="3">
        <f>$H110*factors!JU$3</f>
        <v>0.46712874133120003</v>
      </c>
      <c r="KB110" s="3">
        <f>$H110*factors!JV$3</f>
        <v>0.45158917634740003</v>
      </c>
      <c r="KC110" s="3">
        <f>$H110*factors!JW$3</f>
        <v>0.45394365589040003</v>
      </c>
      <c r="KD110" s="3">
        <f>$H110*factors!JX$3</f>
        <v>0.45441455179899998</v>
      </c>
      <c r="KE110" s="3">
        <f>$H110*factors!JY$3</f>
        <v>0.48361009813220002</v>
      </c>
      <c r="KF110" s="3">
        <f>$H110*factors!JZ$3</f>
        <v>0.48926084903539996</v>
      </c>
      <c r="KG110" s="3">
        <f>$H110*factors!KA$3</f>
        <v>0.47183770041720002</v>
      </c>
      <c r="KH110" s="3">
        <f>$H110*factors!KB$3</f>
        <v>0.46147799042799997</v>
      </c>
      <c r="KI110" s="3">
        <f>$H110*factors!KC$3</f>
        <v>0.45723992725059998</v>
      </c>
    </row>
    <row r="111" spans="1:295" x14ac:dyDescent="0.55000000000000004">
      <c r="A111" t="s">
        <v>488</v>
      </c>
      <c r="B111">
        <v>110</v>
      </c>
      <c r="C111">
        <v>230</v>
      </c>
      <c r="D111" t="s">
        <v>377</v>
      </c>
      <c r="E111">
        <v>3.372E-3</v>
      </c>
      <c r="F111">
        <v>110</v>
      </c>
      <c r="G111">
        <f>VLOOKUP(D111,demand_forecasted!$A$2:$G$11,2)</f>
        <v>11098</v>
      </c>
      <c r="H111" s="3">
        <f t="shared" si="2"/>
        <v>0.37422455999999998</v>
      </c>
      <c r="I111" s="3">
        <f>$H111*factors!C$3</f>
        <v>0.41426658791999998</v>
      </c>
      <c r="J111" s="3">
        <f>$H111*factors!D$3</f>
        <v>0.39931257450239999</v>
      </c>
      <c r="K111" s="3">
        <f>$H111*factors!E$3</f>
        <v>0.39244181158079999</v>
      </c>
      <c r="L111" s="3">
        <f>$H111*factors!F$3</f>
        <v>0.39122932400640004</v>
      </c>
      <c r="M111" s="3">
        <f>$H111*factors!G$3</f>
        <v>0.39082516148159996</v>
      </c>
      <c r="N111" s="3">
        <f>$H111*factors!H$3</f>
        <v>0.40214171217599998</v>
      </c>
      <c r="O111" s="3">
        <f>$H111*factors!I$3</f>
        <v>0.41103328772159997</v>
      </c>
      <c r="P111" s="3">
        <f>$H111*factors!J$3</f>
        <v>0.41588323801920002</v>
      </c>
      <c r="Q111" s="3">
        <f>$H111*factors!K$3</f>
        <v>0.39042099895679999</v>
      </c>
      <c r="R111" s="3">
        <f>$H111*factors!L$3</f>
        <v>0.38395439855999997</v>
      </c>
      <c r="S111" s="3">
        <f>$H111*factors!M$3</f>
        <v>0.39971673702719995</v>
      </c>
      <c r="T111" s="3">
        <f>$H111*factors!N$3</f>
        <v>0.4134582628704</v>
      </c>
      <c r="U111" s="3">
        <f>$H111*factors!O$3</f>
        <v>0.3916334865312</v>
      </c>
      <c r="V111" s="3">
        <f>$H111*factors!P$3</f>
        <v>0.40739582499839999</v>
      </c>
      <c r="W111" s="3">
        <f>$H111*factors!Q$3</f>
        <v>0.41103328772159997</v>
      </c>
      <c r="X111" s="3">
        <f>$H111*factors!R$3</f>
        <v>0.39325013663039998</v>
      </c>
      <c r="Y111" s="3">
        <f>$H111*factors!S$3</f>
        <v>0.3896126739072</v>
      </c>
      <c r="Z111" s="3">
        <f>$H111*factors!T$3</f>
        <v>0.42032902579200004</v>
      </c>
      <c r="AA111" s="3">
        <f>$H111*factors!U$3</f>
        <v>0.39688759935359996</v>
      </c>
      <c r="AB111" s="3">
        <f>$H111*factors!V$3</f>
        <v>0.39729176187840004</v>
      </c>
      <c r="AC111" s="3">
        <f>$H111*factors!W$3</f>
        <v>0.39769592440320001</v>
      </c>
      <c r="AD111" s="3">
        <f>$H111*factors!X$3</f>
        <v>0.38920851138240004</v>
      </c>
      <c r="AE111" s="3">
        <f>$H111*factors!Y$3</f>
        <v>0.39244181158079999</v>
      </c>
      <c r="AF111" s="3">
        <f>$H111*factors!Z$3</f>
        <v>0.40052506207680005</v>
      </c>
      <c r="AG111" s="3">
        <f>$H111*factors!AA$3</f>
        <v>0.39042099895679999</v>
      </c>
      <c r="AH111" s="3">
        <f>$H111*factors!AB$3</f>
        <v>0.38880434885760001</v>
      </c>
      <c r="AI111" s="3">
        <f>$H111*factors!AC$3</f>
        <v>0.40133338712639999</v>
      </c>
      <c r="AJ111" s="3">
        <f>$H111*factors!AD$3</f>
        <v>0.41669156306880001</v>
      </c>
      <c r="AK111" s="3">
        <f>$H111*factors!AE$3</f>
        <v>0.40092922460160002</v>
      </c>
      <c r="AL111" s="3">
        <f>$H111*factors!AF$3</f>
        <v>0.38516688613439998</v>
      </c>
      <c r="AM111" s="3">
        <f>$H111*factors!AG$3</f>
        <v>0.39607927430399997</v>
      </c>
      <c r="AN111" s="3">
        <f>$H111*factors!AH$3</f>
        <v>0.3896126739072</v>
      </c>
      <c r="AO111" s="3">
        <f>$H111*factors!AI$3</f>
        <v>0.40820415004799998</v>
      </c>
      <c r="AP111" s="3">
        <f>$H111*factors!AJ$3</f>
        <v>0.39122932400640004</v>
      </c>
      <c r="AQ111" s="3">
        <f>$H111*factors!AK$3</f>
        <v>0.40375836227520001</v>
      </c>
      <c r="AR111" s="3">
        <f>$H111*factors!AL$3</f>
        <v>0.39486678672960002</v>
      </c>
      <c r="AS111" s="3">
        <f>$H111*factors!AM$3</f>
        <v>0.38516688613439998</v>
      </c>
      <c r="AT111" s="3">
        <f>$H111*factors!AN$3</f>
        <v>0.39729176187840004</v>
      </c>
      <c r="AU111" s="3">
        <f>$H111*factors!AO$3</f>
        <v>0.42073318831679996</v>
      </c>
      <c r="AV111" s="3">
        <f>$H111*factors!AP$3</f>
        <v>0.39769592440320001</v>
      </c>
      <c r="AW111" s="3">
        <f>$H111*factors!AQ$3</f>
        <v>0.39365429915519995</v>
      </c>
      <c r="AX111" s="3">
        <f>$H111*factors!AR$3</f>
        <v>0.41628740054399999</v>
      </c>
      <c r="AY111" s="3">
        <f>$H111*factors!AS$3</f>
        <v>0.38395439855999997</v>
      </c>
      <c r="AZ111" s="3">
        <f>$H111*factors!AT$3</f>
        <v>0.41143745024640005</v>
      </c>
      <c r="BA111" s="3">
        <f>$H111*factors!AU$3</f>
        <v>0.40254587470079994</v>
      </c>
      <c r="BB111" s="3">
        <f>$H111*factors!AV$3</f>
        <v>0.39729176187840004</v>
      </c>
      <c r="BC111" s="3">
        <f>$H111*factors!AW$3</f>
        <v>0.42032902579200004</v>
      </c>
      <c r="BD111" s="3">
        <f>$H111*factors!AX$3</f>
        <v>0.38799602380799997</v>
      </c>
      <c r="BE111" s="3">
        <f>$H111*factors!AY$3</f>
        <v>0.45615728516639997</v>
      </c>
      <c r="BF111" s="3">
        <f>$H111*factors!AZ$3</f>
        <v>0.42480475152959996</v>
      </c>
      <c r="BG111" s="3">
        <f>$H111*factors!BA$3</f>
        <v>0.43098694126079989</v>
      </c>
      <c r="BH111" s="3">
        <f>$H111*factors!BB$3</f>
        <v>0.43672754601119995</v>
      </c>
      <c r="BI111" s="3">
        <f>$H111*factors!BC$3</f>
        <v>0.45262460531999993</v>
      </c>
      <c r="BJ111" s="3">
        <f>$H111*factors!BD$3</f>
        <v>0.43231169620319992</v>
      </c>
      <c r="BK111" s="3">
        <f>$H111*factors!BE$3</f>
        <v>0.43319486616479991</v>
      </c>
      <c r="BL111" s="3">
        <f>$H111*factors!BF$3</f>
        <v>0.42833743137599994</v>
      </c>
      <c r="BM111" s="3">
        <f>$H111*factors!BG$3</f>
        <v>0.4574820401088</v>
      </c>
      <c r="BN111" s="3">
        <f>$H111*factors!BH$3</f>
        <v>0.45174143535839995</v>
      </c>
      <c r="BO111" s="3">
        <f>$H111*factors!BI$3</f>
        <v>0.42480475152959996</v>
      </c>
      <c r="BP111" s="3">
        <f>$H111*factors!BJ$3</f>
        <v>0.42347999658719992</v>
      </c>
      <c r="BQ111" s="3">
        <f>$H111*factors!BK$3</f>
        <v>0.4305453562799999</v>
      </c>
      <c r="BR111" s="3">
        <f>$H111*factors!BL$3</f>
        <v>0.44600083060799994</v>
      </c>
      <c r="BS111" s="3">
        <f>$H111*factors!BM$3</f>
        <v>0.45306619030079998</v>
      </c>
      <c r="BT111" s="3">
        <f>$H111*factors!BN$3</f>
        <v>0.45439094524319995</v>
      </c>
      <c r="BU111" s="3">
        <f>$H111*factors!BO$3</f>
        <v>0.46189788991679998</v>
      </c>
      <c r="BV111" s="3">
        <f>$H111*factors!BP$3</f>
        <v>0.42966218631839997</v>
      </c>
      <c r="BW111" s="3">
        <f>$H111*factors!BQ$3</f>
        <v>0.43937705589599996</v>
      </c>
      <c r="BX111" s="3">
        <f>$H111*factors!BR$3</f>
        <v>0.43098694126079989</v>
      </c>
      <c r="BY111" s="3">
        <f>$H111*factors!BS$3</f>
        <v>0.45085826539679991</v>
      </c>
      <c r="BZ111" s="3">
        <f>$H111*factors!BT$3</f>
        <v>0.44246815076159995</v>
      </c>
      <c r="CA111" s="3">
        <f>$H111*factors!BU$3</f>
        <v>0.43672754601119995</v>
      </c>
      <c r="CB111" s="3">
        <f>$H111*factors!BV$3</f>
        <v>0.42259682662559994</v>
      </c>
      <c r="CC111" s="3">
        <f>$H111*factors!BW$3</f>
        <v>0.43496120608799993</v>
      </c>
      <c r="CD111" s="3">
        <f>$H111*factors!BX$3</f>
        <v>0.43628596103039996</v>
      </c>
      <c r="CE111" s="3">
        <f>$H111*factors!BY$3</f>
        <v>0.44246815076159995</v>
      </c>
      <c r="CF111" s="3">
        <f>$H111*factors!BZ$3</f>
        <v>0.43584437604959997</v>
      </c>
      <c r="CG111" s="3">
        <f>$H111*factors!CA$3</f>
        <v>0.42127207168319991</v>
      </c>
      <c r="CH111" s="3">
        <f>$H111*factors!CB$3</f>
        <v>0.4217136566639999</v>
      </c>
      <c r="CI111" s="3">
        <f>$H111*factors!CC$3</f>
        <v>0.41950573176</v>
      </c>
      <c r="CJ111" s="3">
        <f>$H111*factors!CD$3</f>
        <v>0.43672754601119995</v>
      </c>
      <c r="CK111" s="3">
        <f>$H111*factors!CE$3</f>
        <v>0.45615728516639997</v>
      </c>
      <c r="CL111" s="3">
        <f>$H111*factors!CF$3</f>
        <v>0.42745426141439996</v>
      </c>
      <c r="CM111" s="3">
        <f>$H111*factors!CG$3</f>
        <v>0.43761071597279994</v>
      </c>
      <c r="CN111" s="3">
        <f>$H111*factors!CH$3</f>
        <v>0.42303841160639993</v>
      </c>
      <c r="CO111" s="3">
        <f>$H111*factors!CI$3</f>
        <v>0.42612950647199993</v>
      </c>
      <c r="CP111" s="3">
        <f>$H111*factors!CJ$3</f>
        <v>0.44644241558879988</v>
      </c>
      <c r="CQ111" s="3">
        <f>$H111*factors!CK$3</f>
        <v>0.43319486616479991</v>
      </c>
      <c r="CR111" s="3">
        <f>$H111*factors!CL$3</f>
        <v>0.44688400056959993</v>
      </c>
      <c r="CS111" s="3">
        <f>$H111*factors!CM$3</f>
        <v>0.46101471995519994</v>
      </c>
      <c r="CT111" s="3">
        <f>$H111*factors!CN$3</f>
        <v>0.45571570018559998</v>
      </c>
      <c r="CU111" s="3">
        <f>$H111*factors!CO$3</f>
        <v>0.4455592456271999</v>
      </c>
      <c r="CV111" s="3">
        <f>$H111*factors!CP$3</f>
        <v>0.46366422983999994</v>
      </c>
      <c r="CW111" s="3">
        <f>$H111*factors!CQ$3</f>
        <v>0.43849388593439997</v>
      </c>
      <c r="CX111" s="3">
        <f>$H111*factors!CR$3</f>
        <v>0.43187011122239999</v>
      </c>
      <c r="CY111" s="3">
        <f>$H111*factors!CS$3</f>
        <v>0.42789584639519995</v>
      </c>
      <c r="CZ111" s="3">
        <f>$H111*factors!CT$3</f>
        <v>0.4217136566639999</v>
      </c>
      <c r="DA111" s="3">
        <f>$H111*factors!CU$3</f>
        <v>0.43784273519999994</v>
      </c>
      <c r="DB111" s="3">
        <f>$H111*factors!CV$3</f>
        <v>0.46613411193600002</v>
      </c>
      <c r="DC111" s="3">
        <f>$H111*factors!CW$3</f>
        <v>0.44637505516799991</v>
      </c>
      <c r="DD111" s="3">
        <f>$H111*factors!CX$3</f>
        <v>0.44323156886399995</v>
      </c>
      <c r="DE111" s="3">
        <f>$H111*factors!CY$3</f>
        <v>0.45625458355199999</v>
      </c>
      <c r="DF111" s="3">
        <f>$H111*factors!CZ$3</f>
        <v>0.45535644460799996</v>
      </c>
      <c r="DG111" s="3">
        <f>$H111*factors!DA$3</f>
        <v>0.45356016671999999</v>
      </c>
      <c r="DH111" s="3">
        <f>$H111*factors!DB$3</f>
        <v>0.45356016671999999</v>
      </c>
      <c r="DI111" s="3">
        <f>$H111*factors!DC$3</f>
        <v>0.43649552678399994</v>
      </c>
      <c r="DJ111" s="3">
        <f>$H111*factors!DD$3</f>
        <v>0.46254155615999998</v>
      </c>
      <c r="DK111" s="3">
        <f>$H111*factors!DE$3</f>
        <v>0.46254155615999998</v>
      </c>
      <c r="DL111" s="3">
        <f>$H111*factors!DF$3</f>
        <v>0.45715272249599997</v>
      </c>
      <c r="DM111" s="3">
        <f>$H111*factors!DG$3</f>
        <v>0.43065762364799992</v>
      </c>
      <c r="DN111" s="3">
        <f>$H111*factors!DH$3</f>
        <v>0.45176388883200003</v>
      </c>
      <c r="DO111" s="3">
        <f>$H111*factors!DI$3</f>
        <v>0.46658318140799993</v>
      </c>
      <c r="DP111" s="3">
        <f>$H111*factors!DJ$3</f>
        <v>0.46254155615999998</v>
      </c>
      <c r="DQ111" s="3">
        <f>$H111*factors!DK$3</f>
        <v>0.44098622150399996</v>
      </c>
      <c r="DR111" s="3">
        <f>$H111*factors!DL$3</f>
        <v>0.43604645731199998</v>
      </c>
      <c r="DS111" s="3">
        <f>$H111*factors!DM$3</f>
        <v>0.47107387612799995</v>
      </c>
      <c r="DT111" s="3">
        <f>$H111*factors!DN$3</f>
        <v>0.44278249939199998</v>
      </c>
      <c r="DU111" s="3">
        <f>$H111*factors!DO$3</f>
        <v>0.46343969510399996</v>
      </c>
      <c r="DV111" s="3">
        <f>$H111*factors!DP$3</f>
        <v>0.45266202777600001</v>
      </c>
      <c r="DW111" s="3">
        <f>$H111*factors!DQ$3</f>
        <v>0.43200483206399992</v>
      </c>
      <c r="DX111" s="3">
        <f>$H111*factors!DR$3</f>
        <v>0.45760179196799994</v>
      </c>
      <c r="DY111" s="3">
        <f>$H111*factors!DS$3</f>
        <v>0.43425017942399996</v>
      </c>
      <c r="DZ111" s="3">
        <f>$H111*factors!DT$3</f>
        <v>0.46433783404799994</v>
      </c>
      <c r="EA111" s="3">
        <f>$H111*factors!DU$3</f>
        <v>0.43739366572799993</v>
      </c>
      <c r="EB111" s="3">
        <f>$H111*factors!DV$3</f>
        <v>0.42661599839999992</v>
      </c>
      <c r="EC111" s="3">
        <f>$H111*factors!DW$3</f>
        <v>0.45894900038399994</v>
      </c>
      <c r="ED111" s="3">
        <f>$H111*factors!DX$3</f>
        <v>0.43065762364799992</v>
      </c>
      <c r="EE111" s="3">
        <f>$H111*factors!DY$3</f>
        <v>0.43425017942399996</v>
      </c>
      <c r="EF111" s="3">
        <f>$H111*factors!DZ$3</f>
        <v>0.47107387612799995</v>
      </c>
      <c r="EG111" s="3">
        <f>$H111*factors!EA$3</f>
        <v>0.44008808255999998</v>
      </c>
      <c r="EH111" s="3">
        <f>$H111*factors!EB$3</f>
        <v>0.44143529097599998</v>
      </c>
      <c r="EI111" s="3">
        <f>$H111*factors!EC$3</f>
        <v>0.440537152032</v>
      </c>
      <c r="EJ111" s="3">
        <f>$H111*factors!ED$3</f>
        <v>0.42931041523199998</v>
      </c>
      <c r="EK111" s="3">
        <f>$H111*factors!EE$3</f>
        <v>0.45894900038399994</v>
      </c>
      <c r="EL111" s="3">
        <f>$H111*factors!EF$3</f>
        <v>0.43649552678399994</v>
      </c>
      <c r="EM111" s="3">
        <f>$H111*factors!EG$3</f>
        <v>0.4540092361919999</v>
      </c>
      <c r="EN111" s="3">
        <f>$H111*factors!EH$3</f>
        <v>0.42661599839999992</v>
      </c>
      <c r="EO111" s="3">
        <f>$H111*factors!EI$3</f>
        <v>0.4329029710079999</v>
      </c>
      <c r="EP111" s="3">
        <f>$H111*factors!EJ$3</f>
        <v>0.45670365302399996</v>
      </c>
      <c r="EQ111" s="3">
        <f>$H111*factors!EK$3</f>
        <v>0.44412970780799993</v>
      </c>
      <c r="ER111" s="3">
        <f>$H111*factors!EL$3</f>
        <v>0.46254155615999998</v>
      </c>
      <c r="ES111" s="3">
        <f>$H111*factors!EM$3</f>
        <v>0.45670365302399996</v>
      </c>
      <c r="ET111" s="3">
        <f>$H111*factors!EN$3</f>
        <v>0.46703225088</v>
      </c>
      <c r="EU111" s="3">
        <f>$H111*factors!EO$3</f>
        <v>0.47152294559999997</v>
      </c>
      <c r="EV111" s="3">
        <f>$H111*factors!EP$3</f>
        <v>0.44188436044799995</v>
      </c>
      <c r="EW111" s="3">
        <f>$H111*factors!EQ$3</f>
        <v>0.48602414729999993</v>
      </c>
      <c r="EX111" s="3">
        <f>$H111*factors!ER$3</f>
        <v>0.48087855960000003</v>
      </c>
      <c r="EY111" s="3">
        <f>$H111*factors!ES$3</f>
        <v>0.49070195429999991</v>
      </c>
      <c r="EZ111" s="3">
        <f>$H111*factors!ET$3</f>
        <v>0.48602414729999993</v>
      </c>
      <c r="FA111" s="3">
        <f>$H111*factors!EU$3</f>
        <v>0.44673056849999992</v>
      </c>
      <c r="FB111" s="3">
        <f>$H111*factors!EV$3</f>
        <v>0.46684513859999999</v>
      </c>
      <c r="FC111" s="3">
        <f>$H111*factors!EW$3</f>
        <v>0.47994299819999997</v>
      </c>
      <c r="FD111" s="3">
        <f>$H111*factors!EX$3</f>
        <v>0.46310289300000002</v>
      </c>
      <c r="FE111" s="3">
        <f>$H111*factors!EY$3</f>
        <v>0.48789527009999994</v>
      </c>
      <c r="FF111" s="3">
        <f>$H111*factors!EZ$3</f>
        <v>0.48836305080000003</v>
      </c>
      <c r="FG111" s="3">
        <f>$H111*factors!FA$3</f>
        <v>0.44673056849999992</v>
      </c>
      <c r="FH111" s="3">
        <f>$H111*factors!FB$3</f>
        <v>0.47011960349999993</v>
      </c>
      <c r="FI111" s="3">
        <f>$H111*factors!FC$3</f>
        <v>0.4897663928999999</v>
      </c>
      <c r="FJ111" s="3">
        <f>$H111*factors!FD$3</f>
        <v>0.47011960349999993</v>
      </c>
      <c r="FK111" s="3">
        <f>$H111*factors!FE$3</f>
        <v>0.47807187540000001</v>
      </c>
      <c r="FL111" s="3">
        <f>$H111*factors!FF$3</f>
        <v>0.47947521749999999</v>
      </c>
      <c r="FM111" s="3">
        <f>$H111*factors!FG$3</f>
        <v>0.48462080519999995</v>
      </c>
      <c r="FN111" s="3">
        <f>$H111*factors!FH$3</f>
        <v>0.45327949829999997</v>
      </c>
      <c r="FO111" s="3">
        <f>$H111*factors!FI$3</f>
        <v>0.48134634029999995</v>
      </c>
      <c r="FP111" s="3">
        <f>$H111*factors!FJ$3</f>
        <v>0.46778069999999999</v>
      </c>
      <c r="FQ111" s="3">
        <f>$H111*factors!FK$3</f>
        <v>0.46310289300000002</v>
      </c>
      <c r="FR111" s="3">
        <f>$H111*factors!FL$3</f>
        <v>0.47245850699999997</v>
      </c>
      <c r="FS111" s="3">
        <f>$H111*factors!FM$3</f>
        <v>0.46965182279999995</v>
      </c>
      <c r="FT111" s="3">
        <f>$H111*factors!FN$3</f>
        <v>0.47994299819999997</v>
      </c>
      <c r="FU111" s="3">
        <f>$H111*factors!FO$3</f>
        <v>0.46123177019999995</v>
      </c>
      <c r="FV111" s="3">
        <f>$H111*factors!FP$3</f>
        <v>0.45748952459999997</v>
      </c>
      <c r="FW111" s="3">
        <f>$H111*factors!FQ$3</f>
        <v>0.4897663928999999</v>
      </c>
      <c r="FX111" s="3">
        <f>$H111*factors!FR$3</f>
        <v>0.48087855960000003</v>
      </c>
      <c r="FY111" s="3">
        <f>$H111*factors!FS$3</f>
        <v>0.47105516489999993</v>
      </c>
      <c r="FZ111" s="3">
        <f>$H111*factors!FT$3</f>
        <v>0.44766612989999999</v>
      </c>
      <c r="GA111" s="3">
        <f>$H111*factors!FU$3</f>
        <v>0.47105516489999993</v>
      </c>
      <c r="GB111" s="3">
        <f>$H111*factors!FV$3</f>
        <v>0.48836305080000003</v>
      </c>
      <c r="GC111" s="3">
        <f>$H111*factors!FW$3</f>
        <v>0.45748952459999997</v>
      </c>
      <c r="GD111" s="3">
        <f>$H111*factors!FX$3</f>
        <v>0.46544179649999995</v>
      </c>
      <c r="GE111" s="3">
        <f>$H111*factors!FY$3</f>
        <v>0.46544179649999995</v>
      </c>
      <c r="GF111" s="3">
        <f>$H111*factors!FZ$3</f>
        <v>0.46403845439999997</v>
      </c>
      <c r="GG111" s="3">
        <f>$H111*factors!GA$3</f>
        <v>0.44579500709999997</v>
      </c>
      <c r="GH111" s="3">
        <f>$H111*factors!GB$3</f>
        <v>0.47432962979999999</v>
      </c>
      <c r="GI111" s="3">
        <f>$H111*factors!GC$3</f>
        <v>0.44485944569999997</v>
      </c>
      <c r="GJ111" s="3">
        <f>$H111*factors!GD$3</f>
        <v>0.44579500709999997</v>
      </c>
      <c r="GK111" s="3">
        <f>$H111*factors!GE$3</f>
        <v>0.45702174389999994</v>
      </c>
      <c r="GL111" s="3">
        <f>$H111*factors!GF$3</f>
        <v>0.48415302449999997</v>
      </c>
      <c r="GM111" s="3">
        <f>$H111*factors!GG$3</f>
        <v>0.45889286670000001</v>
      </c>
      <c r="GN111" s="3">
        <f>$H111*factors!GH$3</f>
        <v>0.47339406840000003</v>
      </c>
      <c r="GO111" s="3">
        <f>$H111*factors!GI$3</f>
        <v>0.4471983491999999</v>
      </c>
      <c r="GP111" s="3">
        <f>$H111*factors!GJ$3</f>
        <v>0.47947521749999999</v>
      </c>
      <c r="GQ111" s="3">
        <f>$H111*factors!GK$3</f>
        <v>0.48929861220000004</v>
      </c>
      <c r="GR111" s="3">
        <f>$H111*factors!GL$3</f>
        <v>0.47994299819999997</v>
      </c>
      <c r="GS111" s="3">
        <f>$H111*factors!GM$3</f>
        <v>0.45387825759599998</v>
      </c>
      <c r="GT111" s="3">
        <f>$H111*factors!GN$3</f>
        <v>0.46433409180239998</v>
      </c>
      <c r="GU111" s="3">
        <f>$H111*factors!GO$3</f>
        <v>0.47526519119999999</v>
      </c>
      <c r="GV111" s="3">
        <f>$H111*factors!GP$3</f>
        <v>0.45625458355199999</v>
      </c>
      <c r="GW111" s="3">
        <f>$H111*factors!GQ$3</f>
        <v>0.47241360005279998</v>
      </c>
      <c r="GX111" s="3">
        <f>$H111*factors!GR$3</f>
        <v>0.46480935699359993</v>
      </c>
      <c r="GY111" s="3">
        <f>$H111*factors!GS$3</f>
        <v>0.46243303103760003</v>
      </c>
      <c r="GZ111" s="3">
        <f>$H111*factors!GT$3</f>
        <v>0.47954257792079991</v>
      </c>
      <c r="HA111" s="3">
        <f>$H111*factors!GU$3</f>
        <v>0.46385882661119998</v>
      </c>
      <c r="HB111" s="3">
        <f>$H111*factors!GV$3</f>
        <v>0.47954257792079991</v>
      </c>
      <c r="HC111" s="3">
        <f>$H111*factors!GW$3</f>
        <v>0.46766094814079995</v>
      </c>
      <c r="HD111" s="3">
        <f>$H111*factors!GX$3</f>
        <v>0.48144363868559992</v>
      </c>
      <c r="HE111" s="3">
        <f>$H111*factors!GY$3</f>
        <v>0.47526519119999999</v>
      </c>
      <c r="HF111" s="3">
        <f>$H111*factors!GZ$3</f>
        <v>0.48999841212719997</v>
      </c>
      <c r="HG111" s="3">
        <f>$H111*factors!HA$3</f>
        <v>0.47098780447919997</v>
      </c>
      <c r="HH111" s="3">
        <f>$H111*factors!HB$3</f>
        <v>0.46480935699359993</v>
      </c>
      <c r="HI111" s="3">
        <f>$H111*factors!HC$3</f>
        <v>0.45910617469920001</v>
      </c>
      <c r="HJ111" s="3">
        <f>$H111*factors!HD$3</f>
        <v>0.45387825759599998</v>
      </c>
      <c r="HK111" s="3">
        <f>$H111*factors!HE$3</f>
        <v>0.48001784311199996</v>
      </c>
      <c r="HL111" s="3">
        <f>$H111*factors!HF$3</f>
        <v>0.45245246202239991</v>
      </c>
      <c r="HM111" s="3">
        <f>$H111*factors!HG$3</f>
        <v>0.4572051139344</v>
      </c>
      <c r="HN111" s="3">
        <f>$H111*factors!HH$3</f>
        <v>0.48762208617120001</v>
      </c>
      <c r="HO111" s="3">
        <f>$H111*factors!HI$3</f>
        <v>0.46766094814079995</v>
      </c>
      <c r="HP111" s="3">
        <f>$H111*factors!HJ$3</f>
        <v>0.49902845076000002</v>
      </c>
      <c r="HQ111" s="3">
        <f>$H111*factors!HK$3</f>
        <v>0.45625458355199999</v>
      </c>
      <c r="HR111" s="3">
        <f>$H111*factors!HL$3</f>
        <v>0.48381996464160004</v>
      </c>
      <c r="HS111" s="3">
        <f>$H111*factors!HM$3</f>
        <v>0.49237473808319998</v>
      </c>
      <c r="HT111" s="3">
        <f>$H111*factors!HN$3</f>
        <v>0.45910617469920001</v>
      </c>
      <c r="HU111" s="3">
        <f>$H111*factors!HO$3</f>
        <v>0.46385882661119998</v>
      </c>
      <c r="HV111" s="3">
        <f>$H111*factors!HP$3</f>
        <v>0.46956200890560001</v>
      </c>
      <c r="HW111" s="3">
        <f>$H111*factors!HQ$3</f>
        <v>0.4762157215824</v>
      </c>
      <c r="HX111" s="3">
        <f>$H111*factors!HR$3</f>
        <v>0.49570159442159994</v>
      </c>
      <c r="HY111" s="3">
        <f>$H111*factors!HS$3</f>
        <v>0.47098780447919997</v>
      </c>
      <c r="HZ111" s="3">
        <f>$H111*factors!HT$3</f>
        <v>0.48904788174479996</v>
      </c>
      <c r="IA111" s="3">
        <f>$H111*factors!HU$3</f>
        <v>0.46528462218479999</v>
      </c>
      <c r="IB111" s="3">
        <f>$H111*factors!HV$3</f>
        <v>0.48144363868559992</v>
      </c>
      <c r="IC111" s="3">
        <f>$H111*factors!HW$3</f>
        <v>0.48619629059759994</v>
      </c>
      <c r="ID111" s="3">
        <f>$H111*factors!HX$3</f>
        <v>0.45150193163999996</v>
      </c>
      <c r="IE111" s="3">
        <f>$H111*factors!HY$3</f>
        <v>0.47954257792079991</v>
      </c>
      <c r="IF111" s="3">
        <f>$H111*factors!HZ$3</f>
        <v>0.47669098677359995</v>
      </c>
      <c r="IG111" s="3">
        <f>$H111*factors!IA$3</f>
        <v>0.47241360005279998</v>
      </c>
      <c r="IH111" s="3">
        <f>$H111*factors!IB$3</f>
        <v>0.48999841212719997</v>
      </c>
      <c r="II111" s="3">
        <f>$H111*factors!IC$3</f>
        <v>0.46908674371439996</v>
      </c>
      <c r="IJ111" s="3">
        <f>$H111*factors!ID$3</f>
        <v>0.47336413043519998</v>
      </c>
      <c r="IK111" s="3">
        <f>$H111*factors!IE$3</f>
        <v>0.49047367731839997</v>
      </c>
      <c r="IL111" s="3">
        <f>$H111*factors!IF$3</f>
        <v>0.46956200890560001</v>
      </c>
      <c r="IM111" s="3">
        <f>$H111*factors!IG$3</f>
        <v>0.46528462218479999</v>
      </c>
      <c r="IN111" s="3">
        <f>$H111*factors!IH$3</f>
        <v>0.46813621333200001</v>
      </c>
      <c r="IO111" s="3">
        <f>$H111*factors!II$3</f>
        <v>0.47288886524399998</v>
      </c>
      <c r="IP111" s="3">
        <f>$H111*factors!IJ$3</f>
        <v>0.4572051139344</v>
      </c>
      <c r="IQ111" s="3">
        <f>$H111*factors!IK$3</f>
        <v>0.45577931836079999</v>
      </c>
      <c r="IR111" s="3">
        <f>$H111*factors!IL$3</f>
        <v>0.46908674371439996</v>
      </c>
      <c r="IS111" s="3">
        <f>$H111*factors!IM$3</f>
        <v>0.47288886524399998</v>
      </c>
      <c r="IT111" s="3">
        <f>$H111*factors!IN$3</f>
        <v>0.4762157215824</v>
      </c>
      <c r="IU111" s="3">
        <f>$H111*factors!IO$3</f>
        <v>0.4866715557888</v>
      </c>
      <c r="IV111" s="3">
        <f>$H111*factors!IP$3</f>
        <v>0.49285000327439993</v>
      </c>
      <c r="IW111" s="3">
        <f>$H111*factors!IQ$3</f>
        <v>0.46575988737599994</v>
      </c>
      <c r="IX111" s="3">
        <f>$H111*factors!IR$3</f>
        <v>0.4866715557888</v>
      </c>
      <c r="IY111" s="3">
        <f>$H111*factors!IS$3</f>
        <v>0.47954257792079991</v>
      </c>
      <c r="IZ111" s="3">
        <f>$H111*factors!IT$3</f>
        <v>0.48762208617120001</v>
      </c>
      <c r="JA111" s="3">
        <f>$H111*factors!IU$3</f>
        <v>0.46053197027279996</v>
      </c>
      <c r="JB111" s="3">
        <f>$H111*factors!IV$3</f>
        <v>0.46908674371439996</v>
      </c>
      <c r="JC111" s="3">
        <f>$H111*factors!IW$3</f>
        <v>0.4581556443168</v>
      </c>
      <c r="JD111" s="3">
        <f>$H111*factors!IX$3</f>
        <v>0.49902845076000002</v>
      </c>
      <c r="JE111" s="3">
        <f>$H111*factors!IY$3</f>
        <v>0.45958143989039996</v>
      </c>
      <c r="JF111" s="3">
        <f>$H111*factors!IZ$3</f>
        <v>0.48239416906799992</v>
      </c>
      <c r="JG111" s="3">
        <f>$H111*factors!JA$3</f>
        <v>0.47383939562639993</v>
      </c>
      <c r="JH111" s="3">
        <f>$H111*factors!JB$3</f>
        <v>0.48286943425920004</v>
      </c>
      <c r="JI111" s="3">
        <f>$H111*factors!JC$3</f>
        <v>0.45197719683119997</v>
      </c>
      <c r="JJ111" s="3">
        <f>$H111*factors!JD$3</f>
        <v>0.4866715557888</v>
      </c>
      <c r="JK111" s="3">
        <f>$H111*factors!JE$3</f>
        <v>0.47098780447919997</v>
      </c>
      <c r="JL111" s="3">
        <f>$H111*factors!JF$3</f>
        <v>0.48999841212719997</v>
      </c>
      <c r="JM111" s="3">
        <f>$H111*factors!JG$3</f>
        <v>0.4572051139344</v>
      </c>
      <c r="JN111" s="3">
        <f>$H111*factors!JH$3</f>
        <v>0.4572051139344</v>
      </c>
      <c r="JO111" s="3">
        <f>$H111*factors!JI$3</f>
        <v>0.45150193163999996</v>
      </c>
      <c r="JP111" s="3">
        <f>$H111*factors!JJ$3</f>
        <v>0.48809735136239996</v>
      </c>
      <c r="JQ111" s="3">
        <f>$H111*factors!JK$3</f>
        <v>0.47574045639119994</v>
      </c>
      <c r="JR111" s="3">
        <f>$H111*factors!JL$3</f>
        <v>0.49427579884799999</v>
      </c>
      <c r="JS111" s="3">
        <f>$H111*factors!JM$3</f>
        <v>0.45150193163999996</v>
      </c>
      <c r="JT111" s="3">
        <f>$H111*factors!JN$3</f>
        <v>0.47431466081759999</v>
      </c>
      <c r="JU111" s="3">
        <f>$H111*factors!JO$3</f>
        <v>0.45863090950799995</v>
      </c>
      <c r="JV111" s="3">
        <f>$H111*factors!JP$3</f>
        <v>0.4662351525672</v>
      </c>
      <c r="JW111" s="3">
        <f>$H111*factors!JQ$3</f>
        <v>0.49807792037760001</v>
      </c>
      <c r="JX111" s="3">
        <f>$H111*factors!JR$3</f>
        <v>0.49332526846559999</v>
      </c>
      <c r="JY111" s="3">
        <f>$H111*factors!JS$3</f>
        <v>0.46433409180239998</v>
      </c>
      <c r="JZ111" s="3">
        <f>$H111*factors!JT$3</f>
        <v>0.46956200890560001</v>
      </c>
      <c r="KA111" s="3">
        <f>$H111*factors!JU$3</f>
        <v>0.47146306967040003</v>
      </c>
      <c r="KB111" s="3">
        <f>$H111*factors!JV$3</f>
        <v>0.45577931836079999</v>
      </c>
      <c r="KC111" s="3">
        <f>$H111*factors!JW$3</f>
        <v>0.4581556443168</v>
      </c>
      <c r="KD111" s="3">
        <f>$H111*factors!JX$3</f>
        <v>0.45863090950799995</v>
      </c>
      <c r="KE111" s="3">
        <f>$H111*factors!JY$3</f>
        <v>0.48809735136239996</v>
      </c>
      <c r="KF111" s="3">
        <f>$H111*factors!JZ$3</f>
        <v>0.49380053365679993</v>
      </c>
      <c r="KG111" s="3">
        <f>$H111*factors!KA$3</f>
        <v>0.4762157215824</v>
      </c>
      <c r="KH111" s="3">
        <f>$H111*factors!KB$3</f>
        <v>0.46575988737599994</v>
      </c>
      <c r="KI111" s="3">
        <f>$H111*factors!KC$3</f>
        <v>0.46148250065519991</v>
      </c>
    </row>
    <row r="112" spans="1:295" x14ac:dyDescent="0.55000000000000004">
      <c r="A112" t="s">
        <v>489</v>
      </c>
      <c r="B112">
        <v>111</v>
      </c>
      <c r="C112">
        <v>230</v>
      </c>
      <c r="D112" t="s">
        <v>377</v>
      </c>
      <c r="E112">
        <v>3.3409999999999998E-3</v>
      </c>
      <c r="F112">
        <v>111</v>
      </c>
      <c r="G112">
        <f>VLOOKUP(D112,demand_forecasted!$A$2:$G$11,2)</f>
        <v>11098</v>
      </c>
      <c r="H112" s="3">
        <f t="shared" si="2"/>
        <v>0.37078418000000002</v>
      </c>
      <c r="I112" s="3">
        <f>$H112*factors!C$3</f>
        <v>0.41045808725999999</v>
      </c>
      <c r="J112" s="3">
        <f>$H112*factors!D$3</f>
        <v>0.39564155142720003</v>
      </c>
      <c r="K112" s="3">
        <f>$H112*factors!E$3</f>
        <v>0.38883395388240005</v>
      </c>
      <c r="L112" s="3">
        <f>$H112*factors!F$3</f>
        <v>0.38763261313920006</v>
      </c>
      <c r="M112" s="3">
        <f>$H112*factors!G$3</f>
        <v>0.3872321662248</v>
      </c>
      <c r="N112" s="3">
        <f>$H112*factors!H$3</f>
        <v>0.39844467982800003</v>
      </c>
      <c r="O112" s="3">
        <f>$H112*factors!I$3</f>
        <v>0.4072545119448</v>
      </c>
      <c r="P112" s="3">
        <f>$H112*factors!J$3</f>
        <v>0.41205987491760004</v>
      </c>
      <c r="Q112" s="3">
        <f>$H112*factors!K$3</f>
        <v>0.3868317193104</v>
      </c>
      <c r="R112" s="3">
        <f>$H112*factors!L$3</f>
        <v>0.38042456868000002</v>
      </c>
      <c r="S112" s="3">
        <f>$H112*factors!M$3</f>
        <v>0.39604199834160003</v>
      </c>
      <c r="T112" s="3">
        <f>$H112*factors!N$3</f>
        <v>0.40965719343120005</v>
      </c>
      <c r="U112" s="3">
        <f>$H112*factors!O$3</f>
        <v>0.38803306005360005</v>
      </c>
      <c r="V112" s="3">
        <f>$H112*factors!P$3</f>
        <v>0.40365048971520007</v>
      </c>
      <c r="W112" s="3">
        <f>$H112*factors!Q$3</f>
        <v>0.4072545119448</v>
      </c>
      <c r="X112" s="3">
        <f>$H112*factors!R$3</f>
        <v>0.38963484771119999</v>
      </c>
      <c r="Y112" s="3">
        <f>$H112*factors!S$3</f>
        <v>0.38603082548160006</v>
      </c>
      <c r="Z112" s="3">
        <f>$H112*factors!T$3</f>
        <v>0.41646479097600009</v>
      </c>
      <c r="AA112" s="3">
        <f>$H112*factors!U$3</f>
        <v>0.39323886994079998</v>
      </c>
      <c r="AB112" s="3">
        <f>$H112*factors!V$3</f>
        <v>0.39363931685520009</v>
      </c>
      <c r="AC112" s="3">
        <f>$H112*factors!W$3</f>
        <v>0.39403976376960004</v>
      </c>
      <c r="AD112" s="3">
        <f>$H112*factors!X$3</f>
        <v>0.38563037856720006</v>
      </c>
      <c r="AE112" s="3">
        <f>$H112*factors!Y$3</f>
        <v>0.38883395388240005</v>
      </c>
      <c r="AF112" s="3">
        <f>$H112*factors!Z$3</f>
        <v>0.39684289217040009</v>
      </c>
      <c r="AG112" s="3">
        <f>$H112*factors!AA$3</f>
        <v>0.3868317193104</v>
      </c>
      <c r="AH112" s="3">
        <f>$H112*factors!AB$3</f>
        <v>0.38522993165280006</v>
      </c>
      <c r="AI112" s="3">
        <f>$H112*factors!AC$3</f>
        <v>0.39764378599920003</v>
      </c>
      <c r="AJ112" s="3">
        <f>$H112*factors!AD$3</f>
        <v>0.41286076874640004</v>
      </c>
      <c r="AK112" s="3">
        <f>$H112*factors!AE$3</f>
        <v>0.39724333908480003</v>
      </c>
      <c r="AL112" s="3">
        <f>$H112*factors!AF$3</f>
        <v>0.38162590942320002</v>
      </c>
      <c r="AM112" s="3">
        <f>$H112*factors!AG$3</f>
        <v>0.39243797611200004</v>
      </c>
      <c r="AN112" s="3">
        <f>$H112*factors!AH$3</f>
        <v>0.38603082548160006</v>
      </c>
      <c r="AO112" s="3">
        <f>$H112*factors!AI$3</f>
        <v>0.40445138354400001</v>
      </c>
      <c r="AP112" s="3">
        <f>$H112*factors!AJ$3</f>
        <v>0.38763261313920006</v>
      </c>
      <c r="AQ112" s="3">
        <f>$H112*factors!AK$3</f>
        <v>0.40004646748560008</v>
      </c>
      <c r="AR112" s="3">
        <f>$H112*factors!AL$3</f>
        <v>0.39123663536880005</v>
      </c>
      <c r="AS112" s="3">
        <f>$H112*factors!AM$3</f>
        <v>0.38162590942320002</v>
      </c>
      <c r="AT112" s="3">
        <f>$H112*factors!AN$3</f>
        <v>0.39363931685520009</v>
      </c>
      <c r="AU112" s="3">
        <f>$H112*factors!AO$3</f>
        <v>0.41686523789039998</v>
      </c>
      <c r="AV112" s="3">
        <f>$H112*factors!AP$3</f>
        <v>0.39403976376960004</v>
      </c>
      <c r="AW112" s="3">
        <f>$H112*factors!AQ$3</f>
        <v>0.39003529462559999</v>
      </c>
      <c r="AX112" s="3">
        <f>$H112*factors!AR$3</f>
        <v>0.41246032183200004</v>
      </c>
      <c r="AY112" s="3">
        <f>$H112*factors!AS$3</f>
        <v>0.38042456868000002</v>
      </c>
      <c r="AZ112" s="3">
        <f>$H112*factors!AT$3</f>
        <v>0.40765495885920011</v>
      </c>
      <c r="BA112" s="3">
        <f>$H112*factors!AU$3</f>
        <v>0.39884512674240002</v>
      </c>
      <c r="BB112" s="3">
        <f>$H112*factors!AV$3</f>
        <v>0.39363931685520009</v>
      </c>
      <c r="BC112" s="3">
        <f>$H112*factors!AW$3</f>
        <v>0.41646479097600009</v>
      </c>
      <c r="BD112" s="3">
        <f>$H112*factors!AX$3</f>
        <v>0.38442903782400001</v>
      </c>
      <c r="BE112" s="3">
        <f>$H112*factors!AY$3</f>
        <v>0.45196366836919999</v>
      </c>
      <c r="BF112" s="3">
        <f>$H112*factors!AZ$3</f>
        <v>0.42089936976879999</v>
      </c>
      <c r="BG112" s="3">
        <f>$H112*factors!BA$3</f>
        <v>0.42702472442239997</v>
      </c>
      <c r="BH112" s="3">
        <f>$H112*factors!BB$3</f>
        <v>0.43271255374360001</v>
      </c>
      <c r="BI112" s="3">
        <f>$H112*factors!BC$3</f>
        <v>0.44846346570999995</v>
      </c>
      <c r="BJ112" s="3">
        <f>$H112*factors!BD$3</f>
        <v>0.4283373004196</v>
      </c>
      <c r="BK112" s="3">
        <f>$H112*factors!BE$3</f>
        <v>0.42921235108439998</v>
      </c>
      <c r="BL112" s="3">
        <f>$H112*factors!BF$3</f>
        <v>0.42439957242799997</v>
      </c>
      <c r="BM112" s="3">
        <f>$H112*factors!BG$3</f>
        <v>0.45327624436640002</v>
      </c>
      <c r="BN112" s="3">
        <f>$H112*factors!BH$3</f>
        <v>0.44758841504519997</v>
      </c>
      <c r="BO112" s="3">
        <f>$H112*factors!BI$3</f>
        <v>0.42089936976879999</v>
      </c>
      <c r="BP112" s="3">
        <f>$H112*factors!BJ$3</f>
        <v>0.41958679377159996</v>
      </c>
      <c r="BQ112" s="3">
        <f>$H112*factors!BK$3</f>
        <v>0.42658719908999998</v>
      </c>
      <c r="BR112" s="3">
        <f>$H112*factors!BL$3</f>
        <v>0.44190058572400004</v>
      </c>
      <c r="BS112" s="3">
        <f>$H112*factors!BM$3</f>
        <v>0.4489009910424</v>
      </c>
      <c r="BT112" s="3">
        <f>$H112*factors!BN$3</f>
        <v>0.45021356703959997</v>
      </c>
      <c r="BU112" s="3">
        <f>$H112*factors!BO$3</f>
        <v>0.45765149769040003</v>
      </c>
      <c r="BV112" s="3">
        <f>$H112*factors!BP$3</f>
        <v>0.4257121484252</v>
      </c>
      <c r="BW112" s="3">
        <f>$H112*factors!BQ$3</f>
        <v>0.43533770573800001</v>
      </c>
      <c r="BX112" s="3">
        <f>$H112*factors!BR$3</f>
        <v>0.42702472442239997</v>
      </c>
      <c r="BY112" s="3">
        <f>$H112*factors!BS$3</f>
        <v>0.44671336438039994</v>
      </c>
      <c r="BZ112" s="3">
        <f>$H112*factors!BT$3</f>
        <v>0.43840038306479995</v>
      </c>
      <c r="CA112" s="3">
        <f>$H112*factors!BU$3</f>
        <v>0.43271255374360001</v>
      </c>
      <c r="CB112" s="3">
        <f>$H112*factors!BV$3</f>
        <v>0.41871174310679998</v>
      </c>
      <c r="CC112" s="3">
        <f>$H112*factors!BW$3</f>
        <v>0.430962452414</v>
      </c>
      <c r="CD112" s="3">
        <f>$H112*factors!BX$3</f>
        <v>0.43227502841120002</v>
      </c>
      <c r="CE112" s="3">
        <f>$H112*factors!BY$3</f>
        <v>0.43840038306479995</v>
      </c>
      <c r="CF112" s="3">
        <f>$H112*factors!BZ$3</f>
        <v>0.43183750307880003</v>
      </c>
      <c r="CG112" s="3">
        <f>$H112*factors!CA$3</f>
        <v>0.41739916710959996</v>
      </c>
      <c r="CH112" s="3">
        <f>$H112*factors!CB$3</f>
        <v>0.41783669244199995</v>
      </c>
      <c r="CI112" s="3">
        <f>$H112*factors!CC$3</f>
        <v>0.41564906577999999</v>
      </c>
      <c r="CJ112" s="3">
        <f>$H112*factors!CD$3</f>
        <v>0.43271255374360001</v>
      </c>
      <c r="CK112" s="3">
        <f>$H112*factors!CE$3</f>
        <v>0.45196366836919999</v>
      </c>
      <c r="CL112" s="3">
        <f>$H112*factors!CF$3</f>
        <v>0.42352452176319999</v>
      </c>
      <c r="CM112" s="3">
        <f>$H112*factors!CG$3</f>
        <v>0.4335876044084</v>
      </c>
      <c r="CN112" s="3">
        <f>$H112*factors!CH$3</f>
        <v>0.41914926843919997</v>
      </c>
      <c r="CO112" s="3">
        <f>$H112*factors!CI$3</f>
        <v>0.42221194576599996</v>
      </c>
      <c r="CP112" s="3">
        <f>$H112*factors!CJ$3</f>
        <v>0.44233811105639992</v>
      </c>
      <c r="CQ112" s="3">
        <f>$H112*factors!CK$3</f>
        <v>0.42921235108439998</v>
      </c>
      <c r="CR112" s="3">
        <f>$H112*factors!CL$3</f>
        <v>0.44277563638879996</v>
      </c>
      <c r="CS112" s="3">
        <f>$H112*factors!CM$3</f>
        <v>0.4567764470256</v>
      </c>
      <c r="CT112" s="3">
        <f>$H112*factors!CN$3</f>
        <v>0.4515261430368</v>
      </c>
      <c r="CU112" s="3">
        <f>$H112*factors!CO$3</f>
        <v>0.44146306039159994</v>
      </c>
      <c r="CV112" s="3">
        <f>$H112*factors!CP$3</f>
        <v>0.45940159902</v>
      </c>
      <c r="CW112" s="3">
        <f>$H112*factors!CQ$3</f>
        <v>0.43446265507320003</v>
      </c>
      <c r="CX112" s="3">
        <f>$H112*factors!CR$3</f>
        <v>0.42789977508720001</v>
      </c>
      <c r="CY112" s="3">
        <f>$H112*factors!CS$3</f>
        <v>0.42396204709559998</v>
      </c>
      <c r="CZ112" s="3">
        <f>$H112*factors!CT$3</f>
        <v>0.41783669244199995</v>
      </c>
      <c r="DA112" s="3">
        <f>$H112*factors!CU$3</f>
        <v>0.43381749060000002</v>
      </c>
      <c r="DB112" s="3">
        <f>$H112*factors!CV$3</f>
        <v>0.46184877460800006</v>
      </c>
      <c r="DC112" s="3">
        <f>$H112*factors!CW$3</f>
        <v>0.44227136990399996</v>
      </c>
      <c r="DD112" s="3">
        <f>$H112*factors!CX$3</f>
        <v>0.43915678279199999</v>
      </c>
      <c r="DE112" s="3">
        <f>$H112*factors!CY$3</f>
        <v>0.45206007225600003</v>
      </c>
      <c r="DF112" s="3">
        <f>$H112*factors!CZ$3</f>
        <v>0.45117019022399996</v>
      </c>
      <c r="DG112" s="3">
        <f>$H112*factors!DA$3</f>
        <v>0.44939042616000002</v>
      </c>
      <c r="DH112" s="3">
        <f>$H112*factors!DB$3</f>
        <v>0.44939042616000002</v>
      </c>
      <c r="DI112" s="3">
        <f>$H112*factors!DC$3</f>
        <v>0.43248266755199999</v>
      </c>
      <c r="DJ112" s="3">
        <f>$H112*factors!DD$3</f>
        <v>0.45828924648000002</v>
      </c>
      <c r="DK112" s="3">
        <f>$H112*factors!DE$3</f>
        <v>0.45828924648000002</v>
      </c>
      <c r="DL112" s="3">
        <f>$H112*factors!DF$3</f>
        <v>0.45294995428800006</v>
      </c>
      <c r="DM112" s="3">
        <f>$H112*factors!DG$3</f>
        <v>0.42669843434399995</v>
      </c>
      <c r="DN112" s="3">
        <f>$H112*factors!DH$3</f>
        <v>0.44761066209600003</v>
      </c>
      <c r="DO112" s="3">
        <f>$H112*factors!DI$3</f>
        <v>0.46229371562400001</v>
      </c>
      <c r="DP112" s="3">
        <f>$H112*factors!DJ$3</f>
        <v>0.45828924648000002</v>
      </c>
      <c r="DQ112" s="3">
        <f>$H112*factors!DK$3</f>
        <v>0.43693207771199999</v>
      </c>
      <c r="DR112" s="3">
        <f>$H112*factors!DL$3</f>
        <v>0.43203772653600003</v>
      </c>
      <c r="DS112" s="3">
        <f>$H112*factors!DM$3</f>
        <v>0.46674312578400001</v>
      </c>
      <c r="DT112" s="3">
        <f>$H112*factors!DN$3</f>
        <v>0.43871184177600003</v>
      </c>
      <c r="DU112" s="3">
        <f>$H112*factors!DO$3</f>
        <v>0.45917912851199999</v>
      </c>
      <c r="DV112" s="3">
        <f>$H112*factors!DP$3</f>
        <v>0.448500544128</v>
      </c>
      <c r="DW112" s="3">
        <f>$H112*factors!DQ$3</f>
        <v>0.42803325739199999</v>
      </c>
      <c r="DX112" s="3">
        <f>$H112*factors!DR$3</f>
        <v>0.45339489530399996</v>
      </c>
      <c r="DY112" s="3">
        <f>$H112*factors!DS$3</f>
        <v>0.43025796247199999</v>
      </c>
      <c r="DZ112" s="3">
        <f>$H112*factors!DT$3</f>
        <v>0.46006901054400001</v>
      </c>
      <c r="EA112" s="3">
        <f>$H112*factors!DU$3</f>
        <v>0.43337254958399996</v>
      </c>
      <c r="EB112" s="3">
        <f>$H112*factors!DV$3</f>
        <v>0.42269396519999997</v>
      </c>
      <c r="EC112" s="3">
        <f>$H112*factors!DW$3</f>
        <v>0.45472971835199999</v>
      </c>
      <c r="ED112" s="3">
        <f>$H112*factors!DX$3</f>
        <v>0.42669843434399995</v>
      </c>
      <c r="EE112" s="3">
        <f>$H112*factors!DY$3</f>
        <v>0.43025796247199999</v>
      </c>
      <c r="EF112" s="3">
        <f>$H112*factors!DZ$3</f>
        <v>0.46674312578400001</v>
      </c>
      <c r="EG112" s="3">
        <f>$H112*factors!EA$3</f>
        <v>0.43604219568000002</v>
      </c>
      <c r="EH112" s="3">
        <f>$H112*factors!EB$3</f>
        <v>0.437377018728</v>
      </c>
      <c r="EI112" s="3">
        <f>$H112*factors!EC$3</f>
        <v>0.43648713669600003</v>
      </c>
      <c r="EJ112" s="3">
        <f>$H112*factors!ED$3</f>
        <v>0.42536361129600003</v>
      </c>
      <c r="EK112" s="3">
        <f>$H112*factors!EE$3</f>
        <v>0.45472971835199999</v>
      </c>
      <c r="EL112" s="3">
        <f>$H112*factors!EF$3</f>
        <v>0.43248266755199999</v>
      </c>
      <c r="EM112" s="3">
        <f>$H112*factors!EG$3</f>
        <v>0.44983536717599998</v>
      </c>
      <c r="EN112" s="3">
        <f>$H112*factors!EH$3</f>
        <v>0.42269396519999997</v>
      </c>
      <c r="EO112" s="3">
        <f>$H112*factors!EI$3</f>
        <v>0.42892313942399996</v>
      </c>
      <c r="EP112" s="3">
        <f>$H112*factors!EJ$3</f>
        <v>0.45250501327199999</v>
      </c>
      <c r="EQ112" s="3">
        <f>$H112*factors!EK$3</f>
        <v>0.44004666482399996</v>
      </c>
      <c r="ER112" s="3">
        <f>$H112*factors!EL$3</f>
        <v>0.45828924648000002</v>
      </c>
      <c r="ES112" s="3">
        <f>$H112*factors!EM$3</f>
        <v>0.45250501327199999</v>
      </c>
      <c r="ET112" s="3">
        <f>$H112*factors!EN$3</f>
        <v>0.46273865664000002</v>
      </c>
      <c r="EU112" s="3">
        <f>$H112*factors!EO$3</f>
        <v>0.46718806680000002</v>
      </c>
      <c r="EV112" s="3">
        <f>$H112*factors!EP$3</f>
        <v>0.43782195974399996</v>
      </c>
      <c r="EW112" s="3">
        <f>$H112*factors!EQ$3</f>
        <v>0.48155595377499999</v>
      </c>
      <c r="EX112" s="3">
        <f>$H112*factors!ER$3</f>
        <v>0.47645767130000005</v>
      </c>
      <c r="EY112" s="3">
        <f>$H112*factors!ES$3</f>
        <v>0.48619075602499995</v>
      </c>
      <c r="EZ112" s="3">
        <f>$H112*factors!ET$3</f>
        <v>0.48155595377499999</v>
      </c>
      <c r="FA112" s="3">
        <f>$H112*factors!EU$3</f>
        <v>0.44262361487499996</v>
      </c>
      <c r="FB112" s="3">
        <f>$H112*factors!EV$3</f>
        <v>0.46255326455000007</v>
      </c>
      <c r="FC112" s="3">
        <f>$H112*factors!EW$3</f>
        <v>0.47553071085000004</v>
      </c>
      <c r="FD112" s="3">
        <f>$H112*factors!EX$3</f>
        <v>0.45884542275000006</v>
      </c>
      <c r="FE112" s="3">
        <f>$H112*factors!EY$3</f>
        <v>0.48340987467500002</v>
      </c>
      <c r="FF112" s="3">
        <f>$H112*factors!EZ$3</f>
        <v>0.48387335490000011</v>
      </c>
      <c r="FG112" s="3">
        <f>$H112*factors!FA$3</f>
        <v>0.44262361487499996</v>
      </c>
      <c r="FH112" s="3">
        <f>$H112*factors!FB$3</f>
        <v>0.46579762612499997</v>
      </c>
      <c r="FI112" s="3">
        <f>$H112*factors!FC$3</f>
        <v>0.48526379557499999</v>
      </c>
      <c r="FJ112" s="3">
        <f>$H112*factors!FD$3</f>
        <v>0.46579762612499997</v>
      </c>
      <c r="FK112" s="3">
        <f>$H112*factors!FE$3</f>
        <v>0.47367678995000007</v>
      </c>
      <c r="FL112" s="3">
        <f>$H112*factors!FF$3</f>
        <v>0.475067230625</v>
      </c>
      <c r="FM112" s="3">
        <f>$H112*factors!FG$3</f>
        <v>0.4801655131</v>
      </c>
      <c r="FN112" s="3">
        <f>$H112*factors!FH$3</f>
        <v>0.449112338025</v>
      </c>
      <c r="FO112" s="3">
        <f>$H112*factors!FI$3</f>
        <v>0.47692115152499998</v>
      </c>
      <c r="FP112" s="3">
        <f>$H112*factors!FJ$3</f>
        <v>0.46348022500000002</v>
      </c>
      <c r="FQ112" s="3">
        <f>$H112*factors!FK$3</f>
        <v>0.45884542275000006</v>
      </c>
      <c r="FR112" s="3">
        <f>$H112*factors!FL$3</f>
        <v>0.46811502724999998</v>
      </c>
      <c r="FS112" s="3">
        <f>$H112*factors!FM$3</f>
        <v>0.4653341459</v>
      </c>
      <c r="FT112" s="3">
        <f>$H112*factors!FN$3</f>
        <v>0.47553071085000004</v>
      </c>
      <c r="FU112" s="3">
        <f>$H112*factors!FO$3</f>
        <v>0.45699150184999998</v>
      </c>
      <c r="FV112" s="3">
        <f>$H112*factors!FP$3</f>
        <v>0.45328366004999998</v>
      </c>
      <c r="FW112" s="3">
        <f>$H112*factors!FQ$3</f>
        <v>0.48526379557499999</v>
      </c>
      <c r="FX112" s="3">
        <f>$H112*factors!FR$3</f>
        <v>0.47645767130000005</v>
      </c>
      <c r="FY112" s="3">
        <f>$H112*factors!FS$3</f>
        <v>0.46672458657499993</v>
      </c>
      <c r="FZ112" s="3">
        <f>$H112*factors!FT$3</f>
        <v>0.44355057532500003</v>
      </c>
      <c r="GA112" s="3">
        <f>$H112*factors!FU$3</f>
        <v>0.46672458657499993</v>
      </c>
      <c r="GB112" s="3">
        <f>$H112*factors!FV$3</f>
        <v>0.48387335490000011</v>
      </c>
      <c r="GC112" s="3">
        <f>$H112*factors!FW$3</f>
        <v>0.45328366004999998</v>
      </c>
      <c r="GD112" s="3">
        <f>$H112*factors!FX$3</f>
        <v>0.46116282387500002</v>
      </c>
      <c r="GE112" s="3">
        <f>$H112*factors!FY$3</f>
        <v>0.46116282387500002</v>
      </c>
      <c r="GF112" s="3">
        <f>$H112*factors!FZ$3</f>
        <v>0.45977238320000002</v>
      </c>
      <c r="GG112" s="3">
        <f>$H112*factors!GA$3</f>
        <v>0.441696654425</v>
      </c>
      <c r="GH112" s="3">
        <f>$H112*factors!GB$3</f>
        <v>0.46996894815000007</v>
      </c>
      <c r="GI112" s="3">
        <f>$H112*factors!GC$3</f>
        <v>0.44076969397499999</v>
      </c>
      <c r="GJ112" s="3">
        <f>$H112*factors!GD$3</f>
        <v>0.441696654425</v>
      </c>
      <c r="GK112" s="3">
        <f>$H112*factors!GE$3</f>
        <v>0.452820179825</v>
      </c>
      <c r="GL112" s="3">
        <f>$H112*factors!GF$3</f>
        <v>0.47970203287500002</v>
      </c>
      <c r="GM112" s="3">
        <f>$H112*factors!GG$3</f>
        <v>0.45467410072500003</v>
      </c>
      <c r="GN112" s="3">
        <f>$H112*factors!GH$3</f>
        <v>0.46904198770000005</v>
      </c>
      <c r="GO112" s="3">
        <f>$H112*factors!GI$3</f>
        <v>0.44308709509999994</v>
      </c>
      <c r="GP112" s="3">
        <f>$H112*factors!GJ$3</f>
        <v>0.475067230625</v>
      </c>
      <c r="GQ112" s="3">
        <f>$H112*factors!GK$3</f>
        <v>0.48480031535000007</v>
      </c>
      <c r="GR112" s="3">
        <f>$H112*factors!GL$3</f>
        <v>0.47553071085000004</v>
      </c>
      <c r="GS112" s="3">
        <f>$H112*factors!GM$3</f>
        <v>0.44970559271300004</v>
      </c>
      <c r="GT112" s="3">
        <f>$H112*factors!GN$3</f>
        <v>0.46006530270220003</v>
      </c>
      <c r="GU112" s="3">
        <f>$H112*factors!GO$3</f>
        <v>0.47089590860000002</v>
      </c>
      <c r="GV112" s="3">
        <f>$H112*factors!GP$3</f>
        <v>0.45206007225600003</v>
      </c>
      <c r="GW112" s="3">
        <f>$H112*factors!GQ$3</f>
        <v>0.46807053314840003</v>
      </c>
      <c r="GX112" s="3">
        <f>$H112*factors!GR$3</f>
        <v>0.46053619861080003</v>
      </c>
      <c r="GY112" s="3">
        <f>$H112*factors!GS$3</f>
        <v>0.45818171906780003</v>
      </c>
      <c r="GZ112" s="3">
        <f>$H112*factors!GT$3</f>
        <v>0.47513397177739997</v>
      </c>
      <c r="HA112" s="3">
        <f>$H112*factors!GU$3</f>
        <v>0.45959440679360003</v>
      </c>
      <c r="HB112" s="3">
        <f>$H112*factors!GV$3</f>
        <v>0.47513397177739997</v>
      </c>
      <c r="HC112" s="3">
        <f>$H112*factors!GW$3</f>
        <v>0.46336157406239997</v>
      </c>
      <c r="HD112" s="3">
        <f>$H112*factors!GX$3</f>
        <v>0.47701755541179997</v>
      </c>
      <c r="HE112" s="3">
        <f>$H112*factors!GY$3</f>
        <v>0.47089590860000002</v>
      </c>
      <c r="HF112" s="3">
        <f>$H112*factors!GZ$3</f>
        <v>0.48549368176660002</v>
      </c>
      <c r="HG112" s="3">
        <f>$H112*factors!HA$3</f>
        <v>0.46665784542260003</v>
      </c>
      <c r="HH112" s="3">
        <f>$H112*factors!HB$3</f>
        <v>0.46053619861080003</v>
      </c>
      <c r="HI112" s="3">
        <f>$H112*factors!HC$3</f>
        <v>0.45488544770760003</v>
      </c>
      <c r="HJ112" s="3">
        <f>$H112*factors!HD$3</f>
        <v>0.44970559271300004</v>
      </c>
      <c r="HK112" s="3">
        <f>$H112*factors!HE$3</f>
        <v>0.47560486768600002</v>
      </c>
      <c r="HL112" s="3">
        <f>$H112*factors!HF$3</f>
        <v>0.44829290498719998</v>
      </c>
      <c r="HM112" s="3">
        <f>$H112*factors!HG$3</f>
        <v>0.45300186407320003</v>
      </c>
      <c r="HN112" s="3">
        <f>$H112*factors!HH$3</f>
        <v>0.48313920222360007</v>
      </c>
      <c r="HO112" s="3">
        <f>$H112*factors!HI$3</f>
        <v>0.46336157406239997</v>
      </c>
      <c r="HP112" s="3">
        <f>$H112*factors!HJ$3</f>
        <v>0.49444070403000007</v>
      </c>
      <c r="HQ112" s="3">
        <f>$H112*factors!HK$3</f>
        <v>0.45206007225600003</v>
      </c>
      <c r="HR112" s="3">
        <f>$H112*factors!HL$3</f>
        <v>0.47937203495480007</v>
      </c>
      <c r="HS112" s="3">
        <f>$H112*factors!HM$3</f>
        <v>0.48784816130960001</v>
      </c>
      <c r="HT112" s="3">
        <f>$H112*factors!HN$3</f>
        <v>0.45488544770760003</v>
      </c>
      <c r="HU112" s="3">
        <f>$H112*factors!HO$3</f>
        <v>0.45959440679360003</v>
      </c>
      <c r="HV112" s="3">
        <f>$H112*factors!HP$3</f>
        <v>0.46524515769680008</v>
      </c>
      <c r="HW112" s="3">
        <f>$H112*factors!HQ$3</f>
        <v>0.47183770041720002</v>
      </c>
      <c r="HX112" s="3">
        <f>$H112*factors!HR$3</f>
        <v>0.49114443266979996</v>
      </c>
      <c r="HY112" s="3">
        <f>$H112*factors!HS$3</f>
        <v>0.46665784542260003</v>
      </c>
      <c r="HZ112" s="3">
        <f>$H112*factors!HT$3</f>
        <v>0.48455188994940002</v>
      </c>
      <c r="IA112" s="3">
        <f>$H112*factors!HU$3</f>
        <v>0.46100709451940003</v>
      </c>
      <c r="IB112" s="3">
        <f>$H112*factors!HV$3</f>
        <v>0.47701755541179997</v>
      </c>
      <c r="IC112" s="3">
        <f>$H112*factors!HW$3</f>
        <v>0.48172651449780002</v>
      </c>
      <c r="ID112" s="3">
        <f>$H112*factors!HX$3</f>
        <v>0.44735111316999998</v>
      </c>
      <c r="IE112" s="3">
        <f>$H112*factors!HY$3</f>
        <v>0.47513397177739997</v>
      </c>
      <c r="IF112" s="3">
        <f>$H112*factors!HZ$3</f>
        <v>0.47230859632579997</v>
      </c>
      <c r="IG112" s="3">
        <f>$H112*factors!IA$3</f>
        <v>0.46807053314840003</v>
      </c>
      <c r="IH112" s="3">
        <f>$H112*factors!IB$3</f>
        <v>0.48549368176660002</v>
      </c>
      <c r="II112" s="3">
        <f>$H112*factors!IC$3</f>
        <v>0.46477426178820003</v>
      </c>
      <c r="IJ112" s="3">
        <f>$H112*factors!ID$3</f>
        <v>0.46901232496560002</v>
      </c>
      <c r="IK112" s="3">
        <f>$H112*factors!IE$3</f>
        <v>0.48596457767520002</v>
      </c>
      <c r="IL112" s="3">
        <f>$H112*factors!IF$3</f>
        <v>0.46524515769680008</v>
      </c>
      <c r="IM112" s="3">
        <f>$H112*factors!IG$3</f>
        <v>0.46100709451940003</v>
      </c>
      <c r="IN112" s="3">
        <f>$H112*factors!IH$3</f>
        <v>0.46383246997100003</v>
      </c>
      <c r="IO112" s="3">
        <f>$H112*factors!II$3</f>
        <v>0.46854142905700003</v>
      </c>
      <c r="IP112" s="3">
        <f>$H112*factors!IJ$3</f>
        <v>0.45300186407320003</v>
      </c>
      <c r="IQ112" s="3">
        <f>$H112*factors!IK$3</f>
        <v>0.45158917634740003</v>
      </c>
      <c r="IR112" s="3">
        <f>$H112*factors!IL$3</f>
        <v>0.46477426178820003</v>
      </c>
      <c r="IS112" s="3">
        <f>$H112*factors!IM$3</f>
        <v>0.46854142905700003</v>
      </c>
      <c r="IT112" s="3">
        <f>$H112*factors!IN$3</f>
        <v>0.47183770041720002</v>
      </c>
      <c r="IU112" s="3">
        <f>$H112*factors!IO$3</f>
        <v>0.48219741040640007</v>
      </c>
      <c r="IV112" s="3">
        <f>$H112*factors!IP$3</f>
        <v>0.48831905721819996</v>
      </c>
      <c r="IW112" s="3">
        <f>$H112*factors!IQ$3</f>
        <v>0.46147799042799997</v>
      </c>
      <c r="IX112" s="3">
        <f>$H112*factors!IR$3</f>
        <v>0.48219741040640007</v>
      </c>
      <c r="IY112" s="3">
        <f>$H112*factors!IS$3</f>
        <v>0.47513397177739997</v>
      </c>
      <c r="IZ112" s="3">
        <f>$H112*factors!IT$3</f>
        <v>0.48313920222360007</v>
      </c>
      <c r="JA112" s="3">
        <f>$H112*factors!IU$3</f>
        <v>0.45629813543339998</v>
      </c>
      <c r="JB112" s="3">
        <f>$H112*factors!IV$3</f>
        <v>0.46477426178820003</v>
      </c>
      <c r="JC112" s="3">
        <f>$H112*factors!IW$3</f>
        <v>0.45394365589040003</v>
      </c>
      <c r="JD112" s="3">
        <f>$H112*factors!IX$3</f>
        <v>0.49444070403000007</v>
      </c>
      <c r="JE112" s="3">
        <f>$H112*factors!IY$3</f>
        <v>0.45535634361619998</v>
      </c>
      <c r="JF112" s="3">
        <f>$H112*factors!IZ$3</f>
        <v>0.47795934722899996</v>
      </c>
      <c r="JG112" s="3">
        <f>$H112*factors!JA$3</f>
        <v>0.46948322087419997</v>
      </c>
      <c r="JH112" s="3">
        <f>$H112*factors!JB$3</f>
        <v>0.47843024313760008</v>
      </c>
      <c r="JI112" s="3">
        <f>$H112*factors!JC$3</f>
        <v>0.44782200907860004</v>
      </c>
      <c r="JJ112" s="3">
        <f>$H112*factors!JD$3</f>
        <v>0.48219741040640007</v>
      </c>
      <c r="JK112" s="3">
        <f>$H112*factors!JE$3</f>
        <v>0.46665784542260003</v>
      </c>
      <c r="JL112" s="3">
        <f>$H112*factors!JF$3</f>
        <v>0.48549368176660002</v>
      </c>
      <c r="JM112" s="3">
        <f>$H112*factors!JG$3</f>
        <v>0.45300186407320003</v>
      </c>
      <c r="JN112" s="3">
        <f>$H112*factors!JH$3</f>
        <v>0.45300186407320003</v>
      </c>
      <c r="JO112" s="3">
        <f>$H112*factors!JI$3</f>
        <v>0.44735111316999998</v>
      </c>
      <c r="JP112" s="3">
        <f>$H112*factors!JJ$3</f>
        <v>0.48361009813220002</v>
      </c>
      <c r="JQ112" s="3">
        <f>$H112*factors!JK$3</f>
        <v>0.47136680450859997</v>
      </c>
      <c r="JR112" s="3">
        <f>$H112*factors!JL$3</f>
        <v>0.48973174494400001</v>
      </c>
      <c r="JS112" s="3">
        <f>$H112*factors!JM$3</f>
        <v>0.44735111316999998</v>
      </c>
      <c r="JT112" s="3">
        <f>$H112*factors!JN$3</f>
        <v>0.46995411678280002</v>
      </c>
      <c r="JU112" s="3">
        <f>$H112*factors!JO$3</f>
        <v>0.45441455179899998</v>
      </c>
      <c r="JV112" s="3">
        <f>$H112*factors!JP$3</f>
        <v>0.46194888633660003</v>
      </c>
      <c r="JW112" s="3">
        <f>$H112*factors!JQ$3</f>
        <v>0.49349891221280007</v>
      </c>
      <c r="JX112" s="3">
        <f>$H112*factors!JR$3</f>
        <v>0.48878995312680001</v>
      </c>
      <c r="JY112" s="3">
        <f>$H112*factors!JS$3</f>
        <v>0.46006530270220003</v>
      </c>
      <c r="JZ112" s="3">
        <f>$H112*factors!JT$3</f>
        <v>0.46524515769680008</v>
      </c>
      <c r="KA112" s="3">
        <f>$H112*factors!JU$3</f>
        <v>0.46712874133120003</v>
      </c>
      <c r="KB112" s="3">
        <f>$H112*factors!JV$3</f>
        <v>0.45158917634740003</v>
      </c>
      <c r="KC112" s="3">
        <f>$H112*factors!JW$3</f>
        <v>0.45394365589040003</v>
      </c>
      <c r="KD112" s="3">
        <f>$H112*factors!JX$3</f>
        <v>0.45441455179899998</v>
      </c>
      <c r="KE112" s="3">
        <f>$H112*factors!JY$3</f>
        <v>0.48361009813220002</v>
      </c>
      <c r="KF112" s="3">
        <f>$H112*factors!JZ$3</f>
        <v>0.48926084903539996</v>
      </c>
      <c r="KG112" s="3">
        <f>$H112*factors!KA$3</f>
        <v>0.47183770041720002</v>
      </c>
      <c r="KH112" s="3">
        <f>$H112*factors!KB$3</f>
        <v>0.46147799042799997</v>
      </c>
      <c r="KI112" s="3">
        <f>$H112*factors!KC$3</f>
        <v>0.45723992725059998</v>
      </c>
    </row>
    <row r="113" spans="1:295" x14ac:dyDescent="0.55000000000000004">
      <c r="A113" t="s">
        <v>490</v>
      </c>
      <c r="B113">
        <v>112</v>
      </c>
      <c r="C113">
        <v>230</v>
      </c>
      <c r="D113" t="s">
        <v>377</v>
      </c>
      <c r="E113">
        <v>3.372E-3</v>
      </c>
      <c r="F113">
        <v>112</v>
      </c>
      <c r="G113">
        <f>VLOOKUP(D113,demand_forecasted!$A$2:$G$11,2)</f>
        <v>11098</v>
      </c>
      <c r="H113" s="3">
        <f t="shared" si="2"/>
        <v>0.37422455999999998</v>
      </c>
      <c r="I113" s="3">
        <f>$H113*factors!C$3</f>
        <v>0.41426658791999998</v>
      </c>
      <c r="J113" s="3">
        <f>$H113*factors!D$3</f>
        <v>0.39931257450239999</v>
      </c>
      <c r="K113" s="3">
        <f>$H113*factors!E$3</f>
        <v>0.39244181158079999</v>
      </c>
      <c r="L113" s="3">
        <f>$H113*factors!F$3</f>
        <v>0.39122932400640004</v>
      </c>
      <c r="M113" s="3">
        <f>$H113*factors!G$3</f>
        <v>0.39082516148159996</v>
      </c>
      <c r="N113" s="3">
        <f>$H113*factors!H$3</f>
        <v>0.40214171217599998</v>
      </c>
      <c r="O113" s="3">
        <f>$H113*factors!I$3</f>
        <v>0.41103328772159997</v>
      </c>
      <c r="P113" s="3">
        <f>$H113*factors!J$3</f>
        <v>0.41588323801920002</v>
      </c>
      <c r="Q113" s="3">
        <f>$H113*factors!K$3</f>
        <v>0.39042099895679999</v>
      </c>
      <c r="R113" s="3">
        <f>$H113*factors!L$3</f>
        <v>0.38395439855999997</v>
      </c>
      <c r="S113" s="3">
        <f>$H113*factors!M$3</f>
        <v>0.39971673702719995</v>
      </c>
      <c r="T113" s="3">
        <f>$H113*factors!N$3</f>
        <v>0.4134582628704</v>
      </c>
      <c r="U113" s="3">
        <f>$H113*factors!O$3</f>
        <v>0.3916334865312</v>
      </c>
      <c r="V113" s="3">
        <f>$H113*factors!P$3</f>
        <v>0.40739582499839999</v>
      </c>
      <c r="W113" s="3">
        <f>$H113*factors!Q$3</f>
        <v>0.41103328772159997</v>
      </c>
      <c r="X113" s="3">
        <f>$H113*factors!R$3</f>
        <v>0.39325013663039998</v>
      </c>
      <c r="Y113" s="3">
        <f>$H113*factors!S$3</f>
        <v>0.3896126739072</v>
      </c>
      <c r="Z113" s="3">
        <f>$H113*factors!T$3</f>
        <v>0.42032902579200004</v>
      </c>
      <c r="AA113" s="3">
        <f>$H113*factors!U$3</f>
        <v>0.39688759935359996</v>
      </c>
      <c r="AB113" s="3">
        <f>$H113*factors!V$3</f>
        <v>0.39729176187840004</v>
      </c>
      <c r="AC113" s="3">
        <f>$H113*factors!W$3</f>
        <v>0.39769592440320001</v>
      </c>
      <c r="AD113" s="3">
        <f>$H113*factors!X$3</f>
        <v>0.38920851138240004</v>
      </c>
      <c r="AE113" s="3">
        <f>$H113*factors!Y$3</f>
        <v>0.39244181158079999</v>
      </c>
      <c r="AF113" s="3">
        <f>$H113*factors!Z$3</f>
        <v>0.40052506207680005</v>
      </c>
      <c r="AG113" s="3">
        <f>$H113*factors!AA$3</f>
        <v>0.39042099895679999</v>
      </c>
      <c r="AH113" s="3">
        <f>$H113*factors!AB$3</f>
        <v>0.38880434885760001</v>
      </c>
      <c r="AI113" s="3">
        <f>$H113*factors!AC$3</f>
        <v>0.40133338712639999</v>
      </c>
      <c r="AJ113" s="3">
        <f>$H113*factors!AD$3</f>
        <v>0.41669156306880001</v>
      </c>
      <c r="AK113" s="3">
        <f>$H113*factors!AE$3</f>
        <v>0.40092922460160002</v>
      </c>
      <c r="AL113" s="3">
        <f>$H113*factors!AF$3</f>
        <v>0.38516688613439998</v>
      </c>
      <c r="AM113" s="3">
        <f>$H113*factors!AG$3</f>
        <v>0.39607927430399997</v>
      </c>
      <c r="AN113" s="3">
        <f>$H113*factors!AH$3</f>
        <v>0.3896126739072</v>
      </c>
      <c r="AO113" s="3">
        <f>$H113*factors!AI$3</f>
        <v>0.40820415004799998</v>
      </c>
      <c r="AP113" s="3">
        <f>$H113*factors!AJ$3</f>
        <v>0.39122932400640004</v>
      </c>
      <c r="AQ113" s="3">
        <f>$H113*factors!AK$3</f>
        <v>0.40375836227520001</v>
      </c>
      <c r="AR113" s="3">
        <f>$H113*factors!AL$3</f>
        <v>0.39486678672960002</v>
      </c>
      <c r="AS113" s="3">
        <f>$H113*factors!AM$3</f>
        <v>0.38516688613439998</v>
      </c>
      <c r="AT113" s="3">
        <f>$H113*factors!AN$3</f>
        <v>0.39729176187840004</v>
      </c>
      <c r="AU113" s="3">
        <f>$H113*factors!AO$3</f>
        <v>0.42073318831679996</v>
      </c>
      <c r="AV113" s="3">
        <f>$H113*factors!AP$3</f>
        <v>0.39769592440320001</v>
      </c>
      <c r="AW113" s="3">
        <f>$H113*factors!AQ$3</f>
        <v>0.39365429915519995</v>
      </c>
      <c r="AX113" s="3">
        <f>$H113*factors!AR$3</f>
        <v>0.41628740054399999</v>
      </c>
      <c r="AY113" s="3">
        <f>$H113*factors!AS$3</f>
        <v>0.38395439855999997</v>
      </c>
      <c r="AZ113" s="3">
        <f>$H113*factors!AT$3</f>
        <v>0.41143745024640005</v>
      </c>
      <c r="BA113" s="3">
        <f>$H113*factors!AU$3</f>
        <v>0.40254587470079994</v>
      </c>
      <c r="BB113" s="3">
        <f>$H113*factors!AV$3</f>
        <v>0.39729176187840004</v>
      </c>
      <c r="BC113" s="3">
        <f>$H113*factors!AW$3</f>
        <v>0.42032902579200004</v>
      </c>
      <c r="BD113" s="3">
        <f>$H113*factors!AX$3</f>
        <v>0.38799602380799997</v>
      </c>
      <c r="BE113" s="3">
        <f>$H113*factors!AY$3</f>
        <v>0.45615728516639997</v>
      </c>
      <c r="BF113" s="3">
        <f>$H113*factors!AZ$3</f>
        <v>0.42480475152959996</v>
      </c>
      <c r="BG113" s="3">
        <f>$H113*factors!BA$3</f>
        <v>0.43098694126079989</v>
      </c>
      <c r="BH113" s="3">
        <f>$H113*factors!BB$3</f>
        <v>0.43672754601119995</v>
      </c>
      <c r="BI113" s="3">
        <f>$H113*factors!BC$3</f>
        <v>0.45262460531999993</v>
      </c>
      <c r="BJ113" s="3">
        <f>$H113*factors!BD$3</f>
        <v>0.43231169620319992</v>
      </c>
      <c r="BK113" s="3">
        <f>$H113*factors!BE$3</f>
        <v>0.43319486616479991</v>
      </c>
      <c r="BL113" s="3">
        <f>$H113*factors!BF$3</f>
        <v>0.42833743137599994</v>
      </c>
      <c r="BM113" s="3">
        <f>$H113*factors!BG$3</f>
        <v>0.4574820401088</v>
      </c>
      <c r="BN113" s="3">
        <f>$H113*factors!BH$3</f>
        <v>0.45174143535839995</v>
      </c>
      <c r="BO113" s="3">
        <f>$H113*factors!BI$3</f>
        <v>0.42480475152959996</v>
      </c>
      <c r="BP113" s="3">
        <f>$H113*factors!BJ$3</f>
        <v>0.42347999658719992</v>
      </c>
      <c r="BQ113" s="3">
        <f>$H113*factors!BK$3</f>
        <v>0.4305453562799999</v>
      </c>
      <c r="BR113" s="3">
        <f>$H113*factors!BL$3</f>
        <v>0.44600083060799994</v>
      </c>
      <c r="BS113" s="3">
        <f>$H113*factors!BM$3</f>
        <v>0.45306619030079998</v>
      </c>
      <c r="BT113" s="3">
        <f>$H113*factors!BN$3</f>
        <v>0.45439094524319995</v>
      </c>
      <c r="BU113" s="3">
        <f>$H113*factors!BO$3</f>
        <v>0.46189788991679998</v>
      </c>
      <c r="BV113" s="3">
        <f>$H113*factors!BP$3</f>
        <v>0.42966218631839997</v>
      </c>
      <c r="BW113" s="3">
        <f>$H113*factors!BQ$3</f>
        <v>0.43937705589599996</v>
      </c>
      <c r="BX113" s="3">
        <f>$H113*factors!BR$3</f>
        <v>0.43098694126079989</v>
      </c>
      <c r="BY113" s="3">
        <f>$H113*factors!BS$3</f>
        <v>0.45085826539679991</v>
      </c>
      <c r="BZ113" s="3">
        <f>$H113*factors!BT$3</f>
        <v>0.44246815076159995</v>
      </c>
      <c r="CA113" s="3">
        <f>$H113*factors!BU$3</f>
        <v>0.43672754601119995</v>
      </c>
      <c r="CB113" s="3">
        <f>$H113*factors!BV$3</f>
        <v>0.42259682662559994</v>
      </c>
      <c r="CC113" s="3">
        <f>$H113*factors!BW$3</f>
        <v>0.43496120608799993</v>
      </c>
      <c r="CD113" s="3">
        <f>$H113*factors!BX$3</f>
        <v>0.43628596103039996</v>
      </c>
      <c r="CE113" s="3">
        <f>$H113*factors!BY$3</f>
        <v>0.44246815076159995</v>
      </c>
      <c r="CF113" s="3">
        <f>$H113*factors!BZ$3</f>
        <v>0.43584437604959997</v>
      </c>
      <c r="CG113" s="3">
        <f>$H113*factors!CA$3</f>
        <v>0.42127207168319991</v>
      </c>
      <c r="CH113" s="3">
        <f>$H113*factors!CB$3</f>
        <v>0.4217136566639999</v>
      </c>
      <c r="CI113" s="3">
        <f>$H113*factors!CC$3</f>
        <v>0.41950573176</v>
      </c>
      <c r="CJ113" s="3">
        <f>$H113*factors!CD$3</f>
        <v>0.43672754601119995</v>
      </c>
      <c r="CK113" s="3">
        <f>$H113*factors!CE$3</f>
        <v>0.45615728516639997</v>
      </c>
      <c r="CL113" s="3">
        <f>$H113*factors!CF$3</f>
        <v>0.42745426141439996</v>
      </c>
      <c r="CM113" s="3">
        <f>$H113*factors!CG$3</f>
        <v>0.43761071597279994</v>
      </c>
      <c r="CN113" s="3">
        <f>$H113*factors!CH$3</f>
        <v>0.42303841160639993</v>
      </c>
      <c r="CO113" s="3">
        <f>$H113*factors!CI$3</f>
        <v>0.42612950647199993</v>
      </c>
      <c r="CP113" s="3">
        <f>$H113*factors!CJ$3</f>
        <v>0.44644241558879988</v>
      </c>
      <c r="CQ113" s="3">
        <f>$H113*factors!CK$3</f>
        <v>0.43319486616479991</v>
      </c>
      <c r="CR113" s="3">
        <f>$H113*factors!CL$3</f>
        <v>0.44688400056959993</v>
      </c>
      <c r="CS113" s="3">
        <f>$H113*factors!CM$3</f>
        <v>0.46101471995519994</v>
      </c>
      <c r="CT113" s="3">
        <f>$H113*factors!CN$3</f>
        <v>0.45571570018559998</v>
      </c>
      <c r="CU113" s="3">
        <f>$H113*factors!CO$3</f>
        <v>0.4455592456271999</v>
      </c>
      <c r="CV113" s="3">
        <f>$H113*factors!CP$3</f>
        <v>0.46366422983999994</v>
      </c>
      <c r="CW113" s="3">
        <f>$H113*factors!CQ$3</f>
        <v>0.43849388593439997</v>
      </c>
      <c r="CX113" s="3">
        <f>$H113*factors!CR$3</f>
        <v>0.43187011122239999</v>
      </c>
      <c r="CY113" s="3">
        <f>$H113*factors!CS$3</f>
        <v>0.42789584639519995</v>
      </c>
      <c r="CZ113" s="3">
        <f>$H113*factors!CT$3</f>
        <v>0.4217136566639999</v>
      </c>
      <c r="DA113" s="3">
        <f>$H113*factors!CU$3</f>
        <v>0.43784273519999994</v>
      </c>
      <c r="DB113" s="3">
        <f>$H113*factors!CV$3</f>
        <v>0.46613411193600002</v>
      </c>
      <c r="DC113" s="3">
        <f>$H113*factors!CW$3</f>
        <v>0.44637505516799991</v>
      </c>
      <c r="DD113" s="3">
        <f>$H113*factors!CX$3</f>
        <v>0.44323156886399995</v>
      </c>
      <c r="DE113" s="3">
        <f>$H113*factors!CY$3</f>
        <v>0.45625458355199999</v>
      </c>
      <c r="DF113" s="3">
        <f>$H113*factors!CZ$3</f>
        <v>0.45535644460799996</v>
      </c>
      <c r="DG113" s="3">
        <f>$H113*factors!DA$3</f>
        <v>0.45356016671999999</v>
      </c>
      <c r="DH113" s="3">
        <f>$H113*factors!DB$3</f>
        <v>0.45356016671999999</v>
      </c>
      <c r="DI113" s="3">
        <f>$H113*factors!DC$3</f>
        <v>0.43649552678399994</v>
      </c>
      <c r="DJ113" s="3">
        <f>$H113*factors!DD$3</f>
        <v>0.46254155615999998</v>
      </c>
      <c r="DK113" s="3">
        <f>$H113*factors!DE$3</f>
        <v>0.46254155615999998</v>
      </c>
      <c r="DL113" s="3">
        <f>$H113*factors!DF$3</f>
        <v>0.45715272249599997</v>
      </c>
      <c r="DM113" s="3">
        <f>$H113*factors!DG$3</f>
        <v>0.43065762364799992</v>
      </c>
      <c r="DN113" s="3">
        <f>$H113*factors!DH$3</f>
        <v>0.45176388883200003</v>
      </c>
      <c r="DO113" s="3">
        <f>$H113*factors!DI$3</f>
        <v>0.46658318140799993</v>
      </c>
      <c r="DP113" s="3">
        <f>$H113*factors!DJ$3</f>
        <v>0.46254155615999998</v>
      </c>
      <c r="DQ113" s="3">
        <f>$H113*factors!DK$3</f>
        <v>0.44098622150399996</v>
      </c>
      <c r="DR113" s="3">
        <f>$H113*factors!DL$3</f>
        <v>0.43604645731199998</v>
      </c>
      <c r="DS113" s="3">
        <f>$H113*factors!DM$3</f>
        <v>0.47107387612799995</v>
      </c>
      <c r="DT113" s="3">
        <f>$H113*factors!DN$3</f>
        <v>0.44278249939199998</v>
      </c>
      <c r="DU113" s="3">
        <f>$H113*factors!DO$3</f>
        <v>0.46343969510399996</v>
      </c>
      <c r="DV113" s="3">
        <f>$H113*factors!DP$3</f>
        <v>0.45266202777600001</v>
      </c>
      <c r="DW113" s="3">
        <f>$H113*factors!DQ$3</f>
        <v>0.43200483206399992</v>
      </c>
      <c r="DX113" s="3">
        <f>$H113*factors!DR$3</f>
        <v>0.45760179196799994</v>
      </c>
      <c r="DY113" s="3">
        <f>$H113*factors!DS$3</f>
        <v>0.43425017942399996</v>
      </c>
      <c r="DZ113" s="3">
        <f>$H113*factors!DT$3</f>
        <v>0.46433783404799994</v>
      </c>
      <c r="EA113" s="3">
        <f>$H113*factors!DU$3</f>
        <v>0.43739366572799993</v>
      </c>
      <c r="EB113" s="3">
        <f>$H113*factors!DV$3</f>
        <v>0.42661599839999992</v>
      </c>
      <c r="EC113" s="3">
        <f>$H113*factors!DW$3</f>
        <v>0.45894900038399994</v>
      </c>
      <c r="ED113" s="3">
        <f>$H113*factors!DX$3</f>
        <v>0.43065762364799992</v>
      </c>
      <c r="EE113" s="3">
        <f>$H113*factors!DY$3</f>
        <v>0.43425017942399996</v>
      </c>
      <c r="EF113" s="3">
        <f>$H113*factors!DZ$3</f>
        <v>0.47107387612799995</v>
      </c>
      <c r="EG113" s="3">
        <f>$H113*factors!EA$3</f>
        <v>0.44008808255999998</v>
      </c>
      <c r="EH113" s="3">
        <f>$H113*factors!EB$3</f>
        <v>0.44143529097599998</v>
      </c>
      <c r="EI113" s="3">
        <f>$H113*factors!EC$3</f>
        <v>0.440537152032</v>
      </c>
      <c r="EJ113" s="3">
        <f>$H113*factors!ED$3</f>
        <v>0.42931041523199998</v>
      </c>
      <c r="EK113" s="3">
        <f>$H113*factors!EE$3</f>
        <v>0.45894900038399994</v>
      </c>
      <c r="EL113" s="3">
        <f>$H113*factors!EF$3</f>
        <v>0.43649552678399994</v>
      </c>
      <c r="EM113" s="3">
        <f>$H113*factors!EG$3</f>
        <v>0.4540092361919999</v>
      </c>
      <c r="EN113" s="3">
        <f>$H113*factors!EH$3</f>
        <v>0.42661599839999992</v>
      </c>
      <c r="EO113" s="3">
        <f>$H113*factors!EI$3</f>
        <v>0.4329029710079999</v>
      </c>
      <c r="EP113" s="3">
        <f>$H113*factors!EJ$3</f>
        <v>0.45670365302399996</v>
      </c>
      <c r="EQ113" s="3">
        <f>$H113*factors!EK$3</f>
        <v>0.44412970780799993</v>
      </c>
      <c r="ER113" s="3">
        <f>$H113*factors!EL$3</f>
        <v>0.46254155615999998</v>
      </c>
      <c r="ES113" s="3">
        <f>$H113*factors!EM$3</f>
        <v>0.45670365302399996</v>
      </c>
      <c r="ET113" s="3">
        <f>$H113*factors!EN$3</f>
        <v>0.46703225088</v>
      </c>
      <c r="EU113" s="3">
        <f>$H113*factors!EO$3</f>
        <v>0.47152294559999997</v>
      </c>
      <c r="EV113" s="3">
        <f>$H113*factors!EP$3</f>
        <v>0.44188436044799995</v>
      </c>
      <c r="EW113" s="3">
        <f>$H113*factors!EQ$3</f>
        <v>0.48602414729999993</v>
      </c>
      <c r="EX113" s="3">
        <f>$H113*factors!ER$3</f>
        <v>0.48087855960000003</v>
      </c>
      <c r="EY113" s="3">
        <f>$H113*factors!ES$3</f>
        <v>0.49070195429999991</v>
      </c>
      <c r="EZ113" s="3">
        <f>$H113*factors!ET$3</f>
        <v>0.48602414729999993</v>
      </c>
      <c r="FA113" s="3">
        <f>$H113*factors!EU$3</f>
        <v>0.44673056849999992</v>
      </c>
      <c r="FB113" s="3">
        <f>$H113*factors!EV$3</f>
        <v>0.46684513859999999</v>
      </c>
      <c r="FC113" s="3">
        <f>$H113*factors!EW$3</f>
        <v>0.47994299819999997</v>
      </c>
      <c r="FD113" s="3">
        <f>$H113*factors!EX$3</f>
        <v>0.46310289300000002</v>
      </c>
      <c r="FE113" s="3">
        <f>$H113*factors!EY$3</f>
        <v>0.48789527009999994</v>
      </c>
      <c r="FF113" s="3">
        <f>$H113*factors!EZ$3</f>
        <v>0.48836305080000003</v>
      </c>
      <c r="FG113" s="3">
        <f>$H113*factors!FA$3</f>
        <v>0.44673056849999992</v>
      </c>
      <c r="FH113" s="3">
        <f>$H113*factors!FB$3</f>
        <v>0.47011960349999993</v>
      </c>
      <c r="FI113" s="3">
        <f>$H113*factors!FC$3</f>
        <v>0.4897663928999999</v>
      </c>
      <c r="FJ113" s="3">
        <f>$H113*factors!FD$3</f>
        <v>0.47011960349999993</v>
      </c>
      <c r="FK113" s="3">
        <f>$H113*factors!FE$3</f>
        <v>0.47807187540000001</v>
      </c>
      <c r="FL113" s="3">
        <f>$H113*factors!FF$3</f>
        <v>0.47947521749999999</v>
      </c>
      <c r="FM113" s="3">
        <f>$H113*factors!FG$3</f>
        <v>0.48462080519999995</v>
      </c>
      <c r="FN113" s="3">
        <f>$H113*factors!FH$3</f>
        <v>0.45327949829999997</v>
      </c>
      <c r="FO113" s="3">
        <f>$H113*factors!FI$3</f>
        <v>0.48134634029999995</v>
      </c>
      <c r="FP113" s="3">
        <f>$H113*factors!FJ$3</f>
        <v>0.46778069999999999</v>
      </c>
      <c r="FQ113" s="3">
        <f>$H113*factors!FK$3</f>
        <v>0.46310289300000002</v>
      </c>
      <c r="FR113" s="3">
        <f>$H113*factors!FL$3</f>
        <v>0.47245850699999997</v>
      </c>
      <c r="FS113" s="3">
        <f>$H113*factors!FM$3</f>
        <v>0.46965182279999995</v>
      </c>
      <c r="FT113" s="3">
        <f>$H113*factors!FN$3</f>
        <v>0.47994299819999997</v>
      </c>
      <c r="FU113" s="3">
        <f>$H113*factors!FO$3</f>
        <v>0.46123177019999995</v>
      </c>
      <c r="FV113" s="3">
        <f>$H113*factors!FP$3</f>
        <v>0.45748952459999997</v>
      </c>
      <c r="FW113" s="3">
        <f>$H113*factors!FQ$3</f>
        <v>0.4897663928999999</v>
      </c>
      <c r="FX113" s="3">
        <f>$H113*factors!FR$3</f>
        <v>0.48087855960000003</v>
      </c>
      <c r="FY113" s="3">
        <f>$H113*factors!FS$3</f>
        <v>0.47105516489999993</v>
      </c>
      <c r="FZ113" s="3">
        <f>$H113*factors!FT$3</f>
        <v>0.44766612989999999</v>
      </c>
      <c r="GA113" s="3">
        <f>$H113*factors!FU$3</f>
        <v>0.47105516489999993</v>
      </c>
      <c r="GB113" s="3">
        <f>$H113*factors!FV$3</f>
        <v>0.48836305080000003</v>
      </c>
      <c r="GC113" s="3">
        <f>$H113*factors!FW$3</f>
        <v>0.45748952459999997</v>
      </c>
      <c r="GD113" s="3">
        <f>$H113*factors!FX$3</f>
        <v>0.46544179649999995</v>
      </c>
      <c r="GE113" s="3">
        <f>$H113*factors!FY$3</f>
        <v>0.46544179649999995</v>
      </c>
      <c r="GF113" s="3">
        <f>$H113*factors!FZ$3</f>
        <v>0.46403845439999997</v>
      </c>
      <c r="GG113" s="3">
        <f>$H113*factors!GA$3</f>
        <v>0.44579500709999997</v>
      </c>
      <c r="GH113" s="3">
        <f>$H113*factors!GB$3</f>
        <v>0.47432962979999999</v>
      </c>
      <c r="GI113" s="3">
        <f>$H113*factors!GC$3</f>
        <v>0.44485944569999997</v>
      </c>
      <c r="GJ113" s="3">
        <f>$H113*factors!GD$3</f>
        <v>0.44579500709999997</v>
      </c>
      <c r="GK113" s="3">
        <f>$H113*factors!GE$3</f>
        <v>0.45702174389999994</v>
      </c>
      <c r="GL113" s="3">
        <f>$H113*factors!GF$3</f>
        <v>0.48415302449999997</v>
      </c>
      <c r="GM113" s="3">
        <f>$H113*factors!GG$3</f>
        <v>0.45889286670000001</v>
      </c>
      <c r="GN113" s="3">
        <f>$H113*factors!GH$3</f>
        <v>0.47339406840000003</v>
      </c>
      <c r="GO113" s="3">
        <f>$H113*factors!GI$3</f>
        <v>0.4471983491999999</v>
      </c>
      <c r="GP113" s="3">
        <f>$H113*factors!GJ$3</f>
        <v>0.47947521749999999</v>
      </c>
      <c r="GQ113" s="3">
        <f>$H113*factors!GK$3</f>
        <v>0.48929861220000004</v>
      </c>
      <c r="GR113" s="3">
        <f>$H113*factors!GL$3</f>
        <v>0.47994299819999997</v>
      </c>
      <c r="GS113" s="3">
        <f>$H113*factors!GM$3</f>
        <v>0.45387825759599998</v>
      </c>
      <c r="GT113" s="3">
        <f>$H113*factors!GN$3</f>
        <v>0.46433409180239998</v>
      </c>
      <c r="GU113" s="3">
        <f>$H113*factors!GO$3</f>
        <v>0.47526519119999999</v>
      </c>
      <c r="GV113" s="3">
        <f>$H113*factors!GP$3</f>
        <v>0.45625458355199999</v>
      </c>
      <c r="GW113" s="3">
        <f>$H113*factors!GQ$3</f>
        <v>0.47241360005279998</v>
      </c>
      <c r="GX113" s="3">
        <f>$H113*factors!GR$3</f>
        <v>0.46480935699359993</v>
      </c>
      <c r="GY113" s="3">
        <f>$H113*factors!GS$3</f>
        <v>0.46243303103760003</v>
      </c>
      <c r="GZ113" s="3">
        <f>$H113*factors!GT$3</f>
        <v>0.47954257792079991</v>
      </c>
      <c r="HA113" s="3">
        <f>$H113*factors!GU$3</f>
        <v>0.46385882661119998</v>
      </c>
      <c r="HB113" s="3">
        <f>$H113*factors!GV$3</f>
        <v>0.47954257792079991</v>
      </c>
      <c r="HC113" s="3">
        <f>$H113*factors!GW$3</f>
        <v>0.46766094814079995</v>
      </c>
      <c r="HD113" s="3">
        <f>$H113*factors!GX$3</f>
        <v>0.48144363868559992</v>
      </c>
      <c r="HE113" s="3">
        <f>$H113*factors!GY$3</f>
        <v>0.47526519119999999</v>
      </c>
      <c r="HF113" s="3">
        <f>$H113*factors!GZ$3</f>
        <v>0.48999841212719997</v>
      </c>
      <c r="HG113" s="3">
        <f>$H113*factors!HA$3</f>
        <v>0.47098780447919997</v>
      </c>
      <c r="HH113" s="3">
        <f>$H113*factors!HB$3</f>
        <v>0.46480935699359993</v>
      </c>
      <c r="HI113" s="3">
        <f>$H113*factors!HC$3</f>
        <v>0.45910617469920001</v>
      </c>
      <c r="HJ113" s="3">
        <f>$H113*factors!HD$3</f>
        <v>0.45387825759599998</v>
      </c>
      <c r="HK113" s="3">
        <f>$H113*factors!HE$3</f>
        <v>0.48001784311199996</v>
      </c>
      <c r="HL113" s="3">
        <f>$H113*factors!HF$3</f>
        <v>0.45245246202239991</v>
      </c>
      <c r="HM113" s="3">
        <f>$H113*factors!HG$3</f>
        <v>0.4572051139344</v>
      </c>
      <c r="HN113" s="3">
        <f>$H113*factors!HH$3</f>
        <v>0.48762208617120001</v>
      </c>
      <c r="HO113" s="3">
        <f>$H113*factors!HI$3</f>
        <v>0.46766094814079995</v>
      </c>
      <c r="HP113" s="3">
        <f>$H113*factors!HJ$3</f>
        <v>0.49902845076000002</v>
      </c>
      <c r="HQ113" s="3">
        <f>$H113*factors!HK$3</f>
        <v>0.45625458355199999</v>
      </c>
      <c r="HR113" s="3">
        <f>$H113*factors!HL$3</f>
        <v>0.48381996464160004</v>
      </c>
      <c r="HS113" s="3">
        <f>$H113*factors!HM$3</f>
        <v>0.49237473808319998</v>
      </c>
      <c r="HT113" s="3">
        <f>$H113*factors!HN$3</f>
        <v>0.45910617469920001</v>
      </c>
      <c r="HU113" s="3">
        <f>$H113*factors!HO$3</f>
        <v>0.46385882661119998</v>
      </c>
      <c r="HV113" s="3">
        <f>$H113*factors!HP$3</f>
        <v>0.46956200890560001</v>
      </c>
      <c r="HW113" s="3">
        <f>$H113*factors!HQ$3</f>
        <v>0.4762157215824</v>
      </c>
      <c r="HX113" s="3">
        <f>$H113*factors!HR$3</f>
        <v>0.49570159442159994</v>
      </c>
      <c r="HY113" s="3">
        <f>$H113*factors!HS$3</f>
        <v>0.47098780447919997</v>
      </c>
      <c r="HZ113" s="3">
        <f>$H113*factors!HT$3</f>
        <v>0.48904788174479996</v>
      </c>
      <c r="IA113" s="3">
        <f>$H113*factors!HU$3</f>
        <v>0.46528462218479999</v>
      </c>
      <c r="IB113" s="3">
        <f>$H113*factors!HV$3</f>
        <v>0.48144363868559992</v>
      </c>
      <c r="IC113" s="3">
        <f>$H113*factors!HW$3</f>
        <v>0.48619629059759994</v>
      </c>
      <c r="ID113" s="3">
        <f>$H113*factors!HX$3</f>
        <v>0.45150193163999996</v>
      </c>
      <c r="IE113" s="3">
        <f>$H113*factors!HY$3</f>
        <v>0.47954257792079991</v>
      </c>
      <c r="IF113" s="3">
        <f>$H113*factors!HZ$3</f>
        <v>0.47669098677359995</v>
      </c>
      <c r="IG113" s="3">
        <f>$H113*factors!IA$3</f>
        <v>0.47241360005279998</v>
      </c>
      <c r="IH113" s="3">
        <f>$H113*factors!IB$3</f>
        <v>0.48999841212719997</v>
      </c>
      <c r="II113" s="3">
        <f>$H113*factors!IC$3</f>
        <v>0.46908674371439996</v>
      </c>
      <c r="IJ113" s="3">
        <f>$H113*factors!ID$3</f>
        <v>0.47336413043519998</v>
      </c>
      <c r="IK113" s="3">
        <f>$H113*factors!IE$3</f>
        <v>0.49047367731839997</v>
      </c>
      <c r="IL113" s="3">
        <f>$H113*factors!IF$3</f>
        <v>0.46956200890560001</v>
      </c>
      <c r="IM113" s="3">
        <f>$H113*factors!IG$3</f>
        <v>0.46528462218479999</v>
      </c>
      <c r="IN113" s="3">
        <f>$H113*factors!IH$3</f>
        <v>0.46813621333200001</v>
      </c>
      <c r="IO113" s="3">
        <f>$H113*factors!II$3</f>
        <v>0.47288886524399998</v>
      </c>
      <c r="IP113" s="3">
        <f>$H113*factors!IJ$3</f>
        <v>0.4572051139344</v>
      </c>
      <c r="IQ113" s="3">
        <f>$H113*factors!IK$3</f>
        <v>0.45577931836079999</v>
      </c>
      <c r="IR113" s="3">
        <f>$H113*factors!IL$3</f>
        <v>0.46908674371439996</v>
      </c>
      <c r="IS113" s="3">
        <f>$H113*factors!IM$3</f>
        <v>0.47288886524399998</v>
      </c>
      <c r="IT113" s="3">
        <f>$H113*factors!IN$3</f>
        <v>0.4762157215824</v>
      </c>
      <c r="IU113" s="3">
        <f>$H113*factors!IO$3</f>
        <v>0.4866715557888</v>
      </c>
      <c r="IV113" s="3">
        <f>$H113*factors!IP$3</f>
        <v>0.49285000327439993</v>
      </c>
      <c r="IW113" s="3">
        <f>$H113*factors!IQ$3</f>
        <v>0.46575988737599994</v>
      </c>
      <c r="IX113" s="3">
        <f>$H113*factors!IR$3</f>
        <v>0.4866715557888</v>
      </c>
      <c r="IY113" s="3">
        <f>$H113*factors!IS$3</f>
        <v>0.47954257792079991</v>
      </c>
      <c r="IZ113" s="3">
        <f>$H113*factors!IT$3</f>
        <v>0.48762208617120001</v>
      </c>
      <c r="JA113" s="3">
        <f>$H113*factors!IU$3</f>
        <v>0.46053197027279996</v>
      </c>
      <c r="JB113" s="3">
        <f>$H113*factors!IV$3</f>
        <v>0.46908674371439996</v>
      </c>
      <c r="JC113" s="3">
        <f>$H113*factors!IW$3</f>
        <v>0.4581556443168</v>
      </c>
      <c r="JD113" s="3">
        <f>$H113*factors!IX$3</f>
        <v>0.49902845076000002</v>
      </c>
      <c r="JE113" s="3">
        <f>$H113*factors!IY$3</f>
        <v>0.45958143989039996</v>
      </c>
      <c r="JF113" s="3">
        <f>$H113*factors!IZ$3</f>
        <v>0.48239416906799992</v>
      </c>
      <c r="JG113" s="3">
        <f>$H113*factors!JA$3</f>
        <v>0.47383939562639993</v>
      </c>
      <c r="JH113" s="3">
        <f>$H113*factors!JB$3</f>
        <v>0.48286943425920004</v>
      </c>
      <c r="JI113" s="3">
        <f>$H113*factors!JC$3</f>
        <v>0.45197719683119997</v>
      </c>
      <c r="JJ113" s="3">
        <f>$H113*factors!JD$3</f>
        <v>0.4866715557888</v>
      </c>
      <c r="JK113" s="3">
        <f>$H113*factors!JE$3</f>
        <v>0.47098780447919997</v>
      </c>
      <c r="JL113" s="3">
        <f>$H113*factors!JF$3</f>
        <v>0.48999841212719997</v>
      </c>
      <c r="JM113" s="3">
        <f>$H113*factors!JG$3</f>
        <v>0.4572051139344</v>
      </c>
      <c r="JN113" s="3">
        <f>$H113*factors!JH$3</f>
        <v>0.4572051139344</v>
      </c>
      <c r="JO113" s="3">
        <f>$H113*factors!JI$3</f>
        <v>0.45150193163999996</v>
      </c>
      <c r="JP113" s="3">
        <f>$H113*factors!JJ$3</f>
        <v>0.48809735136239996</v>
      </c>
      <c r="JQ113" s="3">
        <f>$H113*factors!JK$3</f>
        <v>0.47574045639119994</v>
      </c>
      <c r="JR113" s="3">
        <f>$H113*factors!JL$3</f>
        <v>0.49427579884799999</v>
      </c>
      <c r="JS113" s="3">
        <f>$H113*factors!JM$3</f>
        <v>0.45150193163999996</v>
      </c>
      <c r="JT113" s="3">
        <f>$H113*factors!JN$3</f>
        <v>0.47431466081759999</v>
      </c>
      <c r="JU113" s="3">
        <f>$H113*factors!JO$3</f>
        <v>0.45863090950799995</v>
      </c>
      <c r="JV113" s="3">
        <f>$H113*factors!JP$3</f>
        <v>0.4662351525672</v>
      </c>
      <c r="JW113" s="3">
        <f>$H113*factors!JQ$3</f>
        <v>0.49807792037760001</v>
      </c>
      <c r="JX113" s="3">
        <f>$H113*factors!JR$3</f>
        <v>0.49332526846559999</v>
      </c>
      <c r="JY113" s="3">
        <f>$H113*factors!JS$3</f>
        <v>0.46433409180239998</v>
      </c>
      <c r="JZ113" s="3">
        <f>$H113*factors!JT$3</f>
        <v>0.46956200890560001</v>
      </c>
      <c r="KA113" s="3">
        <f>$H113*factors!JU$3</f>
        <v>0.47146306967040003</v>
      </c>
      <c r="KB113" s="3">
        <f>$H113*factors!JV$3</f>
        <v>0.45577931836079999</v>
      </c>
      <c r="KC113" s="3">
        <f>$H113*factors!JW$3</f>
        <v>0.4581556443168</v>
      </c>
      <c r="KD113" s="3">
        <f>$H113*factors!JX$3</f>
        <v>0.45863090950799995</v>
      </c>
      <c r="KE113" s="3">
        <f>$H113*factors!JY$3</f>
        <v>0.48809735136239996</v>
      </c>
      <c r="KF113" s="3">
        <f>$H113*factors!JZ$3</f>
        <v>0.49380053365679993</v>
      </c>
      <c r="KG113" s="3">
        <f>$H113*factors!KA$3</f>
        <v>0.4762157215824</v>
      </c>
      <c r="KH113" s="3">
        <f>$H113*factors!KB$3</f>
        <v>0.46575988737599994</v>
      </c>
      <c r="KI113" s="3">
        <f>$H113*factors!KC$3</f>
        <v>0.46148250065519991</v>
      </c>
    </row>
    <row r="114" spans="1:295" x14ac:dyDescent="0.55000000000000004">
      <c r="A114" t="s">
        <v>491</v>
      </c>
      <c r="B114">
        <v>113</v>
      </c>
      <c r="C114">
        <v>230</v>
      </c>
      <c r="D114" t="s">
        <v>377</v>
      </c>
      <c r="E114">
        <v>3.0869999999999999E-3</v>
      </c>
      <c r="F114">
        <v>113</v>
      </c>
      <c r="G114">
        <f>VLOOKUP(D114,demand_forecasted!$A$2:$G$11,2)</f>
        <v>11098</v>
      </c>
      <c r="H114" s="3">
        <f t="shared" si="2"/>
        <v>0.34259526000000001</v>
      </c>
      <c r="I114" s="3">
        <f>$H114*factors!C$3</f>
        <v>0.37925295281999999</v>
      </c>
      <c r="J114" s="3">
        <f>$H114*factors!D$3</f>
        <v>0.36556284623040003</v>
      </c>
      <c r="K114" s="3">
        <f>$H114*factors!E$3</f>
        <v>0.35927279725680006</v>
      </c>
      <c r="L114" s="3">
        <f>$H114*factors!F$3</f>
        <v>0.35816278861440004</v>
      </c>
      <c r="M114" s="3">
        <f>$H114*factors!G$3</f>
        <v>0.35779278573360002</v>
      </c>
      <c r="N114" s="3">
        <f>$H114*factors!H$3</f>
        <v>0.36815286639600003</v>
      </c>
      <c r="O114" s="3">
        <f>$H114*factors!I$3</f>
        <v>0.37629292977360002</v>
      </c>
      <c r="P114" s="3">
        <f>$H114*factors!J$3</f>
        <v>0.38073296434320003</v>
      </c>
      <c r="Q114" s="3">
        <f>$H114*factors!K$3</f>
        <v>0.35742278285279999</v>
      </c>
      <c r="R114" s="3">
        <f>$H114*factors!L$3</f>
        <v>0.35150273676000005</v>
      </c>
      <c r="S114" s="3">
        <f>$H114*factors!M$3</f>
        <v>0.3659328491112</v>
      </c>
      <c r="T114" s="3">
        <f>$H114*factors!N$3</f>
        <v>0.37851294705840005</v>
      </c>
      <c r="U114" s="3">
        <f>$H114*factors!O$3</f>
        <v>0.35853279149520006</v>
      </c>
      <c r="V114" s="3">
        <f>$H114*factors!P$3</f>
        <v>0.37296290384640002</v>
      </c>
      <c r="W114" s="3">
        <f>$H114*factors!Q$3</f>
        <v>0.37629292977360002</v>
      </c>
      <c r="X114" s="3">
        <f>$H114*factors!R$3</f>
        <v>0.3600128030184</v>
      </c>
      <c r="Y114" s="3">
        <f>$H114*factors!S$3</f>
        <v>0.35668277709120005</v>
      </c>
      <c r="Z114" s="3">
        <f>$H114*factors!T$3</f>
        <v>0.38480299603200008</v>
      </c>
      <c r="AA114" s="3">
        <f>$H114*factors!U$3</f>
        <v>0.36334282894559999</v>
      </c>
      <c r="AB114" s="3">
        <f>$H114*factors!V$3</f>
        <v>0.36371283182640007</v>
      </c>
      <c r="AC114" s="3">
        <f>$H114*factors!W$3</f>
        <v>0.36408283470720004</v>
      </c>
      <c r="AD114" s="3">
        <f>$H114*factors!X$3</f>
        <v>0.35631277421040003</v>
      </c>
      <c r="AE114" s="3">
        <f>$H114*factors!Y$3</f>
        <v>0.35927279725680006</v>
      </c>
      <c r="AF114" s="3">
        <f>$H114*factors!Z$3</f>
        <v>0.36667285487280005</v>
      </c>
      <c r="AG114" s="3">
        <f>$H114*factors!AA$3</f>
        <v>0.35742278285279999</v>
      </c>
      <c r="AH114" s="3">
        <f>$H114*factors!AB$3</f>
        <v>0.35594277132960006</v>
      </c>
      <c r="AI114" s="3">
        <f>$H114*factors!AC$3</f>
        <v>0.36741286063440004</v>
      </c>
      <c r="AJ114" s="3">
        <f>$H114*factors!AD$3</f>
        <v>0.38147297010480002</v>
      </c>
      <c r="AK114" s="3">
        <f>$H114*factors!AE$3</f>
        <v>0.36704285775360007</v>
      </c>
      <c r="AL114" s="3">
        <f>$H114*factors!AF$3</f>
        <v>0.35261274540240001</v>
      </c>
      <c r="AM114" s="3">
        <f>$H114*factors!AG$3</f>
        <v>0.362602823184</v>
      </c>
      <c r="AN114" s="3">
        <f>$H114*factors!AH$3</f>
        <v>0.35668277709120005</v>
      </c>
      <c r="AO114" s="3">
        <f>$H114*factors!AI$3</f>
        <v>0.37370290960800001</v>
      </c>
      <c r="AP114" s="3">
        <f>$H114*factors!AJ$3</f>
        <v>0.35816278861440004</v>
      </c>
      <c r="AQ114" s="3">
        <f>$H114*factors!AK$3</f>
        <v>0.36963287791920008</v>
      </c>
      <c r="AR114" s="3">
        <f>$H114*factors!AL$3</f>
        <v>0.36149281454160004</v>
      </c>
      <c r="AS114" s="3">
        <f>$H114*factors!AM$3</f>
        <v>0.35261274540240001</v>
      </c>
      <c r="AT114" s="3">
        <f>$H114*factors!AN$3</f>
        <v>0.36371283182640007</v>
      </c>
      <c r="AU114" s="3">
        <f>$H114*factors!AO$3</f>
        <v>0.38517299891279999</v>
      </c>
      <c r="AV114" s="3">
        <f>$H114*factors!AP$3</f>
        <v>0.36408283470720004</v>
      </c>
      <c r="AW114" s="3">
        <f>$H114*factors!AQ$3</f>
        <v>0.36038280589920002</v>
      </c>
      <c r="AX114" s="3">
        <f>$H114*factors!AR$3</f>
        <v>0.38110296722400006</v>
      </c>
      <c r="AY114" s="3">
        <f>$H114*factors!AS$3</f>
        <v>0.35150273676000005</v>
      </c>
      <c r="AZ114" s="3">
        <f>$H114*factors!AT$3</f>
        <v>0.3766629326544001</v>
      </c>
      <c r="BA114" s="3">
        <f>$H114*factors!AU$3</f>
        <v>0.3685228692768</v>
      </c>
      <c r="BB114" s="3">
        <f>$H114*factors!AV$3</f>
        <v>0.36371283182640007</v>
      </c>
      <c r="BC114" s="3">
        <f>$H114*factors!AW$3</f>
        <v>0.38480299603200008</v>
      </c>
      <c r="BD114" s="3">
        <f>$H114*factors!AX$3</f>
        <v>0.35520276556800001</v>
      </c>
      <c r="BE114" s="3">
        <f>$H114*factors!AY$3</f>
        <v>0.41760306622439997</v>
      </c>
      <c r="BF114" s="3">
        <f>$H114*factors!AZ$3</f>
        <v>0.38890043534160001</v>
      </c>
      <c r="BG114" s="3">
        <f>$H114*factors!BA$3</f>
        <v>0.39456010903679994</v>
      </c>
      <c r="BH114" s="3">
        <f>$H114*factors!BB$3</f>
        <v>0.39981552032520001</v>
      </c>
      <c r="BI114" s="3">
        <f>$H114*factors!BC$3</f>
        <v>0.41436896696999992</v>
      </c>
      <c r="BJ114" s="3">
        <f>$H114*factors!BD$3</f>
        <v>0.39577289625719997</v>
      </c>
      <c r="BK114" s="3">
        <f>$H114*factors!BE$3</f>
        <v>0.39658142107079997</v>
      </c>
      <c r="BL114" s="3">
        <f>$H114*factors!BF$3</f>
        <v>0.39213453459599995</v>
      </c>
      <c r="BM114" s="3">
        <f>$H114*factors!BG$3</f>
        <v>0.41881585344480005</v>
      </c>
      <c r="BN114" s="3">
        <f>$H114*factors!BH$3</f>
        <v>0.41356044215639998</v>
      </c>
      <c r="BO114" s="3">
        <f>$H114*factors!BI$3</f>
        <v>0.38890043534160001</v>
      </c>
      <c r="BP114" s="3">
        <f>$H114*factors!BJ$3</f>
        <v>0.38768764812119993</v>
      </c>
      <c r="BQ114" s="3">
        <f>$H114*factors!BK$3</f>
        <v>0.39415584662999997</v>
      </c>
      <c r="BR114" s="3">
        <f>$H114*factors!BL$3</f>
        <v>0.40830503086800002</v>
      </c>
      <c r="BS114" s="3">
        <f>$H114*factors!BM$3</f>
        <v>0.4147732293768</v>
      </c>
      <c r="BT114" s="3">
        <f>$H114*factors!BN$3</f>
        <v>0.41598601659719997</v>
      </c>
      <c r="BU114" s="3">
        <f>$H114*factors!BO$3</f>
        <v>0.42285847751280004</v>
      </c>
      <c r="BV114" s="3">
        <f>$H114*factors!BP$3</f>
        <v>0.39334732181639998</v>
      </c>
      <c r="BW114" s="3">
        <f>$H114*factors!BQ$3</f>
        <v>0.40224109476600001</v>
      </c>
      <c r="BX114" s="3">
        <f>$H114*factors!BR$3</f>
        <v>0.39456010903679994</v>
      </c>
      <c r="BY114" s="3">
        <f>$H114*factors!BS$3</f>
        <v>0.41275191734279992</v>
      </c>
      <c r="BZ114" s="3">
        <f>$H114*factors!BT$3</f>
        <v>0.40507093161359997</v>
      </c>
      <c r="CA114" s="3">
        <f>$H114*factors!BU$3</f>
        <v>0.39981552032520001</v>
      </c>
      <c r="CB114" s="3">
        <f>$H114*factors!BV$3</f>
        <v>0.38687912330759999</v>
      </c>
      <c r="CC114" s="3">
        <f>$H114*factors!BW$3</f>
        <v>0.39819847069799996</v>
      </c>
      <c r="CD114" s="3">
        <f>$H114*factors!BX$3</f>
        <v>0.39941125791839999</v>
      </c>
      <c r="CE114" s="3">
        <f>$H114*factors!BY$3</f>
        <v>0.40507093161359997</v>
      </c>
      <c r="CF114" s="3">
        <f>$H114*factors!BZ$3</f>
        <v>0.39900699551160002</v>
      </c>
      <c r="CG114" s="3">
        <f>$H114*factors!CA$3</f>
        <v>0.38566633608719997</v>
      </c>
      <c r="CH114" s="3">
        <f>$H114*factors!CB$3</f>
        <v>0.38607059849399994</v>
      </c>
      <c r="CI114" s="3">
        <f>$H114*factors!CC$3</f>
        <v>0.38404928646000003</v>
      </c>
      <c r="CJ114" s="3">
        <f>$H114*factors!CD$3</f>
        <v>0.39981552032520001</v>
      </c>
      <c r="CK114" s="3">
        <f>$H114*factors!CE$3</f>
        <v>0.41760306622439997</v>
      </c>
      <c r="CL114" s="3">
        <f>$H114*factors!CF$3</f>
        <v>0.39132600978240001</v>
      </c>
      <c r="CM114" s="3">
        <f>$H114*factors!CG$3</f>
        <v>0.40062404513879996</v>
      </c>
      <c r="CN114" s="3">
        <f>$H114*factors!CH$3</f>
        <v>0.38728338571439996</v>
      </c>
      <c r="CO114" s="3">
        <f>$H114*factors!CI$3</f>
        <v>0.39011322256199993</v>
      </c>
      <c r="CP114" s="3">
        <f>$H114*factors!CJ$3</f>
        <v>0.40870929327479993</v>
      </c>
      <c r="CQ114" s="3">
        <f>$H114*factors!CK$3</f>
        <v>0.39658142107079997</v>
      </c>
      <c r="CR114" s="3">
        <f>$H114*factors!CL$3</f>
        <v>0.40911355568159996</v>
      </c>
      <c r="CS114" s="3">
        <f>$H114*factors!CM$3</f>
        <v>0.42204995269919998</v>
      </c>
      <c r="CT114" s="3">
        <f>$H114*factors!CN$3</f>
        <v>0.41719880381759999</v>
      </c>
      <c r="CU114" s="3">
        <f>$H114*factors!CO$3</f>
        <v>0.40790076846119994</v>
      </c>
      <c r="CV114" s="3">
        <f>$H114*factors!CP$3</f>
        <v>0.42447552713999998</v>
      </c>
      <c r="CW114" s="3">
        <f>$H114*factors!CQ$3</f>
        <v>0.40143256995240001</v>
      </c>
      <c r="CX114" s="3">
        <f>$H114*factors!CR$3</f>
        <v>0.3953686338504</v>
      </c>
      <c r="CY114" s="3">
        <f>$H114*factors!CS$3</f>
        <v>0.39173027218919998</v>
      </c>
      <c r="CZ114" s="3">
        <f>$H114*factors!CT$3</f>
        <v>0.38607059849399994</v>
      </c>
      <c r="DA114" s="3">
        <f>$H114*factors!CU$3</f>
        <v>0.40083645419999997</v>
      </c>
      <c r="DB114" s="3">
        <f>$H114*factors!CV$3</f>
        <v>0.42673665585600001</v>
      </c>
      <c r="DC114" s="3">
        <f>$H114*factors!CW$3</f>
        <v>0.40864762612799999</v>
      </c>
      <c r="DD114" s="3">
        <f>$H114*factors!CX$3</f>
        <v>0.40576982594399996</v>
      </c>
      <c r="DE114" s="3">
        <f>$H114*factors!CY$3</f>
        <v>0.41769214099200003</v>
      </c>
      <c r="DF114" s="3">
        <f>$H114*factors!CZ$3</f>
        <v>0.41686991236799997</v>
      </c>
      <c r="DG114" s="3">
        <f>$H114*factors!DA$3</f>
        <v>0.41522545512000003</v>
      </c>
      <c r="DH114" s="3">
        <f>$H114*factors!DB$3</f>
        <v>0.41522545512000003</v>
      </c>
      <c r="DI114" s="3">
        <f>$H114*factors!DC$3</f>
        <v>0.399603111264</v>
      </c>
      <c r="DJ114" s="3">
        <f>$H114*factors!DD$3</f>
        <v>0.42344774136000002</v>
      </c>
      <c r="DK114" s="3">
        <f>$H114*factors!DE$3</f>
        <v>0.42344774136000002</v>
      </c>
      <c r="DL114" s="3">
        <f>$H114*factors!DF$3</f>
        <v>0.41851436961600003</v>
      </c>
      <c r="DM114" s="3">
        <f>$H114*factors!DG$3</f>
        <v>0.39425862520799998</v>
      </c>
      <c r="DN114" s="3">
        <f>$H114*factors!DH$3</f>
        <v>0.41358099787200003</v>
      </c>
      <c r="DO114" s="3">
        <f>$H114*factors!DI$3</f>
        <v>0.42714777016799998</v>
      </c>
      <c r="DP114" s="3">
        <f>$H114*factors!DJ$3</f>
        <v>0.42344774136000002</v>
      </c>
      <c r="DQ114" s="3">
        <f>$H114*factors!DK$3</f>
        <v>0.40371425438399999</v>
      </c>
      <c r="DR114" s="3">
        <f>$H114*factors!DL$3</f>
        <v>0.39919199695200003</v>
      </c>
      <c r="DS114" s="3">
        <f>$H114*factors!DM$3</f>
        <v>0.43125891328799998</v>
      </c>
      <c r="DT114" s="3">
        <f>$H114*factors!DN$3</f>
        <v>0.40535871163200005</v>
      </c>
      <c r="DU114" s="3">
        <f>$H114*factors!DO$3</f>
        <v>0.42426996998400002</v>
      </c>
      <c r="DV114" s="3">
        <f>$H114*factors!DP$3</f>
        <v>0.41440322649600003</v>
      </c>
      <c r="DW114" s="3">
        <f>$H114*factors!DQ$3</f>
        <v>0.39549196814399995</v>
      </c>
      <c r="DX114" s="3">
        <f>$H114*factors!DR$3</f>
        <v>0.418925483928</v>
      </c>
      <c r="DY114" s="3">
        <f>$H114*factors!DS$3</f>
        <v>0.39754753970399997</v>
      </c>
      <c r="DZ114" s="3">
        <f>$H114*factors!DT$3</f>
        <v>0.42509219860799996</v>
      </c>
      <c r="EA114" s="3">
        <f>$H114*factors!DU$3</f>
        <v>0.40042533988799994</v>
      </c>
      <c r="EB114" s="3">
        <f>$H114*factors!DV$3</f>
        <v>0.39055859639999996</v>
      </c>
      <c r="EC114" s="3">
        <f>$H114*factors!DW$3</f>
        <v>0.42015882686399997</v>
      </c>
      <c r="ED114" s="3">
        <f>$H114*factors!DX$3</f>
        <v>0.39425862520799998</v>
      </c>
      <c r="EE114" s="3">
        <f>$H114*factors!DY$3</f>
        <v>0.39754753970399997</v>
      </c>
      <c r="EF114" s="3">
        <f>$H114*factors!DZ$3</f>
        <v>0.43125891328799998</v>
      </c>
      <c r="EG114" s="3">
        <f>$H114*factors!EA$3</f>
        <v>0.40289202575999999</v>
      </c>
      <c r="EH114" s="3">
        <f>$H114*factors!EB$3</f>
        <v>0.40412536869600002</v>
      </c>
      <c r="EI114" s="3">
        <f>$H114*factors!EC$3</f>
        <v>0.40330314007200002</v>
      </c>
      <c r="EJ114" s="3">
        <f>$H114*factors!ED$3</f>
        <v>0.39302528227200001</v>
      </c>
      <c r="EK114" s="3">
        <f>$H114*factors!EE$3</f>
        <v>0.42015882686399997</v>
      </c>
      <c r="EL114" s="3">
        <f>$H114*factors!EF$3</f>
        <v>0.399603111264</v>
      </c>
      <c r="EM114" s="3">
        <f>$H114*factors!EG$3</f>
        <v>0.41563656943199995</v>
      </c>
      <c r="EN114" s="3">
        <f>$H114*factors!EH$3</f>
        <v>0.39055859639999996</v>
      </c>
      <c r="EO114" s="3">
        <f>$H114*factors!EI$3</f>
        <v>0.39631419676799995</v>
      </c>
      <c r="EP114" s="3">
        <f>$H114*factors!EJ$3</f>
        <v>0.418103255304</v>
      </c>
      <c r="EQ114" s="3">
        <f>$H114*factors!EK$3</f>
        <v>0.40659205456799996</v>
      </c>
      <c r="ER114" s="3">
        <f>$H114*factors!EL$3</f>
        <v>0.42344774136000002</v>
      </c>
      <c r="ES114" s="3">
        <f>$H114*factors!EM$3</f>
        <v>0.418103255304</v>
      </c>
      <c r="ET114" s="3">
        <f>$H114*factors!EN$3</f>
        <v>0.42755888448000001</v>
      </c>
      <c r="EU114" s="3">
        <f>$H114*factors!EO$3</f>
        <v>0.43167002760000001</v>
      </c>
      <c r="EV114" s="3">
        <f>$H114*factors!EP$3</f>
        <v>0.40453648300799994</v>
      </c>
      <c r="EW114" s="3">
        <f>$H114*factors!EQ$3</f>
        <v>0.44494559392499994</v>
      </c>
      <c r="EX114" s="3">
        <f>$H114*factors!ER$3</f>
        <v>0.44023490910000007</v>
      </c>
      <c r="EY114" s="3">
        <f>$H114*factors!ES$3</f>
        <v>0.44922803467499994</v>
      </c>
      <c r="EZ114" s="3">
        <f>$H114*factors!ET$3</f>
        <v>0.44494559392499994</v>
      </c>
      <c r="FA114" s="3">
        <f>$H114*factors!EU$3</f>
        <v>0.40897309162499995</v>
      </c>
      <c r="FB114" s="3">
        <f>$H114*factors!EV$3</f>
        <v>0.42738758685000006</v>
      </c>
      <c r="FC114" s="3">
        <f>$H114*factors!EW$3</f>
        <v>0.43937842095000001</v>
      </c>
      <c r="FD114" s="3">
        <f>$H114*factors!EX$3</f>
        <v>0.42396163425000005</v>
      </c>
      <c r="FE114" s="3">
        <f>$H114*factors!EY$3</f>
        <v>0.446658570225</v>
      </c>
      <c r="FF114" s="3">
        <f>$H114*factors!EZ$3</f>
        <v>0.44708681430000008</v>
      </c>
      <c r="FG114" s="3">
        <f>$H114*factors!FA$3</f>
        <v>0.40897309162499995</v>
      </c>
      <c r="FH114" s="3">
        <f>$H114*factors!FB$3</f>
        <v>0.43038529537499998</v>
      </c>
      <c r="FI114" s="3">
        <f>$H114*factors!FC$3</f>
        <v>0.44837154652499994</v>
      </c>
      <c r="FJ114" s="3">
        <f>$H114*factors!FD$3</f>
        <v>0.43038529537499998</v>
      </c>
      <c r="FK114" s="3">
        <f>$H114*factors!FE$3</f>
        <v>0.43766544465000007</v>
      </c>
      <c r="FL114" s="3">
        <f>$H114*factors!FF$3</f>
        <v>0.43895017687500004</v>
      </c>
      <c r="FM114" s="3">
        <f>$H114*factors!FG$3</f>
        <v>0.44366086169999996</v>
      </c>
      <c r="FN114" s="3">
        <f>$H114*factors!FH$3</f>
        <v>0.41496850867500001</v>
      </c>
      <c r="FO114" s="3">
        <f>$H114*factors!FI$3</f>
        <v>0.44066315317499999</v>
      </c>
      <c r="FP114" s="3">
        <f>$H114*factors!FJ$3</f>
        <v>0.428244075</v>
      </c>
      <c r="FQ114" s="3">
        <f>$H114*factors!FK$3</f>
        <v>0.42396163425000005</v>
      </c>
      <c r="FR114" s="3">
        <f>$H114*factors!FL$3</f>
        <v>0.43252651575000001</v>
      </c>
      <c r="FS114" s="3">
        <f>$H114*factors!FM$3</f>
        <v>0.4299570513</v>
      </c>
      <c r="FT114" s="3">
        <f>$H114*factors!FN$3</f>
        <v>0.43937842095000001</v>
      </c>
      <c r="FU114" s="3">
        <f>$H114*factors!FO$3</f>
        <v>0.42224865794999999</v>
      </c>
      <c r="FV114" s="3">
        <f>$H114*factors!FP$3</f>
        <v>0.41882270534999999</v>
      </c>
      <c r="FW114" s="3">
        <f>$H114*factors!FQ$3</f>
        <v>0.44837154652499994</v>
      </c>
      <c r="FX114" s="3">
        <f>$H114*factors!FR$3</f>
        <v>0.44023490910000007</v>
      </c>
      <c r="FY114" s="3">
        <f>$H114*factors!FS$3</f>
        <v>0.43124178352499998</v>
      </c>
      <c r="FZ114" s="3">
        <f>$H114*factors!FT$3</f>
        <v>0.40982957977500001</v>
      </c>
      <c r="GA114" s="3">
        <f>$H114*factors!FU$3</f>
        <v>0.43124178352499998</v>
      </c>
      <c r="GB114" s="3">
        <f>$H114*factors!FV$3</f>
        <v>0.44708681430000008</v>
      </c>
      <c r="GC114" s="3">
        <f>$H114*factors!FW$3</f>
        <v>0.41882270534999999</v>
      </c>
      <c r="GD114" s="3">
        <f>$H114*factors!FX$3</f>
        <v>0.42610285462499997</v>
      </c>
      <c r="GE114" s="3">
        <f>$H114*factors!FY$3</f>
        <v>0.42610285462499997</v>
      </c>
      <c r="GF114" s="3">
        <f>$H114*factors!FZ$3</f>
        <v>0.4248181224</v>
      </c>
      <c r="GG114" s="3">
        <f>$H114*factors!GA$3</f>
        <v>0.40811660347500001</v>
      </c>
      <c r="GH114" s="3">
        <f>$H114*factors!GB$3</f>
        <v>0.43423949205000006</v>
      </c>
      <c r="GI114" s="3">
        <f>$H114*factors!GC$3</f>
        <v>0.40726011532500001</v>
      </c>
      <c r="GJ114" s="3">
        <f>$H114*factors!GD$3</f>
        <v>0.40811660347500001</v>
      </c>
      <c r="GK114" s="3">
        <f>$H114*factors!GE$3</f>
        <v>0.41839446127500002</v>
      </c>
      <c r="GL114" s="3">
        <f>$H114*factors!GF$3</f>
        <v>0.44323261762499999</v>
      </c>
      <c r="GM114" s="3">
        <f>$H114*factors!GG$3</f>
        <v>0.42010743757500002</v>
      </c>
      <c r="GN114" s="3">
        <f>$H114*factors!GH$3</f>
        <v>0.43338300390000006</v>
      </c>
      <c r="GO114" s="3">
        <f>$H114*factors!GI$3</f>
        <v>0.40940133569999998</v>
      </c>
      <c r="GP114" s="3">
        <f>$H114*factors!GJ$3</f>
        <v>0.43895017687500004</v>
      </c>
      <c r="GQ114" s="3">
        <f>$H114*factors!GK$3</f>
        <v>0.44794330245000008</v>
      </c>
      <c r="GR114" s="3">
        <f>$H114*factors!GL$3</f>
        <v>0.43937842095000001</v>
      </c>
      <c r="GS114" s="3">
        <f>$H114*factors!GM$3</f>
        <v>0.41551666109099999</v>
      </c>
      <c r="GT114" s="3">
        <f>$H114*factors!GN$3</f>
        <v>0.42508877265540002</v>
      </c>
      <c r="GU114" s="3">
        <f>$H114*factors!GO$3</f>
        <v>0.43509598020000001</v>
      </c>
      <c r="GV114" s="3">
        <f>$H114*factors!GP$3</f>
        <v>0.41769214099200003</v>
      </c>
      <c r="GW114" s="3">
        <f>$H114*factors!GQ$3</f>
        <v>0.43248540431880006</v>
      </c>
      <c r="GX114" s="3">
        <f>$H114*factors!GR$3</f>
        <v>0.42552386863559999</v>
      </c>
      <c r="GY114" s="3">
        <f>$H114*factors!GS$3</f>
        <v>0.42334838873460007</v>
      </c>
      <c r="GZ114" s="3">
        <f>$H114*factors!GT$3</f>
        <v>0.43901184402179999</v>
      </c>
      <c r="HA114" s="3">
        <f>$H114*factors!GU$3</f>
        <v>0.42465367667519999</v>
      </c>
      <c r="HB114" s="3">
        <f>$H114*factors!GV$3</f>
        <v>0.43901184402179999</v>
      </c>
      <c r="HC114" s="3">
        <f>$H114*factors!GW$3</f>
        <v>0.42813444451679999</v>
      </c>
      <c r="HD114" s="3">
        <f>$H114*factors!GX$3</f>
        <v>0.44075222794259994</v>
      </c>
      <c r="HE114" s="3">
        <f>$H114*factors!GY$3</f>
        <v>0.43509598020000001</v>
      </c>
      <c r="HF114" s="3">
        <f>$H114*factors!GZ$3</f>
        <v>0.44858395558620001</v>
      </c>
      <c r="HG114" s="3">
        <f>$H114*factors!HA$3</f>
        <v>0.43118011637820003</v>
      </c>
      <c r="HH114" s="3">
        <f>$H114*factors!HB$3</f>
        <v>0.42552386863559999</v>
      </c>
      <c r="HI114" s="3">
        <f>$H114*factors!HC$3</f>
        <v>0.42030271687320003</v>
      </c>
      <c r="HJ114" s="3">
        <f>$H114*factors!HD$3</f>
        <v>0.41551666109099999</v>
      </c>
      <c r="HK114" s="3">
        <f>$H114*factors!HE$3</f>
        <v>0.43944694000200002</v>
      </c>
      <c r="HL114" s="3">
        <f>$H114*factors!HF$3</f>
        <v>0.41421137315039996</v>
      </c>
      <c r="HM114" s="3">
        <f>$H114*factors!HG$3</f>
        <v>0.41856233295240003</v>
      </c>
      <c r="HN114" s="3">
        <f>$H114*factors!HH$3</f>
        <v>0.44640847568520003</v>
      </c>
      <c r="HO114" s="3">
        <f>$H114*factors!HI$3</f>
        <v>0.42813444451679999</v>
      </c>
      <c r="HP114" s="3">
        <f>$H114*factors!HJ$3</f>
        <v>0.45685077921000006</v>
      </c>
      <c r="HQ114" s="3">
        <f>$H114*factors!HK$3</f>
        <v>0.41769214099200003</v>
      </c>
      <c r="HR114" s="3">
        <f>$H114*factors!HL$3</f>
        <v>0.44292770784360008</v>
      </c>
      <c r="HS114" s="3">
        <f>$H114*factors!HM$3</f>
        <v>0.45075943548720004</v>
      </c>
      <c r="HT114" s="3">
        <f>$H114*factors!HN$3</f>
        <v>0.42030271687320003</v>
      </c>
      <c r="HU114" s="3">
        <f>$H114*factors!HO$3</f>
        <v>0.42465367667519999</v>
      </c>
      <c r="HV114" s="3">
        <f>$H114*factors!HP$3</f>
        <v>0.42987482843760005</v>
      </c>
      <c r="HW114" s="3">
        <f>$H114*factors!HQ$3</f>
        <v>0.43596617216040001</v>
      </c>
      <c r="HX114" s="3">
        <f>$H114*factors!HR$3</f>
        <v>0.45380510734859997</v>
      </c>
      <c r="HY114" s="3">
        <f>$H114*factors!HS$3</f>
        <v>0.43118011637820003</v>
      </c>
      <c r="HZ114" s="3">
        <f>$H114*factors!HT$3</f>
        <v>0.44771376362580001</v>
      </c>
      <c r="IA114" s="3">
        <f>$H114*factors!HU$3</f>
        <v>0.42595896461580002</v>
      </c>
      <c r="IB114" s="3">
        <f>$H114*factors!HV$3</f>
        <v>0.44075222794259994</v>
      </c>
      <c r="IC114" s="3">
        <f>$H114*factors!HW$3</f>
        <v>0.4451031877446</v>
      </c>
      <c r="ID114" s="3">
        <f>$H114*factors!HX$3</f>
        <v>0.41334118118999996</v>
      </c>
      <c r="IE114" s="3">
        <f>$H114*factors!HY$3</f>
        <v>0.43901184402179999</v>
      </c>
      <c r="IF114" s="3">
        <f>$H114*factors!HZ$3</f>
        <v>0.43640126814059998</v>
      </c>
      <c r="IG114" s="3">
        <f>$H114*factors!IA$3</f>
        <v>0.43248540431880006</v>
      </c>
      <c r="IH114" s="3">
        <f>$H114*factors!IB$3</f>
        <v>0.44858395558620001</v>
      </c>
      <c r="II114" s="3">
        <f>$H114*factors!IC$3</f>
        <v>0.42943973245740003</v>
      </c>
      <c r="IJ114" s="3">
        <f>$H114*factors!ID$3</f>
        <v>0.43335559627920001</v>
      </c>
      <c r="IK114" s="3">
        <f>$H114*factors!IE$3</f>
        <v>0.44901905156640004</v>
      </c>
      <c r="IL114" s="3">
        <f>$H114*factors!IF$3</f>
        <v>0.42987482843760005</v>
      </c>
      <c r="IM114" s="3">
        <f>$H114*factors!IG$3</f>
        <v>0.42595896461580002</v>
      </c>
      <c r="IN114" s="3">
        <f>$H114*factors!IH$3</f>
        <v>0.42856954049700002</v>
      </c>
      <c r="IO114" s="3">
        <f>$H114*factors!II$3</f>
        <v>0.43292050029899998</v>
      </c>
      <c r="IP114" s="3">
        <f>$H114*factors!IJ$3</f>
        <v>0.41856233295240003</v>
      </c>
      <c r="IQ114" s="3">
        <f>$H114*factors!IK$3</f>
        <v>0.4172570450118</v>
      </c>
      <c r="IR114" s="3">
        <f>$H114*factors!IL$3</f>
        <v>0.42943973245740003</v>
      </c>
      <c r="IS114" s="3">
        <f>$H114*factors!IM$3</f>
        <v>0.43292050029899998</v>
      </c>
      <c r="IT114" s="3">
        <f>$H114*factors!IN$3</f>
        <v>0.43596617216040001</v>
      </c>
      <c r="IU114" s="3">
        <f>$H114*factors!IO$3</f>
        <v>0.44553828372480003</v>
      </c>
      <c r="IV114" s="3">
        <f>$H114*factors!IP$3</f>
        <v>0.45119453146739996</v>
      </c>
      <c r="IW114" s="3">
        <f>$H114*factors!IQ$3</f>
        <v>0.42639406059599999</v>
      </c>
      <c r="IX114" s="3">
        <f>$H114*factors!IR$3</f>
        <v>0.44553828372480003</v>
      </c>
      <c r="IY114" s="3">
        <f>$H114*factors!IS$3</f>
        <v>0.43901184402179999</v>
      </c>
      <c r="IZ114" s="3">
        <f>$H114*factors!IT$3</f>
        <v>0.44640847568520003</v>
      </c>
      <c r="JA114" s="3">
        <f>$H114*factors!IU$3</f>
        <v>0.42160800481379995</v>
      </c>
      <c r="JB114" s="3">
        <f>$H114*factors!IV$3</f>
        <v>0.42943973245740003</v>
      </c>
      <c r="JC114" s="3">
        <f>$H114*factors!IW$3</f>
        <v>0.41943252491280003</v>
      </c>
      <c r="JD114" s="3">
        <f>$H114*factors!IX$3</f>
        <v>0.45685077921000006</v>
      </c>
      <c r="JE114" s="3">
        <f>$H114*factors!IY$3</f>
        <v>0.42073781285340001</v>
      </c>
      <c r="JF114" s="3">
        <f>$H114*factors!IZ$3</f>
        <v>0.44162241990299994</v>
      </c>
      <c r="JG114" s="3">
        <f>$H114*factors!JA$3</f>
        <v>0.43379069225939998</v>
      </c>
      <c r="JH114" s="3">
        <f>$H114*factors!JB$3</f>
        <v>0.44205751588320008</v>
      </c>
      <c r="JI114" s="3">
        <f>$H114*factors!JC$3</f>
        <v>0.41377627717020005</v>
      </c>
      <c r="JJ114" s="3">
        <f>$H114*factors!JD$3</f>
        <v>0.44553828372480003</v>
      </c>
      <c r="JK114" s="3">
        <f>$H114*factors!JE$3</f>
        <v>0.43118011637820003</v>
      </c>
      <c r="JL114" s="3">
        <f>$H114*factors!JF$3</f>
        <v>0.44858395558620001</v>
      </c>
      <c r="JM114" s="3">
        <f>$H114*factors!JG$3</f>
        <v>0.41856233295240003</v>
      </c>
      <c r="JN114" s="3">
        <f>$H114*factors!JH$3</f>
        <v>0.41856233295240003</v>
      </c>
      <c r="JO114" s="3">
        <f>$H114*factors!JI$3</f>
        <v>0.41334118118999996</v>
      </c>
      <c r="JP114" s="3">
        <f>$H114*factors!JJ$3</f>
        <v>0.44684357166540001</v>
      </c>
      <c r="JQ114" s="3">
        <f>$H114*factors!JK$3</f>
        <v>0.43553107618019998</v>
      </c>
      <c r="JR114" s="3">
        <f>$H114*factors!JL$3</f>
        <v>0.45249981940799999</v>
      </c>
      <c r="JS114" s="3">
        <f>$H114*factors!JM$3</f>
        <v>0.41334118118999996</v>
      </c>
      <c r="JT114" s="3">
        <f>$H114*factors!JN$3</f>
        <v>0.43422578823960001</v>
      </c>
      <c r="JU114" s="3">
        <f>$H114*factors!JO$3</f>
        <v>0.419867620893</v>
      </c>
      <c r="JV114" s="3">
        <f>$H114*factors!JP$3</f>
        <v>0.42682915657620002</v>
      </c>
      <c r="JW114" s="3">
        <f>$H114*factors!JQ$3</f>
        <v>0.45598058724960006</v>
      </c>
      <c r="JX114" s="3">
        <f>$H114*factors!JR$3</f>
        <v>0.45162962744759999</v>
      </c>
      <c r="JY114" s="3">
        <f>$H114*factors!JS$3</f>
        <v>0.42508877265540002</v>
      </c>
      <c r="JZ114" s="3">
        <f>$H114*factors!JT$3</f>
        <v>0.42987482843760005</v>
      </c>
      <c r="KA114" s="3">
        <f>$H114*factors!JU$3</f>
        <v>0.43161521235840006</v>
      </c>
      <c r="KB114" s="3">
        <f>$H114*factors!JV$3</f>
        <v>0.4172570450118</v>
      </c>
      <c r="KC114" s="3">
        <f>$H114*factors!JW$3</f>
        <v>0.41943252491280003</v>
      </c>
      <c r="KD114" s="3">
        <f>$H114*factors!JX$3</f>
        <v>0.419867620893</v>
      </c>
      <c r="KE114" s="3">
        <f>$H114*factors!JY$3</f>
        <v>0.44684357166540001</v>
      </c>
      <c r="KF114" s="3">
        <f>$H114*factors!JZ$3</f>
        <v>0.45206472342779996</v>
      </c>
      <c r="KG114" s="3">
        <f>$H114*factors!KA$3</f>
        <v>0.43596617216040001</v>
      </c>
      <c r="KH114" s="3">
        <f>$H114*factors!KB$3</f>
        <v>0.42639406059599999</v>
      </c>
      <c r="KI114" s="3">
        <f>$H114*factors!KC$3</f>
        <v>0.42247819677419995</v>
      </c>
    </row>
    <row r="115" spans="1:295" x14ac:dyDescent="0.55000000000000004">
      <c r="A115" t="s">
        <v>492</v>
      </c>
      <c r="B115">
        <v>114</v>
      </c>
      <c r="C115">
        <v>230</v>
      </c>
      <c r="D115" t="s">
        <v>377</v>
      </c>
      <c r="E115">
        <v>3.0869999999999999E-3</v>
      </c>
      <c r="F115">
        <v>114</v>
      </c>
      <c r="G115">
        <f>VLOOKUP(D115,demand_forecasted!$A$2:$G$11,2)</f>
        <v>11098</v>
      </c>
      <c r="H115" s="3">
        <f t="shared" si="2"/>
        <v>0.34259526000000001</v>
      </c>
      <c r="I115" s="3">
        <f>$H115*factors!C$3</f>
        <v>0.37925295281999999</v>
      </c>
      <c r="J115" s="3">
        <f>$H115*factors!D$3</f>
        <v>0.36556284623040003</v>
      </c>
      <c r="K115" s="3">
        <f>$H115*factors!E$3</f>
        <v>0.35927279725680006</v>
      </c>
      <c r="L115" s="3">
        <f>$H115*factors!F$3</f>
        <v>0.35816278861440004</v>
      </c>
      <c r="M115" s="3">
        <f>$H115*factors!G$3</f>
        <v>0.35779278573360002</v>
      </c>
      <c r="N115" s="3">
        <f>$H115*factors!H$3</f>
        <v>0.36815286639600003</v>
      </c>
      <c r="O115" s="3">
        <f>$H115*factors!I$3</f>
        <v>0.37629292977360002</v>
      </c>
      <c r="P115" s="3">
        <f>$H115*factors!J$3</f>
        <v>0.38073296434320003</v>
      </c>
      <c r="Q115" s="3">
        <f>$H115*factors!K$3</f>
        <v>0.35742278285279999</v>
      </c>
      <c r="R115" s="3">
        <f>$H115*factors!L$3</f>
        <v>0.35150273676000005</v>
      </c>
      <c r="S115" s="3">
        <f>$H115*factors!M$3</f>
        <v>0.3659328491112</v>
      </c>
      <c r="T115" s="3">
        <f>$H115*factors!N$3</f>
        <v>0.37851294705840005</v>
      </c>
      <c r="U115" s="3">
        <f>$H115*factors!O$3</f>
        <v>0.35853279149520006</v>
      </c>
      <c r="V115" s="3">
        <f>$H115*factors!P$3</f>
        <v>0.37296290384640002</v>
      </c>
      <c r="W115" s="3">
        <f>$H115*factors!Q$3</f>
        <v>0.37629292977360002</v>
      </c>
      <c r="X115" s="3">
        <f>$H115*factors!R$3</f>
        <v>0.3600128030184</v>
      </c>
      <c r="Y115" s="3">
        <f>$H115*factors!S$3</f>
        <v>0.35668277709120005</v>
      </c>
      <c r="Z115" s="3">
        <f>$H115*factors!T$3</f>
        <v>0.38480299603200008</v>
      </c>
      <c r="AA115" s="3">
        <f>$H115*factors!U$3</f>
        <v>0.36334282894559999</v>
      </c>
      <c r="AB115" s="3">
        <f>$H115*factors!V$3</f>
        <v>0.36371283182640007</v>
      </c>
      <c r="AC115" s="3">
        <f>$H115*factors!W$3</f>
        <v>0.36408283470720004</v>
      </c>
      <c r="AD115" s="3">
        <f>$H115*factors!X$3</f>
        <v>0.35631277421040003</v>
      </c>
      <c r="AE115" s="3">
        <f>$H115*factors!Y$3</f>
        <v>0.35927279725680006</v>
      </c>
      <c r="AF115" s="3">
        <f>$H115*factors!Z$3</f>
        <v>0.36667285487280005</v>
      </c>
      <c r="AG115" s="3">
        <f>$H115*factors!AA$3</f>
        <v>0.35742278285279999</v>
      </c>
      <c r="AH115" s="3">
        <f>$H115*factors!AB$3</f>
        <v>0.35594277132960006</v>
      </c>
      <c r="AI115" s="3">
        <f>$H115*factors!AC$3</f>
        <v>0.36741286063440004</v>
      </c>
      <c r="AJ115" s="3">
        <f>$H115*factors!AD$3</f>
        <v>0.38147297010480002</v>
      </c>
      <c r="AK115" s="3">
        <f>$H115*factors!AE$3</f>
        <v>0.36704285775360007</v>
      </c>
      <c r="AL115" s="3">
        <f>$H115*factors!AF$3</f>
        <v>0.35261274540240001</v>
      </c>
      <c r="AM115" s="3">
        <f>$H115*factors!AG$3</f>
        <v>0.362602823184</v>
      </c>
      <c r="AN115" s="3">
        <f>$H115*factors!AH$3</f>
        <v>0.35668277709120005</v>
      </c>
      <c r="AO115" s="3">
        <f>$H115*factors!AI$3</f>
        <v>0.37370290960800001</v>
      </c>
      <c r="AP115" s="3">
        <f>$H115*factors!AJ$3</f>
        <v>0.35816278861440004</v>
      </c>
      <c r="AQ115" s="3">
        <f>$H115*factors!AK$3</f>
        <v>0.36963287791920008</v>
      </c>
      <c r="AR115" s="3">
        <f>$H115*factors!AL$3</f>
        <v>0.36149281454160004</v>
      </c>
      <c r="AS115" s="3">
        <f>$H115*factors!AM$3</f>
        <v>0.35261274540240001</v>
      </c>
      <c r="AT115" s="3">
        <f>$H115*factors!AN$3</f>
        <v>0.36371283182640007</v>
      </c>
      <c r="AU115" s="3">
        <f>$H115*factors!AO$3</f>
        <v>0.38517299891279999</v>
      </c>
      <c r="AV115" s="3">
        <f>$H115*factors!AP$3</f>
        <v>0.36408283470720004</v>
      </c>
      <c r="AW115" s="3">
        <f>$H115*factors!AQ$3</f>
        <v>0.36038280589920002</v>
      </c>
      <c r="AX115" s="3">
        <f>$H115*factors!AR$3</f>
        <v>0.38110296722400006</v>
      </c>
      <c r="AY115" s="3">
        <f>$H115*factors!AS$3</f>
        <v>0.35150273676000005</v>
      </c>
      <c r="AZ115" s="3">
        <f>$H115*factors!AT$3</f>
        <v>0.3766629326544001</v>
      </c>
      <c r="BA115" s="3">
        <f>$H115*factors!AU$3</f>
        <v>0.3685228692768</v>
      </c>
      <c r="BB115" s="3">
        <f>$H115*factors!AV$3</f>
        <v>0.36371283182640007</v>
      </c>
      <c r="BC115" s="3">
        <f>$H115*factors!AW$3</f>
        <v>0.38480299603200008</v>
      </c>
      <c r="BD115" s="3">
        <f>$H115*factors!AX$3</f>
        <v>0.35520276556800001</v>
      </c>
      <c r="BE115" s="3">
        <f>$H115*factors!AY$3</f>
        <v>0.41760306622439997</v>
      </c>
      <c r="BF115" s="3">
        <f>$H115*factors!AZ$3</f>
        <v>0.38890043534160001</v>
      </c>
      <c r="BG115" s="3">
        <f>$H115*factors!BA$3</f>
        <v>0.39456010903679994</v>
      </c>
      <c r="BH115" s="3">
        <f>$H115*factors!BB$3</f>
        <v>0.39981552032520001</v>
      </c>
      <c r="BI115" s="3">
        <f>$H115*factors!BC$3</f>
        <v>0.41436896696999992</v>
      </c>
      <c r="BJ115" s="3">
        <f>$H115*factors!BD$3</f>
        <v>0.39577289625719997</v>
      </c>
      <c r="BK115" s="3">
        <f>$H115*factors!BE$3</f>
        <v>0.39658142107079997</v>
      </c>
      <c r="BL115" s="3">
        <f>$H115*factors!BF$3</f>
        <v>0.39213453459599995</v>
      </c>
      <c r="BM115" s="3">
        <f>$H115*factors!BG$3</f>
        <v>0.41881585344480005</v>
      </c>
      <c r="BN115" s="3">
        <f>$H115*factors!BH$3</f>
        <v>0.41356044215639998</v>
      </c>
      <c r="BO115" s="3">
        <f>$H115*factors!BI$3</f>
        <v>0.38890043534160001</v>
      </c>
      <c r="BP115" s="3">
        <f>$H115*factors!BJ$3</f>
        <v>0.38768764812119993</v>
      </c>
      <c r="BQ115" s="3">
        <f>$H115*factors!BK$3</f>
        <v>0.39415584662999997</v>
      </c>
      <c r="BR115" s="3">
        <f>$H115*factors!BL$3</f>
        <v>0.40830503086800002</v>
      </c>
      <c r="BS115" s="3">
        <f>$H115*factors!BM$3</f>
        <v>0.4147732293768</v>
      </c>
      <c r="BT115" s="3">
        <f>$H115*factors!BN$3</f>
        <v>0.41598601659719997</v>
      </c>
      <c r="BU115" s="3">
        <f>$H115*factors!BO$3</f>
        <v>0.42285847751280004</v>
      </c>
      <c r="BV115" s="3">
        <f>$H115*factors!BP$3</f>
        <v>0.39334732181639998</v>
      </c>
      <c r="BW115" s="3">
        <f>$H115*factors!BQ$3</f>
        <v>0.40224109476600001</v>
      </c>
      <c r="BX115" s="3">
        <f>$H115*factors!BR$3</f>
        <v>0.39456010903679994</v>
      </c>
      <c r="BY115" s="3">
        <f>$H115*factors!BS$3</f>
        <v>0.41275191734279992</v>
      </c>
      <c r="BZ115" s="3">
        <f>$H115*factors!BT$3</f>
        <v>0.40507093161359997</v>
      </c>
      <c r="CA115" s="3">
        <f>$H115*factors!BU$3</f>
        <v>0.39981552032520001</v>
      </c>
      <c r="CB115" s="3">
        <f>$H115*factors!BV$3</f>
        <v>0.38687912330759999</v>
      </c>
      <c r="CC115" s="3">
        <f>$H115*factors!BW$3</f>
        <v>0.39819847069799996</v>
      </c>
      <c r="CD115" s="3">
        <f>$H115*factors!BX$3</f>
        <v>0.39941125791839999</v>
      </c>
      <c r="CE115" s="3">
        <f>$H115*factors!BY$3</f>
        <v>0.40507093161359997</v>
      </c>
      <c r="CF115" s="3">
        <f>$H115*factors!BZ$3</f>
        <v>0.39900699551160002</v>
      </c>
      <c r="CG115" s="3">
        <f>$H115*factors!CA$3</f>
        <v>0.38566633608719997</v>
      </c>
      <c r="CH115" s="3">
        <f>$H115*factors!CB$3</f>
        <v>0.38607059849399994</v>
      </c>
      <c r="CI115" s="3">
        <f>$H115*factors!CC$3</f>
        <v>0.38404928646000003</v>
      </c>
      <c r="CJ115" s="3">
        <f>$H115*factors!CD$3</f>
        <v>0.39981552032520001</v>
      </c>
      <c r="CK115" s="3">
        <f>$H115*factors!CE$3</f>
        <v>0.41760306622439997</v>
      </c>
      <c r="CL115" s="3">
        <f>$H115*factors!CF$3</f>
        <v>0.39132600978240001</v>
      </c>
      <c r="CM115" s="3">
        <f>$H115*factors!CG$3</f>
        <v>0.40062404513879996</v>
      </c>
      <c r="CN115" s="3">
        <f>$H115*factors!CH$3</f>
        <v>0.38728338571439996</v>
      </c>
      <c r="CO115" s="3">
        <f>$H115*factors!CI$3</f>
        <v>0.39011322256199993</v>
      </c>
      <c r="CP115" s="3">
        <f>$H115*factors!CJ$3</f>
        <v>0.40870929327479993</v>
      </c>
      <c r="CQ115" s="3">
        <f>$H115*factors!CK$3</f>
        <v>0.39658142107079997</v>
      </c>
      <c r="CR115" s="3">
        <f>$H115*factors!CL$3</f>
        <v>0.40911355568159996</v>
      </c>
      <c r="CS115" s="3">
        <f>$H115*factors!CM$3</f>
        <v>0.42204995269919998</v>
      </c>
      <c r="CT115" s="3">
        <f>$H115*factors!CN$3</f>
        <v>0.41719880381759999</v>
      </c>
      <c r="CU115" s="3">
        <f>$H115*factors!CO$3</f>
        <v>0.40790076846119994</v>
      </c>
      <c r="CV115" s="3">
        <f>$H115*factors!CP$3</f>
        <v>0.42447552713999998</v>
      </c>
      <c r="CW115" s="3">
        <f>$H115*factors!CQ$3</f>
        <v>0.40143256995240001</v>
      </c>
      <c r="CX115" s="3">
        <f>$H115*factors!CR$3</f>
        <v>0.3953686338504</v>
      </c>
      <c r="CY115" s="3">
        <f>$H115*factors!CS$3</f>
        <v>0.39173027218919998</v>
      </c>
      <c r="CZ115" s="3">
        <f>$H115*factors!CT$3</f>
        <v>0.38607059849399994</v>
      </c>
      <c r="DA115" s="3">
        <f>$H115*factors!CU$3</f>
        <v>0.40083645419999997</v>
      </c>
      <c r="DB115" s="3">
        <f>$H115*factors!CV$3</f>
        <v>0.42673665585600001</v>
      </c>
      <c r="DC115" s="3">
        <f>$H115*factors!CW$3</f>
        <v>0.40864762612799999</v>
      </c>
      <c r="DD115" s="3">
        <f>$H115*factors!CX$3</f>
        <v>0.40576982594399996</v>
      </c>
      <c r="DE115" s="3">
        <f>$H115*factors!CY$3</f>
        <v>0.41769214099200003</v>
      </c>
      <c r="DF115" s="3">
        <f>$H115*factors!CZ$3</f>
        <v>0.41686991236799997</v>
      </c>
      <c r="DG115" s="3">
        <f>$H115*factors!DA$3</f>
        <v>0.41522545512000003</v>
      </c>
      <c r="DH115" s="3">
        <f>$H115*factors!DB$3</f>
        <v>0.41522545512000003</v>
      </c>
      <c r="DI115" s="3">
        <f>$H115*factors!DC$3</f>
        <v>0.399603111264</v>
      </c>
      <c r="DJ115" s="3">
        <f>$H115*factors!DD$3</f>
        <v>0.42344774136000002</v>
      </c>
      <c r="DK115" s="3">
        <f>$H115*factors!DE$3</f>
        <v>0.42344774136000002</v>
      </c>
      <c r="DL115" s="3">
        <f>$H115*factors!DF$3</f>
        <v>0.41851436961600003</v>
      </c>
      <c r="DM115" s="3">
        <f>$H115*factors!DG$3</f>
        <v>0.39425862520799998</v>
      </c>
      <c r="DN115" s="3">
        <f>$H115*factors!DH$3</f>
        <v>0.41358099787200003</v>
      </c>
      <c r="DO115" s="3">
        <f>$H115*factors!DI$3</f>
        <v>0.42714777016799998</v>
      </c>
      <c r="DP115" s="3">
        <f>$H115*factors!DJ$3</f>
        <v>0.42344774136000002</v>
      </c>
      <c r="DQ115" s="3">
        <f>$H115*factors!DK$3</f>
        <v>0.40371425438399999</v>
      </c>
      <c r="DR115" s="3">
        <f>$H115*factors!DL$3</f>
        <v>0.39919199695200003</v>
      </c>
      <c r="DS115" s="3">
        <f>$H115*factors!DM$3</f>
        <v>0.43125891328799998</v>
      </c>
      <c r="DT115" s="3">
        <f>$H115*factors!DN$3</f>
        <v>0.40535871163200005</v>
      </c>
      <c r="DU115" s="3">
        <f>$H115*factors!DO$3</f>
        <v>0.42426996998400002</v>
      </c>
      <c r="DV115" s="3">
        <f>$H115*factors!DP$3</f>
        <v>0.41440322649600003</v>
      </c>
      <c r="DW115" s="3">
        <f>$H115*factors!DQ$3</f>
        <v>0.39549196814399995</v>
      </c>
      <c r="DX115" s="3">
        <f>$H115*factors!DR$3</f>
        <v>0.418925483928</v>
      </c>
      <c r="DY115" s="3">
        <f>$H115*factors!DS$3</f>
        <v>0.39754753970399997</v>
      </c>
      <c r="DZ115" s="3">
        <f>$H115*factors!DT$3</f>
        <v>0.42509219860799996</v>
      </c>
      <c r="EA115" s="3">
        <f>$H115*factors!DU$3</f>
        <v>0.40042533988799994</v>
      </c>
      <c r="EB115" s="3">
        <f>$H115*factors!DV$3</f>
        <v>0.39055859639999996</v>
      </c>
      <c r="EC115" s="3">
        <f>$H115*factors!DW$3</f>
        <v>0.42015882686399997</v>
      </c>
      <c r="ED115" s="3">
        <f>$H115*factors!DX$3</f>
        <v>0.39425862520799998</v>
      </c>
      <c r="EE115" s="3">
        <f>$H115*factors!DY$3</f>
        <v>0.39754753970399997</v>
      </c>
      <c r="EF115" s="3">
        <f>$H115*factors!DZ$3</f>
        <v>0.43125891328799998</v>
      </c>
      <c r="EG115" s="3">
        <f>$H115*factors!EA$3</f>
        <v>0.40289202575999999</v>
      </c>
      <c r="EH115" s="3">
        <f>$H115*factors!EB$3</f>
        <v>0.40412536869600002</v>
      </c>
      <c r="EI115" s="3">
        <f>$H115*factors!EC$3</f>
        <v>0.40330314007200002</v>
      </c>
      <c r="EJ115" s="3">
        <f>$H115*factors!ED$3</f>
        <v>0.39302528227200001</v>
      </c>
      <c r="EK115" s="3">
        <f>$H115*factors!EE$3</f>
        <v>0.42015882686399997</v>
      </c>
      <c r="EL115" s="3">
        <f>$H115*factors!EF$3</f>
        <v>0.399603111264</v>
      </c>
      <c r="EM115" s="3">
        <f>$H115*factors!EG$3</f>
        <v>0.41563656943199995</v>
      </c>
      <c r="EN115" s="3">
        <f>$H115*factors!EH$3</f>
        <v>0.39055859639999996</v>
      </c>
      <c r="EO115" s="3">
        <f>$H115*factors!EI$3</f>
        <v>0.39631419676799995</v>
      </c>
      <c r="EP115" s="3">
        <f>$H115*factors!EJ$3</f>
        <v>0.418103255304</v>
      </c>
      <c r="EQ115" s="3">
        <f>$H115*factors!EK$3</f>
        <v>0.40659205456799996</v>
      </c>
      <c r="ER115" s="3">
        <f>$H115*factors!EL$3</f>
        <v>0.42344774136000002</v>
      </c>
      <c r="ES115" s="3">
        <f>$H115*factors!EM$3</f>
        <v>0.418103255304</v>
      </c>
      <c r="ET115" s="3">
        <f>$H115*factors!EN$3</f>
        <v>0.42755888448000001</v>
      </c>
      <c r="EU115" s="3">
        <f>$H115*factors!EO$3</f>
        <v>0.43167002760000001</v>
      </c>
      <c r="EV115" s="3">
        <f>$H115*factors!EP$3</f>
        <v>0.40453648300799994</v>
      </c>
      <c r="EW115" s="3">
        <f>$H115*factors!EQ$3</f>
        <v>0.44494559392499994</v>
      </c>
      <c r="EX115" s="3">
        <f>$H115*factors!ER$3</f>
        <v>0.44023490910000007</v>
      </c>
      <c r="EY115" s="3">
        <f>$H115*factors!ES$3</f>
        <v>0.44922803467499994</v>
      </c>
      <c r="EZ115" s="3">
        <f>$H115*factors!ET$3</f>
        <v>0.44494559392499994</v>
      </c>
      <c r="FA115" s="3">
        <f>$H115*factors!EU$3</f>
        <v>0.40897309162499995</v>
      </c>
      <c r="FB115" s="3">
        <f>$H115*factors!EV$3</f>
        <v>0.42738758685000006</v>
      </c>
      <c r="FC115" s="3">
        <f>$H115*factors!EW$3</f>
        <v>0.43937842095000001</v>
      </c>
      <c r="FD115" s="3">
        <f>$H115*factors!EX$3</f>
        <v>0.42396163425000005</v>
      </c>
      <c r="FE115" s="3">
        <f>$H115*factors!EY$3</f>
        <v>0.446658570225</v>
      </c>
      <c r="FF115" s="3">
        <f>$H115*factors!EZ$3</f>
        <v>0.44708681430000008</v>
      </c>
      <c r="FG115" s="3">
        <f>$H115*factors!FA$3</f>
        <v>0.40897309162499995</v>
      </c>
      <c r="FH115" s="3">
        <f>$H115*factors!FB$3</f>
        <v>0.43038529537499998</v>
      </c>
      <c r="FI115" s="3">
        <f>$H115*factors!FC$3</f>
        <v>0.44837154652499994</v>
      </c>
      <c r="FJ115" s="3">
        <f>$H115*factors!FD$3</f>
        <v>0.43038529537499998</v>
      </c>
      <c r="FK115" s="3">
        <f>$H115*factors!FE$3</f>
        <v>0.43766544465000007</v>
      </c>
      <c r="FL115" s="3">
        <f>$H115*factors!FF$3</f>
        <v>0.43895017687500004</v>
      </c>
      <c r="FM115" s="3">
        <f>$H115*factors!FG$3</f>
        <v>0.44366086169999996</v>
      </c>
      <c r="FN115" s="3">
        <f>$H115*factors!FH$3</f>
        <v>0.41496850867500001</v>
      </c>
      <c r="FO115" s="3">
        <f>$H115*factors!FI$3</f>
        <v>0.44066315317499999</v>
      </c>
      <c r="FP115" s="3">
        <f>$H115*factors!FJ$3</f>
        <v>0.428244075</v>
      </c>
      <c r="FQ115" s="3">
        <f>$H115*factors!FK$3</f>
        <v>0.42396163425000005</v>
      </c>
      <c r="FR115" s="3">
        <f>$H115*factors!FL$3</f>
        <v>0.43252651575000001</v>
      </c>
      <c r="FS115" s="3">
        <f>$H115*factors!FM$3</f>
        <v>0.4299570513</v>
      </c>
      <c r="FT115" s="3">
        <f>$H115*factors!FN$3</f>
        <v>0.43937842095000001</v>
      </c>
      <c r="FU115" s="3">
        <f>$H115*factors!FO$3</f>
        <v>0.42224865794999999</v>
      </c>
      <c r="FV115" s="3">
        <f>$H115*factors!FP$3</f>
        <v>0.41882270534999999</v>
      </c>
      <c r="FW115" s="3">
        <f>$H115*factors!FQ$3</f>
        <v>0.44837154652499994</v>
      </c>
      <c r="FX115" s="3">
        <f>$H115*factors!FR$3</f>
        <v>0.44023490910000007</v>
      </c>
      <c r="FY115" s="3">
        <f>$H115*factors!FS$3</f>
        <v>0.43124178352499998</v>
      </c>
      <c r="FZ115" s="3">
        <f>$H115*factors!FT$3</f>
        <v>0.40982957977500001</v>
      </c>
      <c r="GA115" s="3">
        <f>$H115*factors!FU$3</f>
        <v>0.43124178352499998</v>
      </c>
      <c r="GB115" s="3">
        <f>$H115*factors!FV$3</f>
        <v>0.44708681430000008</v>
      </c>
      <c r="GC115" s="3">
        <f>$H115*factors!FW$3</f>
        <v>0.41882270534999999</v>
      </c>
      <c r="GD115" s="3">
        <f>$H115*factors!FX$3</f>
        <v>0.42610285462499997</v>
      </c>
      <c r="GE115" s="3">
        <f>$H115*factors!FY$3</f>
        <v>0.42610285462499997</v>
      </c>
      <c r="GF115" s="3">
        <f>$H115*factors!FZ$3</f>
        <v>0.4248181224</v>
      </c>
      <c r="GG115" s="3">
        <f>$H115*factors!GA$3</f>
        <v>0.40811660347500001</v>
      </c>
      <c r="GH115" s="3">
        <f>$H115*factors!GB$3</f>
        <v>0.43423949205000006</v>
      </c>
      <c r="GI115" s="3">
        <f>$H115*factors!GC$3</f>
        <v>0.40726011532500001</v>
      </c>
      <c r="GJ115" s="3">
        <f>$H115*factors!GD$3</f>
        <v>0.40811660347500001</v>
      </c>
      <c r="GK115" s="3">
        <f>$H115*factors!GE$3</f>
        <v>0.41839446127500002</v>
      </c>
      <c r="GL115" s="3">
        <f>$H115*factors!GF$3</f>
        <v>0.44323261762499999</v>
      </c>
      <c r="GM115" s="3">
        <f>$H115*factors!GG$3</f>
        <v>0.42010743757500002</v>
      </c>
      <c r="GN115" s="3">
        <f>$H115*factors!GH$3</f>
        <v>0.43338300390000006</v>
      </c>
      <c r="GO115" s="3">
        <f>$H115*factors!GI$3</f>
        <v>0.40940133569999998</v>
      </c>
      <c r="GP115" s="3">
        <f>$H115*factors!GJ$3</f>
        <v>0.43895017687500004</v>
      </c>
      <c r="GQ115" s="3">
        <f>$H115*factors!GK$3</f>
        <v>0.44794330245000008</v>
      </c>
      <c r="GR115" s="3">
        <f>$H115*factors!GL$3</f>
        <v>0.43937842095000001</v>
      </c>
      <c r="GS115" s="3">
        <f>$H115*factors!GM$3</f>
        <v>0.41551666109099999</v>
      </c>
      <c r="GT115" s="3">
        <f>$H115*factors!GN$3</f>
        <v>0.42508877265540002</v>
      </c>
      <c r="GU115" s="3">
        <f>$H115*factors!GO$3</f>
        <v>0.43509598020000001</v>
      </c>
      <c r="GV115" s="3">
        <f>$H115*factors!GP$3</f>
        <v>0.41769214099200003</v>
      </c>
      <c r="GW115" s="3">
        <f>$H115*factors!GQ$3</f>
        <v>0.43248540431880006</v>
      </c>
      <c r="GX115" s="3">
        <f>$H115*factors!GR$3</f>
        <v>0.42552386863559999</v>
      </c>
      <c r="GY115" s="3">
        <f>$H115*factors!GS$3</f>
        <v>0.42334838873460007</v>
      </c>
      <c r="GZ115" s="3">
        <f>$H115*factors!GT$3</f>
        <v>0.43901184402179999</v>
      </c>
      <c r="HA115" s="3">
        <f>$H115*factors!GU$3</f>
        <v>0.42465367667519999</v>
      </c>
      <c r="HB115" s="3">
        <f>$H115*factors!GV$3</f>
        <v>0.43901184402179999</v>
      </c>
      <c r="HC115" s="3">
        <f>$H115*factors!GW$3</f>
        <v>0.42813444451679999</v>
      </c>
      <c r="HD115" s="3">
        <f>$H115*factors!GX$3</f>
        <v>0.44075222794259994</v>
      </c>
      <c r="HE115" s="3">
        <f>$H115*factors!GY$3</f>
        <v>0.43509598020000001</v>
      </c>
      <c r="HF115" s="3">
        <f>$H115*factors!GZ$3</f>
        <v>0.44858395558620001</v>
      </c>
      <c r="HG115" s="3">
        <f>$H115*factors!HA$3</f>
        <v>0.43118011637820003</v>
      </c>
      <c r="HH115" s="3">
        <f>$H115*factors!HB$3</f>
        <v>0.42552386863559999</v>
      </c>
      <c r="HI115" s="3">
        <f>$H115*factors!HC$3</f>
        <v>0.42030271687320003</v>
      </c>
      <c r="HJ115" s="3">
        <f>$H115*factors!HD$3</f>
        <v>0.41551666109099999</v>
      </c>
      <c r="HK115" s="3">
        <f>$H115*factors!HE$3</f>
        <v>0.43944694000200002</v>
      </c>
      <c r="HL115" s="3">
        <f>$H115*factors!HF$3</f>
        <v>0.41421137315039996</v>
      </c>
      <c r="HM115" s="3">
        <f>$H115*factors!HG$3</f>
        <v>0.41856233295240003</v>
      </c>
      <c r="HN115" s="3">
        <f>$H115*factors!HH$3</f>
        <v>0.44640847568520003</v>
      </c>
      <c r="HO115" s="3">
        <f>$H115*factors!HI$3</f>
        <v>0.42813444451679999</v>
      </c>
      <c r="HP115" s="3">
        <f>$H115*factors!HJ$3</f>
        <v>0.45685077921000006</v>
      </c>
      <c r="HQ115" s="3">
        <f>$H115*factors!HK$3</f>
        <v>0.41769214099200003</v>
      </c>
      <c r="HR115" s="3">
        <f>$H115*factors!HL$3</f>
        <v>0.44292770784360008</v>
      </c>
      <c r="HS115" s="3">
        <f>$H115*factors!HM$3</f>
        <v>0.45075943548720004</v>
      </c>
      <c r="HT115" s="3">
        <f>$H115*factors!HN$3</f>
        <v>0.42030271687320003</v>
      </c>
      <c r="HU115" s="3">
        <f>$H115*factors!HO$3</f>
        <v>0.42465367667519999</v>
      </c>
      <c r="HV115" s="3">
        <f>$H115*factors!HP$3</f>
        <v>0.42987482843760005</v>
      </c>
      <c r="HW115" s="3">
        <f>$H115*factors!HQ$3</f>
        <v>0.43596617216040001</v>
      </c>
      <c r="HX115" s="3">
        <f>$H115*factors!HR$3</f>
        <v>0.45380510734859997</v>
      </c>
      <c r="HY115" s="3">
        <f>$H115*factors!HS$3</f>
        <v>0.43118011637820003</v>
      </c>
      <c r="HZ115" s="3">
        <f>$H115*factors!HT$3</f>
        <v>0.44771376362580001</v>
      </c>
      <c r="IA115" s="3">
        <f>$H115*factors!HU$3</f>
        <v>0.42595896461580002</v>
      </c>
      <c r="IB115" s="3">
        <f>$H115*factors!HV$3</f>
        <v>0.44075222794259994</v>
      </c>
      <c r="IC115" s="3">
        <f>$H115*factors!HW$3</f>
        <v>0.4451031877446</v>
      </c>
      <c r="ID115" s="3">
        <f>$H115*factors!HX$3</f>
        <v>0.41334118118999996</v>
      </c>
      <c r="IE115" s="3">
        <f>$H115*factors!HY$3</f>
        <v>0.43901184402179999</v>
      </c>
      <c r="IF115" s="3">
        <f>$H115*factors!HZ$3</f>
        <v>0.43640126814059998</v>
      </c>
      <c r="IG115" s="3">
        <f>$H115*factors!IA$3</f>
        <v>0.43248540431880006</v>
      </c>
      <c r="IH115" s="3">
        <f>$H115*factors!IB$3</f>
        <v>0.44858395558620001</v>
      </c>
      <c r="II115" s="3">
        <f>$H115*factors!IC$3</f>
        <v>0.42943973245740003</v>
      </c>
      <c r="IJ115" s="3">
        <f>$H115*factors!ID$3</f>
        <v>0.43335559627920001</v>
      </c>
      <c r="IK115" s="3">
        <f>$H115*factors!IE$3</f>
        <v>0.44901905156640004</v>
      </c>
      <c r="IL115" s="3">
        <f>$H115*factors!IF$3</f>
        <v>0.42987482843760005</v>
      </c>
      <c r="IM115" s="3">
        <f>$H115*factors!IG$3</f>
        <v>0.42595896461580002</v>
      </c>
      <c r="IN115" s="3">
        <f>$H115*factors!IH$3</f>
        <v>0.42856954049700002</v>
      </c>
      <c r="IO115" s="3">
        <f>$H115*factors!II$3</f>
        <v>0.43292050029899998</v>
      </c>
      <c r="IP115" s="3">
        <f>$H115*factors!IJ$3</f>
        <v>0.41856233295240003</v>
      </c>
      <c r="IQ115" s="3">
        <f>$H115*factors!IK$3</f>
        <v>0.4172570450118</v>
      </c>
      <c r="IR115" s="3">
        <f>$H115*factors!IL$3</f>
        <v>0.42943973245740003</v>
      </c>
      <c r="IS115" s="3">
        <f>$H115*factors!IM$3</f>
        <v>0.43292050029899998</v>
      </c>
      <c r="IT115" s="3">
        <f>$H115*factors!IN$3</f>
        <v>0.43596617216040001</v>
      </c>
      <c r="IU115" s="3">
        <f>$H115*factors!IO$3</f>
        <v>0.44553828372480003</v>
      </c>
      <c r="IV115" s="3">
        <f>$H115*factors!IP$3</f>
        <v>0.45119453146739996</v>
      </c>
      <c r="IW115" s="3">
        <f>$H115*factors!IQ$3</f>
        <v>0.42639406059599999</v>
      </c>
      <c r="IX115" s="3">
        <f>$H115*factors!IR$3</f>
        <v>0.44553828372480003</v>
      </c>
      <c r="IY115" s="3">
        <f>$H115*factors!IS$3</f>
        <v>0.43901184402179999</v>
      </c>
      <c r="IZ115" s="3">
        <f>$H115*factors!IT$3</f>
        <v>0.44640847568520003</v>
      </c>
      <c r="JA115" s="3">
        <f>$H115*factors!IU$3</f>
        <v>0.42160800481379995</v>
      </c>
      <c r="JB115" s="3">
        <f>$H115*factors!IV$3</f>
        <v>0.42943973245740003</v>
      </c>
      <c r="JC115" s="3">
        <f>$H115*factors!IW$3</f>
        <v>0.41943252491280003</v>
      </c>
      <c r="JD115" s="3">
        <f>$H115*factors!IX$3</f>
        <v>0.45685077921000006</v>
      </c>
      <c r="JE115" s="3">
        <f>$H115*factors!IY$3</f>
        <v>0.42073781285340001</v>
      </c>
      <c r="JF115" s="3">
        <f>$H115*factors!IZ$3</f>
        <v>0.44162241990299994</v>
      </c>
      <c r="JG115" s="3">
        <f>$H115*factors!JA$3</f>
        <v>0.43379069225939998</v>
      </c>
      <c r="JH115" s="3">
        <f>$H115*factors!JB$3</f>
        <v>0.44205751588320008</v>
      </c>
      <c r="JI115" s="3">
        <f>$H115*factors!JC$3</f>
        <v>0.41377627717020005</v>
      </c>
      <c r="JJ115" s="3">
        <f>$H115*factors!JD$3</f>
        <v>0.44553828372480003</v>
      </c>
      <c r="JK115" s="3">
        <f>$H115*factors!JE$3</f>
        <v>0.43118011637820003</v>
      </c>
      <c r="JL115" s="3">
        <f>$H115*factors!JF$3</f>
        <v>0.44858395558620001</v>
      </c>
      <c r="JM115" s="3">
        <f>$H115*factors!JG$3</f>
        <v>0.41856233295240003</v>
      </c>
      <c r="JN115" s="3">
        <f>$H115*factors!JH$3</f>
        <v>0.41856233295240003</v>
      </c>
      <c r="JO115" s="3">
        <f>$H115*factors!JI$3</f>
        <v>0.41334118118999996</v>
      </c>
      <c r="JP115" s="3">
        <f>$H115*factors!JJ$3</f>
        <v>0.44684357166540001</v>
      </c>
      <c r="JQ115" s="3">
        <f>$H115*factors!JK$3</f>
        <v>0.43553107618019998</v>
      </c>
      <c r="JR115" s="3">
        <f>$H115*factors!JL$3</f>
        <v>0.45249981940799999</v>
      </c>
      <c r="JS115" s="3">
        <f>$H115*factors!JM$3</f>
        <v>0.41334118118999996</v>
      </c>
      <c r="JT115" s="3">
        <f>$H115*factors!JN$3</f>
        <v>0.43422578823960001</v>
      </c>
      <c r="JU115" s="3">
        <f>$H115*factors!JO$3</f>
        <v>0.419867620893</v>
      </c>
      <c r="JV115" s="3">
        <f>$H115*factors!JP$3</f>
        <v>0.42682915657620002</v>
      </c>
      <c r="JW115" s="3">
        <f>$H115*factors!JQ$3</f>
        <v>0.45598058724960006</v>
      </c>
      <c r="JX115" s="3">
        <f>$H115*factors!JR$3</f>
        <v>0.45162962744759999</v>
      </c>
      <c r="JY115" s="3">
        <f>$H115*factors!JS$3</f>
        <v>0.42508877265540002</v>
      </c>
      <c r="JZ115" s="3">
        <f>$H115*factors!JT$3</f>
        <v>0.42987482843760005</v>
      </c>
      <c r="KA115" s="3">
        <f>$H115*factors!JU$3</f>
        <v>0.43161521235840006</v>
      </c>
      <c r="KB115" s="3">
        <f>$H115*factors!JV$3</f>
        <v>0.4172570450118</v>
      </c>
      <c r="KC115" s="3">
        <f>$H115*factors!JW$3</f>
        <v>0.41943252491280003</v>
      </c>
      <c r="KD115" s="3">
        <f>$H115*factors!JX$3</f>
        <v>0.419867620893</v>
      </c>
      <c r="KE115" s="3">
        <f>$H115*factors!JY$3</f>
        <v>0.44684357166540001</v>
      </c>
      <c r="KF115" s="3">
        <f>$H115*factors!JZ$3</f>
        <v>0.45206472342779996</v>
      </c>
      <c r="KG115" s="3">
        <f>$H115*factors!KA$3</f>
        <v>0.43596617216040001</v>
      </c>
      <c r="KH115" s="3">
        <f>$H115*factors!KB$3</f>
        <v>0.42639406059599999</v>
      </c>
      <c r="KI115" s="3">
        <f>$H115*factors!KC$3</f>
        <v>0.42247819677419995</v>
      </c>
    </row>
    <row r="116" spans="1:295" x14ac:dyDescent="0.55000000000000004">
      <c r="A116" t="s">
        <v>493</v>
      </c>
      <c r="B116">
        <v>115</v>
      </c>
      <c r="C116">
        <v>287</v>
      </c>
      <c r="D116" t="s">
        <v>377</v>
      </c>
      <c r="E116">
        <v>3.431E-3</v>
      </c>
      <c r="F116">
        <v>115</v>
      </c>
      <c r="G116">
        <f>VLOOKUP(D116,demand_forecasted!$A$2:$G$11,2)</f>
        <v>11098</v>
      </c>
      <c r="H116" s="3">
        <f t="shared" si="2"/>
        <v>0.38077238000000002</v>
      </c>
      <c r="I116" s="3">
        <f>$H116*factors!C$3</f>
        <v>0.42151502466000002</v>
      </c>
      <c r="J116" s="3">
        <f>$H116*factors!D$3</f>
        <v>0.40629936035520003</v>
      </c>
      <c r="K116" s="3">
        <f>$H116*factors!E$3</f>
        <v>0.39930837945840003</v>
      </c>
      <c r="L116" s="3">
        <f>$H116*factors!F$3</f>
        <v>0.39807467694720006</v>
      </c>
      <c r="M116" s="3">
        <f>$H116*factors!G$3</f>
        <v>0.39766344277679999</v>
      </c>
      <c r="N116" s="3">
        <f>$H116*factors!H$3</f>
        <v>0.40917799954800005</v>
      </c>
      <c r="O116" s="3">
        <f>$H116*factors!I$3</f>
        <v>0.41822515129680005</v>
      </c>
      <c r="P116" s="3">
        <f>$H116*factors!J$3</f>
        <v>0.42315996134160005</v>
      </c>
      <c r="Q116" s="3">
        <f>$H116*factors!K$3</f>
        <v>0.39725220860640004</v>
      </c>
      <c r="R116" s="3">
        <f>$H116*factors!L$3</f>
        <v>0.39067246188000004</v>
      </c>
      <c r="S116" s="3">
        <f>$H116*factors!M$3</f>
        <v>0.40671059452559999</v>
      </c>
      <c r="T116" s="3">
        <f>$H116*factors!N$3</f>
        <v>0.42069255631920005</v>
      </c>
      <c r="U116" s="3">
        <f>$H116*factors!O$3</f>
        <v>0.39848591111760007</v>
      </c>
      <c r="V116" s="3">
        <f>$H116*factors!P$3</f>
        <v>0.41452404376320007</v>
      </c>
      <c r="W116" s="3">
        <f>$H116*factors!Q$3</f>
        <v>0.41822515129680005</v>
      </c>
      <c r="X116" s="3">
        <f>$H116*factors!R$3</f>
        <v>0.4001308477992</v>
      </c>
      <c r="Y116" s="3">
        <f>$H116*factors!S$3</f>
        <v>0.39642974026560002</v>
      </c>
      <c r="Z116" s="3">
        <f>$H116*factors!T$3</f>
        <v>0.42768353721600011</v>
      </c>
      <c r="AA116" s="3">
        <f>$H116*factors!U$3</f>
        <v>0.40383195533280003</v>
      </c>
      <c r="AB116" s="3">
        <f>$H116*factors!V$3</f>
        <v>0.4042431895032001</v>
      </c>
      <c r="AC116" s="3">
        <f>$H116*factors!W$3</f>
        <v>0.40465442367360005</v>
      </c>
      <c r="AD116" s="3">
        <f>$H116*factors!X$3</f>
        <v>0.39601850609520006</v>
      </c>
      <c r="AE116" s="3">
        <f>$H116*factors!Y$3</f>
        <v>0.39930837945840003</v>
      </c>
      <c r="AF116" s="3">
        <f>$H116*factors!Z$3</f>
        <v>0.40753306286640006</v>
      </c>
      <c r="AG116" s="3">
        <f>$H116*factors!AA$3</f>
        <v>0.39725220860640004</v>
      </c>
      <c r="AH116" s="3">
        <f>$H116*factors!AB$3</f>
        <v>0.39560727192480005</v>
      </c>
      <c r="AI116" s="3">
        <f>$H116*factors!AC$3</f>
        <v>0.40835553120720003</v>
      </c>
      <c r="AJ116" s="3">
        <f>$H116*factors!AD$3</f>
        <v>0.42398242968240002</v>
      </c>
      <c r="AK116" s="3">
        <f>$H116*factors!AE$3</f>
        <v>0.40794429703680007</v>
      </c>
      <c r="AL116" s="3">
        <f>$H116*factors!AF$3</f>
        <v>0.39190616439120002</v>
      </c>
      <c r="AM116" s="3">
        <f>$H116*factors!AG$3</f>
        <v>0.40300948699200001</v>
      </c>
      <c r="AN116" s="3">
        <f>$H116*factors!AH$3</f>
        <v>0.39642974026560002</v>
      </c>
      <c r="AO116" s="3">
        <f>$H116*factors!AI$3</f>
        <v>0.41534651210400003</v>
      </c>
      <c r="AP116" s="3">
        <f>$H116*factors!AJ$3</f>
        <v>0.39807467694720006</v>
      </c>
      <c r="AQ116" s="3">
        <f>$H116*factors!AK$3</f>
        <v>0.41082293622960009</v>
      </c>
      <c r="AR116" s="3">
        <f>$H116*factors!AL$3</f>
        <v>0.40177578448080004</v>
      </c>
      <c r="AS116" s="3">
        <f>$H116*factors!AM$3</f>
        <v>0.39190616439120002</v>
      </c>
      <c r="AT116" s="3">
        <f>$H116*factors!AN$3</f>
        <v>0.4042431895032001</v>
      </c>
      <c r="AU116" s="3">
        <f>$H116*factors!AO$3</f>
        <v>0.42809477138640001</v>
      </c>
      <c r="AV116" s="3">
        <f>$H116*factors!AP$3</f>
        <v>0.40465442367360005</v>
      </c>
      <c r="AW116" s="3">
        <f>$H116*factors!AQ$3</f>
        <v>0.40054208196960001</v>
      </c>
      <c r="AX116" s="3">
        <f>$H116*factors!AR$3</f>
        <v>0.42357119551200006</v>
      </c>
      <c r="AY116" s="3">
        <f>$H116*factors!AS$3</f>
        <v>0.39067246188000004</v>
      </c>
      <c r="AZ116" s="3">
        <f>$H116*factors!AT$3</f>
        <v>0.41863638546720011</v>
      </c>
      <c r="BA116" s="3">
        <f>$H116*factors!AU$3</f>
        <v>0.4095892337184</v>
      </c>
      <c r="BB116" s="3">
        <f>$H116*factors!AV$3</f>
        <v>0.4042431895032001</v>
      </c>
      <c r="BC116" s="3">
        <f>$H116*factors!AW$3</f>
        <v>0.42768353721600011</v>
      </c>
      <c r="BD116" s="3">
        <f>$H116*factors!AX$3</f>
        <v>0.39478480358399998</v>
      </c>
      <c r="BE116" s="3">
        <f>$H116*factors!AY$3</f>
        <v>0.4641386848772</v>
      </c>
      <c r="BF116" s="3">
        <f>$H116*factors!AZ$3</f>
        <v>0.4322375748808</v>
      </c>
      <c r="BG116" s="3">
        <f>$H116*factors!BA$3</f>
        <v>0.43852793459839995</v>
      </c>
      <c r="BH116" s="3">
        <f>$H116*factors!BB$3</f>
        <v>0.44436898290760002</v>
      </c>
      <c r="BI116" s="3">
        <f>$H116*factors!BC$3</f>
        <v>0.46054419360999993</v>
      </c>
      <c r="BJ116" s="3">
        <f>$H116*factors!BD$3</f>
        <v>0.43987586882359997</v>
      </c>
      <c r="BK116" s="3">
        <f>$H116*factors!BE$3</f>
        <v>0.44077449164039995</v>
      </c>
      <c r="BL116" s="3">
        <f>$H116*factors!BF$3</f>
        <v>0.43583206614799996</v>
      </c>
      <c r="BM116" s="3">
        <f>$H116*factors!BG$3</f>
        <v>0.46548661910240002</v>
      </c>
      <c r="BN116" s="3">
        <f>$H116*factors!BH$3</f>
        <v>0.45964557079319995</v>
      </c>
      <c r="BO116" s="3">
        <f>$H116*factors!BI$3</f>
        <v>0.4322375748808</v>
      </c>
      <c r="BP116" s="3">
        <f>$H116*factors!BJ$3</f>
        <v>0.43088964065559998</v>
      </c>
      <c r="BQ116" s="3">
        <f>$H116*factors!BK$3</f>
        <v>0.43807862318999996</v>
      </c>
      <c r="BR116" s="3">
        <f>$H116*factors!BL$3</f>
        <v>0.45380452248399999</v>
      </c>
      <c r="BS116" s="3">
        <f>$H116*factors!BM$3</f>
        <v>0.46099350501840003</v>
      </c>
      <c r="BT116" s="3">
        <f>$H116*factors!BN$3</f>
        <v>0.46234143924359999</v>
      </c>
      <c r="BU116" s="3">
        <f>$H116*factors!BO$3</f>
        <v>0.46997973318640002</v>
      </c>
      <c r="BV116" s="3">
        <f>$H116*factors!BP$3</f>
        <v>0.43718000037319998</v>
      </c>
      <c r="BW116" s="3">
        <f>$H116*factors!BQ$3</f>
        <v>0.447064851358</v>
      </c>
      <c r="BX116" s="3">
        <f>$H116*factors!BR$3</f>
        <v>0.43852793459839995</v>
      </c>
      <c r="BY116" s="3">
        <f>$H116*factors!BS$3</f>
        <v>0.45874694797639992</v>
      </c>
      <c r="BZ116" s="3">
        <f>$H116*factors!BT$3</f>
        <v>0.45021003121679998</v>
      </c>
      <c r="CA116" s="3">
        <f>$H116*factors!BU$3</f>
        <v>0.44436898290760002</v>
      </c>
      <c r="CB116" s="3">
        <f>$H116*factors!BV$3</f>
        <v>0.4299910178388</v>
      </c>
      <c r="CC116" s="3">
        <f>$H116*factors!BW$3</f>
        <v>0.44257173727400001</v>
      </c>
      <c r="CD116" s="3">
        <f>$H116*factors!BX$3</f>
        <v>0.44391967149920003</v>
      </c>
      <c r="CE116" s="3">
        <f>$H116*factors!BY$3</f>
        <v>0.45021003121679998</v>
      </c>
      <c r="CF116" s="3">
        <f>$H116*factors!BZ$3</f>
        <v>0.44347036009080004</v>
      </c>
      <c r="CG116" s="3">
        <f>$H116*factors!CA$3</f>
        <v>0.42864308361359998</v>
      </c>
      <c r="CH116" s="3">
        <f>$H116*factors!CB$3</f>
        <v>0.42909239502199992</v>
      </c>
      <c r="CI116" s="3">
        <f>$H116*factors!CC$3</f>
        <v>0.42684583798000003</v>
      </c>
      <c r="CJ116" s="3">
        <f>$H116*factors!CD$3</f>
        <v>0.44436898290760002</v>
      </c>
      <c r="CK116" s="3">
        <f>$H116*factors!CE$3</f>
        <v>0.4641386848772</v>
      </c>
      <c r="CL116" s="3">
        <f>$H116*factors!CF$3</f>
        <v>0.43493344333119999</v>
      </c>
      <c r="CM116" s="3">
        <f>$H116*factors!CG$3</f>
        <v>0.4452676057244</v>
      </c>
      <c r="CN116" s="3">
        <f>$H116*factors!CH$3</f>
        <v>0.43044032924719999</v>
      </c>
      <c r="CO116" s="3">
        <f>$H116*factors!CI$3</f>
        <v>0.43358550910599997</v>
      </c>
      <c r="CP116" s="3">
        <f>$H116*factors!CJ$3</f>
        <v>0.45425383389239993</v>
      </c>
      <c r="CQ116" s="3">
        <f>$H116*factors!CK$3</f>
        <v>0.44077449164039995</v>
      </c>
      <c r="CR116" s="3">
        <f>$H116*factors!CL$3</f>
        <v>0.45470314530079997</v>
      </c>
      <c r="CS116" s="3">
        <f>$H116*factors!CM$3</f>
        <v>0.46908111036959999</v>
      </c>
      <c r="CT116" s="3">
        <f>$H116*factors!CN$3</f>
        <v>0.46368937346880001</v>
      </c>
      <c r="CU116" s="3">
        <f>$H116*factors!CO$3</f>
        <v>0.45335521107559995</v>
      </c>
      <c r="CV116" s="3">
        <f>$H116*factors!CP$3</f>
        <v>0.47177697881999997</v>
      </c>
      <c r="CW116" s="3">
        <f>$H116*factors!CQ$3</f>
        <v>0.44616622854120003</v>
      </c>
      <c r="CX116" s="3">
        <f>$H116*factors!CR$3</f>
        <v>0.43942655741519998</v>
      </c>
      <c r="CY116" s="3">
        <f>$H116*factors!CS$3</f>
        <v>0.43538275473959998</v>
      </c>
      <c r="CZ116" s="3">
        <f>$H116*factors!CT$3</f>
        <v>0.42909239502199992</v>
      </c>
      <c r="DA116" s="3">
        <f>$H116*factors!CU$3</f>
        <v>0.44550368460000001</v>
      </c>
      <c r="DB116" s="3">
        <f>$H116*factors!CV$3</f>
        <v>0.47429007652800004</v>
      </c>
      <c r="DC116" s="3">
        <f>$H116*factors!CW$3</f>
        <v>0.454185294864</v>
      </c>
      <c r="DD116" s="3">
        <f>$H116*factors!CX$3</f>
        <v>0.45098680687199999</v>
      </c>
      <c r="DE116" s="3">
        <f>$H116*factors!CY$3</f>
        <v>0.46423768569600005</v>
      </c>
      <c r="DF116" s="3">
        <f>$H116*factors!CZ$3</f>
        <v>0.46332383198399996</v>
      </c>
      <c r="DG116" s="3">
        <f>$H116*factors!DA$3</f>
        <v>0.46149612456</v>
      </c>
      <c r="DH116" s="3">
        <f>$H116*factors!DB$3</f>
        <v>0.46149612456</v>
      </c>
      <c r="DI116" s="3">
        <f>$H116*factors!DC$3</f>
        <v>0.44413290403199995</v>
      </c>
      <c r="DJ116" s="3">
        <f>$H116*factors!DD$3</f>
        <v>0.47063466168000001</v>
      </c>
      <c r="DK116" s="3">
        <f>$H116*factors!DE$3</f>
        <v>0.47063466168000001</v>
      </c>
      <c r="DL116" s="3">
        <f>$H116*factors!DF$3</f>
        <v>0.46515153940800003</v>
      </c>
      <c r="DM116" s="3">
        <f>$H116*factors!DG$3</f>
        <v>0.43819285490399995</v>
      </c>
      <c r="DN116" s="3">
        <f>$H116*factors!DH$3</f>
        <v>0.45966841713600004</v>
      </c>
      <c r="DO116" s="3">
        <f>$H116*factors!DI$3</f>
        <v>0.474747003384</v>
      </c>
      <c r="DP116" s="3">
        <f>$H116*factors!DJ$3</f>
        <v>0.47063466168000001</v>
      </c>
      <c r="DQ116" s="3">
        <f>$H116*factors!DK$3</f>
        <v>0.44870217259199996</v>
      </c>
      <c r="DR116" s="3">
        <f>$H116*factors!DL$3</f>
        <v>0.44367597717600005</v>
      </c>
      <c r="DS116" s="3">
        <f>$H116*factors!DM$3</f>
        <v>0.47931627194400001</v>
      </c>
      <c r="DT116" s="3">
        <f>$H116*factors!DN$3</f>
        <v>0.45052988001600003</v>
      </c>
      <c r="DU116" s="3">
        <f>$H116*factors!DO$3</f>
        <v>0.47154851539199999</v>
      </c>
      <c r="DV116" s="3">
        <f>$H116*factors!DP$3</f>
        <v>0.46058227084800002</v>
      </c>
      <c r="DW116" s="3">
        <f>$H116*factors!DQ$3</f>
        <v>0.439563635472</v>
      </c>
      <c r="DX116" s="3">
        <f>$H116*factors!DR$3</f>
        <v>0.46560846626399999</v>
      </c>
      <c r="DY116" s="3">
        <f>$H116*factors!DS$3</f>
        <v>0.44184826975199998</v>
      </c>
      <c r="DZ116" s="3">
        <f>$H116*factors!DT$3</f>
        <v>0.47246236910399997</v>
      </c>
      <c r="EA116" s="3">
        <f>$H116*factors!DU$3</f>
        <v>0.44504675774399999</v>
      </c>
      <c r="EB116" s="3">
        <f>$H116*factors!DV$3</f>
        <v>0.43408051319999996</v>
      </c>
      <c r="EC116" s="3">
        <f>$H116*factors!DW$3</f>
        <v>0.46697924683199998</v>
      </c>
      <c r="ED116" s="3">
        <f>$H116*factors!DX$3</f>
        <v>0.43819285490399995</v>
      </c>
      <c r="EE116" s="3">
        <f>$H116*factors!DY$3</f>
        <v>0.44184826975199998</v>
      </c>
      <c r="EF116" s="3">
        <f>$H116*factors!DZ$3</f>
        <v>0.47931627194400001</v>
      </c>
      <c r="EG116" s="3">
        <f>$H116*factors!EA$3</f>
        <v>0.44778831887999998</v>
      </c>
      <c r="EH116" s="3">
        <f>$H116*factors!EB$3</f>
        <v>0.44915909944800003</v>
      </c>
      <c r="EI116" s="3">
        <f>$H116*factors!EC$3</f>
        <v>0.44824524573600005</v>
      </c>
      <c r="EJ116" s="3">
        <f>$H116*factors!ED$3</f>
        <v>0.43682207433600001</v>
      </c>
      <c r="EK116" s="3">
        <f>$H116*factors!EE$3</f>
        <v>0.46697924683199998</v>
      </c>
      <c r="EL116" s="3">
        <f>$H116*factors!EF$3</f>
        <v>0.44413290403199995</v>
      </c>
      <c r="EM116" s="3">
        <f>$H116*factors!EG$3</f>
        <v>0.46195305141599996</v>
      </c>
      <c r="EN116" s="3">
        <f>$H116*factors!EH$3</f>
        <v>0.43408051319999996</v>
      </c>
      <c r="EO116" s="3">
        <f>$H116*factors!EI$3</f>
        <v>0.44047748918399998</v>
      </c>
      <c r="EP116" s="3">
        <f>$H116*factors!EJ$3</f>
        <v>0.46469461255200001</v>
      </c>
      <c r="EQ116" s="3">
        <f>$H116*factors!EK$3</f>
        <v>0.45190066058399997</v>
      </c>
      <c r="ER116" s="3">
        <f>$H116*factors!EL$3</f>
        <v>0.47063466168000001</v>
      </c>
      <c r="ES116" s="3">
        <f>$H116*factors!EM$3</f>
        <v>0.46469461255200001</v>
      </c>
      <c r="ET116" s="3">
        <f>$H116*factors!EN$3</f>
        <v>0.47520393024000002</v>
      </c>
      <c r="EU116" s="3">
        <f>$H116*factors!EO$3</f>
        <v>0.47977319880000002</v>
      </c>
      <c r="EV116" s="3">
        <f>$H116*factors!EP$3</f>
        <v>0.44961602630399999</v>
      </c>
      <c r="EW116" s="3">
        <f>$H116*factors!EQ$3</f>
        <v>0.49452812852499994</v>
      </c>
      <c r="EX116" s="3">
        <f>$H116*factors!ER$3</f>
        <v>0.4892925083000001</v>
      </c>
      <c r="EY116" s="3">
        <f>$H116*factors!ES$3</f>
        <v>0.49928778327499995</v>
      </c>
      <c r="EZ116" s="3">
        <f>$H116*factors!ET$3</f>
        <v>0.49452812852499994</v>
      </c>
      <c r="FA116" s="3">
        <f>$H116*factors!EU$3</f>
        <v>0.45454702862499996</v>
      </c>
      <c r="FB116" s="3">
        <f>$H116*factors!EV$3</f>
        <v>0.47501354405000007</v>
      </c>
      <c r="FC116" s="3">
        <f>$H116*factors!EW$3</f>
        <v>0.48834057735000003</v>
      </c>
      <c r="FD116" s="3">
        <f>$H116*factors!EX$3</f>
        <v>0.47120582025000002</v>
      </c>
      <c r="FE116" s="3">
        <f>$H116*factors!EY$3</f>
        <v>0.49643199042500002</v>
      </c>
      <c r="FF116" s="3">
        <f>$H116*factors!EZ$3</f>
        <v>0.49690795590000009</v>
      </c>
      <c r="FG116" s="3">
        <f>$H116*factors!FA$3</f>
        <v>0.45454702862499996</v>
      </c>
      <c r="FH116" s="3">
        <f>$H116*factors!FB$3</f>
        <v>0.478345302375</v>
      </c>
      <c r="FI116" s="3">
        <f>$H116*factors!FC$3</f>
        <v>0.49833585232499999</v>
      </c>
      <c r="FJ116" s="3">
        <f>$H116*factors!FD$3</f>
        <v>0.478345302375</v>
      </c>
      <c r="FK116" s="3">
        <f>$H116*factors!FE$3</f>
        <v>0.48643671545000006</v>
      </c>
      <c r="FL116" s="3">
        <f>$H116*factors!FF$3</f>
        <v>0.48786461187500002</v>
      </c>
      <c r="FM116" s="3">
        <f>$H116*factors!FG$3</f>
        <v>0.49310023209999998</v>
      </c>
      <c r="FN116" s="3">
        <f>$H116*factors!FH$3</f>
        <v>0.46121054527499999</v>
      </c>
      <c r="FO116" s="3">
        <f>$H116*factors!FI$3</f>
        <v>0.48976847377499999</v>
      </c>
      <c r="FP116" s="3">
        <f>$H116*factors!FJ$3</f>
        <v>0.47596547500000003</v>
      </c>
      <c r="FQ116" s="3">
        <f>$H116*factors!FK$3</f>
        <v>0.47120582025000002</v>
      </c>
      <c r="FR116" s="3">
        <f>$H116*factors!FL$3</f>
        <v>0.48072512975000004</v>
      </c>
      <c r="FS116" s="3">
        <f>$H116*factors!FM$3</f>
        <v>0.4778693369</v>
      </c>
      <c r="FT116" s="3">
        <f>$H116*factors!FN$3</f>
        <v>0.48834057735000003</v>
      </c>
      <c r="FU116" s="3">
        <f>$H116*factors!FO$3</f>
        <v>0.46930195834999999</v>
      </c>
      <c r="FV116" s="3">
        <f>$H116*factors!FP$3</f>
        <v>0.46549423455</v>
      </c>
      <c r="FW116" s="3">
        <f>$H116*factors!FQ$3</f>
        <v>0.49833585232499999</v>
      </c>
      <c r="FX116" s="3">
        <f>$H116*factors!FR$3</f>
        <v>0.4892925083000001</v>
      </c>
      <c r="FY116" s="3">
        <f>$H116*factors!FS$3</f>
        <v>0.47929723332499996</v>
      </c>
      <c r="FZ116" s="3">
        <f>$H116*factors!FT$3</f>
        <v>0.45549895957500003</v>
      </c>
      <c r="GA116" s="3">
        <f>$H116*factors!FU$3</f>
        <v>0.47929723332499996</v>
      </c>
      <c r="GB116" s="3">
        <f>$H116*factors!FV$3</f>
        <v>0.49690795590000009</v>
      </c>
      <c r="GC116" s="3">
        <f>$H116*factors!FW$3</f>
        <v>0.46549423455</v>
      </c>
      <c r="GD116" s="3">
        <f>$H116*factors!FX$3</f>
        <v>0.47358564762499999</v>
      </c>
      <c r="GE116" s="3">
        <f>$H116*factors!FY$3</f>
        <v>0.47358564762499999</v>
      </c>
      <c r="GF116" s="3">
        <f>$H116*factors!FZ$3</f>
        <v>0.47215775120000003</v>
      </c>
      <c r="GG116" s="3">
        <f>$H116*factors!GA$3</f>
        <v>0.453595097675</v>
      </c>
      <c r="GH116" s="3">
        <f>$H116*factors!GB$3</f>
        <v>0.48262899165000006</v>
      </c>
      <c r="GI116" s="3">
        <f>$H116*factors!GC$3</f>
        <v>0.45264316672499999</v>
      </c>
      <c r="GJ116" s="3">
        <f>$H116*factors!GD$3</f>
        <v>0.453595097675</v>
      </c>
      <c r="GK116" s="3">
        <f>$H116*factors!GE$3</f>
        <v>0.46501826907499999</v>
      </c>
      <c r="GL116" s="3">
        <f>$H116*factors!GF$3</f>
        <v>0.49262426662500003</v>
      </c>
      <c r="GM116" s="3">
        <f>$H116*factors!GG$3</f>
        <v>0.46692213097500007</v>
      </c>
      <c r="GN116" s="3">
        <f>$H116*factors!GH$3</f>
        <v>0.48167706070000005</v>
      </c>
      <c r="GO116" s="3">
        <f>$H116*factors!GI$3</f>
        <v>0.45502299409999997</v>
      </c>
      <c r="GP116" s="3">
        <f>$H116*factors!GJ$3</f>
        <v>0.48786461187500002</v>
      </c>
      <c r="GQ116" s="3">
        <f>$H116*factors!GK$3</f>
        <v>0.49785988685000004</v>
      </c>
      <c r="GR116" s="3">
        <f>$H116*factors!GL$3</f>
        <v>0.48834057735000003</v>
      </c>
      <c r="GS116" s="3">
        <f>$H116*factors!GM$3</f>
        <v>0.46181978108300004</v>
      </c>
      <c r="GT116" s="3">
        <f>$H116*factors!GN$3</f>
        <v>0.47245856138020004</v>
      </c>
      <c r="GU116" s="3">
        <f>$H116*factors!GO$3</f>
        <v>0.48358092260000002</v>
      </c>
      <c r="GV116" s="3">
        <f>$H116*factors!GP$3</f>
        <v>0.46423768569600005</v>
      </c>
      <c r="GW116" s="3">
        <f>$H116*factors!GQ$3</f>
        <v>0.48067943706440003</v>
      </c>
      <c r="GX116" s="3">
        <f>$H116*factors!GR$3</f>
        <v>0.47294214230280002</v>
      </c>
      <c r="GY116" s="3">
        <f>$H116*factors!GS$3</f>
        <v>0.47052423768980006</v>
      </c>
      <c r="GZ116" s="3">
        <f>$H116*factors!GT$3</f>
        <v>0.48793315090339995</v>
      </c>
      <c r="HA116" s="3">
        <f>$H116*factors!GU$3</f>
        <v>0.4719749804576</v>
      </c>
      <c r="HB116" s="3">
        <f>$H116*factors!GV$3</f>
        <v>0.48793315090339995</v>
      </c>
      <c r="HC116" s="3">
        <f>$H116*factors!GW$3</f>
        <v>0.47584362783840001</v>
      </c>
      <c r="HD116" s="3">
        <f>$H116*factors!GX$3</f>
        <v>0.48986747459379998</v>
      </c>
      <c r="HE116" s="3">
        <f>$H116*factors!GY$3</f>
        <v>0.48358092260000002</v>
      </c>
      <c r="HF116" s="3">
        <f>$H116*factors!GZ$3</f>
        <v>0.4985719312006</v>
      </c>
      <c r="HG116" s="3">
        <f>$H116*factors!HA$3</f>
        <v>0.47922869429660003</v>
      </c>
      <c r="HH116" s="3">
        <f>$H116*factors!HB$3</f>
        <v>0.47294214230280002</v>
      </c>
      <c r="HI116" s="3">
        <f>$H116*factors!HC$3</f>
        <v>0.46713917123160004</v>
      </c>
      <c r="HJ116" s="3">
        <f>$H116*factors!HD$3</f>
        <v>0.46181978108300004</v>
      </c>
      <c r="HK116" s="3">
        <f>$H116*factors!HE$3</f>
        <v>0.48841673182599998</v>
      </c>
      <c r="HL116" s="3">
        <f>$H116*factors!HF$3</f>
        <v>0.46036903831519999</v>
      </c>
      <c r="HM116" s="3">
        <f>$H116*factors!HG$3</f>
        <v>0.46520484754120006</v>
      </c>
      <c r="HN116" s="3">
        <f>$H116*factors!HH$3</f>
        <v>0.49615402658760005</v>
      </c>
      <c r="HO116" s="3">
        <f>$H116*factors!HI$3</f>
        <v>0.47584362783840001</v>
      </c>
      <c r="HP116" s="3">
        <f>$H116*factors!HJ$3</f>
        <v>0.50775996873000007</v>
      </c>
      <c r="HQ116" s="3">
        <f>$H116*factors!HK$3</f>
        <v>0.46423768569600005</v>
      </c>
      <c r="HR116" s="3">
        <f>$H116*factors!HL$3</f>
        <v>0.4922853792068001</v>
      </c>
      <c r="HS116" s="3">
        <f>$H116*factors!HM$3</f>
        <v>0.50098983581360002</v>
      </c>
      <c r="HT116" s="3">
        <f>$H116*factors!HN$3</f>
        <v>0.46713917123160004</v>
      </c>
      <c r="HU116" s="3">
        <f>$H116*factors!HO$3</f>
        <v>0.4719749804576</v>
      </c>
      <c r="HV116" s="3">
        <f>$H116*factors!HP$3</f>
        <v>0.47777795152880004</v>
      </c>
      <c r="HW116" s="3">
        <f>$H116*factors!HQ$3</f>
        <v>0.48454808444520003</v>
      </c>
      <c r="HX116" s="3">
        <f>$H116*factors!HR$3</f>
        <v>0.50437490227179993</v>
      </c>
      <c r="HY116" s="3">
        <f>$H116*factors!HS$3</f>
        <v>0.47922869429660003</v>
      </c>
      <c r="HZ116" s="3">
        <f>$H116*factors!HT$3</f>
        <v>0.49760476935539999</v>
      </c>
      <c r="IA116" s="3">
        <f>$H116*factors!HU$3</f>
        <v>0.47342572322540005</v>
      </c>
      <c r="IB116" s="3">
        <f>$H116*factors!HV$3</f>
        <v>0.48986747459379998</v>
      </c>
      <c r="IC116" s="3">
        <f>$H116*factors!HW$3</f>
        <v>0.4947032838198</v>
      </c>
      <c r="ID116" s="3">
        <f>$H116*factors!HX$3</f>
        <v>0.45940187646999997</v>
      </c>
      <c r="IE116" s="3">
        <f>$H116*factors!HY$3</f>
        <v>0.48793315090339995</v>
      </c>
      <c r="IF116" s="3">
        <f>$H116*factors!HZ$3</f>
        <v>0.48503166536779996</v>
      </c>
      <c r="IG116" s="3">
        <f>$H116*factors!IA$3</f>
        <v>0.48067943706440003</v>
      </c>
      <c r="IH116" s="3">
        <f>$H116*factors!IB$3</f>
        <v>0.4985719312006</v>
      </c>
      <c r="II116" s="3">
        <f>$H116*factors!IC$3</f>
        <v>0.4772943706062</v>
      </c>
      <c r="IJ116" s="3">
        <f>$H116*factors!ID$3</f>
        <v>0.48164659890960004</v>
      </c>
      <c r="IK116" s="3">
        <f>$H116*factors!IE$3</f>
        <v>0.49905551212320004</v>
      </c>
      <c r="IL116" s="3">
        <f>$H116*factors!IF$3</f>
        <v>0.47777795152880004</v>
      </c>
      <c r="IM116" s="3">
        <f>$H116*factors!IG$3</f>
        <v>0.47342572322540005</v>
      </c>
      <c r="IN116" s="3">
        <f>$H116*factors!IH$3</f>
        <v>0.47632720876100004</v>
      </c>
      <c r="IO116" s="3">
        <f>$H116*factors!II$3</f>
        <v>0.48116301798700001</v>
      </c>
      <c r="IP116" s="3">
        <f>$H116*factors!IJ$3</f>
        <v>0.46520484754120006</v>
      </c>
      <c r="IQ116" s="3">
        <f>$H116*factors!IK$3</f>
        <v>0.46375410477340001</v>
      </c>
      <c r="IR116" s="3">
        <f>$H116*factors!IL$3</f>
        <v>0.4772943706062</v>
      </c>
      <c r="IS116" s="3">
        <f>$H116*factors!IM$3</f>
        <v>0.48116301798700001</v>
      </c>
      <c r="IT116" s="3">
        <f>$H116*factors!IN$3</f>
        <v>0.48454808444520003</v>
      </c>
      <c r="IU116" s="3">
        <f>$H116*factors!IO$3</f>
        <v>0.49518686474240003</v>
      </c>
      <c r="IV116" s="3">
        <f>$H116*factors!IP$3</f>
        <v>0.50147341673619994</v>
      </c>
      <c r="IW116" s="3">
        <f>$H116*factors!IQ$3</f>
        <v>0.47390930414799998</v>
      </c>
      <c r="IX116" s="3">
        <f>$H116*factors!IR$3</f>
        <v>0.49518686474240003</v>
      </c>
      <c r="IY116" s="3">
        <f>$H116*factors!IS$3</f>
        <v>0.48793315090339995</v>
      </c>
      <c r="IZ116" s="3">
        <f>$H116*factors!IT$3</f>
        <v>0.49615402658760005</v>
      </c>
      <c r="JA116" s="3">
        <f>$H116*factors!IU$3</f>
        <v>0.46858991399939998</v>
      </c>
      <c r="JB116" s="3">
        <f>$H116*factors!IV$3</f>
        <v>0.4772943706062</v>
      </c>
      <c r="JC116" s="3">
        <f>$H116*factors!IW$3</f>
        <v>0.46617200938640002</v>
      </c>
      <c r="JD116" s="3">
        <f>$H116*factors!IX$3</f>
        <v>0.50775996873000007</v>
      </c>
      <c r="JE116" s="3">
        <f>$H116*factors!IY$3</f>
        <v>0.46762275215420002</v>
      </c>
      <c r="JF116" s="3">
        <f>$H116*factors!IZ$3</f>
        <v>0.49083463643899994</v>
      </c>
      <c r="JG116" s="3">
        <f>$H116*factors!JA$3</f>
        <v>0.48213017983220002</v>
      </c>
      <c r="JH116" s="3">
        <f>$H116*factors!JB$3</f>
        <v>0.49131821736160008</v>
      </c>
      <c r="JI116" s="3">
        <f>$H116*factors!JC$3</f>
        <v>0.45988545739260001</v>
      </c>
      <c r="JJ116" s="3">
        <f>$H116*factors!JD$3</f>
        <v>0.49518686474240003</v>
      </c>
      <c r="JK116" s="3">
        <f>$H116*factors!JE$3</f>
        <v>0.47922869429660003</v>
      </c>
      <c r="JL116" s="3">
        <f>$H116*factors!JF$3</f>
        <v>0.4985719312006</v>
      </c>
      <c r="JM116" s="3">
        <f>$H116*factors!JG$3</f>
        <v>0.46520484754120006</v>
      </c>
      <c r="JN116" s="3">
        <f>$H116*factors!JH$3</f>
        <v>0.46520484754120006</v>
      </c>
      <c r="JO116" s="3">
        <f>$H116*factors!JI$3</f>
        <v>0.45940187646999997</v>
      </c>
      <c r="JP116" s="3">
        <f>$H116*factors!JJ$3</f>
        <v>0.49663760751020003</v>
      </c>
      <c r="JQ116" s="3">
        <f>$H116*factors!JK$3</f>
        <v>0.4840645035226</v>
      </c>
      <c r="JR116" s="3">
        <f>$H116*factors!JL$3</f>
        <v>0.50292415950400005</v>
      </c>
      <c r="JS116" s="3">
        <f>$H116*factors!JM$3</f>
        <v>0.45940187646999997</v>
      </c>
      <c r="JT116" s="3">
        <f>$H116*factors!JN$3</f>
        <v>0.48261376075480006</v>
      </c>
      <c r="JU116" s="3">
        <f>$H116*factors!JO$3</f>
        <v>0.466655590309</v>
      </c>
      <c r="JV116" s="3">
        <f>$H116*factors!JP$3</f>
        <v>0.47439288507060001</v>
      </c>
      <c r="JW116" s="3">
        <f>$H116*factors!JQ$3</f>
        <v>0.50679280688480011</v>
      </c>
      <c r="JX116" s="3">
        <f>$H116*factors!JR$3</f>
        <v>0.50195699765879997</v>
      </c>
      <c r="JY116" s="3">
        <f>$H116*factors!JS$3</f>
        <v>0.47245856138020004</v>
      </c>
      <c r="JZ116" s="3">
        <f>$H116*factors!JT$3</f>
        <v>0.47777795152880004</v>
      </c>
      <c r="KA116" s="3">
        <f>$H116*factors!JU$3</f>
        <v>0.47971227521920007</v>
      </c>
      <c r="KB116" s="3">
        <f>$H116*factors!JV$3</f>
        <v>0.46375410477340001</v>
      </c>
      <c r="KC116" s="3">
        <f>$H116*factors!JW$3</f>
        <v>0.46617200938640002</v>
      </c>
      <c r="KD116" s="3">
        <f>$H116*factors!JX$3</f>
        <v>0.466655590309</v>
      </c>
      <c r="KE116" s="3">
        <f>$H116*factors!JY$3</f>
        <v>0.49663760751020003</v>
      </c>
      <c r="KF116" s="3">
        <f>$H116*factors!JZ$3</f>
        <v>0.50244057858140001</v>
      </c>
      <c r="KG116" s="3">
        <f>$H116*factors!KA$3</f>
        <v>0.48454808444520003</v>
      </c>
      <c r="KH116" s="3">
        <f>$H116*factors!KB$3</f>
        <v>0.47390930414799998</v>
      </c>
      <c r="KI116" s="3">
        <f>$H116*factors!KC$3</f>
        <v>0.46955707584459999</v>
      </c>
    </row>
    <row r="117" spans="1:295" x14ac:dyDescent="0.55000000000000004">
      <c r="A117" t="s">
        <v>494</v>
      </c>
      <c r="B117">
        <v>116</v>
      </c>
      <c r="C117">
        <v>230</v>
      </c>
      <c r="D117" t="s">
        <v>377</v>
      </c>
      <c r="E117">
        <v>3.241E-3</v>
      </c>
      <c r="F117">
        <v>116</v>
      </c>
      <c r="G117">
        <f>VLOOKUP(D117,demand_forecasted!$A$2:$G$11,2)</f>
        <v>11098</v>
      </c>
      <c r="H117" s="3">
        <f t="shared" si="2"/>
        <v>0.35968617999999997</v>
      </c>
      <c r="I117" s="3">
        <f>$H117*factors!C$3</f>
        <v>0.39817260125999998</v>
      </c>
      <c r="J117" s="3">
        <f>$H117*factors!D$3</f>
        <v>0.38379954150719997</v>
      </c>
      <c r="K117" s="3">
        <f>$H117*factors!E$3</f>
        <v>0.37719570324239998</v>
      </c>
      <c r="L117" s="3">
        <f>$H117*factors!F$3</f>
        <v>0.3760303200192</v>
      </c>
      <c r="M117" s="3">
        <f>$H117*factors!G$3</f>
        <v>0.37564185894479996</v>
      </c>
      <c r="N117" s="3">
        <f>$H117*factors!H$3</f>
        <v>0.38651876902799998</v>
      </c>
      <c r="O117" s="3">
        <f>$H117*factors!I$3</f>
        <v>0.39506491266479998</v>
      </c>
      <c r="P117" s="3">
        <f>$H117*factors!J$3</f>
        <v>0.39972644555760001</v>
      </c>
      <c r="Q117" s="3">
        <f>$H117*factors!K$3</f>
        <v>0.37525339787039996</v>
      </c>
      <c r="R117" s="3">
        <f>$H117*factors!L$3</f>
        <v>0.36903802067999997</v>
      </c>
      <c r="S117" s="3">
        <f>$H117*factors!M$3</f>
        <v>0.38418800258159996</v>
      </c>
      <c r="T117" s="3">
        <f>$H117*factors!N$3</f>
        <v>0.3973956791112</v>
      </c>
      <c r="U117" s="3">
        <f>$H117*factors!O$3</f>
        <v>0.3764187810936</v>
      </c>
      <c r="V117" s="3">
        <f>$H117*factors!P$3</f>
        <v>0.39156876299519999</v>
      </c>
      <c r="W117" s="3">
        <f>$H117*factors!Q$3</f>
        <v>0.39506491266479998</v>
      </c>
      <c r="X117" s="3">
        <f>$H117*factors!R$3</f>
        <v>0.37797262539119997</v>
      </c>
      <c r="Y117" s="3">
        <f>$H117*factors!S$3</f>
        <v>0.37447647572159998</v>
      </c>
      <c r="Z117" s="3">
        <f>$H117*factors!T$3</f>
        <v>0.40399951737600004</v>
      </c>
      <c r="AA117" s="3">
        <f>$H117*factors!U$3</f>
        <v>0.38146877506079996</v>
      </c>
      <c r="AB117" s="3">
        <f>$H117*factors!V$3</f>
        <v>0.38185723613520001</v>
      </c>
      <c r="AC117" s="3">
        <f>$H117*factors!W$3</f>
        <v>0.3822456972096</v>
      </c>
      <c r="AD117" s="3">
        <f>$H117*factors!X$3</f>
        <v>0.37408801464719998</v>
      </c>
      <c r="AE117" s="3">
        <f>$H117*factors!Y$3</f>
        <v>0.37719570324239998</v>
      </c>
      <c r="AF117" s="3">
        <f>$H117*factors!Z$3</f>
        <v>0.3849649247304</v>
      </c>
      <c r="AG117" s="3">
        <f>$H117*factors!AA$3</f>
        <v>0.37525339787039996</v>
      </c>
      <c r="AH117" s="3">
        <f>$H117*factors!AB$3</f>
        <v>0.37369955357279999</v>
      </c>
      <c r="AI117" s="3">
        <f>$H117*factors!AC$3</f>
        <v>0.38574184687919999</v>
      </c>
      <c r="AJ117" s="3">
        <f>$H117*factors!AD$3</f>
        <v>0.40050336770639999</v>
      </c>
      <c r="AK117" s="3">
        <f>$H117*factors!AE$3</f>
        <v>0.3853533858048</v>
      </c>
      <c r="AL117" s="3">
        <f>$H117*factors!AF$3</f>
        <v>0.37020340390319995</v>
      </c>
      <c r="AM117" s="3">
        <f>$H117*factors!AG$3</f>
        <v>0.38069185291199997</v>
      </c>
      <c r="AN117" s="3">
        <f>$H117*factors!AH$3</f>
        <v>0.37447647572159998</v>
      </c>
      <c r="AO117" s="3">
        <f>$H117*factors!AI$3</f>
        <v>0.39234568514399998</v>
      </c>
      <c r="AP117" s="3">
        <f>$H117*factors!AJ$3</f>
        <v>0.3760303200192</v>
      </c>
      <c r="AQ117" s="3">
        <f>$H117*factors!AK$3</f>
        <v>0.3880726133256</v>
      </c>
      <c r="AR117" s="3">
        <f>$H117*factors!AL$3</f>
        <v>0.37952646968879999</v>
      </c>
      <c r="AS117" s="3">
        <f>$H117*factors!AM$3</f>
        <v>0.37020340390319995</v>
      </c>
      <c r="AT117" s="3">
        <f>$H117*factors!AN$3</f>
        <v>0.38185723613520001</v>
      </c>
      <c r="AU117" s="3">
        <f>$H117*factors!AO$3</f>
        <v>0.40438797845039992</v>
      </c>
      <c r="AV117" s="3">
        <f>$H117*factors!AP$3</f>
        <v>0.3822456972096</v>
      </c>
      <c r="AW117" s="3">
        <f>$H117*factors!AQ$3</f>
        <v>0.37836108646559996</v>
      </c>
      <c r="AX117" s="3">
        <f>$H117*factors!AR$3</f>
        <v>0.400114906632</v>
      </c>
      <c r="AY117" s="3">
        <f>$H117*factors!AS$3</f>
        <v>0.36903802067999997</v>
      </c>
      <c r="AZ117" s="3">
        <f>$H117*factors!AT$3</f>
        <v>0.39545337373920003</v>
      </c>
      <c r="BA117" s="3">
        <f>$H117*factors!AU$3</f>
        <v>0.38690723010239997</v>
      </c>
      <c r="BB117" s="3">
        <f>$H117*factors!AV$3</f>
        <v>0.38185723613520001</v>
      </c>
      <c r="BC117" s="3">
        <f>$H117*factors!AW$3</f>
        <v>0.40399951737600004</v>
      </c>
      <c r="BD117" s="3">
        <f>$H117*factors!AX$3</f>
        <v>0.37292263142399995</v>
      </c>
      <c r="BE117" s="3">
        <f>$H117*factors!AY$3</f>
        <v>0.43843587224919994</v>
      </c>
      <c r="BF117" s="3">
        <f>$H117*factors!AZ$3</f>
        <v>0.40830136408879997</v>
      </c>
      <c r="BG117" s="3">
        <f>$H117*factors!BA$3</f>
        <v>0.41424337978239989</v>
      </c>
      <c r="BH117" s="3">
        <f>$H117*factors!BB$3</f>
        <v>0.41976096578359995</v>
      </c>
      <c r="BI117" s="3">
        <f>$H117*factors!BC$3</f>
        <v>0.43504043470999987</v>
      </c>
      <c r="BJ117" s="3">
        <f>$H117*factors!BD$3</f>
        <v>0.41551666885959992</v>
      </c>
      <c r="BK117" s="3">
        <f>$H117*factors!BE$3</f>
        <v>0.41636552824439987</v>
      </c>
      <c r="BL117" s="3">
        <f>$H117*factors!BF$3</f>
        <v>0.41169680162799993</v>
      </c>
      <c r="BM117" s="3">
        <f>$H117*factors!BG$3</f>
        <v>0.43970916132639998</v>
      </c>
      <c r="BN117" s="3">
        <f>$H117*factors!BH$3</f>
        <v>0.43419157532519992</v>
      </c>
      <c r="BO117" s="3">
        <f>$H117*factors!BI$3</f>
        <v>0.40830136408879997</v>
      </c>
      <c r="BP117" s="3">
        <f>$H117*factors!BJ$3</f>
        <v>0.40702807501159993</v>
      </c>
      <c r="BQ117" s="3">
        <f>$H117*factors!BK$3</f>
        <v>0.41381895008999992</v>
      </c>
      <c r="BR117" s="3">
        <f>$H117*factors!BL$3</f>
        <v>0.42867398932399997</v>
      </c>
      <c r="BS117" s="3">
        <f>$H117*factors!BM$3</f>
        <v>0.43546486440239995</v>
      </c>
      <c r="BT117" s="3">
        <f>$H117*factors!BN$3</f>
        <v>0.43673815347959993</v>
      </c>
      <c r="BU117" s="3">
        <f>$H117*factors!BO$3</f>
        <v>0.4439534582504</v>
      </c>
      <c r="BV117" s="3">
        <f>$H117*factors!BP$3</f>
        <v>0.41297009070519997</v>
      </c>
      <c r="BW117" s="3">
        <f>$H117*factors!BQ$3</f>
        <v>0.42230754393799991</v>
      </c>
      <c r="BX117" s="3">
        <f>$H117*factors!BR$3</f>
        <v>0.41424337978239989</v>
      </c>
      <c r="BY117" s="3">
        <f>$H117*factors!BS$3</f>
        <v>0.43334271594039986</v>
      </c>
      <c r="BZ117" s="3">
        <f>$H117*factors!BT$3</f>
        <v>0.4252785517847999</v>
      </c>
      <c r="CA117" s="3">
        <f>$H117*factors!BU$3</f>
        <v>0.41976096578359995</v>
      </c>
      <c r="CB117" s="3">
        <f>$H117*factors!BV$3</f>
        <v>0.40617921562679993</v>
      </c>
      <c r="CC117" s="3">
        <f>$H117*factors!BW$3</f>
        <v>0.41806324701399994</v>
      </c>
      <c r="CD117" s="3">
        <f>$H117*factors!BX$3</f>
        <v>0.41933653609119997</v>
      </c>
      <c r="CE117" s="3">
        <f>$H117*factors!BY$3</f>
        <v>0.4252785517847999</v>
      </c>
      <c r="CF117" s="3">
        <f>$H117*factors!BZ$3</f>
        <v>0.41891210639879994</v>
      </c>
      <c r="CG117" s="3">
        <f>$H117*factors!CA$3</f>
        <v>0.40490592654959989</v>
      </c>
      <c r="CH117" s="3">
        <f>$H117*factors!CB$3</f>
        <v>0.40533035624199987</v>
      </c>
      <c r="CI117" s="3">
        <f>$H117*factors!CC$3</f>
        <v>0.40320820777999994</v>
      </c>
      <c r="CJ117" s="3">
        <f>$H117*factors!CD$3</f>
        <v>0.41976096578359995</v>
      </c>
      <c r="CK117" s="3">
        <f>$H117*factors!CE$3</f>
        <v>0.43843587224919994</v>
      </c>
      <c r="CL117" s="3">
        <f>$H117*factors!CF$3</f>
        <v>0.41084794224319993</v>
      </c>
      <c r="CM117" s="3">
        <f>$H117*factors!CG$3</f>
        <v>0.4206098251683999</v>
      </c>
      <c r="CN117" s="3">
        <f>$H117*factors!CH$3</f>
        <v>0.4066036453191999</v>
      </c>
      <c r="CO117" s="3">
        <f>$H117*factors!CI$3</f>
        <v>0.40957465316599989</v>
      </c>
      <c r="CP117" s="3">
        <f>$H117*factors!CJ$3</f>
        <v>0.42909841901639983</v>
      </c>
      <c r="CQ117" s="3">
        <f>$H117*factors!CK$3</f>
        <v>0.41636552824439987</v>
      </c>
      <c r="CR117" s="3">
        <f>$H117*factors!CL$3</f>
        <v>0.42952284870879992</v>
      </c>
      <c r="CS117" s="3">
        <f>$H117*factors!CM$3</f>
        <v>0.44310459886559994</v>
      </c>
      <c r="CT117" s="3">
        <f>$H117*factors!CN$3</f>
        <v>0.43801144255679997</v>
      </c>
      <c r="CU117" s="3">
        <f>$H117*factors!CO$3</f>
        <v>0.42824955963159989</v>
      </c>
      <c r="CV117" s="3">
        <f>$H117*factors!CP$3</f>
        <v>0.4456511770199999</v>
      </c>
      <c r="CW117" s="3">
        <f>$H117*factors!CQ$3</f>
        <v>0.42145868455319996</v>
      </c>
      <c r="CX117" s="3">
        <f>$H117*factors!CR$3</f>
        <v>0.41509223916719995</v>
      </c>
      <c r="CY117" s="3">
        <f>$H117*factors!CS$3</f>
        <v>0.4112723719355999</v>
      </c>
      <c r="CZ117" s="3">
        <f>$H117*factors!CT$3</f>
        <v>0.40533035624199987</v>
      </c>
      <c r="DA117" s="3">
        <f>$H117*factors!CU$3</f>
        <v>0.42083283059999993</v>
      </c>
      <c r="DB117" s="3">
        <f>$H117*factors!CV$3</f>
        <v>0.44802510580799998</v>
      </c>
      <c r="DC117" s="3">
        <f>$H117*factors!CW$3</f>
        <v>0.4290336755039999</v>
      </c>
      <c r="DD117" s="3">
        <f>$H117*factors!CX$3</f>
        <v>0.42601231159199993</v>
      </c>
      <c r="DE117" s="3">
        <f>$H117*factors!CY$3</f>
        <v>0.438529390656</v>
      </c>
      <c r="DF117" s="3">
        <f>$H117*factors!CZ$3</f>
        <v>0.43766614382399993</v>
      </c>
      <c r="DG117" s="3">
        <f>$H117*factors!DA$3</f>
        <v>0.43593965015999997</v>
      </c>
      <c r="DH117" s="3">
        <f>$H117*factors!DB$3</f>
        <v>0.43593965015999997</v>
      </c>
      <c r="DI117" s="3">
        <f>$H117*factors!DC$3</f>
        <v>0.41953796035199992</v>
      </c>
      <c r="DJ117" s="3">
        <f>$H117*factors!DD$3</f>
        <v>0.44457211847999994</v>
      </c>
      <c r="DK117" s="3">
        <f>$H117*factors!DE$3</f>
        <v>0.44457211847999994</v>
      </c>
      <c r="DL117" s="3">
        <f>$H117*factors!DF$3</f>
        <v>0.43939263748799995</v>
      </c>
      <c r="DM117" s="3">
        <f>$H117*factors!DG$3</f>
        <v>0.41392685594399992</v>
      </c>
      <c r="DN117" s="3">
        <f>$H117*factors!DH$3</f>
        <v>0.43421315649599995</v>
      </c>
      <c r="DO117" s="3">
        <f>$H117*factors!DI$3</f>
        <v>0.44845672922399993</v>
      </c>
      <c r="DP117" s="3">
        <f>$H117*factors!DJ$3</f>
        <v>0.44457211847999994</v>
      </c>
      <c r="DQ117" s="3">
        <f>$H117*factors!DK$3</f>
        <v>0.4238541945119999</v>
      </c>
      <c r="DR117" s="3">
        <f>$H117*factors!DL$3</f>
        <v>0.41910633693599997</v>
      </c>
      <c r="DS117" s="3">
        <f>$H117*factors!DM$3</f>
        <v>0.45277296338399992</v>
      </c>
      <c r="DT117" s="3">
        <f>$H117*factors!DN$3</f>
        <v>0.42558068817599998</v>
      </c>
      <c r="DU117" s="3">
        <f>$H117*factors!DO$3</f>
        <v>0.44543536531199995</v>
      </c>
      <c r="DV117" s="3">
        <f>$H117*factors!DP$3</f>
        <v>0.43507640332799996</v>
      </c>
      <c r="DW117" s="3">
        <f>$H117*factors!DQ$3</f>
        <v>0.41522172619199993</v>
      </c>
      <c r="DX117" s="3">
        <f>$H117*factors!DR$3</f>
        <v>0.4398242609039999</v>
      </c>
      <c r="DY117" s="3">
        <f>$H117*factors!DS$3</f>
        <v>0.4173798432719999</v>
      </c>
      <c r="DZ117" s="3">
        <f>$H117*factors!DT$3</f>
        <v>0.44629861214399991</v>
      </c>
      <c r="EA117" s="3">
        <f>$H117*factors!DU$3</f>
        <v>0.42040120718399993</v>
      </c>
      <c r="EB117" s="3">
        <f>$H117*factors!DV$3</f>
        <v>0.41004224519999993</v>
      </c>
      <c r="EC117" s="3">
        <f>$H117*factors!DW$3</f>
        <v>0.44111913115199991</v>
      </c>
      <c r="ED117" s="3">
        <f>$H117*factors!DX$3</f>
        <v>0.41392685594399992</v>
      </c>
      <c r="EE117" s="3">
        <f>$H117*factors!DY$3</f>
        <v>0.4173798432719999</v>
      </c>
      <c r="EF117" s="3">
        <f>$H117*factors!DZ$3</f>
        <v>0.45277296338399992</v>
      </c>
      <c r="EG117" s="3">
        <f>$H117*factors!EA$3</f>
        <v>0.42299094767999995</v>
      </c>
      <c r="EH117" s="3">
        <f>$H117*factors!EB$3</f>
        <v>0.42428581792799996</v>
      </c>
      <c r="EI117" s="3">
        <f>$H117*factors!EC$3</f>
        <v>0.42342257109599996</v>
      </c>
      <c r="EJ117" s="3">
        <f>$H117*factors!ED$3</f>
        <v>0.41263198569599996</v>
      </c>
      <c r="EK117" s="3">
        <f>$H117*factors!EE$3</f>
        <v>0.44111913115199991</v>
      </c>
      <c r="EL117" s="3">
        <f>$H117*factors!EF$3</f>
        <v>0.41953796035199992</v>
      </c>
      <c r="EM117" s="3">
        <f>$H117*factors!EG$3</f>
        <v>0.43637127357599992</v>
      </c>
      <c r="EN117" s="3">
        <f>$H117*factors!EH$3</f>
        <v>0.41004224519999993</v>
      </c>
      <c r="EO117" s="3">
        <f>$H117*factors!EI$3</f>
        <v>0.41608497302399988</v>
      </c>
      <c r="EP117" s="3">
        <f>$H117*factors!EJ$3</f>
        <v>0.43896101407199994</v>
      </c>
      <c r="EQ117" s="3">
        <f>$H117*factors!EK$3</f>
        <v>0.42687555842399993</v>
      </c>
      <c r="ER117" s="3">
        <f>$H117*factors!EL$3</f>
        <v>0.44457211847999994</v>
      </c>
      <c r="ES117" s="3">
        <f>$H117*factors!EM$3</f>
        <v>0.43896101407199994</v>
      </c>
      <c r="ET117" s="3">
        <f>$H117*factors!EN$3</f>
        <v>0.44888835263999993</v>
      </c>
      <c r="EU117" s="3">
        <f>$H117*factors!EO$3</f>
        <v>0.45320458679999998</v>
      </c>
      <c r="EV117" s="3">
        <f>$H117*factors!EP$3</f>
        <v>0.42471744134399991</v>
      </c>
      <c r="EW117" s="3">
        <f>$H117*factors!EQ$3</f>
        <v>0.46714242627499991</v>
      </c>
      <c r="EX117" s="3">
        <f>$H117*factors!ER$3</f>
        <v>0.46219674129999999</v>
      </c>
      <c r="EY117" s="3">
        <f>$H117*factors!ES$3</f>
        <v>0.47163850352499986</v>
      </c>
      <c r="EZ117" s="3">
        <f>$H117*factors!ET$3</f>
        <v>0.46714242627499991</v>
      </c>
      <c r="FA117" s="3">
        <f>$H117*factors!EU$3</f>
        <v>0.42937537737499992</v>
      </c>
      <c r="FB117" s="3">
        <f>$H117*factors!EV$3</f>
        <v>0.44870850954999997</v>
      </c>
      <c r="FC117" s="3">
        <f>$H117*factors!EW$3</f>
        <v>0.46129752584999995</v>
      </c>
      <c r="FD117" s="3">
        <f>$H117*factors!EX$3</f>
        <v>0.44511164774999995</v>
      </c>
      <c r="FE117" s="3">
        <f>$H117*factors!EY$3</f>
        <v>0.46894085717499995</v>
      </c>
      <c r="FF117" s="3">
        <f>$H117*factors!EZ$3</f>
        <v>0.46939046490000003</v>
      </c>
      <c r="FG117" s="3">
        <f>$H117*factors!FA$3</f>
        <v>0.42937537737499992</v>
      </c>
      <c r="FH117" s="3">
        <f>$H117*factors!FB$3</f>
        <v>0.45185576362499991</v>
      </c>
      <c r="FI117" s="3">
        <f>$H117*factors!FC$3</f>
        <v>0.47073928807499993</v>
      </c>
      <c r="FJ117" s="3">
        <f>$H117*factors!FD$3</f>
        <v>0.45185576362499991</v>
      </c>
      <c r="FK117" s="3">
        <f>$H117*factors!FE$3</f>
        <v>0.45949909494999996</v>
      </c>
      <c r="FL117" s="3">
        <f>$H117*factors!FF$3</f>
        <v>0.46084791812499998</v>
      </c>
      <c r="FM117" s="3">
        <f>$H117*factors!FG$3</f>
        <v>0.46579360309999995</v>
      </c>
      <c r="FN117" s="3">
        <f>$H117*factors!FH$3</f>
        <v>0.43566988552499991</v>
      </c>
      <c r="FO117" s="3">
        <f>$H117*factors!FI$3</f>
        <v>0.4626463490249999</v>
      </c>
      <c r="FP117" s="3">
        <f>$H117*factors!FJ$3</f>
        <v>0.44960772499999996</v>
      </c>
      <c r="FQ117" s="3">
        <f>$H117*factors!FK$3</f>
        <v>0.44511164774999995</v>
      </c>
      <c r="FR117" s="3">
        <f>$H117*factors!FL$3</f>
        <v>0.45410380224999997</v>
      </c>
      <c r="FS117" s="3">
        <f>$H117*factors!FM$3</f>
        <v>0.45140615589999994</v>
      </c>
      <c r="FT117" s="3">
        <f>$H117*factors!FN$3</f>
        <v>0.46129752584999995</v>
      </c>
      <c r="FU117" s="3">
        <f>$H117*factors!FO$3</f>
        <v>0.44331321684999991</v>
      </c>
      <c r="FV117" s="3">
        <f>$H117*factors!FP$3</f>
        <v>0.43971635504999995</v>
      </c>
      <c r="FW117" s="3">
        <f>$H117*factors!FQ$3</f>
        <v>0.47073928807499993</v>
      </c>
      <c r="FX117" s="3">
        <f>$H117*factors!FR$3</f>
        <v>0.46219674129999999</v>
      </c>
      <c r="FY117" s="3">
        <f>$H117*factors!FS$3</f>
        <v>0.4527549790749999</v>
      </c>
      <c r="FZ117" s="3">
        <f>$H117*factors!FT$3</f>
        <v>0.43027459282499997</v>
      </c>
      <c r="GA117" s="3">
        <f>$H117*factors!FU$3</f>
        <v>0.4527549790749999</v>
      </c>
      <c r="GB117" s="3">
        <f>$H117*factors!FV$3</f>
        <v>0.46939046490000003</v>
      </c>
      <c r="GC117" s="3">
        <f>$H117*factors!FW$3</f>
        <v>0.43971635504999995</v>
      </c>
      <c r="GD117" s="3">
        <f>$H117*factors!FX$3</f>
        <v>0.4473596863749999</v>
      </c>
      <c r="GE117" s="3">
        <f>$H117*factors!FY$3</f>
        <v>0.4473596863749999</v>
      </c>
      <c r="GF117" s="3">
        <f>$H117*factors!FZ$3</f>
        <v>0.44601086319999994</v>
      </c>
      <c r="GG117" s="3">
        <f>$H117*factors!GA$3</f>
        <v>0.42847616192499993</v>
      </c>
      <c r="GH117" s="3">
        <f>$H117*factors!GB$3</f>
        <v>0.45590223315</v>
      </c>
      <c r="GI117" s="3">
        <f>$H117*factors!GC$3</f>
        <v>0.42757694647499994</v>
      </c>
      <c r="GJ117" s="3">
        <f>$H117*factors!GD$3</f>
        <v>0.42847616192499993</v>
      </c>
      <c r="GK117" s="3">
        <f>$H117*factors!GE$3</f>
        <v>0.43926674732499993</v>
      </c>
      <c r="GL117" s="3">
        <f>$H117*factors!GF$3</f>
        <v>0.46534399537499993</v>
      </c>
      <c r="GM117" s="3">
        <f>$H117*factors!GG$3</f>
        <v>0.44106517822499997</v>
      </c>
      <c r="GN117" s="3">
        <f>$H117*factors!GH$3</f>
        <v>0.45500301770000001</v>
      </c>
      <c r="GO117" s="3">
        <f>$H117*factors!GI$3</f>
        <v>0.42982498509999989</v>
      </c>
      <c r="GP117" s="3">
        <f>$H117*factors!GJ$3</f>
        <v>0.46084791812499998</v>
      </c>
      <c r="GQ117" s="3">
        <f>$H117*factors!GK$3</f>
        <v>0.47028968035000002</v>
      </c>
      <c r="GR117" s="3">
        <f>$H117*factors!GL$3</f>
        <v>0.46129752584999995</v>
      </c>
      <c r="GS117" s="3">
        <f>$H117*factors!GM$3</f>
        <v>0.43624538341299995</v>
      </c>
      <c r="GT117" s="3">
        <f>$H117*factors!GN$3</f>
        <v>0.4462950152822</v>
      </c>
      <c r="GU117" s="3">
        <f>$H117*factors!GO$3</f>
        <v>0.45680144859999994</v>
      </c>
      <c r="GV117" s="3">
        <f>$H117*factors!GP$3</f>
        <v>0.438529390656</v>
      </c>
      <c r="GW117" s="3">
        <f>$H117*factors!GQ$3</f>
        <v>0.45406063990839995</v>
      </c>
      <c r="GX117" s="3">
        <f>$H117*factors!GR$3</f>
        <v>0.44675181673079994</v>
      </c>
      <c r="GY117" s="3">
        <f>$H117*factors!GS$3</f>
        <v>0.44446780948780001</v>
      </c>
      <c r="GZ117" s="3">
        <f>$H117*factors!GT$3</f>
        <v>0.46091266163739991</v>
      </c>
      <c r="HA117" s="3">
        <f>$H117*factors!GU$3</f>
        <v>0.44583821383359995</v>
      </c>
      <c r="HB117" s="3">
        <f>$H117*factors!GV$3</f>
        <v>0.46091266163739991</v>
      </c>
      <c r="HC117" s="3">
        <f>$H117*factors!GW$3</f>
        <v>0.44949262542239993</v>
      </c>
      <c r="HD117" s="3">
        <f>$H117*factors!GX$3</f>
        <v>0.4627398674317999</v>
      </c>
      <c r="HE117" s="3">
        <f>$H117*factors!GY$3</f>
        <v>0.45680144859999994</v>
      </c>
      <c r="HF117" s="3">
        <f>$H117*factors!GZ$3</f>
        <v>0.4709622935065999</v>
      </c>
      <c r="HG117" s="3">
        <f>$H117*factors!HA$3</f>
        <v>0.45269023556259996</v>
      </c>
      <c r="HH117" s="3">
        <f>$H117*factors!HB$3</f>
        <v>0.44675181673079994</v>
      </c>
      <c r="HI117" s="3">
        <f>$H117*factors!HC$3</f>
        <v>0.44127019934759998</v>
      </c>
      <c r="HJ117" s="3">
        <f>$H117*factors!HD$3</f>
        <v>0.43624538341299995</v>
      </c>
      <c r="HK117" s="3">
        <f>$H117*factors!HE$3</f>
        <v>0.46136946308599996</v>
      </c>
      <c r="HL117" s="3">
        <f>$H117*factors!HF$3</f>
        <v>0.43487497906719991</v>
      </c>
      <c r="HM117" s="3">
        <f>$H117*factors!HG$3</f>
        <v>0.43944299355319999</v>
      </c>
      <c r="HN117" s="3">
        <f>$H117*factors!HH$3</f>
        <v>0.46867828626359997</v>
      </c>
      <c r="HO117" s="3">
        <f>$H117*factors!HI$3</f>
        <v>0.44949262542239993</v>
      </c>
      <c r="HP117" s="3">
        <f>$H117*factors!HJ$3</f>
        <v>0.47964152103000002</v>
      </c>
      <c r="HQ117" s="3">
        <f>$H117*factors!HK$3</f>
        <v>0.438529390656</v>
      </c>
      <c r="HR117" s="3">
        <f>$H117*factors!HL$3</f>
        <v>0.4650238746748</v>
      </c>
      <c r="HS117" s="3">
        <f>$H117*factors!HM$3</f>
        <v>0.47324630074959995</v>
      </c>
      <c r="HT117" s="3">
        <f>$H117*factors!HN$3</f>
        <v>0.44127019934759998</v>
      </c>
      <c r="HU117" s="3">
        <f>$H117*factors!HO$3</f>
        <v>0.44583821383359995</v>
      </c>
      <c r="HV117" s="3">
        <f>$H117*factors!HP$3</f>
        <v>0.45131983121679997</v>
      </c>
      <c r="HW117" s="3">
        <f>$H117*factors!HQ$3</f>
        <v>0.45771505149719993</v>
      </c>
      <c r="HX117" s="3">
        <f>$H117*factors!HR$3</f>
        <v>0.47644391088979993</v>
      </c>
      <c r="HY117" s="3">
        <f>$H117*factors!HS$3</f>
        <v>0.45269023556259996</v>
      </c>
      <c r="HZ117" s="3">
        <f>$H117*factors!HT$3</f>
        <v>0.47004869060939991</v>
      </c>
      <c r="IA117" s="3">
        <f>$H117*factors!HU$3</f>
        <v>0.4472086181794</v>
      </c>
      <c r="IB117" s="3">
        <f>$H117*factors!HV$3</f>
        <v>0.4627398674317999</v>
      </c>
      <c r="IC117" s="3">
        <f>$H117*factors!HW$3</f>
        <v>0.46730788191779993</v>
      </c>
      <c r="ID117" s="3">
        <f>$H117*factors!HX$3</f>
        <v>0.43396137616999991</v>
      </c>
      <c r="IE117" s="3">
        <f>$H117*factors!HY$3</f>
        <v>0.46091266163739991</v>
      </c>
      <c r="IF117" s="3">
        <f>$H117*factors!HZ$3</f>
        <v>0.45817185294579993</v>
      </c>
      <c r="IG117" s="3">
        <f>$H117*factors!IA$3</f>
        <v>0.45406063990839995</v>
      </c>
      <c r="IH117" s="3">
        <f>$H117*factors!IB$3</f>
        <v>0.4709622935065999</v>
      </c>
      <c r="II117" s="3">
        <f>$H117*factors!IC$3</f>
        <v>0.45086302976819997</v>
      </c>
      <c r="IJ117" s="3">
        <f>$H117*factors!ID$3</f>
        <v>0.45497424280559995</v>
      </c>
      <c r="IK117" s="3">
        <f>$H117*factors!IE$3</f>
        <v>0.47141909495519996</v>
      </c>
      <c r="IL117" s="3">
        <f>$H117*factors!IF$3</f>
        <v>0.45131983121679997</v>
      </c>
      <c r="IM117" s="3">
        <f>$H117*factors!IG$3</f>
        <v>0.4472086181794</v>
      </c>
      <c r="IN117" s="3">
        <f>$H117*factors!IH$3</f>
        <v>0.44994942687099998</v>
      </c>
      <c r="IO117" s="3">
        <f>$H117*factors!II$3</f>
        <v>0.45451744135699995</v>
      </c>
      <c r="IP117" s="3">
        <f>$H117*factors!IJ$3</f>
        <v>0.43944299355319999</v>
      </c>
      <c r="IQ117" s="3">
        <f>$H117*factors!IK$3</f>
        <v>0.43807258920739994</v>
      </c>
      <c r="IR117" s="3">
        <f>$H117*factors!IL$3</f>
        <v>0.45086302976819997</v>
      </c>
      <c r="IS117" s="3">
        <f>$H117*factors!IM$3</f>
        <v>0.45451744135699995</v>
      </c>
      <c r="IT117" s="3">
        <f>$H117*factors!IN$3</f>
        <v>0.45771505149719993</v>
      </c>
      <c r="IU117" s="3">
        <f>$H117*factors!IO$3</f>
        <v>0.46776468336639998</v>
      </c>
      <c r="IV117" s="3">
        <f>$H117*factors!IP$3</f>
        <v>0.47370310219819989</v>
      </c>
      <c r="IW117" s="3">
        <f>$H117*factors!IQ$3</f>
        <v>0.44766541962799994</v>
      </c>
      <c r="IX117" s="3">
        <f>$H117*factors!IR$3</f>
        <v>0.46776468336639998</v>
      </c>
      <c r="IY117" s="3">
        <f>$H117*factors!IS$3</f>
        <v>0.46091266163739991</v>
      </c>
      <c r="IZ117" s="3">
        <f>$H117*factors!IT$3</f>
        <v>0.46867828626359997</v>
      </c>
      <c r="JA117" s="3">
        <f>$H117*factors!IU$3</f>
        <v>0.44264060369339991</v>
      </c>
      <c r="JB117" s="3">
        <f>$H117*factors!IV$3</f>
        <v>0.45086302976819997</v>
      </c>
      <c r="JC117" s="3">
        <f>$H117*factors!IW$3</f>
        <v>0.44035659645039998</v>
      </c>
      <c r="JD117" s="3">
        <f>$H117*factors!IX$3</f>
        <v>0.47964152103000002</v>
      </c>
      <c r="JE117" s="3">
        <f>$H117*factors!IY$3</f>
        <v>0.44172700079619992</v>
      </c>
      <c r="JF117" s="3">
        <f>$H117*factors!IZ$3</f>
        <v>0.46365347032899989</v>
      </c>
      <c r="JG117" s="3">
        <f>$H117*factors!JA$3</f>
        <v>0.45543104425419995</v>
      </c>
      <c r="JH117" s="3">
        <f>$H117*factors!JB$3</f>
        <v>0.4641102717776</v>
      </c>
      <c r="JI117" s="3">
        <f>$H117*factors!JC$3</f>
        <v>0.43441817761859997</v>
      </c>
      <c r="JJ117" s="3">
        <f>$H117*factors!JD$3</f>
        <v>0.46776468336639998</v>
      </c>
      <c r="JK117" s="3">
        <f>$H117*factors!JE$3</f>
        <v>0.45269023556259996</v>
      </c>
      <c r="JL117" s="3">
        <f>$H117*factors!JF$3</f>
        <v>0.4709622935065999</v>
      </c>
      <c r="JM117" s="3">
        <f>$H117*factors!JG$3</f>
        <v>0.43944299355319999</v>
      </c>
      <c r="JN117" s="3">
        <f>$H117*factors!JH$3</f>
        <v>0.43944299355319999</v>
      </c>
      <c r="JO117" s="3">
        <f>$H117*factors!JI$3</f>
        <v>0.43396137616999991</v>
      </c>
      <c r="JP117" s="3">
        <f>$H117*factors!JJ$3</f>
        <v>0.46913508771219992</v>
      </c>
      <c r="JQ117" s="3">
        <f>$H117*factors!JK$3</f>
        <v>0.45725825004859993</v>
      </c>
      <c r="JR117" s="3">
        <f>$H117*factors!JL$3</f>
        <v>0.47507350654399993</v>
      </c>
      <c r="JS117" s="3">
        <f>$H117*factors!JM$3</f>
        <v>0.43396137616999991</v>
      </c>
      <c r="JT117" s="3">
        <f>$H117*factors!JN$3</f>
        <v>0.45588784570279994</v>
      </c>
      <c r="JU117" s="3">
        <f>$H117*factors!JO$3</f>
        <v>0.44081339789899993</v>
      </c>
      <c r="JV117" s="3">
        <f>$H117*factors!JP$3</f>
        <v>0.44812222107659999</v>
      </c>
      <c r="JW117" s="3">
        <f>$H117*factors!JQ$3</f>
        <v>0.47872791813280002</v>
      </c>
      <c r="JX117" s="3">
        <f>$H117*factors!JR$3</f>
        <v>0.47415990364679994</v>
      </c>
      <c r="JY117" s="3">
        <f>$H117*factors!JS$3</f>
        <v>0.4462950152822</v>
      </c>
      <c r="JZ117" s="3">
        <f>$H117*factors!JT$3</f>
        <v>0.45131983121679997</v>
      </c>
      <c r="KA117" s="3">
        <f>$H117*factors!JU$3</f>
        <v>0.45314703701119996</v>
      </c>
      <c r="KB117" s="3">
        <f>$H117*factors!JV$3</f>
        <v>0.43807258920739994</v>
      </c>
      <c r="KC117" s="3">
        <f>$H117*factors!JW$3</f>
        <v>0.44035659645039998</v>
      </c>
      <c r="KD117" s="3">
        <f>$H117*factors!JX$3</f>
        <v>0.44081339789899993</v>
      </c>
      <c r="KE117" s="3">
        <f>$H117*factors!JY$3</f>
        <v>0.46913508771219992</v>
      </c>
      <c r="KF117" s="3">
        <f>$H117*factors!JZ$3</f>
        <v>0.47461670509539988</v>
      </c>
      <c r="KG117" s="3">
        <f>$H117*factors!KA$3</f>
        <v>0.45771505149719993</v>
      </c>
      <c r="KH117" s="3">
        <f>$H117*factors!KB$3</f>
        <v>0.44766541962799994</v>
      </c>
      <c r="KI117" s="3">
        <f>$H117*factors!KC$3</f>
        <v>0.44355420659059991</v>
      </c>
    </row>
    <row r="118" spans="1:295" x14ac:dyDescent="0.55000000000000004">
      <c r="A118" t="s">
        <v>495</v>
      </c>
      <c r="B118">
        <v>117</v>
      </c>
      <c r="C118">
        <v>230</v>
      </c>
      <c r="D118" t="s">
        <v>377</v>
      </c>
      <c r="E118">
        <v>3.8930000000000002E-3</v>
      </c>
      <c r="F118">
        <v>117</v>
      </c>
      <c r="G118">
        <f>VLOOKUP(D118,demand_forecasted!$A$2:$G$11,2)</f>
        <v>11098</v>
      </c>
      <c r="H118" s="3">
        <f t="shared" si="2"/>
        <v>0.43204514000000005</v>
      </c>
      <c r="I118" s="3">
        <f>$H118*factors!C$3</f>
        <v>0.47827396998000005</v>
      </c>
      <c r="J118" s="3">
        <f>$H118*factors!D$3</f>
        <v>0.46100944618560002</v>
      </c>
      <c r="K118" s="3">
        <f>$H118*factors!E$3</f>
        <v>0.45307709741520008</v>
      </c>
      <c r="L118" s="3">
        <f>$H118*factors!F$3</f>
        <v>0.45167727116160011</v>
      </c>
      <c r="M118" s="3">
        <f>$H118*factors!G$3</f>
        <v>0.45121066241040003</v>
      </c>
      <c r="N118" s="3">
        <f>$H118*factors!H$3</f>
        <v>0.46427570744400004</v>
      </c>
      <c r="O118" s="3">
        <f>$H118*factors!I$3</f>
        <v>0.47454109997040006</v>
      </c>
      <c r="P118" s="3">
        <f>$H118*factors!J$3</f>
        <v>0.4801404049848001</v>
      </c>
      <c r="Q118" s="3">
        <f>$H118*factors!K$3</f>
        <v>0.45074405365920006</v>
      </c>
      <c r="R118" s="3">
        <f>$H118*factors!L$3</f>
        <v>0.44327831364000009</v>
      </c>
      <c r="S118" s="3">
        <f>$H118*factors!M$3</f>
        <v>0.46147605493680005</v>
      </c>
      <c r="T118" s="3">
        <f>$H118*factors!N$3</f>
        <v>0.47734075247760005</v>
      </c>
      <c r="U118" s="3">
        <f>$H118*factors!O$3</f>
        <v>0.45214387991280008</v>
      </c>
      <c r="V118" s="3">
        <f>$H118*factors!P$3</f>
        <v>0.4703416212096001</v>
      </c>
      <c r="W118" s="3">
        <f>$H118*factors!Q$3</f>
        <v>0.47454109997040006</v>
      </c>
      <c r="X118" s="3">
        <f>$H118*factors!R$3</f>
        <v>0.45401031491760008</v>
      </c>
      <c r="Y118" s="3">
        <f>$H118*factors!S$3</f>
        <v>0.44981083615680006</v>
      </c>
      <c r="Z118" s="3">
        <f>$H118*factors!T$3</f>
        <v>0.48527310124800016</v>
      </c>
      <c r="AA118" s="3">
        <f>$H118*factors!U$3</f>
        <v>0.45820979367840003</v>
      </c>
      <c r="AB118" s="3">
        <f>$H118*factors!V$3</f>
        <v>0.45867640242960012</v>
      </c>
      <c r="AC118" s="3">
        <f>$H118*factors!W$3</f>
        <v>0.45914301118080009</v>
      </c>
      <c r="AD118" s="3">
        <f>$H118*factors!X$3</f>
        <v>0.44934422740560009</v>
      </c>
      <c r="AE118" s="3">
        <f>$H118*factors!Y$3</f>
        <v>0.45307709741520008</v>
      </c>
      <c r="AF118" s="3">
        <f>$H118*factors!Z$3</f>
        <v>0.4624092724392001</v>
      </c>
      <c r="AG118" s="3">
        <f>$H118*factors!AA$3</f>
        <v>0.45074405365920006</v>
      </c>
      <c r="AH118" s="3">
        <f>$H118*factors!AB$3</f>
        <v>0.44887761865440012</v>
      </c>
      <c r="AI118" s="3">
        <f>$H118*factors!AC$3</f>
        <v>0.4633424899416001</v>
      </c>
      <c r="AJ118" s="3">
        <f>$H118*factors!AD$3</f>
        <v>0.48107362248720009</v>
      </c>
      <c r="AK118" s="3">
        <f>$H118*factors!AE$3</f>
        <v>0.46287588119040007</v>
      </c>
      <c r="AL118" s="3">
        <f>$H118*factors!AF$3</f>
        <v>0.4446781398936</v>
      </c>
      <c r="AM118" s="3">
        <f>$H118*factors!AG$3</f>
        <v>0.45727657617600004</v>
      </c>
      <c r="AN118" s="3">
        <f>$H118*factors!AH$3</f>
        <v>0.44981083615680006</v>
      </c>
      <c r="AO118" s="3">
        <f>$H118*factors!AI$3</f>
        <v>0.47127483871200004</v>
      </c>
      <c r="AP118" s="3">
        <f>$H118*factors!AJ$3</f>
        <v>0.45167727116160011</v>
      </c>
      <c r="AQ118" s="3">
        <f>$H118*factors!AK$3</f>
        <v>0.46614214244880009</v>
      </c>
      <c r="AR118" s="3">
        <f>$H118*factors!AL$3</f>
        <v>0.45587674992240007</v>
      </c>
      <c r="AS118" s="3">
        <f>$H118*factors!AM$3</f>
        <v>0.4446781398936</v>
      </c>
      <c r="AT118" s="3">
        <f>$H118*factors!AN$3</f>
        <v>0.45867640242960012</v>
      </c>
      <c r="AU118" s="3">
        <f>$H118*factors!AO$3</f>
        <v>0.48573970999920002</v>
      </c>
      <c r="AV118" s="3">
        <f>$H118*factors!AP$3</f>
        <v>0.45914301118080009</v>
      </c>
      <c r="AW118" s="3">
        <f>$H118*factors!AQ$3</f>
        <v>0.45447692366880005</v>
      </c>
      <c r="AX118" s="3">
        <f>$H118*factors!AR$3</f>
        <v>0.48060701373600007</v>
      </c>
      <c r="AY118" s="3">
        <f>$H118*factors!AS$3</f>
        <v>0.44327831364000009</v>
      </c>
      <c r="AZ118" s="3">
        <f>$H118*factors!AT$3</f>
        <v>0.47500770872160014</v>
      </c>
      <c r="BA118" s="3">
        <f>$H118*factors!AU$3</f>
        <v>0.46474231619520007</v>
      </c>
      <c r="BB118" s="3">
        <f>$H118*factors!AV$3</f>
        <v>0.45867640242960012</v>
      </c>
      <c r="BC118" s="3">
        <f>$H118*factors!AW$3</f>
        <v>0.48527310124800016</v>
      </c>
      <c r="BD118" s="3">
        <f>$H118*factors!AX$3</f>
        <v>0.44794440115200002</v>
      </c>
      <c r="BE118" s="3">
        <f>$H118*factors!AY$3</f>
        <v>0.52663710295160004</v>
      </c>
      <c r="BF118" s="3">
        <f>$H118*factors!AZ$3</f>
        <v>0.49044036112240003</v>
      </c>
      <c r="BG118" s="3">
        <f>$H118*factors!BA$3</f>
        <v>0.49757774683519995</v>
      </c>
      <c r="BH118" s="3">
        <f>$H118*factors!BB$3</f>
        <v>0.50420531928279999</v>
      </c>
      <c r="BI118" s="3">
        <f>$H118*factors!BC$3</f>
        <v>0.52255859682999994</v>
      </c>
      <c r="BJ118" s="3">
        <f>$H118*factors!BD$3</f>
        <v>0.4991071866308</v>
      </c>
      <c r="BK118" s="3">
        <f>$H118*factors!BE$3</f>
        <v>0.5001268131612</v>
      </c>
      <c r="BL118" s="3">
        <f>$H118*factors!BF$3</f>
        <v>0.49451886724399996</v>
      </c>
      <c r="BM118" s="3">
        <f>$H118*factors!BG$3</f>
        <v>0.5281665427472001</v>
      </c>
      <c r="BN118" s="3">
        <f>$H118*factors!BH$3</f>
        <v>0.52153897029960006</v>
      </c>
      <c r="BO118" s="3">
        <f>$H118*factors!BI$3</f>
        <v>0.49044036112240003</v>
      </c>
      <c r="BP118" s="3">
        <f>$H118*factors!BJ$3</f>
        <v>0.48891092132679997</v>
      </c>
      <c r="BQ118" s="3">
        <f>$H118*factors!BK$3</f>
        <v>0.49706793357000001</v>
      </c>
      <c r="BR118" s="3">
        <f>$H118*factors!BL$3</f>
        <v>0.51491139785200002</v>
      </c>
      <c r="BS118" s="3">
        <f>$H118*factors!BM$3</f>
        <v>0.5230684100952</v>
      </c>
      <c r="BT118" s="3">
        <f>$H118*factors!BN$3</f>
        <v>0.52459784989080005</v>
      </c>
      <c r="BU118" s="3">
        <f>$H118*factors!BO$3</f>
        <v>0.53326467539920008</v>
      </c>
      <c r="BV118" s="3">
        <f>$H118*factors!BP$3</f>
        <v>0.49604830703960001</v>
      </c>
      <c r="BW118" s="3">
        <f>$H118*factors!BQ$3</f>
        <v>0.50726419887399998</v>
      </c>
      <c r="BX118" s="3">
        <f>$H118*factors!BR$3</f>
        <v>0.49757774683519995</v>
      </c>
      <c r="BY118" s="3">
        <f>$H118*factors!BS$3</f>
        <v>0.52051934376919995</v>
      </c>
      <c r="BZ118" s="3">
        <f>$H118*factors!BT$3</f>
        <v>0.51083289173040003</v>
      </c>
      <c r="CA118" s="3">
        <f>$H118*factors!BU$3</f>
        <v>0.50420531928279999</v>
      </c>
      <c r="CB118" s="3">
        <f>$H118*factors!BV$3</f>
        <v>0.48789129479640003</v>
      </c>
      <c r="CC118" s="3">
        <f>$H118*factors!BW$3</f>
        <v>0.502166066222</v>
      </c>
      <c r="CD118" s="3">
        <f>$H118*factors!BX$3</f>
        <v>0.50369550601760005</v>
      </c>
      <c r="CE118" s="3">
        <f>$H118*factors!BY$3</f>
        <v>0.51083289173040003</v>
      </c>
      <c r="CF118" s="3">
        <f>$H118*factors!BZ$3</f>
        <v>0.5031856927524001</v>
      </c>
      <c r="CG118" s="3">
        <f>$H118*factors!CA$3</f>
        <v>0.48636185500079998</v>
      </c>
      <c r="CH118" s="3">
        <f>$H118*factors!CB$3</f>
        <v>0.48687166826599998</v>
      </c>
      <c r="CI118" s="3">
        <f>$H118*factors!CC$3</f>
        <v>0.48432260194000004</v>
      </c>
      <c r="CJ118" s="3">
        <f>$H118*factors!CD$3</f>
        <v>0.50420531928279999</v>
      </c>
      <c r="CK118" s="3">
        <f>$H118*factors!CE$3</f>
        <v>0.52663710295160004</v>
      </c>
      <c r="CL118" s="3">
        <f>$H118*factors!CF$3</f>
        <v>0.49349924071360002</v>
      </c>
      <c r="CM118" s="3">
        <f>$H118*factors!CG$3</f>
        <v>0.50522494581319999</v>
      </c>
      <c r="CN118" s="3">
        <f>$H118*factors!CH$3</f>
        <v>0.48840110806160003</v>
      </c>
      <c r="CO118" s="3">
        <f>$H118*factors!CI$3</f>
        <v>0.49196980091799997</v>
      </c>
      <c r="CP118" s="3">
        <f>$H118*factors!CJ$3</f>
        <v>0.51542121111719996</v>
      </c>
      <c r="CQ118" s="3">
        <f>$H118*factors!CK$3</f>
        <v>0.5001268131612</v>
      </c>
      <c r="CR118" s="3">
        <f>$H118*factors!CL$3</f>
        <v>0.51593102438240002</v>
      </c>
      <c r="CS118" s="3">
        <f>$H118*factors!CM$3</f>
        <v>0.53224504886879997</v>
      </c>
      <c r="CT118" s="3">
        <f>$H118*factors!CN$3</f>
        <v>0.52612728968639999</v>
      </c>
      <c r="CU118" s="3">
        <f>$H118*factors!CO$3</f>
        <v>0.51440158458679996</v>
      </c>
      <c r="CV118" s="3">
        <f>$H118*factors!CP$3</f>
        <v>0.53530392845999997</v>
      </c>
      <c r="CW118" s="3">
        <f>$H118*factors!CQ$3</f>
        <v>0.5062445723436001</v>
      </c>
      <c r="CX118" s="3">
        <f>$H118*factors!CR$3</f>
        <v>0.49859737336560006</v>
      </c>
      <c r="CY118" s="3">
        <f>$H118*factors!CS$3</f>
        <v>0.49400905397880002</v>
      </c>
      <c r="CZ118" s="3">
        <f>$H118*factors!CT$3</f>
        <v>0.48687166826599998</v>
      </c>
      <c r="DA118" s="3">
        <f>$H118*factors!CU$3</f>
        <v>0.5054928138</v>
      </c>
      <c r="DB118" s="3">
        <f>$H118*factors!CV$3</f>
        <v>0.53815542638400005</v>
      </c>
      <c r="DC118" s="3">
        <f>$H118*factors!CW$3</f>
        <v>0.51534344299199997</v>
      </c>
      <c r="DD118" s="3">
        <f>$H118*factors!CX$3</f>
        <v>0.51171426381600005</v>
      </c>
      <c r="DE118" s="3">
        <f>$H118*factors!CY$3</f>
        <v>0.52674943468800006</v>
      </c>
      <c r="DF118" s="3">
        <f>$H118*factors!CZ$3</f>
        <v>0.52571252635200005</v>
      </c>
      <c r="DG118" s="3">
        <f>$H118*factors!DA$3</f>
        <v>0.52363870968000004</v>
      </c>
      <c r="DH118" s="3">
        <f>$H118*factors!DB$3</f>
        <v>0.52363870968000004</v>
      </c>
      <c r="DI118" s="3">
        <f>$H118*factors!DC$3</f>
        <v>0.50393745129599998</v>
      </c>
      <c r="DJ118" s="3">
        <f>$H118*factors!DD$3</f>
        <v>0.53400779304000001</v>
      </c>
      <c r="DK118" s="3">
        <f>$H118*factors!DE$3</f>
        <v>0.53400779304000001</v>
      </c>
      <c r="DL118" s="3">
        <f>$H118*factors!DF$3</f>
        <v>0.52778634302400007</v>
      </c>
      <c r="DM118" s="3">
        <f>$H118*factors!DG$3</f>
        <v>0.49719754711199998</v>
      </c>
      <c r="DN118" s="3">
        <f>$H118*factors!DH$3</f>
        <v>0.52156489300800013</v>
      </c>
      <c r="DO118" s="3">
        <f>$H118*factors!DI$3</f>
        <v>0.53867388055200005</v>
      </c>
      <c r="DP118" s="3">
        <f>$H118*factors!DJ$3</f>
        <v>0.53400779304000001</v>
      </c>
      <c r="DQ118" s="3">
        <f>$H118*factors!DK$3</f>
        <v>0.50912199297600003</v>
      </c>
      <c r="DR118" s="3">
        <f>$H118*factors!DL$3</f>
        <v>0.50341899712800009</v>
      </c>
      <c r="DS118" s="3">
        <f>$H118*factors!DM$3</f>
        <v>0.54385842223199998</v>
      </c>
      <c r="DT118" s="3">
        <f>$H118*factors!DN$3</f>
        <v>0.51119580964800004</v>
      </c>
      <c r="DU118" s="3">
        <f>$H118*factors!DO$3</f>
        <v>0.53504470137600002</v>
      </c>
      <c r="DV118" s="3">
        <f>$H118*factors!DP$3</f>
        <v>0.52260180134400003</v>
      </c>
      <c r="DW118" s="3">
        <f>$H118*factors!DQ$3</f>
        <v>0.498752909616</v>
      </c>
      <c r="DX118" s="3">
        <f>$H118*factors!DR$3</f>
        <v>0.52830479719199996</v>
      </c>
      <c r="DY118" s="3">
        <f>$H118*factors!DS$3</f>
        <v>0.50134518045599996</v>
      </c>
      <c r="DZ118" s="3">
        <f>$H118*factors!DT$3</f>
        <v>0.53608160971200003</v>
      </c>
      <c r="EA118" s="3">
        <f>$H118*factors!DU$3</f>
        <v>0.50497435963199999</v>
      </c>
      <c r="EB118" s="3">
        <f>$H118*factors!DV$3</f>
        <v>0.4925314596</v>
      </c>
      <c r="EC118" s="3">
        <f>$H118*factors!DW$3</f>
        <v>0.52986015969600009</v>
      </c>
      <c r="ED118" s="3">
        <f>$H118*factors!DX$3</f>
        <v>0.49719754711199998</v>
      </c>
      <c r="EE118" s="3">
        <f>$H118*factors!DY$3</f>
        <v>0.50134518045599996</v>
      </c>
      <c r="EF118" s="3">
        <f>$H118*factors!DZ$3</f>
        <v>0.54385842223199998</v>
      </c>
      <c r="EG118" s="3">
        <f>$H118*factors!EA$3</f>
        <v>0.50808508464000002</v>
      </c>
      <c r="EH118" s="3">
        <f>$H118*factors!EB$3</f>
        <v>0.50964044714400003</v>
      </c>
      <c r="EI118" s="3">
        <f>$H118*factors!EC$3</f>
        <v>0.50860353880800002</v>
      </c>
      <c r="EJ118" s="3">
        <f>$H118*factors!ED$3</f>
        <v>0.49564218460800008</v>
      </c>
      <c r="EK118" s="3">
        <f>$H118*factors!EE$3</f>
        <v>0.52986015969600009</v>
      </c>
      <c r="EL118" s="3">
        <f>$H118*factors!EF$3</f>
        <v>0.50393745129599998</v>
      </c>
      <c r="EM118" s="3">
        <f>$H118*factors!EG$3</f>
        <v>0.52415716384800004</v>
      </c>
      <c r="EN118" s="3">
        <f>$H118*factors!EH$3</f>
        <v>0.4925314596</v>
      </c>
      <c r="EO118" s="3">
        <f>$H118*factors!EI$3</f>
        <v>0.499789817952</v>
      </c>
      <c r="EP118" s="3">
        <f>$H118*factors!EJ$3</f>
        <v>0.52726788885600007</v>
      </c>
      <c r="EQ118" s="3">
        <f>$H118*factors!EK$3</f>
        <v>0.51275117215199995</v>
      </c>
      <c r="ER118" s="3">
        <f>$H118*factors!EL$3</f>
        <v>0.53400779304000001</v>
      </c>
      <c r="ES118" s="3">
        <f>$H118*factors!EM$3</f>
        <v>0.52726788885600007</v>
      </c>
      <c r="ET118" s="3">
        <f>$H118*factors!EN$3</f>
        <v>0.53919233472000005</v>
      </c>
      <c r="EU118" s="3">
        <f>$H118*factors!EO$3</f>
        <v>0.5443768764000001</v>
      </c>
      <c r="EV118" s="3">
        <f>$H118*factors!EP$3</f>
        <v>0.51015890131200003</v>
      </c>
      <c r="EW118" s="3">
        <f>$H118*factors!EQ$3</f>
        <v>0.56111862557500003</v>
      </c>
      <c r="EX118" s="3">
        <f>$H118*factors!ER$3</f>
        <v>0.55517800490000013</v>
      </c>
      <c r="EY118" s="3">
        <f>$H118*factors!ES$3</f>
        <v>0.56651918982499994</v>
      </c>
      <c r="EZ118" s="3">
        <f>$H118*factors!ET$3</f>
        <v>0.56111862557500003</v>
      </c>
      <c r="FA118" s="3">
        <f>$H118*factors!EU$3</f>
        <v>0.51575388587500004</v>
      </c>
      <c r="FB118" s="3">
        <f>$H118*factors!EV$3</f>
        <v>0.53897631215000008</v>
      </c>
      <c r="FC118" s="3">
        <f>$H118*factors!EW$3</f>
        <v>0.55409789205000004</v>
      </c>
      <c r="FD118" s="3">
        <f>$H118*factors!EX$3</f>
        <v>0.53465586075000004</v>
      </c>
      <c r="FE118" s="3">
        <f>$H118*factors!EY$3</f>
        <v>0.5632788512750001</v>
      </c>
      <c r="FF118" s="3">
        <f>$H118*factors!EZ$3</f>
        <v>0.56381890770000009</v>
      </c>
      <c r="FG118" s="3">
        <f>$H118*factors!FA$3</f>
        <v>0.51575388587500004</v>
      </c>
      <c r="FH118" s="3">
        <f>$H118*factors!FB$3</f>
        <v>0.54275670712500002</v>
      </c>
      <c r="FI118" s="3">
        <f>$H118*factors!FC$3</f>
        <v>0.56543907697499995</v>
      </c>
      <c r="FJ118" s="3">
        <f>$H118*factors!FD$3</f>
        <v>0.54275670712500002</v>
      </c>
      <c r="FK118" s="3">
        <f>$H118*factors!FE$3</f>
        <v>0.55193766635000008</v>
      </c>
      <c r="FL118" s="3">
        <f>$H118*factors!FF$3</f>
        <v>0.55355783562500005</v>
      </c>
      <c r="FM118" s="3">
        <f>$H118*factors!FG$3</f>
        <v>0.55949845630000006</v>
      </c>
      <c r="FN118" s="3">
        <f>$H118*factors!FH$3</f>
        <v>0.52331467582500002</v>
      </c>
      <c r="FO118" s="3">
        <f>$H118*factors!FI$3</f>
        <v>0.55571806132500001</v>
      </c>
      <c r="FP118" s="3">
        <f>$H118*factors!FJ$3</f>
        <v>0.54005642500000006</v>
      </c>
      <c r="FQ118" s="3">
        <f>$H118*factors!FK$3</f>
        <v>0.53465586075000004</v>
      </c>
      <c r="FR118" s="3">
        <f>$H118*factors!FL$3</f>
        <v>0.54545698925000008</v>
      </c>
      <c r="FS118" s="3">
        <f>$H118*factors!FM$3</f>
        <v>0.54221665070000002</v>
      </c>
      <c r="FT118" s="3">
        <f>$H118*factors!FN$3</f>
        <v>0.55409789205000004</v>
      </c>
      <c r="FU118" s="3">
        <f>$H118*factors!FO$3</f>
        <v>0.53249563505000008</v>
      </c>
      <c r="FV118" s="3">
        <f>$H118*factors!FP$3</f>
        <v>0.52817518365000005</v>
      </c>
      <c r="FW118" s="3">
        <f>$H118*factors!FQ$3</f>
        <v>0.56543907697499995</v>
      </c>
      <c r="FX118" s="3">
        <f>$H118*factors!FR$3</f>
        <v>0.55517800490000013</v>
      </c>
      <c r="FY118" s="3">
        <f>$H118*factors!FS$3</f>
        <v>0.543836819975</v>
      </c>
      <c r="FZ118" s="3">
        <f>$H118*factors!FT$3</f>
        <v>0.51683399872500002</v>
      </c>
      <c r="GA118" s="3">
        <f>$H118*factors!FU$3</f>
        <v>0.543836819975</v>
      </c>
      <c r="GB118" s="3">
        <f>$H118*factors!FV$3</f>
        <v>0.56381890770000009</v>
      </c>
      <c r="GC118" s="3">
        <f>$H118*factors!FW$3</f>
        <v>0.52817518365000005</v>
      </c>
      <c r="GD118" s="3">
        <f>$H118*factors!FX$3</f>
        <v>0.537356142875</v>
      </c>
      <c r="GE118" s="3">
        <f>$H118*factors!FY$3</f>
        <v>0.537356142875</v>
      </c>
      <c r="GF118" s="3">
        <f>$H118*factors!FZ$3</f>
        <v>0.53573597360000003</v>
      </c>
      <c r="GG118" s="3">
        <f>$H118*factors!GA$3</f>
        <v>0.51467377302500006</v>
      </c>
      <c r="GH118" s="3">
        <f>$H118*factors!GB$3</f>
        <v>0.54761721495000004</v>
      </c>
      <c r="GI118" s="3">
        <f>$H118*factors!GC$3</f>
        <v>0.51359366017500008</v>
      </c>
      <c r="GJ118" s="3">
        <f>$H118*factors!GD$3</f>
        <v>0.51467377302500006</v>
      </c>
      <c r="GK118" s="3">
        <f>$H118*factors!GE$3</f>
        <v>0.52763512722500006</v>
      </c>
      <c r="GL118" s="3">
        <f>$H118*factors!GF$3</f>
        <v>0.55895839987500007</v>
      </c>
      <c r="GM118" s="3">
        <f>$H118*factors!GG$3</f>
        <v>0.52979535292500013</v>
      </c>
      <c r="GN118" s="3">
        <f>$H118*factors!GH$3</f>
        <v>0.54653710210000017</v>
      </c>
      <c r="GO118" s="3">
        <f>$H118*factors!GI$3</f>
        <v>0.51629394230000003</v>
      </c>
      <c r="GP118" s="3">
        <f>$H118*factors!GJ$3</f>
        <v>0.55355783562500005</v>
      </c>
      <c r="GQ118" s="3">
        <f>$H118*factors!GK$3</f>
        <v>0.56489902055000007</v>
      </c>
      <c r="GR118" s="3">
        <f>$H118*factors!GL$3</f>
        <v>0.55409789205000004</v>
      </c>
      <c r="GS118" s="3">
        <f>$H118*factors!GM$3</f>
        <v>0.52400594804900003</v>
      </c>
      <c r="GT118" s="3">
        <f>$H118*factors!GN$3</f>
        <v>0.53607728926060005</v>
      </c>
      <c r="GU118" s="3">
        <f>$H118*factors!GO$3</f>
        <v>0.54869732780000002</v>
      </c>
      <c r="GV118" s="3">
        <f>$H118*factors!GP$3</f>
        <v>0.52674943468800006</v>
      </c>
      <c r="GW118" s="3">
        <f>$H118*factors!GQ$3</f>
        <v>0.54540514383320005</v>
      </c>
      <c r="GX118" s="3">
        <f>$H118*factors!GR$3</f>
        <v>0.53662598658839999</v>
      </c>
      <c r="GY118" s="3">
        <f>$H118*factors!GS$3</f>
        <v>0.53388249994940007</v>
      </c>
      <c r="GZ118" s="3">
        <f>$H118*factors!GT$3</f>
        <v>0.55363560375020004</v>
      </c>
      <c r="HA118" s="3">
        <f>$H118*factors!GU$3</f>
        <v>0.5355285919328</v>
      </c>
      <c r="HB118" s="3">
        <f>$H118*factors!GV$3</f>
        <v>0.55363560375020004</v>
      </c>
      <c r="HC118" s="3">
        <f>$H118*factors!GW$3</f>
        <v>0.53991817055519997</v>
      </c>
      <c r="HD118" s="3">
        <f>$H118*factors!GX$3</f>
        <v>0.55583039306140003</v>
      </c>
      <c r="HE118" s="3">
        <f>$H118*factors!GY$3</f>
        <v>0.54869732780000002</v>
      </c>
      <c r="HF118" s="3">
        <f>$H118*factors!GZ$3</f>
        <v>0.56570694496180007</v>
      </c>
      <c r="HG118" s="3">
        <f>$H118*factors!HA$3</f>
        <v>0.5437590518498</v>
      </c>
      <c r="HH118" s="3">
        <f>$H118*factors!HB$3</f>
        <v>0.53662598658839999</v>
      </c>
      <c r="HI118" s="3">
        <f>$H118*factors!HC$3</f>
        <v>0.53004161865480004</v>
      </c>
      <c r="HJ118" s="3">
        <f>$H118*factors!HD$3</f>
        <v>0.52400594804900003</v>
      </c>
      <c r="HK118" s="3">
        <f>$H118*factors!HE$3</f>
        <v>0.5541843010780001</v>
      </c>
      <c r="HL118" s="3">
        <f>$H118*factors!HF$3</f>
        <v>0.52235985606559998</v>
      </c>
      <c r="HM118" s="3">
        <f>$H118*factors!HG$3</f>
        <v>0.52784682934360005</v>
      </c>
      <c r="HN118" s="3">
        <f>$H118*factors!HH$3</f>
        <v>0.56296345832280015</v>
      </c>
      <c r="HO118" s="3">
        <f>$H118*factors!HI$3</f>
        <v>0.53991817055519997</v>
      </c>
      <c r="HP118" s="3">
        <f>$H118*factors!HJ$3</f>
        <v>0.57613219419000017</v>
      </c>
      <c r="HQ118" s="3">
        <f>$H118*factors!HK$3</f>
        <v>0.52674943468800006</v>
      </c>
      <c r="HR118" s="3">
        <f>$H118*factors!HL$3</f>
        <v>0.55857387970040007</v>
      </c>
      <c r="HS118" s="3">
        <f>$H118*factors!HM$3</f>
        <v>0.56845043160080011</v>
      </c>
      <c r="HT118" s="3">
        <f>$H118*factors!HN$3</f>
        <v>0.53004161865480004</v>
      </c>
      <c r="HU118" s="3">
        <f>$H118*factors!HO$3</f>
        <v>0.5355285919328</v>
      </c>
      <c r="HV118" s="3">
        <f>$H118*factors!HP$3</f>
        <v>0.54211295986640007</v>
      </c>
      <c r="HW118" s="3">
        <f>$H118*factors!HQ$3</f>
        <v>0.54979472245560002</v>
      </c>
      <c r="HX118" s="3">
        <f>$H118*factors!HR$3</f>
        <v>0.57229131289540003</v>
      </c>
      <c r="HY118" s="3">
        <f>$H118*factors!HS$3</f>
        <v>0.5437590518498</v>
      </c>
      <c r="HZ118" s="3">
        <f>$H118*factors!HT$3</f>
        <v>0.56460955030620008</v>
      </c>
      <c r="IA118" s="3">
        <f>$H118*factors!HU$3</f>
        <v>0.53717468391620005</v>
      </c>
      <c r="IB118" s="3">
        <f>$H118*factors!HV$3</f>
        <v>0.55583039306140003</v>
      </c>
      <c r="IC118" s="3">
        <f>$H118*factors!HW$3</f>
        <v>0.5613173663394001</v>
      </c>
      <c r="ID118" s="3">
        <f>$H118*factors!HX$3</f>
        <v>0.52126246140999999</v>
      </c>
      <c r="IE118" s="3">
        <f>$H118*factors!HY$3</f>
        <v>0.55363560375020004</v>
      </c>
      <c r="IF118" s="3">
        <f>$H118*factors!HZ$3</f>
        <v>0.55034341978340007</v>
      </c>
      <c r="IG118" s="3">
        <f>$H118*factors!IA$3</f>
        <v>0.54540514383320005</v>
      </c>
      <c r="IH118" s="3">
        <f>$H118*factors!IB$3</f>
        <v>0.56570694496180007</v>
      </c>
      <c r="II118" s="3">
        <f>$H118*factors!IC$3</f>
        <v>0.54156426253860002</v>
      </c>
      <c r="IJ118" s="3">
        <f>$H118*factors!ID$3</f>
        <v>0.54650253848880004</v>
      </c>
      <c r="IK118" s="3">
        <f>$H118*factors!IE$3</f>
        <v>0.56625564228960013</v>
      </c>
      <c r="IL118" s="3">
        <f>$H118*factors!IF$3</f>
        <v>0.54211295986640007</v>
      </c>
      <c r="IM118" s="3">
        <f>$H118*factors!IG$3</f>
        <v>0.53717468391620005</v>
      </c>
      <c r="IN118" s="3">
        <f>$H118*factors!IH$3</f>
        <v>0.54046686788300002</v>
      </c>
      <c r="IO118" s="3">
        <f>$H118*factors!II$3</f>
        <v>0.54595384116099999</v>
      </c>
      <c r="IP118" s="3">
        <f>$H118*factors!IJ$3</f>
        <v>0.52784682934360005</v>
      </c>
      <c r="IQ118" s="3">
        <f>$H118*factors!IK$3</f>
        <v>0.52620073736020001</v>
      </c>
      <c r="IR118" s="3">
        <f>$H118*factors!IL$3</f>
        <v>0.54156426253860002</v>
      </c>
      <c r="IS118" s="3">
        <f>$H118*factors!IM$3</f>
        <v>0.54595384116099999</v>
      </c>
      <c r="IT118" s="3">
        <f>$H118*factors!IN$3</f>
        <v>0.54979472245560002</v>
      </c>
      <c r="IU118" s="3">
        <f>$H118*factors!IO$3</f>
        <v>0.56186606366720004</v>
      </c>
      <c r="IV118" s="3">
        <f>$H118*factors!IP$3</f>
        <v>0.56899912892860005</v>
      </c>
      <c r="IW118" s="3">
        <f>$H118*factors!IQ$3</f>
        <v>0.53772338124399999</v>
      </c>
      <c r="IX118" s="3">
        <f>$H118*factors!IR$3</f>
        <v>0.56186606366720004</v>
      </c>
      <c r="IY118" s="3">
        <f>$H118*factors!IS$3</f>
        <v>0.55363560375020004</v>
      </c>
      <c r="IZ118" s="3">
        <f>$H118*factors!IT$3</f>
        <v>0.56296345832280015</v>
      </c>
      <c r="JA118" s="3">
        <f>$H118*factors!IU$3</f>
        <v>0.53168771063819997</v>
      </c>
      <c r="JB118" s="3">
        <f>$H118*factors!IV$3</f>
        <v>0.54156426253860002</v>
      </c>
      <c r="JC118" s="3">
        <f>$H118*factors!IW$3</f>
        <v>0.52894422399920005</v>
      </c>
      <c r="JD118" s="3">
        <f>$H118*factors!IX$3</f>
        <v>0.57613219419000017</v>
      </c>
      <c r="JE118" s="3">
        <f>$H118*factors!IY$3</f>
        <v>0.53059031598259998</v>
      </c>
      <c r="JF118" s="3">
        <f>$H118*factors!IZ$3</f>
        <v>0.55692778771700002</v>
      </c>
      <c r="JG118" s="3">
        <f>$H118*factors!JA$3</f>
        <v>0.54705123581659998</v>
      </c>
      <c r="JH118" s="3">
        <f>$H118*factors!JB$3</f>
        <v>0.55747648504480007</v>
      </c>
      <c r="JI118" s="3">
        <f>$H118*factors!JC$3</f>
        <v>0.52181115873780004</v>
      </c>
      <c r="JJ118" s="3">
        <f>$H118*factors!JD$3</f>
        <v>0.56186606366720004</v>
      </c>
      <c r="JK118" s="3">
        <f>$H118*factors!JE$3</f>
        <v>0.5437590518498</v>
      </c>
      <c r="JL118" s="3">
        <f>$H118*factors!JF$3</f>
        <v>0.56570694496180007</v>
      </c>
      <c r="JM118" s="3">
        <f>$H118*factors!JG$3</f>
        <v>0.52784682934360005</v>
      </c>
      <c r="JN118" s="3">
        <f>$H118*factors!JH$3</f>
        <v>0.52784682934360005</v>
      </c>
      <c r="JO118" s="3">
        <f>$H118*factors!JI$3</f>
        <v>0.52126246140999999</v>
      </c>
      <c r="JP118" s="3">
        <f>$H118*factors!JJ$3</f>
        <v>0.56351215565060009</v>
      </c>
      <c r="JQ118" s="3">
        <f>$H118*factors!JK$3</f>
        <v>0.54924602512780007</v>
      </c>
      <c r="JR118" s="3">
        <f>$H118*factors!JL$3</f>
        <v>0.5706452209120001</v>
      </c>
      <c r="JS118" s="3">
        <f>$H118*factors!JM$3</f>
        <v>0.52126246140999999</v>
      </c>
      <c r="JT118" s="3">
        <f>$H118*factors!JN$3</f>
        <v>0.54759993314440003</v>
      </c>
      <c r="JU118" s="3">
        <f>$H118*factors!JO$3</f>
        <v>0.52949292132699999</v>
      </c>
      <c r="JV118" s="3">
        <f>$H118*factors!JP$3</f>
        <v>0.53827207857180004</v>
      </c>
      <c r="JW118" s="3">
        <f>$H118*factors!JQ$3</f>
        <v>0.57503479953440018</v>
      </c>
      <c r="JX118" s="3">
        <f>$H118*factors!JR$3</f>
        <v>0.5695478262564001</v>
      </c>
      <c r="JY118" s="3">
        <f>$H118*factors!JS$3</f>
        <v>0.53607728926060005</v>
      </c>
      <c r="JZ118" s="3">
        <f>$H118*factors!JT$3</f>
        <v>0.54211295986640007</v>
      </c>
      <c r="KA118" s="3">
        <f>$H118*factors!JU$3</f>
        <v>0.54430774917760005</v>
      </c>
      <c r="KB118" s="3">
        <f>$H118*factors!JV$3</f>
        <v>0.52620073736020001</v>
      </c>
      <c r="KC118" s="3">
        <f>$H118*factors!JW$3</f>
        <v>0.52894422399920005</v>
      </c>
      <c r="KD118" s="3">
        <f>$H118*factors!JX$3</f>
        <v>0.52949292132699999</v>
      </c>
      <c r="KE118" s="3">
        <f>$H118*factors!JY$3</f>
        <v>0.56351215565060009</v>
      </c>
      <c r="KF118" s="3">
        <f>$H118*factors!JZ$3</f>
        <v>0.57009652358420004</v>
      </c>
      <c r="KG118" s="3">
        <f>$H118*factors!KA$3</f>
        <v>0.54979472245560002</v>
      </c>
      <c r="KH118" s="3">
        <f>$H118*factors!KB$3</f>
        <v>0.53772338124399999</v>
      </c>
      <c r="KI118" s="3">
        <f>$H118*factors!KC$3</f>
        <v>0.53278510529379997</v>
      </c>
    </row>
    <row r="119" spans="1:295" x14ac:dyDescent="0.55000000000000004">
      <c r="A119" t="s">
        <v>496</v>
      </c>
      <c r="B119">
        <v>118</v>
      </c>
      <c r="C119">
        <v>360</v>
      </c>
      <c r="D119" t="s">
        <v>377</v>
      </c>
      <c r="E119">
        <v>1.0163999999999999E-2</v>
      </c>
      <c r="F119">
        <v>118</v>
      </c>
      <c r="G119">
        <f>VLOOKUP(D119,demand_forecasted!$A$2:$G$11,2)</f>
        <v>11098</v>
      </c>
      <c r="H119" s="3">
        <f t="shared" si="2"/>
        <v>1.12800072</v>
      </c>
      <c r="I119" s="3">
        <f>$H119*factors!C$3</f>
        <v>1.24869679704</v>
      </c>
      <c r="J119" s="3">
        <f>$H119*factors!D$3</f>
        <v>1.2036218882687999</v>
      </c>
      <c r="K119" s="3">
        <f>$H119*factors!E$3</f>
        <v>1.1829117950496</v>
      </c>
      <c r="L119" s="3">
        <f>$H119*factors!F$3</f>
        <v>1.1792570727168001</v>
      </c>
      <c r="M119" s="3">
        <f>$H119*factors!G$3</f>
        <v>1.1780388319391999</v>
      </c>
      <c r="N119" s="3">
        <f>$H119*factors!H$3</f>
        <v>1.2121495737120001</v>
      </c>
      <c r="O119" s="3">
        <f>$H119*factors!I$3</f>
        <v>1.2389508708191999</v>
      </c>
      <c r="P119" s="3">
        <f>$H119*factors!J$3</f>
        <v>1.2535697601504001</v>
      </c>
      <c r="Q119" s="3">
        <f>$H119*factors!K$3</f>
        <v>1.1768205911615999</v>
      </c>
      <c r="R119" s="3">
        <f>$H119*factors!L$3</f>
        <v>1.15732873872</v>
      </c>
      <c r="S119" s="3">
        <f>$H119*factors!M$3</f>
        <v>1.2048401290463999</v>
      </c>
      <c r="T119" s="3">
        <f>$H119*factors!N$3</f>
        <v>1.2462603154848</v>
      </c>
      <c r="U119" s="3">
        <f>$H119*factors!O$3</f>
        <v>1.1804753134944002</v>
      </c>
      <c r="V119" s="3">
        <f>$H119*factors!P$3</f>
        <v>1.2279867038208001</v>
      </c>
      <c r="W119" s="3">
        <f>$H119*factors!Q$3</f>
        <v>1.2389508708191999</v>
      </c>
      <c r="X119" s="3">
        <f>$H119*factors!R$3</f>
        <v>1.1853482766048</v>
      </c>
      <c r="Y119" s="3">
        <f>$H119*factors!S$3</f>
        <v>1.1743841096064001</v>
      </c>
      <c r="Z119" s="3">
        <f>$H119*factors!T$3</f>
        <v>1.2669704087040001</v>
      </c>
      <c r="AA119" s="3">
        <f>$H119*factors!U$3</f>
        <v>1.1963124436032</v>
      </c>
      <c r="AB119" s="3">
        <f>$H119*factors!V$3</f>
        <v>1.1975306843808</v>
      </c>
      <c r="AC119" s="3">
        <f>$H119*factors!W$3</f>
        <v>1.1987489251584</v>
      </c>
      <c r="AD119" s="3">
        <f>$H119*factors!X$3</f>
        <v>1.1731658688288</v>
      </c>
      <c r="AE119" s="3">
        <f>$H119*factors!Y$3</f>
        <v>1.1829117950496</v>
      </c>
      <c r="AF119" s="3">
        <f>$H119*factors!Z$3</f>
        <v>1.2072766106016002</v>
      </c>
      <c r="AG119" s="3">
        <f>$H119*factors!AA$3</f>
        <v>1.1768205911615999</v>
      </c>
      <c r="AH119" s="3">
        <f>$H119*factors!AB$3</f>
        <v>1.1719476280512</v>
      </c>
      <c r="AI119" s="3">
        <f>$H119*factors!AC$3</f>
        <v>1.2097130921568</v>
      </c>
      <c r="AJ119" s="3">
        <f>$H119*factors!AD$3</f>
        <v>1.2560062417055999</v>
      </c>
      <c r="AK119" s="3">
        <f>$H119*factors!AE$3</f>
        <v>1.2084948513792</v>
      </c>
      <c r="AL119" s="3">
        <f>$H119*factors!AF$3</f>
        <v>1.1609834610527998</v>
      </c>
      <c r="AM119" s="3">
        <f>$H119*factors!AG$3</f>
        <v>1.193875962048</v>
      </c>
      <c r="AN119" s="3">
        <f>$H119*factors!AH$3</f>
        <v>1.1743841096064001</v>
      </c>
      <c r="AO119" s="3">
        <f>$H119*factors!AI$3</f>
        <v>1.2304231853759999</v>
      </c>
      <c r="AP119" s="3">
        <f>$H119*factors!AJ$3</f>
        <v>1.1792570727168001</v>
      </c>
      <c r="AQ119" s="3">
        <f>$H119*factors!AK$3</f>
        <v>1.2170225368224001</v>
      </c>
      <c r="AR119" s="3">
        <f>$H119*factors!AL$3</f>
        <v>1.1902212397152001</v>
      </c>
      <c r="AS119" s="3">
        <f>$H119*factors!AM$3</f>
        <v>1.1609834610527998</v>
      </c>
      <c r="AT119" s="3">
        <f>$H119*factors!AN$3</f>
        <v>1.1975306843808</v>
      </c>
      <c r="AU119" s="3">
        <f>$H119*factors!AO$3</f>
        <v>1.2681886494815999</v>
      </c>
      <c r="AV119" s="3">
        <f>$H119*factors!AP$3</f>
        <v>1.1987489251584</v>
      </c>
      <c r="AW119" s="3">
        <f>$H119*factors!AQ$3</f>
        <v>1.1865665173823998</v>
      </c>
      <c r="AX119" s="3">
        <f>$H119*factors!AR$3</f>
        <v>1.2547880009279999</v>
      </c>
      <c r="AY119" s="3">
        <f>$H119*factors!AS$3</f>
        <v>1.15732873872</v>
      </c>
      <c r="AZ119" s="3">
        <f>$H119*factors!AT$3</f>
        <v>1.2401691115968001</v>
      </c>
      <c r="BA119" s="3">
        <f>$H119*factors!AU$3</f>
        <v>1.2133678144895998</v>
      </c>
      <c r="BB119" s="3">
        <f>$H119*factors!AV$3</f>
        <v>1.1975306843808</v>
      </c>
      <c r="BC119" s="3">
        <f>$H119*factors!AW$3</f>
        <v>1.2669704087040001</v>
      </c>
      <c r="BD119" s="3">
        <f>$H119*factors!AX$3</f>
        <v>1.169511146496</v>
      </c>
      <c r="BE119" s="3">
        <f>$H119*factors!AY$3</f>
        <v>1.3749651976367998</v>
      </c>
      <c r="BF119" s="3">
        <f>$H119*factors!AZ$3</f>
        <v>1.2804612973151999</v>
      </c>
      <c r="BG119" s="3">
        <f>$H119*factors!BA$3</f>
        <v>1.2990958692095997</v>
      </c>
      <c r="BH119" s="3">
        <f>$H119*factors!BB$3</f>
        <v>1.3163994002543999</v>
      </c>
      <c r="BI119" s="3">
        <f>$H119*factors!BC$3</f>
        <v>1.3643168708399998</v>
      </c>
      <c r="BJ119" s="3">
        <f>$H119*factors!BD$3</f>
        <v>1.3030889917583999</v>
      </c>
      <c r="BK119" s="3">
        <f>$H119*factors!BE$3</f>
        <v>1.3057510734575997</v>
      </c>
      <c r="BL119" s="3">
        <f>$H119*factors!BF$3</f>
        <v>1.2911096241119997</v>
      </c>
      <c r="BM119" s="3">
        <f>$H119*factors!BG$3</f>
        <v>1.3789583201855999</v>
      </c>
      <c r="BN119" s="3">
        <f>$H119*factors!BH$3</f>
        <v>1.3616547891407997</v>
      </c>
      <c r="BO119" s="3">
        <f>$H119*factors!BI$3</f>
        <v>1.2804612973151999</v>
      </c>
      <c r="BP119" s="3">
        <f>$H119*factors!BJ$3</f>
        <v>1.2764681747663997</v>
      </c>
      <c r="BQ119" s="3">
        <f>$H119*factors!BK$3</f>
        <v>1.2977648283599998</v>
      </c>
      <c r="BR119" s="3">
        <f>$H119*factors!BL$3</f>
        <v>1.344351258096</v>
      </c>
      <c r="BS119" s="3">
        <f>$H119*factors!BM$3</f>
        <v>1.3656479116895999</v>
      </c>
      <c r="BT119" s="3">
        <f>$H119*factors!BN$3</f>
        <v>1.3696410342383998</v>
      </c>
      <c r="BU119" s="3">
        <f>$H119*factors!BO$3</f>
        <v>1.3922687286816</v>
      </c>
      <c r="BV119" s="3">
        <f>$H119*factors!BP$3</f>
        <v>1.2951027466607998</v>
      </c>
      <c r="BW119" s="3">
        <f>$H119*factors!BQ$3</f>
        <v>1.3243856453519998</v>
      </c>
      <c r="BX119" s="3">
        <f>$H119*factors!BR$3</f>
        <v>1.2990958692095997</v>
      </c>
      <c r="BY119" s="3">
        <f>$H119*factors!BS$3</f>
        <v>1.3589927074415997</v>
      </c>
      <c r="BZ119" s="3">
        <f>$H119*factors!BT$3</f>
        <v>1.3337029312991997</v>
      </c>
      <c r="CA119" s="3">
        <f>$H119*factors!BU$3</f>
        <v>1.3163994002543999</v>
      </c>
      <c r="CB119" s="3">
        <f>$H119*factors!BV$3</f>
        <v>1.2738060930671999</v>
      </c>
      <c r="CC119" s="3">
        <f>$H119*factors!BW$3</f>
        <v>1.3110752368559999</v>
      </c>
      <c r="CD119" s="3">
        <f>$H119*factors!BX$3</f>
        <v>1.3150683594047998</v>
      </c>
      <c r="CE119" s="3">
        <f>$H119*factors!BY$3</f>
        <v>1.3337029312991997</v>
      </c>
      <c r="CF119" s="3">
        <f>$H119*factors!BZ$3</f>
        <v>1.3137373185551999</v>
      </c>
      <c r="CG119" s="3">
        <f>$H119*factors!CA$3</f>
        <v>1.2698129705183998</v>
      </c>
      <c r="CH119" s="3">
        <f>$H119*factors!CB$3</f>
        <v>1.2711440113679997</v>
      </c>
      <c r="CI119" s="3">
        <f>$H119*factors!CC$3</f>
        <v>1.26448880712</v>
      </c>
      <c r="CJ119" s="3">
        <f>$H119*factors!CD$3</f>
        <v>1.3163994002543999</v>
      </c>
      <c r="CK119" s="3">
        <f>$H119*factors!CE$3</f>
        <v>1.3749651976367998</v>
      </c>
      <c r="CL119" s="3">
        <f>$H119*factors!CF$3</f>
        <v>1.2884475424127999</v>
      </c>
      <c r="CM119" s="3">
        <f>$H119*factors!CG$3</f>
        <v>1.3190614819535997</v>
      </c>
      <c r="CN119" s="3">
        <f>$H119*factors!CH$3</f>
        <v>1.2751371339167998</v>
      </c>
      <c r="CO119" s="3">
        <f>$H119*factors!CI$3</f>
        <v>1.2844544198639998</v>
      </c>
      <c r="CP119" s="3">
        <f>$H119*factors!CJ$3</f>
        <v>1.3456822989455997</v>
      </c>
      <c r="CQ119" s="3">
        <f>$H119*factors!CK$3</f>
        <v>1.3057510734575997</v>
      </c>
      <c r="CR119" s="3">
        <f>$H119*factors!CL$3</f>
        <v>1.3470133397951998</v>
      </c>
      <c r="CS119" s="3">
        <f>$H119*factors!CM$3</f>
        <v>1.3896066469823998</v>
      </c>
      <c r="CT119" s="3">
        <f>$H119*factors!CN$3</f>
        <v>1.3736341567871999</v>
      </c>
      <c r="CU119" s="3">
        <f>$H119*factors!CO$3</f>
        <v>1.3430202172463996</v>
      </c>
      <c r="CV119" s="3">
        <f>$H119*factors!CP$3</f>
        <v>1.3975928920799998</v>
      </c>
      <c r="CW119" s="3">
        <f>$H119*factors!CQ$3</f>
        <v>1.3217235636528</v>
      </c>
      <c r="CX119" s="3">
        <f>$H119*factors!CR$3</f>
        <v>1.3017579509088</v>
      </c>
      <c r="CY119" s="3">
        <f>$H119*factors!CS$3</f>
        <v>1.2897785832623998</v>
      </c>
      <c r="CZ119" s="3">
        <f>$H119*factors!CT$3</f>
        <v>1.2711440113679997</v>
      </c>
      <c r="DA119" s="3">
        <f>$H119*factors!CU$3</f>
        <v>1.3197608423999998</v>
      </c>
      <c r="DB119" s="3">
        <f>$H119*factors!CV$3</f>
        <v>1.405037696832</v>
      </c>
      <c r="DC119" s="3">
        <f>$H119*factors!CW$3</f>
        <v>1.3454792588159998</v>
      </c>
      <c r="DD119" s="3">
        <f>$H119*factors!CX$3</f>
        <v>1.3360040527679999</v>
      </c>
      <c r="DE119" s="3">
        <f>$H119*factors!CY$3</f>
        <v>1.375258477824</v>
      </c>
      <c r="DF119" s="3">
        <f>$H119*factors!CZ$3</f>
        <v>1.3725512760959999</v>
      </c>
      <c r="DG119" s="3">
        <f>$H119*factors!DA$3</f>
        <v>1.3671368726399999</v>
      </c>
      <c r="DH119" s="3">
        <f>$H119*factors!DB$3</f>
        <v>1.3671368726399999</v>
      </c>
      <c r="DI119" s="3">
        <f>$H119*factors!DC$3</f>
        <v>1.3157000398079999</v>
      </c>
      <c r="DJ119" s="3">
        <f>$H119*factors!DD$3</f>
        <v>1.39420888992</v>
      </c>
      <c r="DK119" s="3">
        <f>$H119*factors!DE$3</f>
        <v>1.39420888992</v>
      </c>
      <c r="DL119" s="3">
        <f>$H119*factors!DF$3</f>
        <v>1.3779656795519999</v>
      </c>
      <c r="DM119" s="3">
        <f>$H119*factors!DG$3</f>
        <v>1.2981032285759997</v>
      </c>
      <c r="DN119" s="3">
        <f>$H119*factors!DH$3</f>
        <v>1.361722469184</v>
      </c>
      <c r="DO119" s="3">
        <f>$H119*factors!DI$3</f>
        <v>1.4063912976959998</v>
      </c>
      <c r="DP119" s="3">
        <f>$H119*factors!DJ$3</f>
        <v>1.39420888992</v>
      </c>
      <c r="DQ119" s="3">
        <f>$H119*factors!DK$3</f>
        <v>1.3292360484479999</v>
      </c>
      <c r="DR119" s="3">
        <f>$H119*factors!DL$3</f>
        <v>1.3143464389440001</v>
      </c>
      <c r="DS119" s="3">
        <f>$H119*factors!DM$3</f>
        <v>1.4199273063359998</v>
      </c>
      <c r="DT119" s="3">
        <f>$H119*factors!DN$3</f>
        <v>1.3346504519039999</v>
      </c>
      <c r="DU119" s="3">
        <f>$H119*factors!DO$3</f>
        <v>1.3969160916479999</v>
      </c>
      <c r="DV119" s="3">
        <f>$H119*factors!DP$3</f>
        <v>1.3644296709119998</v>
      </c>
      <c r="DW119" s="3">
        <f>$H119*factors!DQ$3</f>
        <v>1.3021640311679998</v>
      </c>
      <c r="DX119" s="3">
        <f>$H119*factors!DR$3</f>
        <v>1.3793192804159997</v>
      </c>
      <c r="DY119" s="3">
        <f>$H119*factors!DS$3</f>
        <v>1.3089320354879999</v>
      </c>
      <c r="DZ119" s="3">
        <f>$H119*factors!DT$3</f>
        <v>1.3996232933759998</v>
      </c>
      <c r="EA119" s="3">
        <f>$H119*factors!DU$3</f>
        <v>1.3184072415359998</v>
      </c>
      <c r="EB119" s="3">
        <f>$H119*factors!DV$3</f>
        <v>1.2859208207999999</v>
      </c>
      <c r="EC119" s="3">
        <f>$H119*factors!DW$3</f>
        <v>1.3833800830079999</v>
      </c>
      <c r="ED119" s="3">
        <f>$H119*factors!DX$3</f>
        <v>1.2981032285759997</v>
      </c>
      <c r="EE119" s="3">
        <f>$H119*factors!DY$3</f>
        <v>1.3089320354879999</v>
      </c>
      <c r="EF119" s="3">
        <f>$H119*factors!DZ$3</f>
        <v>1.4199273063359998</v>
      </c>
      <c r="EG119" s="3">
        <f>$H119*factors!EA$3</f>
        <v>1.3265288467199998</v>
      </c>
      <c r="EH119" s="3">
        <f>$H119*factors!EB$3</f>
        <v>1.330589649312</v>
      </c>
      <c r="EI119" s="3">
        <f>$H119*factors!EC$3</f>
        <v>1.3278824475839999</v>
      </c>
      <c r="EJ119" s="3">
        <f>$H119*factors!ED$3</f>
        <v>1.294042425984</v>
      </c>
      <c r="EK119" s="3">
        <f>$H119*factors!EE$3</f>
        <v>1.3833800830079999</v>
      </c>
      <c r="EL119" s="3">
        <f>$H119*factors!EF$3</f>
        <v>1.3157000398079999</v>
      </c>
      <c r="EM119" s="3">
        <f>$H119*factors!EG$3</f>
        <v>1.3684904735039998</v>
      </c>
      <c r="EN119" s="3">
        <f>$H119*factors!EH$3</f>
        <v>1.2859208207999999</v>
      </c>
      <c r="EO119" s="3">
        <f>$H119*factors!EI$3</f>
        <v>1.3048712328959997</v>
      </c>
      <c r="EP119" s="3">
        <f>$H119*factors!EJ$3</f>
        <v>1.3766120786879998</v>
      </c>
      <c r="EQ119" s="3">
        <f>$H119*factors!EK$3</f>
        <v>1.3387112544959998</v>
      </c>
      <c r="ER119" s="3">
        <f>$H119*factors!EL$3</f>
        <v>1.39420888992</v>
      </c>
      <c r="ES119" s="3">
        <f>$H119*factors!EM$3</f>
        <v>1.3766120786879998</v>
      </c>
      <c r="ET119" s="3">
        <f>$H119*factors!EN$3</f>
        <v>1.4077448985599998</v>
      </c>
      <c r="EU119" s="3">
        <f>$H119*factors!EO$3</f>
        <v>1.4212809071999999</v>
      </c>
      <c r="EV119" s="3">
        <f>$H119*factors!EP$3</f>
        <v>1.3319432501759998</v>
      </c>
      <c r="EW119" s="3">
        <f>$H119*factors!EQ$3</f>
        <v>1.4649909350999997</v>
      </c>
      <c r="EX119" s="3">
        <f>$H119*factors!ER$3</f>
        <v>1.4494809252</v>
      </c>
      <c r="EY119" s="3">
        <f>$H119*factors!ES$3</f>
        <v>1.4790909440999997</v>
      </c>
      <c r="EZ119" s="3">
        <f>$H119*factors!ET$3</f>
        <v>1.4649909350999997</v>
      </c>
      <c r="FA119" s="3">
        <f>$H119*factors!EU$3</f>
        <v>1.3465508594999998</v>
      </c>
      <c r="FB119" s="3">
        <f>$H119*factors!EV$3</f>
        <v>1.4071808982</v>
      </c>
      <c r="FC119" s="3">
        <f>$H119*factors!EW$3</f>
        <v>1.4466609233999999</v>
      </c>
      <c r="FD119" s="3">
        <f>$H119*factors!EX$3</f>
        <v>1.3959008909999999</v>
      </c>
      <c r="FE119" s="3">
        <f>$H119*factors!EY$3</f>
        <v>1.4706309386999998</v>
      </c>
      <c r="FF119" s="3">
        <f>$H119*factors!EZ$3</f>
        <v>1.4720409396</v>
      </c>
      <c r="FG119" s="3">
        <f>$H119*factors!FA$3</f>
        <v>1.3465508594999998</v>
      </c>
      <c r="FH119" s="3">
        <f>$H119*factors!FB$3</f>
        <v>1.4170509044999997</v>
      </c>
      <c r="FI119" s="3">
        <f>$H119*factors!FC$3</f>
        <v>1.4762709422999998</v>
      </c>
      <c r="FJ119" s="3">
        <f>$H119*factors!FD$3</f>
        <v>1.4170509044999997</v>
      </c>
      <c r="FK119" s="3">
        <f>$H119*factors!FE$3</f>
        <v>1.4410209198000001</v>
      </c>
      <c r="FL119" s="3">
        <f>$H119*factors!FF$3</f>
        <v>1.4452509224999999</v>
      </c>
      <c r="FM119" s="3">
        <f>$H119*factors!FG$3</f>
        <v>1.4607609323999999</v>
      </c>
      <c r="FN119" s="3">
        <f>$H119*factors!FH$3</f>
        <v>1.3662908720999998</v>
      </c>
      <c r="FO119" s="3">
        <f>$H119*factors!FI$3</f>
        <v>1.4508909260999998</v>
      </c>
      <c r="FP119" s="3">
        <f>$H119*factors!FJ$3</f>
        <v>1.4100009</v>
      </c>
      <c r="FQ119" s="3">
        <f>$H119*factors!FK$3</f>
        <v>1.3959008909999999</v>
      </c>
      <c r="FR119" s="3">
        <f>$H119*factors!FL$3</f>
        <v>1.4241009089999999</v>
      </c>
      <c r="FS119" s="3">
        <f>$H119*factors!FM$3</f>
        <v>1.4156409035999997</v>
      </c>
      <c r="FT119" s="3">
        <f>$H119*factors!FN$3</f>
        <v>1.4466609233999999</v>
      </c>
      <c r="FU119" s="3">
        <f>$H119*factors!FO$3</f>
        <v>1.3902608873999998</v>
      </c>
      <c r="FV119" s="3">
        <f>$H119*factors!FP$3</f>
        <v>1.3789808801999999</v>
      </c>
      <c r="FW119" s="3">
        <f>$H119*factors!FQ$3</f>
        <v>1.4762709422999998</v>
      </c>
      <c r="FX119" s="3">
        <f>$H119*factors!FR$3</f>
        <v>1.4494809252</v>
      </c>
      <c r="FY119" s="3">
        <f>$H119*factors!FS$3</f>
        <v>1.4198709062999997</v>
      </c>
      <c r="FZ119" s="3">
        <f>$H119*factors!FT$3</f>
        <v>1.3493708612999999</v>
      </c>
      <c r="GA119" s="3">
        <f>$H119*factors!FU$3</f>
        <v>1.4198709062999997</v>
      </c>
      <c r="GB119" s="3">
        <f>$H119*factors!FV$3</f>
        <v>1.4720409396</v>
      </c>
      <c r="GC119" s="3">
        <f>$H119*factors!FW$3</f>
        <v>1.3789808801999999</v>
      </c>
      <c r="GD119" s="3">
        <f>$H119*factors!FX$3</f>
        <v>1.4029508954999999</v>
      </c>
      <c r="GE119" s="3">
        <f>$H119*factors!FY$3</f>
        <v>1.4029508954999999</v>
      </c>
      <c r="GF119" s="3">
        <f>$H119*factors!FZ$3</f>
        <v>1.3987208927999999</v>
      </c>
      <c r="GG119" s="3">
        <f>$H119*factors!GA$3</f>
        <v>1.3437308576999998</v>
      </c>
      <c r="GH119" s="3">
        <f>$H119*factors!GB$3</f>
        <v>1.4297409126</v>
      </c>
      <c r="GI119" s="3">
        <f>$H119*factors!GC$3</f>
        <v>1.3409108558999998</v>
      </c>
      <c r="GJ119" s="3">
        <f>$H119*factors!GD$3</f>
        <v>1.3437308576999998</v>
      </c>
      <c r="GK119" s="3">
        <f>$H119*factors!GE$3</f>
        <v>1.3775708792999999</v>
      </c>
      <c r="GL119" s="3">
        <f>$H119*factors!GF$3</f>
        <v>1.4593509314999999</v>
      </c>
      <c r="GM119" s="3">
        <f>$H119*factors!GG$3</f>
        <v>1.3832108829</v>
      </c>
      <c r="GN119" s="3">
        <f>$H119*factors!GH$3</f>
        <v>1.4269209108000001</v>
      </c>
      <c r="GO119" s="3">
        <f>$H119*factors!GI$3</f>
        <v>1.3479608603999997</v>
      </c>
      <c r="GP119" s="3">
        <f>$H119*factors!GJ$3</f>
        <v>1.4452509224999999</v>
      </c>
      <c r="GQ119" s="3">
        <f>$H119*factors!GK$3</f>
        <v>1.4748609414</v>
      </c>
      <c r="GR119" s="3">
        <f>$H119*factors!GL$3</f>
        <v>1.4466609233999999</v>
      </c>
      <c r="GS119" s="3">
        <f>$H119*factors!GM$3</f>
        <v>1.368095673252</v>
      </c>
      <c r="GT119" s="3">
        <f>$H119*factors!GN$3</f>
        <v>1.3996120133687999</v>
      </c>
      <c r="GU119" s="3">
        <f>$H119*factors!GO$3</f>
        <v>1.4325609144</v>
      </c>
      <c r="GV119" s="3">
        <f>$H119*factors!GP$3</f>
        <v>1.375258477824</v>
      </c>
      <c r="GW119" s="3">
        <f>$H119*factors!GQ$3</f>
        <v>1.4239655489136001</v>
      </c>
      <c r="GX119" s="3">
        <f>$H119*factors!GR$3</f>
        <v>1.4010445742831998</v>
      </c>
      <c r="GY119" s="3">
        <f>$H119*factors!GS$3</f>
        <v>1.3938817697112</v>
      </c>
      <c r="GZ119" s="3">
        <f>$H119*factors!GT$3</f>
        <v>1.4454539626295997</v>
      </c>
      <c r="HA119" s="3">
        <f>$H119*factors!GU$3</f>
        <v>1.3981794524543998</v>
      </c>
      <c r="HB119" s="3">
        <f>$H119*factors!GV$3</f>
        <v>1.4454539626295997</v>
      </c>
      <c r="HC119" s="3">
        <f>$H119*factors!GW$3</f>
        <v>1.4096399397695998</v>
      </c>
      <c r="HD119" s="3">
        <f>$H119*factors!GX$3</f>
        <v>1.4511842062871998</v>
      </c>
      <c r="HE119" s="3">
        <f>$H119*factors!GY$3</f>
        <v>1.4325609144</v>
      </c>
      <c r="HF119" s="3">
        <f>$H119*factors!GZ$3</f>
        <v>1.4769703027463998</v>
      </c>
      <c r="HG119" s="3">
        <f>$H119*factors!HA$3</f>
        <v>1.4196678661703999</v>
      </c>
      <c r="HH119" s="3">
        <f>$H119*factors!HB$3</f>
        <v>1.4010445742831998</v>
      </c>
      <c r="HI119" s="3">
        <f>$H119*factors!HC$3</f>
        <v>1.3838538433104</v>
      </c>
      <c r="HJ119" s="3">
        <f>$H119*factors!HD$3</f>
        <v>1.368095673252</v>
      </c>
      <c r="HK119" s="3">
        <f>$H119*factors!HE$3</f>
        <v>1.4468865235439998</v>
      </c>
      <c r="HL119" s="3">
        <f>$H119*factors!HF$3</f>
        <v>1.3637979905087998</v>
      </c>
      <c r="HM119" s="3">
        <f>$H119*factors!HG$3</f>
        <v>1.3781235996528001</v>
      </c>
      <c r="HN119" s="3">
        <f>$H119*factors!HH$3</f>
        <v>1.4698074981744</v>
      </c>
      <c r="HO119" s="3">
        <f>$H119*factors!HI$3</f>
        <v>1.4096399397695998</v>
      </c>
      <c r="HP119" s="3">
        <f>$H119*factors!HJ$3</f>
        <v>1.50418896012</v>
      </c>
      <c r="HQ119" s="3">
        <f>$H119*factors!HK$3</f>
        <v>1.375258477824</v>
      </c>
      <c r="HR119" s="3">
        <f>$H119*factors!HL$3</f>
        <v>1.4583470108592</v>
      </c>
      <c r="HS119" s="3">
        <f>$H119*factors!HM$3</f>
        <v>1.4841331073183999</v>
      </c>
      <c r="HT119" s="3">
        <f>$H119*factors!HN$3</f>
        <v>1.3838538433104</v>
      </c>
      <c r="HU119" s="3">
        <f>$H119*factors!HO$3</f>
        <v>1.3981794524543998</v>
      </c>
      <c r="HV119" s="3">
        <f>$H119*factors!HP$3</f>
        <v>1.4153701834272001</v>
      </c>
      <c r="HW119" s="3">
        <f>$H119*factors!HQ$3</f>
        <v>1.4354260362288001</v>
      </c>
      <c r="HX119" s="3">
        <f>$H119*factors!HR$3</f>
        <v>1.4941610337191997</v>
      </c>
      <c r="HY119" s="3">
        <f>$H119*factors!HS$3</f>
        <v>1.4196678661703999</v>
      </c>
      <c r="HZ119" s="3">
        <f>$H119*factors!HT$3</f>
        <v>1.4741051809175998</v>
      </c>
      <c r="IA119" s="3">
        <f>$H119*factors!HU$3</f>
        <v>1.4024771351976</v>
      </c>
      <c r="IB119" s="3">
        <f>$H119*factors!HV$3</f>
        <v>1.4511842062871998</v>
      </c>
      <c r="IC119" s="3">
        <f>$H119*factors!HW$3</f>
        <v>1.4655098154311998</v>
      </c>
      <c r="ID119" s="3">
        <f>$H119*factors!HX$3</f>
        <v>1.3609328686799997</v>
      </c>
      <c r="IE119" s="3">
        <f>$H119*factors!HY$3</f>
        <v>1.4454539626295997</v>
      </c>
      <c r="IF119" s="3">
        <f>$H119*factors!HZ$3</f>
        <v>1.4368585971431997</v>
      </c>
      <c r="IG119" s="3">
        <f>$H119*factors!IA$3</f>
        <v>1.4239655489136001</v>
      </c>
      <c r="IH119" s="3">
        <f>$H119*factors!IB$3</f>
        <v>1.4769703027463998</v>
      </c>
      <c r="II119" s="3">
        <f>$H119*factors!IC$3</f>
        <v>1.4139376225128</v>
      </c>
      <c r="IJ119" s="3">
        <f>$H119*factors!ID$3</f>
        <v>1.4268306707423999</v>
      </c>
      <c r="IK119" s="3">
        <f>$H119*factors!IE$3</f>
        <v>1.4784028636608</v>
      </c>
      <c r="IL119" s="3">
        <f>$H119*factors!IF$3</f>
        <v>1.4153701834272001</v>
      </c>
      <c r="IM119" s="3">
        <f>$H119*factors!IG$3</f>
        <v>1.4024771351976</v>
      </c>
      <c r="IN119" s="3">
        <f>$H119*factors!IH$3</f>
        <v>1.4110725006839999</v>
      </c>
      <c r="IO119" s="3">
        <f>$H119*factors!II$3</f>
        <v>1.425398109828</v>
      </c>
      <c r="IP119" s="3">
        <f>$H119*factors!IJ$3</f>
        <v>1.3781235996528001</v>
      </c>
      <c r="IQ119" s="3">
        <f>$H119*factors!IK$3</f>
        <v>1.3738259169095999</v>
      </c>
      <c r="IR119" s="3">
        <f>$H119*factors!IL$3</f>
        <v>1.4139376225128</v>
      </c>
      <c r="IS119" s="3">
        <f>$H119*factors!IM$3</f>
        <v>1.425398109828</v>
      </c>
      <c r="IT119" s="3">
        <f>$H119*factors!IN$3</f>
        <v>1.4354260362288001</v>
      </c>
      <c r="IU119" s="3">
        <f>$H119*factors!IO$3</f>
        <v>1.4669423763456</v>
      </c>
      <c r="IV119" s="3">
        <f>$H119*factors!IP$3</f>
        <v>1.4855656682327998</v>
      </c>
      <c r="IW119" s="3">
        <f>$H119*factors!IQ$3</f>
        <v>1.4039096961119999</v>
      </c>
      <c r="IX119" s="3">
        <f>$H119*factors!IR$3</f>
        <v>1.4669423763456</v>
      </c>
      <c r="IY119" s="3">
        <f>$H119*factors!IS$3</f>
        <v>1.4454539626295997</v>
      </c>
      <c r="IZ119" s="3">
        <f>$H119*factors!IT$3</f>
        <v>1.4698074981744</v>
      </c>
      <c r="JA119" s="3">
        <f>$H119*factors!IU$3</f>
        <v>1.3881515260535999</v>
      </c>
      <c r="JB119" s="3">
        <f>$H119*factors!IV$3</f>
        <v>1.4139376225128</v>
      </c>
      <c r="JC119" s="3">
        <f>$H119*factors!IW$3</f>
        <v>1.3809887214815999</v>
      </c>
      <c r="JD119" s="3">
        <f>$H119*factors!IX$3</f>
        <v>1.50418896012</v>
      </c>
      <c r="JE119" s="3">
        <f>$H119*factors!IY$3</f>
        <v>1.3852864042247999</v>
      </c>
      <c r="JF119" s="3">
        <f>$H119*factors!IZ$3</f>
        <v>1.4540493281159996</v>
      </c>
      <c r="JG119" s="3">
        <f>$H119*factors!JA$3</f>
        <v>1.4282632316567998</v>
      </c>
      <c r="JH119" s="3">
        <f>$H119*factors!JB$3</f>
        <v>1.4554818890304</v>
      </c>
      <c r="JI119" s="3">
        <f>$H119*factors!JC$3</f>
        <v>1.3623654295943999</v>
      </c>
      <c r="JJ119" s="3">
        <f>$H119*factors!JD$3</f>
        <v>1.4669423763456</v>
      </c>
      <c r="JK119" s="3">
        <f>$H119*factors!JE$3</f>
        <v>1.4196678661703999</v>
      </c>
      <c r="JL119" s="3">
        <f>$H119*factors!JF$3</f>
        <v>1.4769703027463998</v>
      </c>
      <c r="JM119" s="3">
        <f>$H119*factors!JG$3</f>
        <v>1.3781235996528001</v>
      </c>
      <c r="JN119" s="3">
        <f>$H119*factors!JH$3</f>
        <v>1.3781235996528001</v>
      </c>
      <c r="JO119" s="3">
        <f>$H119*factors!JI$3</f>
        <v>1.3609328686799997</v>
      </c>
      <c r="JP119" s="3">
        <f>$H119*factors!JJ$3</f>
        <v>1.4712400590888</v>
      </c>
      <c r="JQ119" s="3">
        <f>$H119*factors!JK$3</f>
        <v>1.4339934753143999</v>
      </c>
      <c r="JR119" s="3">
        <f>$H119*factors!JL$3</f>
        <v>1.489863350976</v>
      </c>
      <c r="JS119" s="3">
        <f>$H119*factors!JM$3</f>
        <v>1.3609328686799997</v>
      </c>
      <c r="JT119" s="3">
        <f>$H119*factors!JN$3</f>
        <v>1.4296957925711999</v>
      </c>
      <c r="JU119" s="3">
        <f>$H119*factors!JO$3</f>
        <v>1.3824212823959998</v>
      </c>
      <c r="JV119" s="3">
        <f>$H119*factors!JP$3</f>
        <v>1.4053422570264</v>
      </c>
      <c r="JW119" s="3">
        <f>$H119*factors!JQ$3</f>
        <v>1.5013238382912002</v>
      </c>
      <c r="JX119" s="3">
        <f>$H119*factors!JR$3</f>
        <v>1.4869982291471999</v>
      </c>
      <c r="JY119" s="3">
        <f>$H119*factors!JS$3</f>
        <v>1.3996120133687999</v>
      </c>
      <c r="JZ119" s="3">
        <f>$H119*factors!JT$3</f>
        <v>1.4153701834272001</v>
      </c>
      <c r="KA119" s="3">
        <f>$H119*factors!JU$3</f>
        <v>1.4211004270848</v>
      </c>
      <c r="KB119" s="3">
        <f>$H119*factors!JV$3</f>
        <v>1.3738259169095999</v>
      </c>
      <c r="KC119" s="3">
        <f>$H119*factors!JW$3</f>
        <v>1.3809887214815999</v>
      </c>
      <c r="KD119" s="3">
        <f>$H119*factors!JX$3</f>
        <v>1.3824212823959998</v>
      </c>
      <c r="KE119" s="3">
        <f>$H119*factors!JY$3</f>
        <v>1.4712400590888</v>
      </c>
      <c r="KF119" s="3">
        <f>$H119*factors!JZ$3</f>
        <v>1.4884307900615998</v>
      </c>
      <c r="KG119" s="3">
        <f>$H119*factors!KA$3</f>
        <v>1.4354260362288001</v>
      </c>
      <c r="KH119" s="3">
        <f>$H119*factors!KB$3</f>
        <v>1.4039096961119999</v>
      </c>
      <c r="KI119" s="3">
        <f>$H119*factors!KC$3</f>
        <v>1.3910166478823998</v>
      </c>
    </row>
    <row r="120" spans="1:295" x14ac:dyDescent="0.55000000000000004">
      <c r="A120" t="s">
        <v>497</v>
      </c>
      <c r="B120">
        <v>119</v>
      </c>
      <c r="C120">
        <v>287</v>
      </c>
      <c r="D120" t="s">
        <v>377</v>
      </c>
      <c r="E120">
        <v>2.5600000000000002E-3</v>
      </c>
      <c r="F120">
        <v>119</v>
      </c>
      <c r="G120">
        <f>VLOOKUP(D120,demand_forecasted!$A$2:$G$11,2)</f>
        <v>11098</v>
      </c>
      <c r="H120" s="3">
        <f t="shared" si="2"/>
        <v>0.28410880000000005</v>
      </c>
      <c r="I120" s="3">
        <f>$H120*factors!C$3</f>
        <v>0.31450844160000008</v>
      </c>
      <c r="J120" s="3">
        <f>$H120*factors!D$3</f>
        <v>0.30315545395200005</v>
      </c>
      <c r="K120" s="3">
        <f>$H120*factors!E$3</f>
        <v>0.29793921638400006</v>
      </c>
      <c r="L120" s="3">
        <f>$H120*factors!F$3</f>
        <v>0.29701870387200008</v>
      </c>
      <c r="M120" s="3">
        <f>$H120*factors!G$3</f>
        <v>0.29671186636800007</v>
      </c>
      <c r="N120" s="3">
        <f>$H120*factors!H$3</f>
        <v>0.30530331648000003</v>
      </c>
      <c r="O120" s="3">
        <f>$H120*factors!I$3</f>
        <v>0.31205374156800003</v>
      </c>
      <c r="P120" s="3">
        <f>$H120*factors!J$3</f>
        <v>0.31573579161600007</v>
      </c>
      <c r="Q120" s="3">
        <f>$H120*factors!K$3</f>
        <v>0.29640502886400005</v>
      </c>
      <c r="R120" s="3">
        <f>$H120*factors!L$3</f>
        <v>0.29149562880000007</v>
      </c>
      <c r="S120" s="3">
        <f>$H120*factors!M$3</f>
        <v>0.30346229145600007</v>
      </c>
      <c r="T120" s="3">
        <f>$H120*factors!N$3</f>
        <v>0.31389476659200005</v>
      </c>
      <c r="U120" s="3">
        <f>$H120*factors!O$3</f>
        <v>0.29732554137600009</v>
      </c>
      <c r="V120" s="3">
        <f>$H120*factors!P$3</f>
        <v>0.30929220403200008</v>
      </c>
      <c r="W120" s="3">
        <f>$H120*factors!Q$3</f>
        <v>0.31205374156800003</v>
      </c>
      <c r="X120" s="3">
        <f>$H120*factors!R$3</f>
        <v>0.29855289139200003</v>
      </c>
      <c r="Y120" s="3">
        <f>$H120*factors!S$3</f>
        <v>0.29579135385600008</v>
      </c>
      <c r="Z120" s="3">
        <f>$H120*factors!T$3</f>
        <v>0.3191110041600001</v>
      </c>
      <c r="AA120" s="3">
        <f>$H120*factors!U$3</f>
        <v>0.30131442892800003</v>
      </c>
      <c r="AB120" s="3">
        <f>$H120*factors!V$3</f>
        <v>0.3016212664320001</v>
      </c>
      <c r="AC120" s="3">
        <f>$H120*factors!W$3</f>
        <v>0.30192810393600006</v>
      </c>
      <c r="AD120" s="3">
        <f>$H120*factors!X$3</f>
        <v>0.29548451635200007</v>
      </c>
      <c r="AE120" s="3">
        <f>$H120*factors!Y$3</f>
        <v>0.29793921638400006</v>
      </c>
      <c r="AF120" s="3">
        <f>$H120*factors!Z$3</f>
        <v>0.30407596646400009</v>
      </c>
      <c r="AG120" s="3">
        <f>$H120*factors!AA$3</f>
        <v>0.29640502886400005</v>
      </c>
      <c r="AH120" s="3">
        <f>$H120*factors!AB$3</f>
        <v>0.29517767884800006</v>
      </c>
      <c r="AI120" s="3">
        <f>$H120*factors!AC$3</f>
        <v>0.30468964147200006</v>
      </c>
      <c r="AJ120" s="3">
        <f>$H120*factors!AD$3</f>
        <v>0.31634946662400004</v>
      </c>
      <c r="AK120" s="3">
        <f>$H120*factors!AE$3</f>
        <v>0.3043828039680001</v>
      </c>
      <c r="AL120" s="3">
        <f>$H120*factors!AF$3</f>
        <v>0.29241614131200006</v>
      </c>
      <c r="AM120" s="3">
        <f>$H120*factors!AG$3</f>
        <v>0.30070075392000006</v>
      </c>
      <c r="AN120" s="3">
        <f>$H120*factors!AH$3</f>
        <v>0.29579135385600008</v>
      </c>
      <c r="AO120" s="3">
        <f>$H120*factors!AI$3</f>
        <v>0.30990587904000005</v>
      </c>
      <c r="AP120" s="3">
        <f>$H120*factors!AJ$3</f>
        <v>0.29701870387200008</v>
      </c>
      <c r="AQ120" s="3">
        <f>$H120*factors!AK$3</f>
        <v>0.30653066649600008</v>
      </c>
      <c r="AR120" s="3">
        <f>$H120*factors!AL$3</f>
        <v>0.29978024140800008</v>
      </c>
      <c r="AS120" s="3">
        <f>$H120*factors!AM$3</f>
        <v>0.29241614131200006</v>
      </c>
      <c r="AT120" s="3">
        <f>$H120*factors!AN$3</f>
        <v>0.3016212664320001</v>
      </c>
      <c r="AU120" s="3">
        <f>$H120*factors!AO$3</f>
        <v>0.31941784166400006</v>
      </c>
      <c r="AV120" s="3">
        <f>$H120*factors!AP$3</f>
        <v>0.30192810393600006</v>
      </c>
      <c r="AW120" s="3">
        <f>$H120*factors!AQ$3</f>
        <v>0.29885972889600004</v>
      </c>
      <c r="AX120" s="3">
        <f>$H120*factors!AR$3</f>
        <v>0.31604262912000008</v>
      </c>
      <c r="AY120" s="3">
        <f>$H120*factors!AS$3</f>
        <v>0.29149562880000007</v>
      </c>
      <c r="AZ120" s="3">
        <f>$H120*factors!AT$3</f>
        <v>0.3123605790720001</v>
      </c>
      <c r="BA120" s="3">
        <f>$H120*factors!AU$3</f>
        <v>0.30561015398400004</v>
      </c>
      <c r="BB120" s="3">
        <f>$H120*factors!AV$3</f>
        <v>0.3016212664320001</v>
      </c>
      <c r="BC120" s="3">
        <f>$H120*factors!AW$3</f>
        <v>0.3191110041600001</v>
      </c>
      <c r="BD120" s="3">
        <f>$H120*factors!AX$3</f>
        <v>0.29456400384000003</v>
      </c>
      <c r="BE120" s="3">
        <f>$H120*factors!AY$3</f>
        <v>0.34631158067200002</v>
      </c>
      <c r="BF120" s="3">
        <f>$H120*factors!AZ$3</f>
        <v>0.32250894540800007</v>
      </c>
      <c r="BG120" s="3">
        <f>$H120*factors!BA$3</f>
        <v>0.32720242278400002</v>
      </c>
      <c r="BH120" s="3">
        <f>$H120*factors!BB$3</f>
        <v>0.33156065177600003</v>
      </c>
      <c r="BI120" s="3">
        <f>$H120*factors!BC$3</f>
        <v>0.34362959360000001</v>
      </c>
      <c r="BJ120" s="3">
        <f>$H120*factors!BD$3</f>
        <v>0.32820816793600005</v>
      </c>
      <c r="BK120" s="3">
        <f>$H120*factors!BE$3</f>
        <v>0.32887866470400001</v>
      </c>
      <c r="BL120" s="3">
        <f>$H120*factors!BF$3</f>
        <v>0.32519093248000003</v>
      </c>
      <c r="BM120" s="3">
        <f>$H120*factors!BG$3</f>
        <v>0.34731732582400004</v>
      </c>
      <c r="BN120" s="3">
        <f>$H120*factors!BH$3</f>
        <v>0.34295909683200004</v>
      </c>
      <c r="BO120" s="3">
        <f>$H120*factors!BI$3</f>
        <v>0.32250894540800007</v>
      </c>
      <c r="BP120" s="3">
        <f>$H120*factors!BJ$3</f>
        <v>0.32150320025599999</v>
      </c>
      <c r="BQ120" s="3">
        <f>$H120*factors!BK$3</f>
        <v>0.32686717440000002</v>
      </c>
      <c r="BR120" s="3">
        <f>$H120*factors!BL$3</f>
        <v>0.33860086784000004</v>
      </c>
      <c r="BS120" s="3">
        <f>$H120*factors!BM$3</f>
        <v>0.34396484198400007</v>
      </c>
      <c r="BT120" s="3">
        <f>$H120*factors!BN$3</f>
        <v>0.34497058713600004</v>
      </c>
      <c r="BU120" s="3">
        <f>$H120*factors!BO$3</f>
        <v>0.35066980966400008</v>
      </c>
      <c r="BV120" s="3">
        <f>$H120*factors!BP$3</f>
        <v>0.32619667763200005</v>
      </c>
      <c r="BW120" s="3">
        <f>$H120*factors!BQ$3</f>
        <v>0.33357214208000002</v>
      </c>
      <c r="BX120" s="3">
        <f>$H120*factors!BR$3</f>
        <v>0.32720242278400002</v>
      </c>
      <c r="BY120" s="3">
        <f>$H120*factors!BS$3</f>
        <v>0.34228860006399997</v>
      </c>
      <c r="BZ120" s="3">
        <f>$H120*factors!BT$3</f>
        <v>0.33591888076800003</v>
      </c>
      <c r="CA120" s="3">
        <f>$H120*factors!BU$3</f>
        <v>0.33156065177600003</v>
      </c>
      <c r="CB120" s="3">
        <f>$H120*factors!BV$3</f>
        <v>0.32083270348800003</v>
      </c>
      <c r="CC120" s="3">
        <f>$H120*factors!BW$3</f>
        <v>0.33021965824000005</v>
      </c>
      <c r="CD120" s="3">
        <f>$H120*factors!BX$3</f>
        <v>0.33122540339200007</v>
      </c>
      <c r="CE120" s="3">
        <f>$H120*factors!BY$3</f>
        <v>0.33591888076800003</v>
      </c>
      <c r="CF120" s="3">
        <f>$H120*factors!BZ$3</f>
        <v>0.33089015500800006</v>
      </c>
      <c r="CG120" s="3">
        <f>$H120*factors!CA$3</f>
        <v>0.319826958336</v>
      </c>
      <c r="CH120" s="3">
        <f>$H120*factors!CB$3</f>
        <v>0.32016220672000001</v>
      </c>
      <c r="CI120" s="3">
        <f>$H120*factors!CC$3</f>
        <v>0.31848596480000008</v>
      </c>
      <c r="CJ120" s="3">
        <f>$H120*factors!CD$3</f>
        <v>0.33156065177600003</v>
      </c>
      <c r="CK120" s="3">
        <f>$H120*factors!CE$3</f>
        <v>0.34631158067200002</v>
      </c>
      <c r="CL120" s="3">
        <f>$H120*factors!CF$3</f>
        <v>0.32452043571200001</v>
      </c>
      <c r="CM120" s="3">
        <f>$H120*factors!CG$3</f>
        <v>0.33223114854400004</v>
      </c>
      <c r="CN120" s="3">
        <f>$H120*factors!CH$3</f>
        <v>0.32116795187200003</v>
      </c>
      <c r="CO120" s="3">
        <f>$H120*factors!CI$3</f>
        <v>0.32351469055999998</v>
      </c>
      <c r="CP120" s="3">
        <f>$H120*factors!CJ$3</f>
        <v>0.33893611622399999</v>
      </c>
      <c r="CQ120" s="3">
        <f>$H120*factors!CK$3</f>
        <v>0.32887866470400001</v>
      </c>
      <c r="CR120" s="3">
        <f>$H120*factors!CL$3</f>
        <v>0.339271364608</v>
      </c>
      <c r="CS120" s="3">
        <f>$H120*factors!CM$3</f>
        <v>0.34999931289600006</v>
      </c>
      <c r="CT120" s="3">
        <f>$H120*factors!CN$3</f>
        <v>0.34597633228800007</v>
      </c>
      <c r="CU120" s="3">
        <f>$H120*factors!CO$3</f>
        <v>0.33826561945599998</v>
      </c>
      <c r="CV120" s="3">
        <f>$H120*factors!CP$3</f>
        <v>0.35201080320000006</v>
      </c>
      <c r="CW120" s="3">
        <f>$H120*factors!CQ$3</f>
        <v>0.33290164531200006</v>
      </c>
      <c r="CX120" s="3">
        <f>$H120*factors!CR$3</f>
        <v>0.32787291955200004</v>
      </c>
      <c r="CY120" s="3">
        <f>$H120*factors!CS$3</f>
        <v>0.32485568409600002</v>
      </c>
      <c r="CZ120" s="3">
        <f>$H120*factors!CT$3</f>
        <v>0.32016220672000001</v>
      </c>
      <c r="DA120" s="3">
        <f>$H120*factors!CU$3</f>
        <v>0.33240729600000002</v>
      </c>
      <c r="DB120" s="3">
        <f>$H120*factors!CV$3</f>
        <v>0.35388592128000007</v>
      </c>
      <c r="DC120" s="3">
        <f>$H120*factors!CW$3</f>
        <v>0.33888497664</v>
      </c>
      <c r="DD120" s="3">
        <f>$H120*factors!CX$3</f>
        <v>0.33649846272000006</v>
      </c>
      <c r="DE120" s="3">
        <f>$H120*factors!CY$3</f>
        <v>0.34638544896000006</v>
      </c>
      <c r="DF120" s="3">
        <f>$H120*factors!CZ$3</f>
        <v>0.34570358784000005</v>
      </c>
      <c r="DG120" s="3">
        <f>$H120*factors!DA$3</f>
        <v>0.34433986560000007</v>
      </c>
      <c r="DH120" s="3">
        <f>$H120*factors!DB$3</f>
        <v>0.34433986560000007</v>
      </c>
      <c r="DI120" s="3">
        <f>$H120*factors!DC$3</f>
        <v>0.33138450432000005</v>
      </c>
      <c r="DJ120" s="3">
        <f>$H120*factors!DD$3</f>
        <v>0.35115847680000006</v>
      </c>
      <c r="DK120" s="3">
        <f>$H120*factors!DE$3</f>
        <v>0.35115847680000006</v>
      </c>
      <c r="DL120" s="3">
        <f>$H120*factors!DF$3</f>
        <v>0.34706731008000008</v>
      </c>
      <c r="DM120" s="3">
        <f>$H120*factors!DG$3</f>
        <v>0.32695240704</v>
      </c>
      <c r="DN120" s="3">
        <f>$H120*factors!DH$3</f>
        <v>0.3429761433600001</v>
      </c>
      <c r="DO120" s="3">
        <f>$H120*factors!DI$3</f>
        <v>0.35422685184000002</v>
      </c>
      <c r="DP120" s="3">
        <f>$H120*factors!DJ$3</f>
        <v>0.35115847680000006</v>
      </c>
      <c r="DQ120" s="3">
        <f>$H120*factors!DK$3</f>
        <v>0.33479380992000002</v>
      </c>
      <c r="DR120" s="3">
        <f>$H120*factors!DL$3</f>
        <v>0.33104357376000004</v>
      </c>
      <c r="DS120" s="3">
        <f>$H120*factors!DM$3</f>
        <v>0.35763615744000005</v>
      </c>
      <c r="DT120" s="3">
        <f>$H120*factors!DN$3</f>
        <v>0.33615753216000005</v>
      </c>
      <c r="DU120" s="3">
        <f>$H120*factors!DO$3</f>
        <v>0.35184033792000002</v>
      </c>
      <c r="DV120" s="3">
        <f>$H120*factors!DP$3</f>
        <v>0.34365800448000006</v>
      </c>
      <c r="DW120" s="3">
        <f>$H120*factors!DQ$3</f>
        <v>0.32797519872000003</v>
      </c>
      <c r="DX120" s="3">
        <f>$H120*factors!DR$3</f>
        <v>0.34740824064000003</v>
      </c>
      <c r="DY120" s="3">
        <f>$H120*factors!DS$3</f>
        <v>0.32967985152000001</v>
      </c>
      <c r="DZ120" s="3">
        <f>$H120*factors!DT$3</f>
        <v>0.35252219904000004</v>
      </c>
      <c r="EA120" s="3">
        <f>$H120*factors!DU$3</f>
        <v>0.33206636544000001</v>
      </c>
      <c r="EB120" s="3">
        <f>$H120*factors!DV$3</f>
        <v>0.32388403200000004</v>
      </c>
      <c r="EC120" s="3">
        <f>$H120*factors!DW$3</f>
        <v>0.34843103232000006</v>
      </c>
      <c r="ED120" s="3">
        <f>$H120*factors!DX$3</f>
        <v>0.32695240704</v>
      </c>
      <c r="EE120" s="3">
        <f>$H120*factors!DY$3</f>
        <v>0.32967985152000001</v>
      </c>
      <c r="EF120" s="3">
        <f>$H120*factors!DZ$3</f>
        <v>0.35763615744000005</v>
      </c>
      <c r="EG120" s="3">
        <f>$H120*factors!EA$3</f>
        <v>0.33411194880000006</v>
      </c>
      <c r="EH120" s="3">
        <f>$H120*factors!EB$3</f>
        <v>0.33513474048000008</v>
      </c>
      <c r="EI120" s="3">
        <f>$H120*factors!EC$3</f>
        <v>0.33445287936000007</v>
      </c>
      <c r="EJ120" s="3">
        <f>$H120*factors!ED$3</f>
        <v>0.32592961536000004</v>
      </c>
      <c r="EK120" s="3">
        <f>$H120*factors!EE$3</f>
        <v>0.34843103232000006</v>
      </c>
      <c r="EL120" s="3">
        <f>$H120*factors!EF$3</f>
        <v>0.33138450432000005</v>
      </c>
      <c r="EM120" s="3">
        <f>$H120*factors!EG$3</f>
        <v>0.34468079616000002</v>
      </c>
      <c r="EN120" s="3">
        <f>$H120*factors!EH$3</f>
        <v>0.32388403200000004</v>
      </c>
      <c r="EO120" s="3">
        <f>$H120*factors!EI$3</f>
        <v>0.32865705983999999</v>
      </c>
      <c r="EP120" s="3">
        <f>$H120*factors!EJ$3</f>
        <v>0.34672637952000002</v>
      </c>
      <c r="EQ120" s="3">
        <f>$H120*factors!EK$3</f>
        <v>0.33718032384000002</v>
      </c>
      <c r="ER120" s="3">
        <f>$H120*factors!EL$3</f>
        <v>0.35115847680000006</v>
      </c>
      <c r="ES120" s="3">
        <f>$H120*factors!EM$3</f>
        <v>0.34672637952000002</v>
      </c>
      <c r="ET120" s="3">
        <f>$H120*factors!EN$3</f>
        <v>0.35456778240000009</v>
      </c>
      <c r="EU120" s="3">
        <f>$H120*factors!EO$3</f>
        <v>0.35797708800000005</v>
      </c>
      <c r="EV120" s="3">
        <f>$H120*factors!EP$3</f>
        <v>0.33547567104000003</v>
      </c>
      <c r="EW120" s="3">
        <f>$H120*factors!EQ$3</f>
        <v>0.36898630400000004</v>
      </c>
      <c r="EX120" s="3">
        <f>$H120*factors!ER$3</f>
        <v>0.36507980800000012</v>
      </c>
      <c r="EY120" s="3">
        <f>$H120*factors!ES$3</f>
        <v>0.37253766399999999</v>
      </c>
      <c r="EZ120" s="3">
        <f>$H120*factors!ET$3</f>
        <v>0.36898630400000004</v>
      </c>
      <c r="FA120" s="3">
        <f>$H120*factors!EU$3</f>
        <v>0.33915488000000005</v>
      </c>
      <c r="FB120" s="3">
        <f>$H120*factors!EV$3</f>
        <v>0.35442572800000005</v>
      </c>
      <c r="FC120" s="3">
        <f>$H120*factors!EW$3</f>
        <v>0.36436953600000005</v>
      </c>
      <c r="FD120" s="3">
        <f>$H120*factors!EX$3</f>
        <v>0.35158464000000006</v>
      </c>
      <c r="FE120" s="3">
        <f>$H120*factors!EY$3</f>
        <v>0.37040684800000007</v>
      </c>
      <c r="FF120" s="3">
        <f>$H120*factors!EZ$3</f>
        <v>0.3707619840000001</v>
      </c>
      <c r="FG120" s="3">
        <f>$H120*factors!FA$3</f>
        <v>0.33915488000000005</v>
      </c>
      <c r="FH120" s="3">
        <f>$H120*factors!FB$3</f>
        <v>0.35691168000000001</v>
      </c>
      <c r="FI120" s="3">
        <f>$H120*factors!FC$3</f>
        <v>0.37182739200000003</v>
      </c>
      <c r="FJ120" s="3">
        <f>$H120*factors!FD$3</f>
        <v>0.35691168000000001</v>
      </c>
      <c r="FK120" s="3">
        <f>$H120*factors!FE$3</f>
        <v>0.36294899200000008</v>
      </c>
      <c r="FL120" s="3">
        <f>$H120*factors!FF$3</f>
        <v>0.36401440000000007</v>
      </c>
      <c r="FM120" s="3">
        <f>$H120*factors!FG$3</f>
        <v>0.36792089600000005</v>
      </c>
      <c r="FN120" s="3">
        <f>$H120*factors!FH$3</f>
        <v>0.34412678400000002</v>
      </c>
      <c r="FO120" s="3">
        <f>$H120*factors!FI$3</f>
        <v>0.36543494400000004</v>
      </c>
      <c r="FP120" s="3">
        <f>$H120*factors!FJ$3</f>
        <v>0.35513600000000006</v>
      </c>
      <c r="FQ120" s="3">
        <f>$H120*factors!FK$3</f>
        <v>0.35158464000000006</v>
      </c>
      <c r="FR120" s="3">
        <f>$H120*factors!FL$3</f>
        <v>0.35868736000000007</v>
      </c>
      <c r="FS120" s="3">
        <f>$H120*factors!FM$3</f>
        <v>0.35655654400000003</v>
      </c>
      <c r="FT120" s="3">
        <f>$H120*factors!FN$3</f>
        <v>0.36436953600000005</v>
      </c>
      <c r="FU120" s="3">
        <f>$H120*factors!FO$3</f>
        <v>0.35016409600000004</v>
      </c>
      <c r="FV120" s="3">
        <f>$H120*factors!FP$3</f>
        <v>0.34732300800000004</v>
      </c>
      <c r="FW120" s="3">
        <f>$H120*factors!FQ$3</f>
        <v>0.37182739200000003</v>
      </c>
      <c r="FX120" s="3">
        <f>$H120*factors!FR$3</f>
        <v>0.36507980800000012</v>
      </c>
      <c r="FY120" s="3">
        <f>$H120*factors!FS$3</f>
        <v>0.35762195200000002</v>
      </c>
      <c r="FZ120" s="3">
        <f>$H120*factors!FT$3</f>
        <v>0.33986515200000006</v>
      </c>
      <c r="GA120" s="3">
        <f>$H120*factors!FU$3</f>
        <v>0.35762195200000002</v>
      </c>
      <c r="GB120" s="3">
        <f>$H120*factors!FV$3</f>
        <v>0.3707619840000001</v>
      </c>
      <c r="GC120" s="3">
        <f>$H120*factors!FW$3</f>
        <v>0.34732300800000004</v>
      </c>
      <c r="GD120" s="3">
        <f>$H120*factors!FX$3</f>
        <v>0.35336032000000006</v>
      </c>
      <c r="GE120" s="3">
        <f>$H120*factors!FY$3</f>
        <v>0.35336032000000006</v>
      </c>
      <c r="GF120" s="3">
        <f>$H120*factors!FZ$3</f>
        <v>0.35229491200000007</v>
      </c>
      <c r="GG120" s="3">
        <f>$H120*factors!GA$3</f>
        <v>0.33844460800000004</v>
      </c>
      <c r="GH120" s="3">
        <f>$H120*factors!GB$3</f>
        <v>0.36010790400000009</v>
      </c>
      <c r="GI120" s="3">
        <f>$H120*factors!GC$3</f>
        <v>0.33773433600000008</v>
      </c>
      <c r="GJ120" s="3">
        <f>$H120*factors!GD$3</f>
        <v>0.33844460800000004</v>
      </c>
      <c r="GK120" s="3">
        <f>$H120*factors!GE$3</f>
        <v>0.34696787200000007</v>
      </c>
      <c r="GL120" s="3">
        <f>$H120*factors!GF$3</f>
        <v>0.36756576000000007</v>
      </c>
      <c r="GM120" s="3">
        <f>$H120*factors!GG$3</f>
        <v>0.34838841600000009</v>
      </c>
      <c r="GN120" s="3">
        <f>$H120*factors!GH$3</f>
        <v>0.35939763200000008</v>
      </c>
      <c r="GO120" s="3">
        <f>$H120*factors!GI$3</f>
        <v>0.33951001600000003</v>
      </c>
      <c r="GP120" s="3">
        <f>$H120*factors!GJ$3</f>
        <v>0.36401440000000007</v>
      </c>
      <c r="GQ120" s="3">
        <f>$H120*factors!GK$3</f>
        <v>0.37147225600000011</v>
      </c>
      <c r="GR120" s="3">
        <f>$H120*factors!GL$3</f>
        <v>0.36436953600000005</v>
      </c>
      <c r="GS120" s="3">
        <f>$H120*factors!GM$3</f>
        <v>0.34458135808000007</v>
      </c>
      <c r="GT120" s="3">
        <f>$H120*factors!GN$3</f>
        <v>0.35251935795200007</v>
      </c>
      <c r="GU120" s="3">
        <f>$H120*factors!GO$3</f>
        <v>0.36081817600000005</v>
      </c>
      <c r="GV120" s="3">
        <f>$H120*factors!GP$3</f>
        <v>0.34638544896000006</v>
      </c>
      <c r="GW120" s="3">
        <f>$H120*factors!GQ$3</f>
        <v>0.35865326694400007</v>
      </c>
      <c r="GX120" s="3">
        <f>$H120*factors!GR$3</f>
        <v>0.35288017612800004</v>
      </c>
      <c r="GY120" s="3">
        <f>$H120*factors!GS$3</f>
        <v>0.3510760852480001</v>
      </c>
      <c r="GZ120" s="3">
        <f>$H120*factors!GT$3</f>
        <v>0.36406553958400001</v>
      </c>
      <c r="HA120" s="3">
        <f>$H120*factors!GU$3</f>
        <v>0.35215853977600003</v>
      </c>
      <c r="HB120" s="3">
        <f>$H120*factors!GV$3</f>
        <v>0.36406553958400001</v>
      </c>
      <c r="HC120" s="3">
        <f>$H120*factors!GW$3</f>
        <v>0.35504508518400002</v>
      </c>
      <c r="HD120" s="3">
        <f>$H120*factors!GX$3</f>
        <v>0.36550881228800003</v>
      </c>
      <c r="HE120" s="3">
        <f>$H120*factors!GY$3</f>
        <v>0.36081817600000005</v>
      </c>
      <c r="HF120" s="3">
        <f>$H120*factors!GZ$3</f>
        <v>0.37200353945600007</v>
      </c>
      <c r="HG120" s="3">
        <f>$H120*factors!HA$3</f>
        <v>0.35757081241600003</v>
      </c>
      <c r="HH120" s="3">
        <f>$H120*factors!HB$3</f>
        <v>0.35288017612800004</v>
      </c>
      <c r="HI120" s="3">
        <f>$H120*factors!HC$3</f>
        <v>0.34855035801600009</v>
      </c>
      <c r="HJ120" s="3">
        <f>$H120*factors!HD$3</f>
        <v>0.34458135808000007</v>
      </c>
      <c r="HK120" s="3">
        <f>$H120*factors!HE$3</f>
        <v>0.36442635776000004</v>
      </c>
      <c r="HL120" s="3">
        <f>$H120*factors!HF$3</f>
        <v>0.34349890355200002</v>
      </c>
      <c r="HM120" s="3">
        <f>$H120*factors!HG$3</f>
        <v>0.34710708531200007</v>
      </c>
      <c r="HN120" s="3">
        <f>$H120*factors!HH$3</f>
        <v>0.37019944857600007</v>
      </c>
      <c r="HO120" s="3">
        <f>$H120*factors!HI$3</f>
        <v>0.35504508518400002</v>
      </c>
      <c r="HP120" s="3">
        <f>$H120*factors!HJ$3</f>
        <v>0.37885908480000008</v>
      </c>
      <c r="HQ120" s="3">
        <f>$H120*factors!HK$3</f>
        <v>0.34638544896000006</v>
      </c>
      <c r="HR120" s="3">
        <f>$H120*factors!HL$3</f>
        <v>0.36731290316800008</v>
      </c>
      <c r="HS120" s="3">
        <f>$H120*factors!HM$3</f>
        <v>0.37380763033600006</v>
      </c>
      <c r="HT120" s="3">
        <f>$H120*factors!HN$3</f>
        <v>0.34855035801600009</v>
      </c>
      <c r="HU120" s="3">
        <f>$H120*factors!HO$3</f>
        <v>0.35215853977600003</v>
      </c>
      <c r="HV120" s="3">
        <f>$H120*factors!HP$3</f>
        <v>0.3564883578880001</v>
      </c>
      <c r="HW120" s="3">
        <f>$H120*factors!HQ$3</f>
        <v>0.36153981235200006</v>
      </c>
      <c r="HX120" s="3">
        <f>$H120*factors!HR$3</f>
        <v>0.37633335756800002</v>
      </c>
      <c r="HY120" s="3">
        <f>$H120*factors!HS$3</f>
        <v>0.35757081241600003</v>
      </c>
      <c r="HZ120" s="3">
        <f>$H120*factors!HT$3</f>
        <v>0.37128190310400006</v>
      </c>
      <c r="IA120" s="3">
        <f>$H120*factors!HU$3</f>
        <v>0.35324099430400008</v>
      </c>
      <c r="IB120" s="3">
        <f>$H120*factors!HV$3</f>
        <v>0.36550881228800003</v>
      </c>
      <c r="IC120" s="3">
        <f>$H120*factors!HW$3</f>
        <v>0.36911699404800008</v>
      </c>
      <c r="ID120" s="3">
        <f>$H120*factors!HX$3</f>
        <v>0.34277726720000001</v>
      </c>
      <c r="IE120" s="3">
        <f>$H120*factors!HY$3</f>
        <v>0.36406553958400001</v>
      </c>
      <c r="IF120" s="3">
        <f>$H120*factors!HZ$3</f>
        <v>0.36190063052800003</v>
      </c>
      <c r="IG120" s="3">
        <f>$H120*factors!IA$3</f>
        <v>0.35865326694400007</v>
      </c>
      <c r="IH120" s="3">
        <f>$H120*factors!IB$3</f>
        <v>0.37200353945600007</v>
      </c>
      <c r="II120" s="3">
        <f>$H120*factors!IC$3</f>
        <v>0.35612753971200006</v>
      </c>
      <c r="IJ120" s="3">
        <f>$H120*factors!ID$3</f>
        <v>0.35937490329600008</v>
      </c>
      <c r="IK120" s="3">
        <f>$H120*factors!IE$3</f>
        <v>0.3723643576320001</v>
      </c>
      <c r="IL120" s="3">
        <f>$H120*factors!IF$3</f>
        <v>0.3564883578880001</v>
      </c>
      <c r="IM120" s="3">
        <f>$H120*factors!IG$3</f>
        <v>0.35324099430400008</v>
      </c>
      <c r="IN120" s="3">
        <f>$H120*factors!IH$3</f>
        <v>0.35540590336000005</v>
      </c>
      <c r="IO120" s="3">
        <f>$H120*factors!II$3</f>
        <v>0.35901408512000005</v>
      </c>
      <c r="IP120" s="3">
        <f>$H120*factors!IJ$3</f>
        <v>0.34710708531200007</v>
      </c>
      <c r="IQ120" s="3">
        <f>$H120*factors!IK$3</f>
        <v>0.34602463078400003</v>
      </c>
      <c r="IR120" s="3">
        <f>$H120*factors!IL$3</f>
        <v>0.35612753971200006</v>
      </c>
      <c r="IS120" s="3">
        <f>$H120*factors!IM$3</f>
        <v>0.35901408512000005</v>
      </c>
      <c r="IT120" s="3">
        <f>$H120*factors!IN$3</f>
        <v>0.36153981235200006</v>
      </c>
      <c r="IU120" s="3">
        <f>$H120*factors!IO$3</f>
        <v>0.36947781222400011</v>
      </c>
      <c r="IV120" s="3">
        <f>$H120*factors!IP$3</f>
        <v>0.37416844851200004</v>
      </c>
      <c r="IW120" s="3">
        <f>$H120*factors!IQ$3</f>
        <v>0.35360181248000006</v>
      </c>
      <c r="IX120" s="3">
        <f>$H120*factors!IR$3</f>
        <v>0.36947781222400011</v>
      </c>
      <c r="IY120" s="3">
        <f>$H120*factors!IS$3</f>
        <v>0.36406553958400001</v>
      </c>
      <c r="IZ120" s="3">
        <f>$H120*factors!IT$3</f>
        <v>0.37019944857600007</v>
      </c>
      <c r="JA120" s="3">
        <f>$H120*factors!IU$3</f>
        <v>0.34963281254400003</v>
      </c>
      <c r="JB120" s="3">
        <f>$H120*factors!IV$3</f>
        <v>0.35612753971200006</v>
      </c>
      <c r="JC120" s="3">
        <f>$H120*factors!IW$3</f>
        <v>0.34782872166400008</v>
      </c>
      <c r="JD120" s="3">
        <f>$H120*factors!IX$3</f>
        <v>0.37885908480000008</v>
      </c>
      <c r="JE120" s="3">
        <f>$H120*factors!IY$3</f>
        <v>0.34891117619200002</v>
      </c>
      <c r="JF120" s="3">
        <f>$H120*factors!IZ$3</f>
        <v>0.36623044863999998</v>
      </c>
      <c r="JG120" s="3">
        <f>$H120*factors!JA$3</f>
        <v>0.35973572147200006</v>
      </c>
      <c r="JH120" s="3">
        <f>$H120*factors!JB$3</f>
        <v>0.36659126681600013</v>
      </c>
      <c r="JI120" s="3">
        <f>$H120*factors!JC$3</f>
        <v>0.34313808537600005</v>
      </c>
      <c r="JJ120" s="3">
        <f>$H120*factors!JD$3</f>
        <v>0.36947781222400011</v>
      </c>
      <c r="JK120" s="3">
        <f>$H120*factors!JE$3</f>
        <v>0.35757081241600003</v>
      </c>
      <c r="JL120" s="3">
        <f>$H120*factors!JF$3</f>
        <v>0.37200353945600007</v>
      </c>
      <c r="JM120" s="3">
        <f>$H120*factors!JG$3</f>
        <v>0.34710708531200007</v>
      </c>
      <c r="JN120" s="3">
        <f>$H120*factors!JH$3</f>
        <v>0.34710708531200007</v>
      </c>
      <c r="JO120" s="3">
        <f>$H120*factors!JI$3</f>
        <v>0.34277726720000001</v>
      </c>
      <c r="JP120" s="3">
        <f>$H120*factors!JJ$3</f>
        <v>0.37056026675200004</v>
      </c>
      <c r="JQ120" s="3">
        <f>$H120*factors!JK$3</f>
        <v>0.36117899417600002</v>
      </c>
      <c r="JR120" s="3">
        <f>$H120*factors!JL$3</f>
        <v>0.37525090304000008</v>
      </c>
      <c r="JS120" s="3">
        <f>$H120*factors!JM$3</f>
        <v>0.34277726720000001</v>
      </c>
      <c r="JT120" s="3">
        <f>$H120*factors!JN$3</f>
        <v>0.36009653964800009</v>
      </c>
      <c r="JU120" s="3">
        <f>$H120*factors!JO$3</f>
        <v>0.34818953984000006</v>
      </c>
      <c r="JV120" s="3">
        <f>$H120*factors!JP$3</f>
        <v>0.35396263065600009</v>
      </c>
      <c r="JW120" s="3">
        <f>$H120*factors!JQ$3</f>
        <v>0.37813744844800012</v>
      </c>
      <c r="JX120" s="3">
        <f>$H120*factors!JR$3</f>
        <v>0.37452926668800007</v>
      </c>
      <c r="JY120" s="3">
        <f>$H120*factors!JS$3</f>
        <v>0.35251935795200007</v>
      </c>
      <c r="JZ120" s="3">
        <f>$H120*factors!JT$3</f>
        <v>0.3564883578880001</v>
      </c>
      <c r="KA120" s="3">
        <f>$H120*factors!JU$3</f>
        <v>0.35793163059200006</v>
      </c>
      <c r="KB120" s="3">
        <f>$H120*factors!JV$3</f>
        <v>0.34602463078400003</v>
      </c>
      <c r="KC120" s="3">
        <f>$H120*factors!JW$3</f>
        <v>0.34782872166400008</v>
      </c>
      <c r="KD120" s="3">
        <f>$H120*factors!JX$3</f>
        <v>0.34818953984000006</v>
      </c>
      <c r="KE120" s="3">
        <f>$H120*factors!JY$3</f>
        <v>0.37056026675200004</v>
      </c>
      <c r="KF120" s="3">
        <f>$H120*factors!JZ$3</f>
        <v>0.37489008486400005</v>
      </c>
      <c r="KG120" s="3">
        <f>$H120*factors!KA$3</f>
        <v>0.36153981235200006</v>
      </c>
      <c r="KH120" s="3">
        <f>$H120*factors!KB$3</f>
        <v>0.35360181248000006</v>
      </c>
      <c r="KI120" s="3">
        <f>$H120*factors!KC$3</f>
        <v>0.35035444889600004</v>
      </c>
    </row>
    <row r="121" spans="1:295" x14ac:dyDescent="0.55000000000000004">
      <c r="A121" t="s">
        <v>498</v>
      </c>
      <c r="B121">
        <v>120</v>
      </c>
      <c r="C121">
        <v>230</v>
      </c>
      <c r="D121" t="s">
        <v>377</v>
      </c>
      <c r="E121">
        <v>3.0869999999999999E-3</v>
      </c>
      <c r="F121">
        <v>120</v>
      </c>
      <c r="G121">
        <f>VLOOKUP(D121,demand_forecasted!$A$2:$G$11,2)</f>
        <v>11098</v>
      </c>
      <c r="H121" s="3">
        <f t="shared" si="2"/>
        <v>0.34259526000000001</v>
      </c>
      <c r="I121" s="3">
        <f>$H121*factors!C$3</f>
        <v>0.37925295281999999</v>
      </c>
      <c r="J121" s="3">
        <f>$H121*factors!D$3</f>
        <v>0.36556284623040003</v>
      </c>
      <c r="K121" s="3">
        <f>$H121*factors!E$3</f>
        <v>0.35927279725680006</v>
      </c>
      <c r="L121" s="3">
        <f>$H121*factors!F$3</f>
        <v>0.35816278861440004</v>
      </c>
      <c r="M121" s="3">
        <f>$H121*factors!G$3</f>
        <v>0.35779278573360002</v>
      </c>
      <c r="N121" s="3">
        <f>$H121*factors!H$3</f>
        <v>0.36815286639600003</v>
      </c>
      <c r="O121" s="3">
        <f>$H121*factors!I$3</f>
        <v>0.37629292977360002</v>
      </c>
      <c r="P121" s="3">
        <f>$H121*factors!J$3</f>
        <v>0.38073296434320003</v>
      </c>
      <c r="Q121" s="3">
        <f>$H121*factors!K$3</f>
        <v>0.35742278285279999</v>
      </c>
      <c r="R121" s="3">
        <f>$H121*factors!L$3</f>
        <v>0.35150273676000005</v>
      </c>
      <c r="S121" s="3">
        <f>$H121*factors!M$3</f>
        <v>0.3659328491112</v>
      </c>
      <c r="T121" s="3">
        <f>$H121*factors!N$3</f>
        <v>0.37851294705840005</v>
      </c>
      <c r="U121" s="3">
        <f>$H121*factors!O$3</f>
        <v>0.35853279149520006</v>
      </c>
      <c r="V121" s="3">
        <f>$H121*factors!P$3</f>
        <v>0.37296290384640002</v>
      </c>
      <c r="W121" s="3">
        <f>$H121*factors!Q$3</f>
        <v>0.37629292977360002</v>
      </c>
      <c r="X121" s="3">
        <f>$H121*factors!R$3</f>
        <v>0.3600128030184</v>
      </c>
      <c r="Y121" s="3">
        <f>$H121*factors!S$3</f>
        <v>0.35668277709120005</v>
      </c>
      <c r="Z121" s="3">
        <f>$H121*factors!T$3</f>
        <v>0.38480299603200008</v>
      </c>
      <c r="AA121" s="3">
        <f>$H121*factors!U$3</f>
        <v>0.36334282894559999</v>
      </c>
      <c r="AB121" s="3">
        <f>$H121*factors!V$3</f>
        <v>0.36371283182640007</v>
      </c>
      <c r="AC121" s="3">
        <f>$H121*factors!W$3</f>
        <v>0.36408283470720004</v>
      </c>
      <c r="AD121" s="3">
        <f>$H121*factors!X$3</f>
        <v>0.35631277421040003</v>
      </c>
      <c r="AE121" s="3">
        <f>$H121*factors!Y$3</f>
        <v>0.35927279725680006</v>
      </c>
      <c r="AF121" s="3">
        <f>$H121*factors!Z$3</f>
        <v>0.36667285487280005</v>
      </c>
      <c r="AG121" s="3">
        <f>$H121*factors!AA$3</f>
        <v>0.35742278285279999</v>
      </c>
      <c r="AH121" s="3">
        <f>$H121*factors!AB$3</f>
        <v>0.35594277132960006</v>
      </c>
      <c r="AI121" s="3">
        <f>$H121*factors!AC$3</f>
        <v>0.36741286063440004</v>
      </c>
      <c r="AJ121" s="3">
        <f>$H121*factors!AD$3</f>
        <v>0.38147297010480002</v>
      </c>
      <c r="AK121" s="3">
        <f>$H121*factors!AE$3</f>
        <v>0.36704285775360007</v>
      </c>
      <c r="AL121" s="3">
        <f>$H121*factors!AF$3</f>
        <v>0.35261274540240001</v>
      </c>
      <c r="AM121" s="3">
        <f>$H121*factors!AG$3</f>
        <v>0.362602823184</v>
      </c>
      <c r="AN121" s="3">
        <f>$H121*factors!AH$3</f>
        <v>0.35668277709120005</v>
      </c>
      <c r="AO121" s="3">
        <f>$H121*factors!AI$3</f>
        <v>0.37370290960800001</v>
      </c>
      <c r="AP121" s="3">
        <f>$H121*factors!AJ$3</f>
        <v>0.35816278861440004</v>
      </c>
      <c r="AQ121" s="3">
        <f>$H121*factors!AK$3</f>
        <v>0.36963287791920008</v>
      </c>
      <c r="AR121" s="3">
        <f>$H121*factors!AL$3</f>
        <v>0.36149281454160004</v>
      </c>
      <c r="AS121" s="3">
        <f>$H121*factors!AM$3</f>
        <v>0.35261274540240001</v>
      </c>
      <c r="AT121" s="3">
        <f>$H121*factors!AN$3</f>
        <v>0.36371283182640007</v>
      </c>
      <c r="AU121" s="3">
        <f>$H121*factors!AO$3</f>
        <v>0.38517299891279999</v>
      </c>
      <c r="AV121" s="3">
        <f>$H121*factors!AP$3</f>
        <v>0.36408283470720004</v>
      </c>
      <c r="AW121" s="3">
        <f>$H121*factors!AQ$3</f>
        <v>0.36038280589920002</v>
      </c>
      <c r="AX121" s="3">
        <f>$H121*factors!AR$3</f>
        <v>0.38110296722400006</v>
      </c>
      <c r="AY121" s="3">
        <f>$H121*factors!AS$3</f>
        <v>0.35150273676000005</v>
      </c>
      <c r="AZ121" s="3">
        <f>$H121*factors!AT$3</f>
        <v>0.3766629326544001</v>
      </c>
      <c r="BA121" s="3">
        <f>$H121*factors!AU$3</f>
        <v>0.3685228692768</v>
      </c>
      <c r="BB121" s="3">
        <f>$H121*factors!AV$3</f>
        <v>0.36371283182640007</v>
      </c>
      <c r="BC121" s="3">
        <f>$H121*factors!AW$3</f>
        <v>0.38480299603200008</v>
      </c>
      <c r="BD121" s="3">
        <f>$H121*factors!AX$3</f>
        <v>0.35520276556800001</v>
      </c>
      <c r="BE121" s="3">
        <f>$H121*factors!AY$3</f>
        <v>0.41760306622439997</v>
      </c>
      <c r="BF121" s="3">
        <f>$H121*factors!AZ$3</f>
        <v>0.38890043534160001</v>
      </c>
      <c r="BG121" s="3">
        <f>$H121*factors!BA$3</f>
        <v>0.39456010903679994</v>
      </c>
      <c r="BH121" s="3">
        <f>$H121*factors!BB$3</f>
        <v>0.39981552032520001</v>
      </c>
      <c r="BI121" s="3">
        <f>$H121*factors!BC$3</f>
        <v>0.41436896696999992</v>
      </c>
      <c r="BJ121" s="3">
        <f>$H121*factors!BD$3</f>
        <v>0.39577289625719997</v>
      </c>
      <c r="BK121" s="3">
        <f>$H121*factors!BE$3</f>
        <v>0.39658142107079997</v>
      </c>
      <c r="BL121" s="3">
        <f>$H121*factors!BF$3</f>
        <v>0.39213453459599995</v>
      </c>
      <c r="BM121" s="3">
        <f>$H121*factors!BG$3</f>
        <v>0.41881585344480005</v>
      </c>
      <c r="BN121" s="3">
        <f>$H121*factors!BH$3</f>
        <v>0.41356044215639998</v>
      </c>
      <c r="BO121" s="3">
        <f>$H121*factors!BI$3</f>
        <v>0.38890043534160001</v>
      </c>
      <c r="BP121" s="3">
        <f>$H121*factors!BJ$3</f>
        <v>0.38768764812119993</v>
      </c>
      <c r="BQ121" s="3">
        <f>$H121*factors!BK$3</f>
        <v>0.39415584662999997</v>
      </c>
      <c r="BR121" s="3">
        <f>$H121*factors!BL$3</f>
        <v>0.40830503086800002</v>
      </c>
      <c r="BS121" s="3">
        <f>$H121*factors!BM$3</f>
        <v>0.4147732293768</v>
      </c>
      <c r="BT121" s="3">
        <f>$H121*factors!BN$3</f>
        <v>0.41598601659719997</v>
      </c>
      <c r="BU121" s="3">
        <f>$H121*factors!BO$3</f>
        <v>0.42285847751280004</v>
      </c>
      <c r="BV121" s="3">
        <f>$H121*factors!BP$3</f>
        <v>0.39334732181639998</v>
      </c>
      <c r="BW121" s="3">
        <f>$H121*factors!BQ$3</f>
        <v>0.40224109476600001</v>
      </c>
      <c r="BX121" s="3">
        <f>$H121*factors!BR$3</f>
        <v>0.39456010903679994</v>
      </c>
      <c r="BY121" s="3">
        <f>$H121*factors!BS$3</f>
        <v>0.41275191734279992</v>
      </c>
      <c r="BZ121" s="3">
        <f>$H121*factors!BT$3</f>
        <v>0.40507093161359997</v>
      </c>
      <c r="CA121" s="3">
        <f>$H121*factors!BU$3</f>
        <v>0.39981552032520001</v>
      </c>
      <c r="CB121" s="3">
        <f>$H121*factors!BV$3</f>
        <v>0.38687912330759999</v>
      </c>
      <c r="CC121" s="3">
        <f>$H121*factors!BW$3</f>
        <v>0.39819847069799996</v>
      </c>
      <c r="CD121" s="3">
        <f>$H121*factors!BX$3</f>
        <v>0.39941125791839999</v>
      </c>
      <c r="CE121" s="3">
        <f>$H121*factors!BY$3</f>
        <v>0.40507093161359997</v>
      </c>
      <c r="CF121" s="3">
        <f>$H121*factors!BZ$3</f>
        <v>0.39900699551160002</v>
      </c>
      <c r="CG121" s="3">
        <f>$H121*factors!CA$3</f>
        <v>0.38566633608719997</v>
      </c>
      <c r="CH121" s="3">
        <f>$H121*factors!CB$3</f>
        <v>0.38607059849399994</v>
      </c>
      <c r="CI121" s="3">
        <f>$H121*factors!CC$3</f>
        <v>0.38404928646000003</v>
      </c>
      <c r="CJ121" s="3">
        <f>$H121*factors!CD$3</f>
        <v>0.39981552032520001</v>
      </c>
      <c r="CK121" s="3">
        <f>$H121*factors!CE$3</f>
        <v>0.41760306622439997</v>
      </c>
      <c r="CL121" s="3">
        <f>$H121*factors!CF$3</f>
        <v>0.39132600978240001</v>
      </c>
      <c r="CM121" s="3">
        <f>$H121*factors!CG$3</f>
        <v>0.40062404513879996</v>
      </c>
      <c r="CN121" s="3">
        <f>$H121*factors!CH$3</f>
        <v>0.38728338571439996</v>
      </c>
      <c r="CO121" s="3">
        <f>$H121*factors!CI$3</f>
        <v>0.39011322256199993</v>
      </c>
      <c r="CP121" s="3">
        <f>$H121*factors!CJ$3</f>
        <v>0.40870929327479993</v>
      </c>
      <c r="CQ121" s="3">
        <f>$H121*factors!CK$3</f>
        <v>0.39658142107079997</v>
      </c>
      <c r="CR121" s="3">
        <f>$H121*factors!CL$3</f>
        <v>0.40911355568159996</v>
      </c>
      <c r="CS121" s="3">
        <f>$H121*factors!CM$3</f>
        <v>0.42204995269919998</v>
      </c>
      <c r="CT121" s="3">
        <f>$H121*factors!CN$3</f>
        <v>0.41719880381759999</v>
      </c>
      <c r="CU121" s="3">
        <f>$H121*factors!CO$3</f>
        <v>0.40790076846119994</v>
      </c>
      <c r="CV121" s="3">
        <f>$H121*factors!CP$3</f>
        <v>0.42447552713999998</v>
      </c>
      <c r="CW121" s="3">
        <f>$H121*factors!CQ$3</f>
        <v>0.40143256995240001</v>
      </c>
      <c r="CX121" s="3">
        <f>$H121*factors!CR$3</f>
        <v>0.3953686338504</v>
      </c>
      <c r="CY121" s="3">
        <f>$H121*factors!CS$3</f>
        <v>0.39173027218919998</v>
      </c>
      <c r="CZ121" s="3">
        <f>$H121*factors!CT$3</f>
        <v>0.38607059849399994</v>
      </c>
      <c r="DA121" s="3">
        <f>$H121*factors!CU$3</f>
        <v>0.40083645419999997</v>
      </c>
      <c r="DB121" s="3">
        <f>$H121*factors!CV$3</f>
        <v>0.42673665585600001</v>
      </c>
      <c r="DC121" s="3">
        <f>$H121*factors!CW$3</f>
        <v>0.40864762612799999</v>
      </c>
      <c r="DD121" s="3">
        <f>$H121*factors!CX$3</f>
        <v>0.40576982594399996</v>
      </c>
      <c r="DE121" s="3">
        <f>$H121*factors!CY$3</f>
        <v>0.41769214099200003</v>
      </c>
      <c r="DF121" s="3">
        <f>$H121*factors!CZ$3</f>
        <v>0.41686991236799997</v>
      </c>
      <c r="DG121" s="3">
        <f>$H121*factors!DA$3</f>
        <v>0.41522545512000003</v>
      </c>
      <c r="DH121" s="3">
        <f>$H121*factors!DB$3</f>
        <v>0.41522545512000003</v>
      </c>
      <c r="DI121" s="3">
        <f>$H121*factors!DC$3</f>
        <v>0.399603111264</v>
      </c>
      <c r="DJ121" s="3">
        <f>$H121*factors!DD$3</f>
        <v>0.42344774136000002</v>
      </c>
      <c r="DK121" s="3">
        <f>$H121*factors!DE$3</f>
        <v>0.42344774136000002</v>
      </c>
      <c r="DL121" s="3">
        <f>$H121*factors!DF$3</f>
        <v>0.41851436961600003</v>
      </c>
      <c r="DM121" s="3">
        <f>$H121*factors!DG$3</f>
        <v>0.39425862520799998</v>
      </c>
      <c r="DN121" s="3">
        <f>$H121*factors!DH$3</f>
        <v>0.41358099787200003</v>
      </c>
      <c r="DO121" s="3">
        <f>$H121*factors!DI$3</f>
        <v>0.42714777016799998</v>
      </c>
      <c r="DP121" s="3">
        <f>$H121*factors!DJ$3</f>
        <v>0.42344774136000002</v>
      </c>
      <c r="DQ121" s="3">
        <f>$H121*factors!DK$3</f>
        <v>0.40371425438399999</v>
      </c>
      <c r="DR121" s="3">
        <f>$H121*factors!DL$3</f>
        <v>0.39919199695200003</v>
      </c>
      <c r="DS121" s="3">
        <f>$H121*factors!DM$3</f>
        <v>0.43125891328799998</v>
      </c>
      <c r="DT121" s="3">
        <f>$H121*factors!DN$3</f>
        <v>0.40535871163200005</v>
      </c>
      <c r="DU121" s="3">
        <f>$H121*factors!DO$3</f>
        <v>0.42426996998400002</v>
      </c>
      <c r="DV121" s="3">
        <f>$H121*factors!DP$3</f>
        <v>0.41440322649600003</v>
      </c>
      <c r="DW121" s="3">
        <f>$H121*factors!DQ$3</f>
        <v>0.39549196814399995</v>
      </c>
      <c r="DX121" s="3">
        <f>$H121*factors!DR$3</f>
        <v>0.418925483928</v>
      </c>
      <c r="DY121" s="3">
        <f>$H121*factors!DS$3</f>
        <v>0.39754753970399997</v>
      </c>
      <c r="DZ121" s="3">
        <f>$H121*factors!DT$3</f>
        <v>0.42509219860799996</v>
      </c>
      <c r="EA121" s="3">
        <f>$H121*factors!DU$3</f>
        <v>0.40042533988799994</v>
      </c>
      <c r="EB121" s="3">
        <f>$H121*factors!DV$3</f>
        <v>0.39055859639999996</v>
      </c>
      <c r="EC121" s="3">
        <f>$H121*factors!DW$3</f>
        <v>0.42015882686399997</v>
      </c>
      <c r="ED121" s="3">
        <f>$H121*factors!DX$3</f>
        <v>0.39425862520799998</v>
      </c>
      <c r="EE121" s="3">
        <f>$H121*factors!DY$3</f>
        <v>0.39754753970399997</v>
      </c>
      <c r="EF121" s="3">
        <f>$H121*factors!DZ$3</f>
        <v>0.43125891328799998</v>
      </c>
      <c r="EG121" s="3">
        <f>$H121*factors!EA$3</f>
        <v>0.40289202575999999</v>
      </c>
      <c r="EH121" s="3">
        <f>$H121*factors!EB$3</f>
        <v>0.40412536869600002</v>
      </c>
      <c r="EI121" s="3">
        <f>$H121*factors!EC$3</f>
        <v>0.40330314007200002</v>
      </c>
      <c r="EJ121" s="3">
        <f>$H121*factors!ED$3</f>
        <v>0.39302528227200001</v>
      </c>
      <c r="EK121" s="3">
        <f>$H121*factors!EE$3</f>
        <v>0.42015882686399997</v>
      </c>
      <c r="EL121" s="3">
        <f>$H121*factors!EF$3</f>
        <v>0.399603111264</v>
      </c>
      <c r="EM121" s="3">
        <f>$H121*factors!EG$3</f>
        <v>0.41563656943199995</v>
      </c>
      <c r="EN121" s="3">
        <f>$H121*factors!EH$3</f>
        <v>0.39055859639999996</v>
      </c>
      <c r="EO121" s="3">
        <f>$H121*factors!EI$3</f>
        <v>0.39631419676799995</v>
      </c>
      <c r="EP121" s="3">
        <f>$H121*factors!EJ$3</f>
        <v>0.418103255304</v>
      </c>
      <c r="EQ121" s="3">
        <f>$H121*factors!EK$3</f>
        <v>0.40659205456799996</v>
      </c>
      <c r="ER121" s="3">
        <f>$H121*factors!EL$3</f>
        <v>0.42344774136000002</v>
      </c>
      <c r="ES121" s="3">
        <f>$H121*factors!EM$3</f>
        <v>0.418103255304</v>
      </c>
      <c r="ET121" s="3">
        <f>$H121*factors!EN$3</f>
        <v>0.42755888448000001</v>
      </c>
      <c r="EU121" s="3">
        <f>$H121*factors!EO$3</f>
        <v>0.43167002760000001</v>
      </c>
      <c r="EV121" s="3">
        <f>$H121*factors!EP$3</f>
        <v>0.40453648300799994</v>
      </c>
      <c r="EW121" s="3">
        <f>$H121*factors!EQ$3</f>
        <v>0.44494559392499994</v>
      </c>
      <c r="EX121" s="3">
        <f>$H121*factors!ER$3</f>
        <v>0.44023490910000007</v>
      </c>
      <c r="EY121" s="3">
        <f>$H121*factors!ES$3</f>
        <v>0.44922803467499994</v>
      </c>
      <c r="EZ121" s="3">
        <f>$H121*factors!ET$3</f>
        <v>0.44494559392499994</v>
      </c>
      <c r="FA121" s="3">
        <f>$H121*factors!EU$3</f>
        <v>0.40897309162499995</v>
      </c>
      <c r="FB121" s="3">
        <f>$H121*factors!EV$3</f>
        <v>0.42738758685000006</v>
      </c>
      <c r="FC121" s="3">
        <f>$H121*factors!EW$3</f>
        <v>0.43937842095000001</v>
      </c>
      <c r="FD121" s="3">
        <f>$H121*factors!EX$3</f>
        <v>0.42396163425000005</v>
      </c>
      <c r="FE121" s="3">
        <f>$H121*factors!EY$3</f>
        <v>0.446658570225</v>
      </c>
      <c r="FF121" s="3">
        <f>$H121*factors!EZ$3</f>
        <v>0.44708681430000008</v>
      </c>
      <c r="FG121" s="3">
        <f>$H121*factors!FA$3</f>
        <v>0.40897309162499995</v>
      </c>
      <c r="FH121" s="3">
        <f>$H121*factors!FB$3</f>
        <v>0.43038529537499998</v>
      </c>
      <c r="FI121" s="3">
        <f>$H121*factors!FC$3</f>
        <v>0.44837154652499994</v>
      </c>
      <c r="FJ121" s="3">
        <f>$H121*factors!FD$3</f>
        <v>0.43038529537499998</v>
      </c>
      <c r="FK121" s="3">
        <f>$H121*factors!FE$3</f>
        <v>0.43766544465000007</v>
      </c>
      <c r="FL121" s="3">
        <f>$H121*factors!FF$3</f>
        <v>0.43895017687500004</v>
      </c>
      <c r="FM121" s="3">
        <f>$H121*factors!FG$3</f>
        <v>0.44366086169999996</v>
      </c>
      <c r="FN121" s="3">
        <f>$H121*factors!FH$3</f>
        <v>0.41496850867500001</v>
      </c>
      <c r="FO121" s="3">
        <f>$H121*factors!FI$3</f>
        <v>0.44066315317499999</v>
      </c>
      <c r="FP121" s="3">
        <f>$H121*factors!FJ$3</f>
        <v>0.428244075</v>
      </c>
      <c r="FQ121" s="3">
        <f>$H121*factors!FK$3</f>
        <v>0.42396163425000005</v>
      </c>
      <c r="FR121" s="3">
        <f>$H121*factors!FL$3</f>
        <v>0.43252651575000001</v>
      </c>
      <c r="FS121" s="3">
        <f>$H121*factors!FM$3</f>
        <v>0.4299570513</v>
      </c>
      <c r="FT121" s="3">
        <f>$H121*factors!FN$3</f>
        <v>0.43937842095000001</v>
      </c>
      <c r="FU121" s="3">
        <f>$H121*factors!FO$3</f>
        <v>0.42224865794999999</v>
      </c>
      <c r="FV121" s="3">
        <f>$H121*factors!FP$3</f>
        <v>0.41882270534999999</v>
      </c>
      <c r="FW121" s="3">
        <f>$H121*factors!FQ$3</f>
        <v>0.44837154652499994</v>
      </c>
      <c r="FX121" s="3">
        <f>$H121*factors!FR$3</f>
        <v>0.44023490910000007</v>
      </c>
      <c r="FY121" s="3">
        <f>$H121*factors!FS$3</f>
        <v>0.43124178352499998</v>
      </c>
      <c r="FZ121" s="3">
        <f>$H121*factors!FT$3</f>
        <v>0.40982957977500001</v>
      </c>
      <c r="GA121" s="3">
        <f>$H121*factors!FU$3</f>
        <v>0.43124178352499998</v>
      </c>
      <c r="GB121" s="3">
        <f>$H121*factors!FV$3</f>
        <v>0.44708681430000008</v>
      </c>
      <c r="GC121" s="3">
        <f>$H121*factors!FW$3</f>
        <v>0.41882270534999999</v>
      </c>
      <c r="GD121" s="3">
        <f>$H121*factors!FX$3</f>
        <v>0.42610285462499997</v>
      </c>
      <c r="GE121" s="3">
        <f>$H121*factors!FY$3</f>
        <v>0.42610285462499997</v>
      </c>
      <c r="GF121" s="3">
        <f>$H121*factors!FZ$3</f>
        <v>0.4248181224</v>
      </c>
      <c r="GG121" s="3">
        <f>$H121*factors!GA$3</f>
        <v>0.40811660347500001</v>
      </c>
      <c r="GH121" s="3">
        <f>$H121*factors!GB$3</f>
        <v>0.43423949205000006</v>
      </c>
      <c r="GI121" s="3">
        <f>$H121*factors!GC$3</f>
        <v>0.40726011532500001</v>
      </c>
      <c r="GJ121" s="3">
        <f>$H121*factors!GD$3</f>
        <v>0.40811660347500001</v>
      </c>
      <c r="GK121" s="3">
        <f>$H121*factors!GE$3</f>
        <v>0.41839446127500002</v>
      </c>
      <c r="GL121" s="3">
        <f>$H121*factors!GF$3</f>
        <v>0.44323261762499999</v>
      </c>
      <c r="GM121" s="3">
        <f>$H121*factors!GG$3</f>
        <v>0.42010743757500002</v>
      </c>
      <c r="GN121" s="3">
        <f>$H121*factors!GH$3</f>
        <v>0.43338300390000006</v>
      </c>
      <c r="GO121" s="3">
        <f>$H121*factors!GI$3</f>
        <v>0.40940133569999998</v>
      </c>
      <c r="GP121" s="3">
        <f>$H121*factors!GJ$3</f>
        <v>0.43895017687500004</v>
      </c>
      <c r="GQ121" s="3">
        <f>$H121*factors!GK$3</f>
        <v>0.44794330245000008</v>
      </c>
      <c r="GR121" s="3">
        <f>$H121*factors!GL$3</f>
        <v>0.43937842095000001</v>
      </c>
      <c r="GS121" s="3">
        <f>$H121*factors!GM$3</f>
        <v>0.41551666109099999</v>
      </c>
      <c r="GT121" s="3">
        <f>$H121*factors!GN$3</f>
        <v>0.42508877265540002</v>
      </c>
      <c r="GU121" s="3">
        <f>$H121*factors!GO$3</f>
        <v>0.43509598020000001</v>
      </c>
      <c r="GV121" s="3">
        <f>$H121*factors!GP$3</f>
        <v>0.41769214099200003</v>
      </c>
      <c r="GW121" s="3">
        <f>$H121*factors!GQ$3</f>
        <v>0.43248540431880006</v>
      </c>
      <c r="GX121" s="3">
        <f>$H121*factors!GR$3</f>
        <v>0.42552386863559999</v>
      </c>
      <c r="GY121" s="3">
        <f>$H121*factors!GS$3</f>
        <v>0.42334838873460007</v>
      </c>
      <c r="GZ121" s="3">
        <f>$H121*factors!GT$3</f>
        <v>0.43901184402179999</v>
      </c>
      <c r="HA121" s="3">
        <f>$H121*factors!GU$3</f>
        <v>0.42465367667519999</v>
      </c>
      <c r="HB121" s="3">
        <f>$H121*factors!GV$3</f>
        <v>0.43901184402179999</v>
      </c>
      <c r="HC121" s="3">
        <f>$H121*factors!GW$3</f>
        <v>0.42813444451679999</v>
      </c>
      <c r="HD121" s="3">
        <f>$H121*factors!GX$3</f>
        <v>0.44075222794259994</v>
      </c>
      <c r="HE121" s="3">
        <f>$H121*factors!GY$3</f>
        <v>0.43509598020000001</v>
      </c>
      <c r="HF121" s="3">
        <f>$H121*factors!GZ$3</f>
        <v>0.44858395558620001</v>
      </c>
      <c r="HG121" s="3">
        <f>$H121*factors!HA$3</f>
        <v>0.43118011637820003</v>
      </c>
      <c r="HH121" s="3">
        <f>$H121*factors!HB$3</f>
        <v>0.42552386863559999</v>
      </c>
      <c r="HI121" s="3">
        <f>$H121*factors!HC$3</f>
        <v>0.42030271687320003</v>
      </c>
      <c r="HJ121" s="3">
        <f>$H121*factors!HD$3</f>
        <v>0.41551666109099999</v>
      </c>
      <c r="HK121" s="3">
        <f>$H121*factors!HE$3</f>
        <v>0.43944694000200002</v>
      </c>
      <c r="HL121" s="3">
        <f>$H121*factors!HF$3</f>
        <v>0.41421137315039996</v>
      </c>
      <c r="HM121" s="3">
        <f>$H121*factors!HG$3</f>
        <v>0.41856233295240003</v>
      </c>
      <c r="HN121" s="3">
        <f>$H121*factors!HH$3</f>
        <v>0.44640847568520003</v>
      </c>
      <c r="HO121" s="3">
        <f>$H121*factors!HI$3</f>
        <v>0.42813444451679999</v>
      </c>
      <c r="HP121" s="3">
        <f>$H121*factors!HJ$3</f>
        <v>0.45685077921000006</v>
      </c>
      <c r="HQ121" s="3">
        <f>$H121*factors!HK$3</f>
        <v>0.41769214099200003</v>
      </c>
      <c r="HR121" s="3">
        <f>$H121*factors!HL$3</f>
        <v>0.44292770784360008</v>
      </c>
      <c r="HS121" s="3">
        <f>$H121*factors!HM$3</f>
        <v>0.45075943548720004</v>
      </c>
      <c r="HT121" s="3">
        <f>$H121*factors!HN$3</f>
        <v>0.42030271687320003</v>
      </c>
      <c r="HU121" s="3">
        <f>$H121*factors!HO$3</f>
        <v>0.42465367667519999</v>
      </c>
      <c r="HV121" s="3">
        <f>$H121*factors!HP$3</f>
        <v>0.42987482843760005</v>
      </c>
      <c r="HW121" s="3">
        <f>$H121*factors!HQ$3</f>
        <v>0.43596617216040001</v>
      </c>
      <c r="HX121" s="3">
        <f>$H121*factors!HR$3</f>
        <v>0.45380510734859997</v>
      </c>
      <c r="HY121" s="3">
        <f>$H121*factors!HS$3</f>
        <v>0.43118011637820003</v>
      </c>
      <c r="HZ121" s="3">
        <f>$H121*factors!HT$3</f>
        <v>0.44771376362580001</v>
      </c>
      <c r="IA121" s="3">
        <f>$H121*factors!HU$3</f>
        <v>0.42595896461580002</v>
      </c>
      <c r="IB121" s="3">
        <f>$H121*factors!HV$3</f>
        <v>0.44075222794259994</v>
      </c>
      <c r="IC121" s="3">
        <f>$H121*factors!HW$3</f>
        <v>0.4451031877446</v>
      </c>
      <c r="ID121" s="3">
        <f>$H121*factors!HX$3</f>
        <v>0.41334118118999996</v>
      </c>
      <c r="IE121" s="3">
        <f>$H121*factors!HY$3</f>
        <v>0.43901184402179999</v>
      </c>
      <c r="IF121" s="3">
        <f>$H121*factors!HZ$3</f>
        <v>0.43640126814059998</v>
      </c>
      <c r="IG121" s="3">
        <f>$H121*factors!IA$3</f>
        <v>0.43248540431880006</v>
      </c>
      <c r="IH121" s="3">
        <f>$H121*factors!IB$3</f>
        <v>0.44858395558620001</v>
      </c>
      <c r="II121" s="3">
        <f>$H121*factors!IC$3</f>
        <v>0.42943973245740003</v>
      </c>
      <c r="IJ121" s="3">
        <f>$H121*factors!ID$3</f>
        <v>0.43335559627920001</v>
      </c>
      <c r="IK121" s="3">
        <f>$H121*factors!IE$3</f>
        <v>0.44901905156640004</v>
      </c>
      <c r="IL121" s="3">
        <f>$H121*factors!IF$3</f>
        <v>0.42987482843760005</v>
      </c>
      <c r="IM121" s="3">
        <f>$H121*factors!IG$3</f>
        <v>0.42595896461580002</v>
      </c>
      <c r="IN121" s="3">
        <f>$H121*factors!IH$3</f>
        <v>0.42856954049700002</v>
      </c>
      <c r="IO121" s="3">
        <f>$H121*factors!II$3</f>
        <v>0.43292050029899998</v>
      </c>
      <c r="IP121" s="3">
        <f>$H121*factors!IJ$3</f>
        <v>0.41856233295240003</v>
      </c>
      <c r="IQ121" s="3">
        <f>$H121*factors!IK$3</f>
        <v>0.4172570450118</v>
      </c>
      <c r="IR121" s="3">
        <f>$H121*factors!IL$3</f>
        <v>0.42943973245740003</v>
      </c>
      <c r="IS121" s="3">
        <f>$H121*factors!IM$3</f>
        <v>0.43292050029899998</v>
      </c>
      <c r="IT121" s="3">
        <f>$H121*factors!IN$3</f>
        <v>0.43596617216040001</v>
      </c>
      <c r="IU121" s="3">
        <f>$H121*factors!IO$3</f>
        <v>0.44553828372480003</v>
      </c>
      <c r="IV121" s="3">
        <f>$H121*factors!IP$3</f>
        <v>0.45119453146739996</v>
      </c>
      <c r="IW121" s="3">
        <f>$H121*factors!IQ$3</f>
        <v>0.42639406059599999</v>
      </c>
      <c r="IX121" s="3">
        <f>$H121*factors!IR$3</f>
        <v>0.44553828372480003</v>
      </c>
      <c r="IY121" s="3">
        <f>$H121*factors!IS$3</f>
        <v>0.43901184402179999</v>
      </c>
      <c r="IZ121" s="3">
        <f>$H121*factors!IT$3</f>
        <v>0.44640847568520003</v>
      </c>
      <c r="JA121" s="3">
        <f>$H121*factors!IU$3</f>
        <v>0.42160800481379995</v>
      </c>
      <c r="JB121" s="3">
        <f>$H121*factors!IV$3</f>
        <v>0.42943973245740003</v>
      </c>
      <c r="JC121" s="3">
        <f>$H121*factors!IW$3</f>
        <v>0.41943252491280003</v>
      </c>
      <c r="JD121" s="3">
        <f>$H121*factors!IX$3</f>
        <v>0.45685077921000006</v>
      </c>
      <c r="JE121" s="3">
        <f>$H121*factors!IY$3</f>
        <v>0.42073781285340001</v>
      </c>
      <c r="JF121" s="3">
        <f>$H121*factors!IZ$3</f>
        <v>0.44162241990299994</v>
      </c>
      <c r="JG121" s="3">
        <f>$H121*factors!JA$3</f>
        <v>0.43379069225939998</v>
      </c>
      <c r="JH121" s="3">
        <f>$H121*factors!JB$3</f>
        <v>0.44205751588320008</v>
      </c>
      <c r="JI121" s="3">
        <f>$H121*factors!JC$3</f>
        <v>0.41377627717020005</v>
      </c>
      <c r="JJ121" s="3">
        <f>$H121*factors!JD$3</f>
        <v>0.44553828372480003</v>
      </c>
      <c r="JK121" s="3">
        <f>$H121*factors!JE$3</f>
        <v>0.43118011637820003</v>
      </c>
      <c r="JL121" s="3">
        <f>$H121*factors!JF$3</f>
        <v>0.44858395558620001</v>
      </c>
      <c r="JM121" s="3">
        <f>$H121*factors!JG$3</f>
        <v>0.41856233295240003</v>
      </c>
      <c r="JN121" s="3">
        <f>$H121*factors!JH$3</f>
        <v>0.41856233295240003</v>
      </c>
      <c r="JO121" s="3">
        <f>$H121*factors!JI$3</f>
        <v>0.41334118118999996</v>
      </c>
      <c r="JP121" s="3">
        <f>$H121*factors!JJ$3</f>
        <v>0.44684357166540001</v>
      </c>
      <c r="JQ121" s="3">
        <f>$H121*factors!JK$3</f>
        <v>0.43553107618019998</v>
      </c>
      <c r="JR121" s="3">
        <f>$H121*factors!JL$3</f>
        <v>0.45249981940799999</v>
      </c>
      <c r="JS121" s="3">
        <f>$H121*factors!JM$3</f>
        <v>0.41334118118999996</v>
      </c>
      <c r="JT121" s="3">
        <f>$H121*factors!JN$3</f>
        <v>0.43422578823960001</v>
      </c>
      <c r="JU121" s="3">
        <f>$H121*factors!JO$3</f>
        <v>0.419867620893</v>
      </c>
      <c r="JV121" s="3">
        <f>$H121*factors!JP$3</f>
        <v>0.42682915657620002</v>
      </c>
      <c r="JW121" s="3">
        <f>$H121*factors!JQ$3</f>
        <v>0.45598058724960006</v>
      </c>
      <c r="JX121" s="3">
        <f>$H121*factors!JR$3</f>
        <v>0.45162962744759999</v>
      </c>
      <c r="JY121" s="3">
        <f>$H121*factors!JS$3</f>
        <v>0.42508877265540002</v>
      </c>
      <c r="JZ121" s="3">
        <f>$H121*factors!JT$3</f>
        <v>0.42987482843760005</v>
      </c>
      <c r="KA121" s="3">
        <f>$H121*factors!JU$3</f>
        <v>0.43161521235840006</v>
      </c>
      <c r="KB121" s="3">
        <f>$H121*factors!JV$3</f>
        <v>0.4172570450118</v>
      </c>
      <c r="KC121" s="3">
        <f>$H121*factors!JW$3</f>
        <v>0.41943252491280003</v>
      </c>
      <c r="KD121" s="3">
        <f>$H121*factors!JX$3</f>
        <v>0.419867620893</v>
      </c>
      <c r="KE121" s="3">
        <f>$H121*factors!JY$3</f>
        <v>0.44684357166540001</v>
      </c>
      <c r="KF121" s="3">
        <f>$H121*factors!JZ$3</f>
        <v>0.45206472342779996</v>
      </c>
      <c r="KG121" s="3">
        <f>$H121*factors!KA$3</f>
        <v>0.43596617216040001</v>
      </c>
      <c r="KH121" s="3">
        <f>$H121*factors!KB$3</f>
        <v>0.42639406059599999</v>
      </c>
      <c r="KI121" s="3">
        <f>$H121*factors!KC$3</f>
        <v>0.42247819677419995</v>
      </c>
    </row>
    <row r="122" spans="1:295" x14ac:dyDescent="0.55000000000000004">
      <c r="A122" t="s">
        <v>499</v>
      </c>
      <c r="B122">
        <v>121</v>
      </c>
      <c r="C122">
        <v>230</v>
      </c>
      <c r="D122" t="s">
        <v>377</v>
      </c>
      <c r="E122">
        <v>3.0869999999999999E-3</v>
      </c>
      <c r="F122">
        <v>121</v>
      </c>
      <c r="G122">
        <f>VLOOKUP(D122,demand_forecasted!$A$2:$G$11,2)</f>
        <v>11098</v>
      </c>
      <c r="H122" s="3">
        <f t="shared" si="2"/>
        <v>0.34259526000000001</v>
      </c>
      <c r="I122" s="3">
        <f>$H122*factors!C$3</f>
        <v>0.37925295281999999</v>
      </c>
      <c r="J122" s="3">
        <f>$H122*factors!D$3</f>
        <v>0.36556284623040003</v>
      </c>
      <c r="K122" s="3">
        <f>$H122*factors!E$3</f>
        <v>0.35927279725680006</v>
      </c>
      <c r="L122" s="3">
        <f>$H122*factors!F$3</f>
        <v>0.35816278861440004</v>
      </c>
      <c r="M122" s="3">
        <f>$H122*factors!G$3</f>
        <v>0.35779278573360002</v>
      </c>
      <c r="N122" s="3">
        <f>$H122*factors!H$3</f>
        <v>0.36815286639600003</v>
      </c>
      <c r="O122" s="3">
        <f>$H122*factors!I$3</f>
        <v>0.37629292977360002</v>
      </c>
      <c r="P122" s="3">
        <f>$H122*factors!J$3</f>
        <v>0.38073296434320003</v>
      </c>
      <c r="Q122" s="3">
        <f>$H122*factors!K$3</f>
        <v>0.35742278285279999</v>
      </c>
      <c r="R122" s="3">
        <f>$H122*factors!L$3</f>
        <v>0.35150273676000005</v>
      </c>
      <c r="S122" s="3">
        <f>$H122*factors!M$3</f>
        <v>0.3659328491112</v>
      </c>
      <c r="T122" s="3">
        <f>$H122*factors!N$3</f>
        <v>0.37851294705840005</v>
      </c>
      <c r="U122" s="3">
        <f>$H122*factors!O$3</f>
        <v>0.35853279149520006</v>
      </c>
      <c r="V122" s="3">
        <f>$H122*factors!P$3</f>
        <v>0.37296290384640002</v>
      </c>
      <c r="W122" s="3">
        <f>$H122*factors!Q$3</f>
        <v>0.37629292977360002</v>
      </c>
      <c r="X122" s="3">
        <f>$H122*factors!R$3</f>
        <v>0.3600128030184</v>
      </c>
      <c r="Y122" s="3">
        <f>$H122*factors!S$3</f>
        <v>0.35668277709120005</v>
      </c>
      <c r="Z122" s="3">
        <f>$H122*factors!T$3</f>
        <v>0.38480299603200008</v>
      </c>
      <c r="AA122" s="3">
        <f>$H122*factors!U$3</f>
        <v>0.36334282894559999</v>
      </c>
      <c r="AB122" s="3">
        <f>$H122*factors!V$3</f>
        <v>0.36371283182640007</v>
      </c>
      <c r="AC122" s="3">
        <f>$H122*factors!W$3</f>
        <v>0.36408283470720004</v>
      </c>
      <c r="AD122" s="3">
        <f>$H122*factors!X$3</f>
        <v>0.35631277421040003</v>
      </c>
      <c r="AE122" s="3">
        <f>$H122*factors!Y$3</f>
        <v>0.35927279725680006</v>
      </c>
      <c r="AF122" s="3">
        <f>$H122*factors!Z$3</f>
        <v>0.36667285487280005</v>
      </c>
      <c r="AG122" s="3">
        <f>$H122*factors!AA$3</f>
        <v>0.35742278285279999</v>
      </c>
      <c r="AH122" s="3">
        <f>$H122*factors!AB$3</f>
        <v>0.35594277132960006</v>
      </c>
      <c r="AI122" s="3">
        <f>$H122*factors!AC$3</f>
        <v>0.36741286063440004</v>
      </c>
      <c r="AJ122" s="3">
        <f>$H122*factors!AD$3</f>
        <v>0.38147297010480002</v>
      </c>
      <c r="AK122" s="3">
        <f>$H122*factors!AE$3</f>
        <v>0.36704285775360007</v>
      </c>
      <c r="AL122" s="3">
        <f>$H122*factors!AF$3</f>
        <v>0.35261274540240001</v>
      </c>
      <c r="AM122" s="3">
        <f>$H122*factors!AG$3</f>
        <v>0.362602823184</v>
      </c>
      <c r="AN122" s="3">
        <f>$H122*factors!AH$3</f>
        <v>0.35668277709120005</v>
      </c>
      <c r="AO122" s="3">
        <f>$H122*factors!AI$3</f>
        <v>0.37370290960800001</v>
      </c>
      <c r="AP122" s="3">
        <f>$H122*factors!AJ$3</f>
        <v>0.35816278861440004</v>
      </c>
      <c r="AQ122" s="3">
        <f>$H122*factors!AK$3</f>
        <v>0.36963287791920008</v>
      </c>
      <c r="AR122" s="3">
        <f>$H122*factors!AL$3</f>
        <v>0.36149281454160004</v>
      </c>
      <c r="AS122" s="3">
        <f>$H122*factors!AM$3</f>
        <v>0.35261274540240001</v>
      </c>
      <c r="AT122" s="3">
        <f>$H122*factors!AN$3</f>
        <v>0.36371283182640007</v>
      </c>
      <c r="AU122" s="3">
        <f>$H122*factors!AO$3</f>
        <v>0.38517299891279999</v>
      </c>
      <c r="AV122" s="3">
        <f>$H122*factors!AP$3</f>
        <v>0.36408283470720004</v>
      </c>
      <c r="AW122" s="3">
        <f>$H122*factors!AQ$3</f>
        <v>0.36038280589920002</v>
      </c>
      <c r="AX122" s="3">
        <f>$H122*factors!AR$3</f>
        <v>0.38110296722400006</v>
      </c>
      <c r="AY122" s="3">
        <f>$H122*factors!AS$3</f>
        <v>0.35150273676000005</v>
      </c>
      <c r="AZ122" s="3">
        <f>$H122*factors!AT$3</f>
        <v>0.3766629326544001</v>
      </c>
      <c r="BA122" s="3">
        <f>$H122*factors!AU$3</f>
        <v>0.3685228692768</v>
      </c>
      <c r="BB122" s="3">
        <f>$H122*factors!AV$3</f>
        <v>0.36371283182640007</v>
      </c>
      <c r="BC122" s="3">
        <f>$H122*factors!AW$3</f>
        <v>0.38480299603200008</v>
      </c>
      <c r="BD122" s="3">
        <f>$H122*factors!AX$3</f>
        <v>0.35520276556800001</v>
      </c>
      <c r="BE122" s="3">
        <f>$H122*factors!AY$3</f>
        <v>0.41760306622439997</v>
      </c>
      <c r="BF122" s="3">
        <f>$H122*factors!AZ$3</f>
        <v>0.38890043534160001</v>
      </c>
      <c r="BG122" s="3">
        <f>$H122*factors!BA$3</f>
        <v>0.39456010903679994</v>
      </c>
      <c r="BH122" s="3">
        <f>$H122*factors!BB$3</f>
        <v>0.39981552032520001</v>
      </c>
      <c r="BI122" s="3">
        <f>$H122*factors!BC$3</f>
        <v>0.41436896696999992</v>
      </c>
      <c r="BJ122" s="3">
        <f>$H122*factors!BD$3</f>
        <v>0.39577289625719997</v>
      </c>
      <c r="BK122" s="3">
        <f>$H122*factors!BE$3</f>
        <v>0.39658142107079997</v>
      </c>
      <c r="BL122" s="3">
        <f>$H122*factors!BF$3</f>
        <v>0.39213453459599995</v>
      </c>
      <c r="BM122" s="3">
        <f>$H122*factors!BG$3</f>
        <v>0.41881585344480005</v>
      </c>
      <c r="BN122" s="3">
        <f>$H122*factors!BH$3</f>
        <v>0.41356044215639998</v>
      </c>
      <c r="BO122" s="3">
        <f>$H122*factors!BI$3</f>
        <v>0.38890043534160001</v>
      </c>
      <c r="BP122" s="3">
        <f>$H122*factors!BJ$3</f>
        <v>0.38768764812119993</v>
      </c>
      <c r="BQ122" s="3">
        <f>$H122*factors!BK$3</f>
        <v>0.39415584662999997</v>
      </c>
      <c r="BR122" s="3">
        <f>$H122*factors!BL$3</f>
        <v>0.40830503086800002</v>
      </c>
      <c r="BS122" s="3">
        <f>$H122*factors!BM$3</f>
        <v>0.4147732293768</v>
      </c>
      <c r="BT122" s="3">
        <f>$H122*factors!BN$3</f>
        <v>0.41598601659719997</v>
      </c>
      <c r="BU122" s="3">
        <f>$H122*factors!BO$3</f>
        <v>0.42285847751280004</v>
      </c>
      <c r="BV122" s="3">
        <f>$H122*factors!BP$3</f>
        <v>0.39334732181639998</v>
      </c>
      <c r="BW122" s="3">
        <f>$H122*factors!BQ$3</f>
        <v>0.40224109476600001</v>
      </c>
      <c r="BX122" s="3">
        <f>$H122*factors!BR$3</f>
        <v>0.39456010903679994</v>
      </c>
      <c r="BY122" s="3">
        <f>$H122*factors!BS$3</f>
        <v>0.41275191734279992</v>
      </c>
      <c r="BZ122" s="3">
        <f>$H122*factors!BT$3</f>
        <v>0.40507093161359997</v>
      </c>
      <c r="CA122" s="3">
        <f>$H122*factors!BU$3</f>
        <v>0.39981552032520001</v>
      </c>
      <c r="CB122" s="3">
        <f>$H122*factors!BV$3</f>
        <v>0.38687912330759999</v>
      </c>
      <c r="CC122" s="3">
        <f>$H122*factors!BW$3</f>
        <v>0.39819847069799996</v>
      </c>
      <c r="CD122" s="3">
        <f>$H122*factors!BX$3</f>
        <v>0.39941125791839999</v>
      </c>
      <c r="CE122" s="3">
        <f>$H122*factors!BY$3</f>
        <v>0.40507093161359997</v>
      </c>
      <c r="CF122" s="3">
        <f>$H122*factors!BZ$3</f>
        <v>0.39900699551160002</v>
      </c>
      <c r="CG122" s="3">
        <f>$H122*factors!CA$3</f>
        <v>0.38566633608719997</v>
      </c>
      <c r="CH122" s="3">
        <f>$H122*factors!CB$3</f>
        <v>0.38607059849399994</v>
      </c>
      <c r="CI122" s="3">
        <f>$H122*factors!CC$3</f>
        <v>0.38404928646000003</v>
      </c>
      <c r="CJ122" s="3">
        <f>$H122*factors!CD$3</f>
        <v>0.39981552032520001</v>
      </c>
      <c r="CK122" s="3">
        <f>$H122*factors!CE$3</f>
        <v>0.41760306622439997</v>
      </c>
      <c r="CL122" s="3">
        <f>$H122*factors!CF$3</f>
        <v>0.39132600978240001</v>
      </c>
      <c r="CM122" s="3">
        <f>$H122*factors!CG$3</f>
        <v>0.40062404513879996</v>
      </c>
      <c r="CN122" s="3">
        <f>$H122*factors!CH$3</f>
        <v>0.38728338571439996</v>
      </c>
      <c r="CO122" s="3">
        <f>$H122*factors!CI$3</f>
        <v>0.39011322256199993</v>
      </c>
      <c r="CP122" s="3">
        <f>$H122*factors!CJ$3</f>
        <v>0.40870929327479993</v>
      </c>
      <c r="CQ122" s="3">
        <f>$H122*factors!CK$3</f>
        <v>0.39658142107079997</v>
      </c>
      <c r="CR122" s="3">
        <f>$H122*factors!CL$3</f>
        <v>0.40911355568159996</v>
      </c>
      <c r="CS122" s="3">
        <f>$H122*factors!CM$3</f>
        <v>0.42204995269919998</v>
      </c>
      <c r="CT122" s="3">
        <f>$H122*factors!CN$3</f>
        <v>0.41719880381759999</v>
      </c>
      <c r="CU122" s="3">
        <f>$H122*factors!CO$3</f>
        <v>0.40790076846119994</v>
      </c>
      <c r="CV122" s="3">
        <f>$H122*factors!CP$3</f>
        <v>0.42447552713999998</v>
      </c>
      <c r="CW122" s="3">
        <f>$H122*factors!CQ$3</f>
        <v>0.40143256995240001</v>
      </c>
      <c r="CX122" s="3">
        <f>$H122*factors!CR$3</f>
        <v>0.3953686338504</v>
      </c>
      <c r="CY122" s="3">
        <f>$H122*factors!CS$3</f>
        <v>0.39173027218919998</v>
      </c>
      <c r="CZ122" s="3">
        <f>$H122*factors!CT$3</f>
        <v>0.38607059849399994</v>
      </c>
      <c r="DA122" s="3">
        <f>$H122*factors!CU$3</f>
        <v>0.40083645419999997</v>
      </c>
      <c r="DB122" s="3">
        <f>$H122*factors!CV$3</f>
        <v>0.42673665585600001</v>
      </c>
      <c r="DC122" s="3">
        <f>$H122*factors!CW$3</f>
        <v>0.40864762612799999</v>
      </c>
      <c r="DD122" s="3">
        <f>$H122*factors!CX$3</f>
        <v>0.40576982594399996</v>
      </c>
      <c r="DE122" s="3">
        <f>$H122*factors!CY$3</f>
        <v>0.41769214099200003</v>
      </c>
      <c r="DF122" s="3">
        <f>$H122*factors!CZ$3</f>
        <v>0.41686991236799997</v>
      </c>
      <c r="DG122" s="3">
        <f>$H122*factors!DA$3</f>
        <v>0.41522545512000003</v>
      </c>
      <c r="DH122" s="3">
        <f>$H122*factors!DB$3</f>
        <v>0.41522545512000003</v>
      </c>
      <c r="DI122" s="3">
        <f>$H122*factors!DC$3</f>
        <v>0.399603111264</v>
      </c>
      <c r="DJ122" s="3">
        <f>$H122*factors!DD$3</f>
        <v>0.42344774136000002</v>
      </c>
      <c r="DK122" s="3">
        <f>$H122*factors!DE$3</f>
        <v>0.42344774136000002</v>
      </c>
      <c r="DL122" s="3">
        <f>$H122*factors!DF$3</f>
        <v>0.41851436961600003</v>
      </c>
      <c r="DM122" s="3">
        <f>$H122*factors!DG$3</f>
        <v>0.39425862520799998</v>
      </c>
      <c r="DN122" s="3">
        <f>$H122*factors!DH$3</f>
        <v>0.41358099787200003</v>
      </c>
      <c r="DO122" s="3">
        <f>$H122*factors!DI$3</f>
        <v>0.42714777016799998</v>
      </c>
      <c r="DP122" s="3">
        <f>$H122*factors!DJ$3</f>
        <v>0.42344774136000002</v>
      </c>
      <c r="DQ122" s="3">
        <f>$H122*factors!DK$3</f>
        <v>0.40371425438399999</v>
      </c>
      <c r="DR122" s="3">
        <f>$H122*factors!DL$3</f>
        <v>0.39919199695200003</v>
      </c>
      <c r="DS122" s="3">
        <f>$H122*factors!DM$3</f>
        <v>0.43125891328799998</v>
      </c>
      <c r="DT122" s="3">
        <f>$H122*factors!DN$3</f>
        <v>0.40535871163200005</v>
      </c>
      <c r="DU122" s="3">
        <f>$H122*factors!DO$3</f>
        <v>0.42426996998400002</v>
      </c>
      <c r="DV122" s="3">
        <f>$H122*factors!DP$3</f>
        <v>0.41440322649600003</v>
      </c>
      <c r="DW122" s="3">
        <f>$H122*factors!DQ$3</f>
        <v>0.39549196814399995</v>
      </c>
      <c r="DX122" s="3">
        <f>$H122*factors!DR$3</f>
        <v>0.418925483928</v>
      </c>
      <c r="DY122" s="3">
        <f>$H122*factors!DS$3</f>
        <v>0.39754753970399997</v>
      </c>
      <c r="DZ122" s="3">
        <f>$H122*factors!DT$3</f>
        <v>0.42509219860799996</v>
      </c>
      <c r="EA122" s="3">
        <f>$H122*factors!DU$3</f>
        <v>0.40042533988799994</v>
      </c>
      <c r="EB122" s="3">
        <f>$H122*factors!DV$3</f>
        <v>0.39055859639999996</v>
      </c>
      <c r="EC122" s="3">
        <f>$H122*factors!DW$3</f>
        <v>0.42015882686399997</v>
      </c>
      <c r="ED122" s="3">
        <f>$H122*factors!DX$3</f>
        <v>0.39425862520799998</v>
      </c>
      <c r="EE122" s="3">
        <f>$H122*factors!DY$3</f>
        <v>0.39754753970399997</v>
      </c>
      <c r="EF122" s="3">
        <f>$H122*factors!DZ$3</f>
        <v>0.43125891328799998</v>
      </c>
      <c r="EG122" s="3">
        <f>$H122*factors!EA$3</f>
        <v>0.40289202575999999</v>
      </c>
      <c r="EH122" s="3">
        <f>$H122*factors!EB$3</f>
        <v>0.40412536869600002</v>
      </c>
      <c r="EI122" s="3">
        <f>$H122*factors!EC$3</f>
        <v>0.40330314007200002</v>
      </c>
      <c r="EJ122" s="3">
        <f>$H122*factors!ED$3</f>
        <v>0.39302528227200001</v>
      </c>
      <c r="EK122" s="3">
        <f>$H122*factors!EE$3</f>
        <v>0.42015882686399997</v>
      </c>
      <c r="EL122" s="3">
        <f>$H122*factors!EF$3</f>
        <v>0.399603111264</v>
      </c>
      <c r="EM122" s="3">
        <f>$H122*factors!EG$3</f>
        <v>0.41563656943199995</v>
      </c>
      <c r="EN122" s="3">
        <f>$H122*factors!EH$3</f>
        <v>0.39055859639999996</v>
      </c>
      <c r="EO122" s="3">
        <f>$H122*factors!EI$3</f>
        <v>0.39631419676799995</v>
      </c>
      <c r="EP122" s="3">
        <f>$H122*factors!EJ$3</f>
        <v>0.418103255304</v>
      </c>
      <c r="EQ122" s="3">
        <f>$H122*factors!EK$3</f>
        <v>0.40659205456799996</v>
      </c>
      <c r="ER122" s="3">
        <f>$H122*factors!EL$3</f>
        <v>0.42344774136000002</v>
      </c>
      <c r="ES122" s="3">
        <f>$H122*factors!EM$3</f>
        <v>0.418103255304</v>
      </c>
      <c r="ET122" s="3">
        <f>$H122*factors!EN$3</f>
        <v>0.42755888448000001</v>
      </c>
      <c r="EU122" s="3">
        <f>$H122*factors!EO$3</f>
        <v>0.43167002760000001</v>
      </c>
      <c r="EV122" s="3">
        <f>$H122*factors!EP$3</f>
        <v>0.40453648300799994</v>
      </c>
      <c r="EW122" s="3">
        <f>$H122*factors!EQ$3</f>
        <v>0.44494559392499994</v>
      </c>
      <c r="EX122" s="3">
        <f>$H122*factors!ER$3</f>
        <v>0.44023490910000007</v>
      </c>
      <c r="EY122" s="3">
        <f>$H122*factors!ES$3</f>
        <v>0.44922803467499994</v>
      </c>
      <c r="EZ122" s="3">
        <f>$H122*factors!ET$3</f>
        <v>0.44494559392499994</v>
      </c>
      <c r="FA122" s="3">
        <f>$H122*factors!EU$3</f>
        <v>0.40897309162499995</v>
      </c>
      <c r="FB122" s="3">
        <f>$H122*factors!EV$3</f>
        <v>0.42738758685000006</v>
      </c>
      <c r="FC122" s="3">
        <f>$H122*factors!EW$3</f>
        <v>0.43937842095000001</v>
      </c>
      <c r="FD122" s="3">
        <f>$H122*factors!EX$3</f>
        <v>0.42396163425000005</v>
      </c>
      <c r="FE122" s="3">
        <f>$H122*factors!EY$3</f>
        <v>0.446658570225</v>
      </c>
      <c r="FF122" s="3">
        <f>$H122*factors!EZ$3</f>
        <v>0.44708681430000008</v>
      </c>
      <c r="FG122" s="3">
        <f>$H122*factors!FA$3</f>
        <v>0.40897309162499995</v>
      </c>
      <c r="FH122" s="3">
        <f>$H122*factors!FB$3</f>
        <v>0.43038529537499998</v>
      </c>
      <c r="FI122" s="3">
        <f>$H122*factors!FC$3</f>
        <v>0.44837154652499994</v>
      </c>
      <c r="FJ122" s="3">
        <f>$H122*factors!FD$3</f>
        <v>0.43038529537499998</v>
      </c>
      <c r="FK122" s="3">
        <f>$H122*factors!FE$3</f>
        <v>0.43766544465000007</v>
      </c>
      <c r="FL122" s="3">
        <f>$H122*factors!FF$3</f>
        <v>0.43895017687500004</v>
      </c>
      <c r="FM122" s="3">
        <f>$H122*factors!FG$3</f>
        <v>0.44366086169999996</v>
      </c>
      <c r="FN122" s="3">
        <f>$H122*factors!FH$3</f>
        <v>0.41496850867500001</v>
      </c>
      <c r="FO122" s="3">
        <f>$H122*factors!FI$3</f>
        <v>0.44066315317499999</v>
      </c>
      <c r="FP122" s="3">
        <f>$H122*factors!FJ$3</f>
        <v>0.428244075</v>
      </c>
      <c r="FQ122" s="3">
        <f>$H122*factors!FK$3</f>
        <v>0.42396163425000005</v>
      </c>
      <c r="FR122" s="3">
        <f>$H122*factors!FL$3</f>
        <v>0.43252651575000001</v>
      </c>
      <c r="FS122" s="3">
        <f>$H122*factors!FM$3</f>
        <v>0.4299570513</v>
      </c>
      <c r="FT122" s="3">
        <f>$H122*factors!FN$3</f>
        <v>0.43937842095000001</v>
      </c>
      <c r="FU122" s="3">
        <f>$H122*factors!FO$3</f>
        <v>0.42224865794999999</v>
      </c>
      <c r="FV122" s="3">
        <f>$H122*factors!FP$3</f>
        <v>0.41882270534999999</v>
      </c>
      <c r="FW122" s="3">
        <f>$H122*factors!FQ$3</f>
        <v>0.44837154652499994</v>
      </c>
      <c r="FX122" s="3">
        <f>$H122*factors!FR$3</f>
        <v>0.44023490910000007</v>
      </c>
      <c r="FY122" s="3">
        <f>$H122*factors!FS$3</f>
        <v>0.43124178352499998</v>
      </c>
      <c r="FZ122" s="3">
        <f>$H122*factors!FT$3</f>
        <v>0.40982957977500001</v>
      </c>
      <c r="GA122" s="3">
        <f>$H122*factors!FU$3</f>
        <v>0.43124178352499998</v>
      </c>
      <c r="GB122" s="3">
        <f>$H122*factors!FV$3</f>
        <v>0.44708681430000008</v>
      </c>
      <c r="GC122" s="3">
        <f>$H122*factors!FW$3</f>
        <v>0.41882270534999999</v>
      </c>
      <c r="GD122" s="3">
        <f>$H122*factors!FX$3</f>
        <v>0.42610285462499997</v>
      </c>
      <c r="GE122" s="3">
        <f>$H122*factors!FY$3</f>
        <v>0.42610285462499997</v>
      </c>
      <c r="GF122" s="3">
        <f>$H122*factors!FZ$3</f>
        <v>0.4248181224</v>
      </c>
      <c r="GG122" s="3">
        <f>$H122*factors!GA$3</f>
        <v>0.40811660347500001</v>
      </c>
      <c r="GH122" s="3">
        <f>$H122*factors!GB$3</f>
        <v>0.43423949205000006</v>
      </c>
      <c r="GI122" s="3">
        <f>$H122*factors!GC$3</f>
        <v>0.40726011532500001</v>
      </c>
      <c r="GJ122" s="3">
        <f>$H122*factors!GD$3</f>
        <v>0.40811660347500001</v>
      </c>
      <c r="GK122" s="3">
        <f>$H122*factors!GE$3</f>
        <v>0.41839446127500002</v>
      </c>
      <c r="GL122" s="3">
        <f>$H122*factors!GF$3</f>
        <v>0.44323261762499999</v>
      </c>
      <c r="GM122" s="3">
        <f>$H122*factors!GG$3</f>
        <v>0.42010743757500002</v>
      </c>
      <c r="GN122" s="3">
        <f>$H122*factors!GH$3</f>
        <v>0.43338300390000006</v>
      </c>
      <c r="GO122" s="3">
        <f>$H122*factors!GI$3</f>
        <v>0.40940133569999998</v>
      </c>
      <c r="GP122" s="3">
        <f>$H122*factors!GJ$3</f>
        <v>0.43895017687500004</v>
      </c>
      <c r="GQ122" s="3">
        <f>$H122*factors!GK$3</f>
        <v>0.44794330245000008</v>
      </c>
      <c r="GR122" s="3">
        <f>$H122*factors!GL$3</f>
        <v>0.43937842095000001</v>
      </c>
      <c r="GS122" s="3">
        <f>$H122*factors!GM$3</f>
        <v>0.41551666109099999</v>
      </c>
      <c r="GT122" s="3">
        <f>$H122*factors!GN$3</f>
        <v>0.42508877265540002</v>
      </c>
      <c r="GU122" s="3">
        <f>$H122*factors!GO$3</f>
        <v>0.43509598020000001</v>
      </c>
      <c r="GV122" s="3">
        <f>$H122*factors!GP$3</f>
        <v>0.41769214099200003</v>
      </c>
      <c r="GW122" s="3">
        <f>$H122*factors!GQ$3</f>
        <v>0.43248540431880006</v>
      </c>
      <c r="GX122" s="3">
        <f>$H122*factors!GR$3</f>
        <v>0.42552386863559999</v>
      </c>
      <c r="GY122" s="3">
        <f>$H122*factors!GS$3</f>
        <v>0.42334838873460007</v>
      </c>
      <c r="GZ122" s="3">
        <f>$H122*factors!GT$3</f>
        <v>0.43901184402179999</v>
      </c>
      <c r="HA122" s="3">
        <f>$H122*factors!GU$3</f>
        <v>0.42465367667519999</v>
      </c>
      <c r="HB122" s="3">
        <f>$H122*factors!GV$3</f>
        <v>0.43901184402179999</v>
      </c>
      <c r="HC122" s="3">
        <f>$H122*factors!GW$3</f>
        <v>0.42813444451679999</v>
      </c>
      <c r="HD122" s="3">
        <f>$H122*factors!GX$3</f>
        <v>0.44075222794259994</v>
      </c>
      <c r="HE122" s="3">
        <f>$H122*factors!GY$3</f>
        <v>0.43509598020000001</v>
      </c>
      <c r="HF122" s="3">
        <f>$H122*factors!GZ$3</f>
        <v>0.44858395558620001</v>
      </c>
      <c r="HG122" s="3">
        <f>$H122*factors!HA$3</f>
        <v>0.43118011637820003</v>
      </c>
      <c r="HH122" s="3">
        <f>$H122*factors!HB$3</f>
        <v>0.42552386863559999</v>
      </c>
      <c r="HI122" s="3">
        <f>$H122*factors!HC$3</f>
        <v>0.42030271687320003</v>
      </c>
      <c r="HJ122" s="3">
        <f>$H122*factors!HD$3</f>
        <v>0.41551666109099999</v>
      </c>
      <c r="HK122" s="3">
        <f>$H122*factors!HE$3</f>
        <v>0.43944694000200002</v>
      </c>
      <c r="HL122" s="3">
        <f>$H122*factors!HF$3</f>
        <v>0.41421137315039996</v>
      </c>
      <c r="HM122" s="3">
        <f>$H122*factors!HG$3</f>
        <v>0.41856233295240003</v>
      </c>
      <c r="HN122" s="3">
        <f>$H122*factors!HH$3</f>
        <v>0.44640847568520003</v>
      </c>
      <c r="HO122" s="3">
        <f>$H122*factors!HI$3</f>
        <v>0.42813444451679999</v>
      </c>
      <c r="HP122" s="3">
        <f>$H122*factors!HJ$3</f>
        <v>0.45685077921000006</v>
      </c>
      <c r="HQ122" s="3">
        <f>$H122*factors!HK$3</f>
        <v>0.41769214099200003</v>
      </c>
      <c r="HR122" s="3">
        <f>$H122*factors!HL$3</f>
        <v>0.44292770784360008</v>
      </c>
      <c r="HS122" s="3">
        <f>$H122*factors!HM$3</f>
        <v>0.45075943548720004</v>
      </c>
      <c r="HT122" s="3">
        <f>$H122*factors!HN$3</f>
        <v>0.42030271687320003</v>
      </c>
      <c r="HU122" s="3">
        <f>$H122*factors!HO$3</f>
        <v>0.42465367667519999</v>
      </c>
      <c r="HV122" s="3">
        <f>$H122*factors!HP$3</f>
        <v>0.42987482843760005</v>
      </c>
      <c r="HW122" s="3">
        <f>$H122*factors!HQ$3</f>
        <v>0.43596617216040001</v>
      </c>
      <c r="HX122" s="3">
        <f>$H122*factors!HR$3</f>
        <v>0.45380510734859997</v>
      </c>
      <c r="HY122" s="3">
        <f>$H122*factors!HS$3</f>
        <v>0.43118011637820003</v>
      </c>
      <c r="HZ122" s="3">
        <f>$H122*factors!HT$3</f>
        <v>0.44771376362580001</v>
      </c>
      <c r="IA122" s="3">
        <f>$H122*factors!HU$3</f>
        <v>0.42595896461580002</v>
      </c>
      <c r="IB122" s="3">
        <f>$H122*factors!HV$3</f>
        <v>0.44075222794259994</v>
      </c>
      <c r="IC122" s="3">
        <f>$H122*factors!HW$3</f>
        <v>0.4451031877446</v>
      </c>
      <c r="ID122" s="3">
        <f>$H122*factors!HX$3</f>
        <v>0.41334118118999996</v>
      </c>
      <c r="IE122" s="3">
        <f>$H122*factors!HY$3</f>
        <v>0.43901184402179999</v>
      </c>
      <c r="IF122" s="3">
        <f>$H122*factors!HZ$3</f>
        <v>0.43640126814059998</v>
      </c>
      <c r="IG122" s="3">
        <f>$H122*factors!IA$3</f>
        <v>0.43248540431880006</v>
      </c>
      <c r="IH122" s="3">
        <f>$H122*factors!IB$3</f>
        <v>0.44858395558620001</v>
      </c>
      <c r="II122" s="3">
        <f>$H122*factors!IC$3</f>
        <v>0.42943973245740003</v>
      </c>
      <c r="IJ122" s="3">
        <f>$H122*factors!ID$3</f>
        <v>0.43335559627920001</v>
      </c>
      <c r="IK122" s="3">
        <f>$H122*factors!IE$3</f>
        <v>0.44901905156640004</v>
      </c>
      <c r="IL122" s="3">
        <f>$H122*factors!IF$3</f>
        <v>0.42987482843760005</v>
      </c>
      <c r="IM122" s="3">
        <f>$H122*factors!IG$3</f>
        <v>0.42595896461580002</v>
      </c>
      <c r="IN122" s="3">
        <f>$H122*factors!IH$3</f>
        <v>0.42856954049700002</v>
      </c>
      <c r="IO122" s="3">
        <f>$H122*factors!II$3</f>
        <v>0.43292050029899998</v>
      </c>
      <c r="IP122" s="3">
        <f>$H122*factors!IJ$3</f>
        <v>0.41856233295240003</v>
      </c>
      <c r="IQ122" s="3">
        <f>$H122*factors!IK$3</f>
        <v>0.4172570450118</v>
      </c>
      <c r="IR122" s="3">
        <f>$H122*factors!IL$3</f>
        <v>0.42943973245740003</v>
      </c>
      <c r="IS122" s="3">
        <f>$H122*factors!IM$3</f>
        <v>0.43292050029899998</v>
      </c>
      <c r="IT122" s="3">
        <f>$H122*factors!IN$3</f>
        <v>0.43596617216040001</v>
      </c>
      <c r="IU122" s="3">
        <f>$H122*factors!IO$3</f>
        <v>0.44553828372480003</v>
      </c>
      <c r="IV122" s="3">
        <f>$H122*factors!IP$3</f>
        <v>0.45119453146739996</v>
      </c>
      <c r="IW122" s="3">
        <f>$H122*factors!IQ$3</f>
        <v>0.42639406059599999</v>
      </c>
      <c r="IX122" s="3">
        <f>$H122*factors!IR$3</f>
        <v>0.44553828372480003</v>
      </c>
      <c r="IY122" s="3">
        <f>$H122*factors!IS$3</f>
        <v>0.43901184402179999</v>
      </c>
      <c r="IZ122" s="3">
        <f>$H122*factors!IT$3</f>
        <v>0.44640847568520003</v>
      </c>
      <c r="JA122" s="3">
        <f>$H122*factors!IU$3</f>
        <v>0.42160800481379995</v>
      </c>
      <c r="JB122" s="3">
        <f>$H122*factors!IV$3</f>
        <v>0.42943973245740003</v>
      </c>
      <c r="JC122" s="3">
        <f>$H122*factors!IW$3</f>
        <v>0.41943252491280003</v>
      </c>
      <c r="JD122" s="3">
        <f>$H122*factors!IX$3</f>
        <v>0.45685077921000006</v>
      </c>
      <c r="JE122" s="3">
        <f>$H122*factors!IY$3</f>
        <v>0.42073781285340001</v>
      </c>
      <c r="JF122" s="3">
        <f>$H122*factors!IZ$3</f>
        <v>0.44162241990299994</v>
      </c>
      <c r="JG122" s="3">
        <f>$H122*factors!JA$3</f>
        <v>0.43379069225939998</v>
      </c>
      <c r="JH122" s="3">
        <f>$H122*factors!JB$3</f>
        <v>0.44205751588320008</v>
      </c>
      <c r="JI122" s="3">
        <f>$H122*factors!JC$3</f>
        <v>0.41377627717020005</v>
      </c>
      <c r="JJ122" s="3">
        <f>$H122*factors!JD$3</f>
        <v>0.44553828372480003</v>
      </c>
      <c r="JK122" s="3">
        <f>$H122*factors!JE$3</f>
        <v>0.43118011637820003</v>
      </c>
      <c r="JL122" s="3">
        <f>$H122*factors!JF$3</f>
        <v>0.44858395558620001</v>
      </c>
      <c r="JM122" s="3">
        <f>$H122*factors!JG$3</f>
        <v>0.41856233295240003</v>
      </c>
      <c r="JN122" s="3">
        <f>$H122*factors!JH$3</f>
        <v>0.41856233295240003</v>
      </c>
      <c r="JO122" s="3">
        <f>$H122*factors!JI$3</f>
        <v>0.41334118118999996</v>
      </c>
      <c r="JP122" s="3">
        <f>$H122*factors!JJ$3</f>
        <v>0.44684357166540001</v>
      </c>
      <c r="JQ122" s="3">
        <f>$H122*factors!JK$3</f>
        <v>0.43553107618019998</v>
      </c>
      <c r="JR122" s="3">
        <f>$H122*factors!JL$3</f>
        <v>0.45249981940799999</v>
      </c>
      <c r="JS122" s="3">
        <f>$H122*factors!JM$3</f>
        <v>0.41334118118999996</v>
      </c>
      <c r="JT122" s="3">
        <f>$H122*factors!JN$3</f>
        <v>0.43422578823960001</v>
      </c>
      <c r="JU122" s="3">
        <f>$H122*factors!JO$3</f>
        <v>0.419867620893</v>
      </c>
      <c r="JV122" s="3">
        <f>$H122*factors!JP$3</f>
        <v>0.42682915657620002</v>
      </c>
      <c r="JW122" s="3">
        <f>$H122*factors!JQ$3</f>
        <v>0.45598058724960006</v>
      </c>
      <c r="JX122" s="3">
        <f>$H122*factors!JR$3</f>
        <v>0.45162962744759999</v>
      </c>
      <c r="JY122" s="3">
        <f>$H122*factors!JS$3</f>
        <v>0.42508877265540002</v>
      </c>
      <c r="JZ122" s="3">
        <f>$H122*factors!JT$3</f>
        <v>0.42987482843760005</v>
      </c>
      <c r="KA122" s="3">
        <f>$H122*factors!JU$3</f>
        <v>0.43161521235840006</v>
      </c>
      <c r="KB122" s="3">
        <f>$H122*factors!JV$3</f>
        <v>0.4172570450118</v>
      </c>
      <c r="KC122" s="3">
        <f>$H122*factors!JW$3</f>
        <v>0.41943252491280003</v>
      </c>
      <c r="KD122" s="3">
        <f>$H122*factors!JX$3</f>
        <v>0.419867620893</v>
      </c>
      <c r="KE122" s="3">
        <f>$H122*factors!JY$3</f>
        <v>0.44684357166540001</v>
      </c>
      <c r="KF122" s="3">
        <f>$H122*factors!JZ$3</f>
        <v>0.45206472342779996</v>
      </c>
      <c r="KG122" s="3">
        <f>$H122*factors!KA$3</f>
        <v>0.43596617216040001</v>
      </c>
      <c r="KH122" s="3">
        <f>$H122*factors!KB$3</f>
        <v>0.42639406059599999</v>
      </c>
      <c r="KI122" s="3">
        <f>$H122*factors!KC$3</f>
        <v>0.42247819677419995</v>
      </c>
    </row>
    <row r="123" spans="1:295" x14ac:dyDescent="0.55000000000000004">
      <c r="A123" t="s">
        <v>500</v>
      </c>
      <c r="B123">
        <v>122</v>
      </c>
      <c r="C123">
        <v>360</v>
      </c>
      <c r="D123" t="s">
        <v>377</v>
      </c>
      <c r="E123">
        <v>1.0163999999999999E-2</v>
      </c>
      <c r="F123">
        <v>122</v>
      </c>
      <c r="G123">
        <f>VLOOKUP(D123,demand_forecasted!$A$2:$G$11,2)</f>
        <v>11098</v>
      </c>
      <c r="H123" s="3">
        <f t="shared" si="2"/>
        <v>1.12800072</v>
      </c>
      <c r="I123" s="3">
        <f>$H123*factors!C$3</f>
        <v>1.24869679704</v>
      </c>
      <c r="J123" s="3">
        <f>$H123*factors!D$3</f>
        <v>1.2036218882687999</v>
      </c>
      <c r="K123" s="3">
        <f>$H123*factors!E$3</f>
        <v>1.1829117950496</v>
      </c>
      <c r="L123" s="3">
        <f>$H123*factors!F$3</f>
        <v>1.1792570727168001</v>
      </c>
      <c r="M123" s="3">
        <f>$H123*factors!G$3</f>
        <v>1.1780388319391999</v>
      </c>
      <c r="N123" s="3">
        <f>$H123*factors!H$3</f>
        <v>1.2121495737120001</v>
      </c>
      <c r="O123" s="3">
        <f>$H123*factors!I$3</f>
        <v>1.2389508708191999</v>
      </c>
      <c r="P123" s="3">
        <f>$H123*factors!J$3</f>
        <v>1.2535697601504001</v>
      </c>
      <c r="Q123" s="3">
        <f>$H123*factors!K$3</f>
        <v>1.1768205911615999</v>
      </c>
      <c r="R123" s="3">
        <f>$H123*factors!L$3</f>
        <v>1.15732873872</v>
      </c>
      <c r="S123" s="3">
        <f>$H123*factors!M$3</f>
        <v>1.2048401290463999</v>
      </c>
      <c r="T123" s="3">
        <f>$H123*factors!N$3</f>
        <v>1.2462603154848</v>
      </c>
      <c r="U123" s="3">
        <f>$H123*factors!O$3</f>
        <v>1.1804753134944002</v>
      </c>
      <c r="V123" s="3">
        <f>$H123*factors!P$3</f>
        <v>1.2279867038208001</v>
      </c>
      <c r="W123" s="3">
        <f>$H123*factors!Q$3</f>
        <v>1.2389508708191999</v>
      </c>
      <c r="X123" s="3">
        <f>$H123*factors!R$3</f>
        <v>1.1853482766048</v>
      </c>
      <c r="Y123" s="3">
        <f>$H123*factors!S$3</f>
        <v>1.1743841096064001</v>
      </c>
      <c r="Z123" s="3">
        <f>$H123*factors!T$3</f>
        <v>1.2669704087040001</v>
      </c>
      <c r="AA123" s="3">
        <f>$H123*factors!U$3</f>
        <v>1.1963124436032</v>
      </c>
      <c r="AB123" s="3">
        <f>$H123*factors!V$3</f>
        <v>1.1975306843808</v>
      </c>
      <c r="AC123" s="3">
        <f>$H123*factors!W$3</f>
        <v>1.1987489251584</v>
      </c>
      <c r="AD123" s="3">
        <f>$H123*factors!X$3</f>
        <v>1.1731658688288</v>
      </c>
      <c r="AE123" s="3">
        <f>$H123*factors!Y$3</f>
        <v>1.1829117950496</v>
      </c>
      <c r="AF123" s="3">
        <f>$H123*factors!Z$3</f>
        <v>1.2072766106016002</v>
      </c>
      <c r="AG123" s="3">
        <f>$H123*factors!AA$3</f>
        <v>1.1768205911615999</v>
      </c>
      <c r="AH123" s="3">
        <f>$H123*factors!AB$3</f>
        <v>1.1719476280512</v>
      </c>
      <c r="AI123" s="3">
        <f>$H123*factors!AC$3</f>
        <v>1.2097130921568</v>
      </c>
      <c r="AJ123" s="3">
        <f>$H123*factors!AD$3</f>
        <v>1.2560062417055999</v>
      </c>
      <c r="AK123" s="3">
        <f>$H123*factors!AE$3</f>
        <v>1.2084948513792</v>
      </c>
      <c r="AL123" s="3">
        <f>$H123*factors!AF$3</f>
        <v>1.1609834610527998</v>
      </c>
      <c r="AM123" s="3">
        <f>$H123*factors!AG$3</f>
        <v>1.193875962048</v>
      </c>
      <c r="AN123" s="3">
        <f>$H123*factors!AH$3</f>
        <v>1.1743841096064001</v>
      </c>
      <c r="AO123" s="3">
        <f>$H123*factors!AI$3</f>
        <v>1.2304231853759999</v>
      </c>
      <c r="AP123" s="3">
        <f>$H123*factors!AJ$3</f>
        <v>1.1792570727168001</v>
      </c>
      <c r="AQ123" s="3">
        <f>$H123*factors!AK$3</f>
        <v>1.2170225368224001</v>
      </c>
      <c r="AR123" s="3">
        <f>$H123*factors!AL$3</f>
        <v>1.1902212397152001</v>
      </c>
      <c r="AS123" s="3">
        <f>$H123*factors!AM$3</f>
        <v>1.1609834610527998</v>
      </c>
      <c r="AT123" s="3">
        <f>$H123*factors!AN$3</f>
        <v>1.1975306843808</v>
      </c>
      <c r="AU123" s="3">
        <f>$H123*factors!AO$3</f>
        <v>1.2681886494815999</v>
      </c>
      <c r="AV123" s="3">
        <f>$H123*factors!AP$3</f>
        <v>1.1987489251584</v>
      </c>
      <c r="AW123" s="3">
        <f>$H123*factors!AQ$3</f>
        <v>1.1865665173823998</v>
      </c>
      <c r="AX123" s="3">
        <f>$H123*factors!AR$3</f>
        <v>1.2547880009279999</v>
      </c>
      <c r="AY123" s="3">
        <f>$H123*factors!AS$3</f>
        <v>1.15732873872</v>
      </c>
      <c r="AZ123" s="3">
        <f>$H123*factors!AT$3</f>
        <v>1.2401691115968001</v>
      </c>
      <c r="BA123" s="3">
        <f>$H123*factors!AU$3</f>
        <v>1.2133678144895998</v>
      </c>
      <c r="BB123" s="3">
        <f>$H123*factors!AV$3</f>
        <v>1.1975306843808</v>
      </c>
      <c r="BC123" s="3">
        <f>$H123*factors!AW$3</f>
        <v>1.2669704087040001</v>
      </c>
      <c r="BD123" s="3">
        <f>$H123*factors!AX$3</f>
        <v>1.169511146496</v>
      </c>
      <c r="BE123" s="3">
        <f>$H123*factors!AY$3</f>
        <v>1.3749651976367998</v>
      </c>
      <c r="BF123" s="3">
        <f>$H123*factors!AZ$3</f>
        <v>1.2804612973151999</v>
      </c>
      <c r="BG123" s="3">
        <f>$H123*factors!BA$3</f>
        <v>1.2990958692095997</v>
      </c>
      <c r="BH123" s="3">
        <f>$H123*factors!BB$3</f>
        <v>1.3163994002543999</v>
      </c>
      <c r="BI123" s="3">
        <f>$H123*factors!BC$3</f>
        <v>1.3643168708399998</v>
      </c>
      <c r="BJ123" s="3">
        <f>$H123*factors!BD$3</f>
        <v>1.3030889917583999</v>
      </c>
      <c r="BK123" s="3">
        <f>$H123*factors!BE$3</f>
        <v>1.3057510734575997</v>
      </c>
      <c r="BL123" s="3">
        <f>$H123*factors!BF$3</f>
        <v>1.2911096241119997</v>
      </c>
      <c r="BM123" s="3">
        <f>$H123*factors!BG$3</f>
        <v>1.3789583201855999</v>
      </c>
      <c r="BN123" s="3">
        <f>$H123*factors!BH$3</f>
        <v>1.3616547891407997</v>
      </c>
      <c r="BO123" s="3">
        <f>$H123*factors!BI$3</f>
        <v>1.2804612973151999</v>
      </c>
      <c r="BP123" s="3">
        <f>$H123*factors!BJ$3</f>
        <v>1.2764681747663997</v>
      </c>
      <c r="BQ123" s="3">
        <f>$H123*factors!BK$3</f>
        <v>1.2977648283599998</v>
      </c>
      <c r="BR123" s="3">
        <f>$H123*factors!BL$3</f>
        <v>1.344351258096</v>
      </c>
      <c r="BS123" s="3">
        <f>$H123*factors!BM$3</f>
        <v>1.3656479116895999</v>
      </c>
      <c r="BT123" s="3">
        <f>$H123*factors!BN$3</f>
        <v>1.3696410342383998</v>
      </c>
      <c r="BU123" s="3">
        <f>$H123*factors!BO$3</f>
        <v>1.3922687286816</v>
      </c>
      <c r="BV123" s="3">
        <f>$H123*factors!BP$3</f>
        <v>1.2951027466607998</v>
      </c>
      <c r="BW123" s="3">
        <f>$H123*factors!BQ$3</f>
        <v>1.3243856453519998</v>
      </c>
      <c r="BX123" s="3">
        <f>$H123*factors!BR$3</f>
        <v>1.2990958692095997</v>
      </c>
      <c r="BY123" s="3">
        <f>$H123*factors!BS$3</f>
        <v>1.3589927074415997</v>
      </c>
      <c r="BZ123" s="3">
        <f>$H123*factors!BT$3</f>
        <v>1.3337029312991997</v>
      </c>
      <c r="CA123" s="3">
        <f>$H123*factors!BU$3</f>
        <v>1.3163994002543999</v>
      </c>
      <c r="CB123" s="3">
        <f>$H123*factors!BV$3</f>
        <v>1.2738060930671999</v>
      </c>
      <c r="CC123" s="3">
        <f>$H123*factors!BW$3</f>
        <v>1.3110752368559999</v>
      </c>
      <c r="CD123" s="3">
        <f>$H123*factors!BX$3</f>
        <v>1.3150683594047998</v>
      </c>
      <c r="CE123" s="3">
        <f>$H123*factors!BY$3</f>
        <v>1.3337029312991997</v>
      </c>
      <c r="CF123" s="3">
        <f>$H123*factors!BZ$3</f>
        <v>1.3137373185551999</v>
      </c>
      <c r="CG123" s="3">
        <f>$H123*factors!CA$3</f>
        <v>1.2698129705183998</v>
      </c>
      <c r="CH123" s="3">
        <f>$H123*factors!CB$3</f>
        <v>1.2711440113679997</v>
      </c>
      <c r="CI123" s="3">
        <f>$H123*factors!CC$3</f>
        <v>1.26448880712</v>
      </c>
      <c r="CJ123" s="3">
        <f>$H123*factors!CD$3</f>
        <v>1.3163994002543999</v>
      </c>
      <c r="CK123" s="3">
        <f>$H123*factors!CE$3</f>
        <v>1.3749651976367998</v>
      </c>
      <c r="CL123" s="3">
        <f>$H123*factors!CF$3</f>
        <v>1.2884475424127999</v>
      </c>
      <c r="CM123" s="3">
        <f>$H123*factors!CG$3</f>
        <v>1.3190614819535997</v>
      </c>
      <c r="CN123" s="3">
        <f>$H123*factors!CH$3</f>
        <v>1.2751371339167998</v>
      </c>
      <c r="CO123" s="3">
        <f>$H123*factors!CI$3</f>
        <v>1.2844544198639998</v>
      </c>
      <c r="CP123" s="3">
        <f>$H123*factors!CJ$3</f>
        <v>1.3456822989455997</v>
      </c>
      <c r="CQ123" s="3">
        <f>$H123*factors!CK$3</f>
        <v>1.3057510734575997</v>
      </c>
      <c r="CR123" s="3">
        <f>$H123*factors!CL$3</f>
        <v>1.3470133397951998</v>
      </c>
      <c r="CS123" s="3">
        <f>$H123*factors!CM$3</f>
        <v>1.3896066469823998</v>
      </c>
      <c r="CT123" s="3">
        <f>$H123*factors!CN$3</f>
        <v>1.3736341567871999</v>
      </c>
      <c r="CU123" s="3">
        <f>$H123*factors!CO$3</f>
        <v>1.3430202172463996</v>
      </c>
      <c r="CV123" s="3">
        <f>$H123*factors!CP$3</f>
        <v>1.3975928920799998</v>
      </c>
      <c r="CW123" s="3">
        <f>$H123*factors!CQ$3</f>
        <v>1.3217235636528</v>
      </c>
      <c r="CX123" s="3">
        <f>$H123*factors!CR$3</f>
        <v>1.3017579509088</v>
      </c>
      <c r="CY123" s="3">
        <f>$H123*factors!CS$3</f>
        <v>1.2897785832623998</v>
      </c>
      <c r="CZ123" s="3">
        <f>$H123*factors!CT$3</f>
        <v>1.2711440113679997</v>
      </c>
      <c r="DA123" s="3">
        <f>$H123*factors!CU$3</f>
        <v>1.3197608423999998</v>
      </c>
      <c r="DB123" s="3">
        <f>$H123*factors!CV$3</f>
        <v>1.405037696832</v>
      </c>
      <c r="DC123" s="3">
        <f>$H123*factors!CW$3</f>
        <v>1.3454792588159998</v>
      </c>
      <c r="DD123" s="3">
        <f>$H123*factors!CX$3</f>
        <v>1.3360040527679999</v>
      </c>
      <c r="DE123" s="3">
        <f>$H123*factors!CY$3</f>
        <v>1.375258477824</v>
      </c>
      <c r="DF123" s="3">
        <f>$H123*factors!CZ$3</f>
        <v>1.3725512760959999</v>
      </c>
      <c r="DG123" s="3">
        <f>$H123*factors!DA$3</f>
        <v>1.3671368726399999</v>
      </c>
      <c r="DH123" s="3">
        <f>$H123*factors!DB$3</f>
        <v>1.3671368726399999</v>
      </c>
      <c r="DI123" s="3">
        <f>$H123*factors!DC$3</f>
        <v>1.3157000398079999</v>
      </c>
      <c r="DJ123" s="3">
        <f>$H123*factors!DD$3</f>
        <v>1.39420888992</v>
      </c>
      <c r="DK123" s="3">
        <f>$H123*factors!DE$3</f>
        <v>1.39420888992</v>
      </c>
      <c r="DL123" s="3">
        <f>$H123*factors!DF$3</f>
        <v>1.3779656795519999</v>
      </c>
      <c r="DM123" s="3">
        <f>$H123*factors!DG$3</f>
        <v>1.2981032285759997</v>
      </c>
      <c r="DN123" s="3">
        <f>$H123*factors!DH$3</f>
        <v>1.361722469184</v>
      </c>
      <c r="DO123" s="3">
        <f>$H123*factors!DI$3</f>
        <v>1.4063912976959998</v>
      </c>
      <c r="DP123" s="3">
        <f>$H123*factors!DJ$3</f>
        <v>1.39420888992</v>
      </c>
      <c r="DQ123" s="3">
        <f>$H123*factors!DK$3</f>
        <v>1.3292360484479999</v>
      </c>
      <c r="DR123" s="3">
        <f>$H123*factors!DL$3</f>
        <v>1.3143464389440001</v>
      </c>
      <c r="DS123" s="3">
        <f>$H123*factors!DM$3</f>
        <v>1.4199273063359998</v>
      </c>
      <c r="DT123" s="3">
        <f>$H123*factors!DN$3</f>
        <v>1.3346504519039999</v>
      </c>
      <c r="DU123" s="3">
        <f>$H123*factors!DO$3</f>
        <v>1.3969160916479999</v>
      </c>
      <c r="DV123" s="3">
        <f>$H123*factors!DP$3</f>
        <v>1.3644296709119998</v>
      </c>
      <c r="DW123" s="3">
        <f>$H123*factors!DQ$3</f>
        <v>1.3021640311679998</v>
      </c>
      <c r="DX123" s="3">
        <f>$H123*factors!DR$3</f>
        <v>1.3793192804159997</v>
      </c>
      <c r="DY123" s="3">
        <f>$H123*factors!DS$3</f>
        <v>1.3089320354879999</v>
      </c>
      <c r="DZ123" s="3">
        <f>$H123*factors!DT$3</f>
        <v>1.3996232933759998</v>
      </c>
      <c r="EA123" s="3">
        <f>$H123*factors!DU$3</f>
        <v>1.3184072415359998</v>
      </c>
      <c r="EB123" s="3">
        <f>$H123*factors!DV$3</f>
        <v>1.2859208207999999</v>
      </c>
      <c r="EC123" s="3">
        <f>$H123*factors!DW$3</f>
        <v>1.3833800830079999</v>
      </c>
      <c r="ED123" s="3">
        <f>$H123*factors!DX$3</f>
        <v>1.2981032285759997</v>
      </c>
      <c r="EE123" s="3">
        <f>$H123*factors!DY$3</f>
        <v>1.3089320354879999</v>
      </c>
      <c r="EF123" s="3">
        <f>$H123*factors!DZ$3</f>
        <v>1.4199273063359998</v>
      </c>
      <c r="EG123" s="3">
        <f>$H123*factors!EA$3</f>
        <v>1.3265288467199998</v>
      </c>
      <c r="EH123" s="3">
        <f>$H123*factors!EB$3</f>
        <v>1.330589649312</v>
      </c>
      <c r="EI123" s="3">
        <f>$H123*factors!EC$3</f>
        <v>1.3278824475839999</v>
      </c>
      <c r="EJ123" s="3">
        <f>$H123*factors!ED$3</f>
        <v>1.294042425984</v>
      </c>
      <c r="EK123" s="3">
        <f>$H123*factors!EE$3</f>
        <v>1.3833800830079999</v>
      </c>
      <c r="EL123" s="3">
        <f>$H123*factors!EF$3</f>
        <v>1.3157000398079999</v>
      </c>
      <c r="EM123" s="3">
        <f>$H123*factors!EG$3</f>
        <v>1.3684904735039998</v>
      </c>
      <c r="EN123" s="3">
        <f>$H123*factors!EH$3</f>
        <v>1.2859208207999999</v>
      </c>
      <c r="EO123" s="3">
        <f>$H123*factors!EI$3</f>
        <v>1.3048712328959997</v>
      </c>
      <c r="EP123" s="3">
        <f>$H123*factors!EJ$3</f>
        <v>1.3766120786879998</v>
      </c>
      <c r="EQ123" s="3">
        <f>$H123*factors!EK$3</f>
        <v>1.3387112544959998</v>
      </c>
      <c r="ER123" s="3">
        <f>$H123*factors!EL$3</f>
        <v>1.39420888992</v>
      </c>
      <c r="ES123" s="3">
        <f>$H123*factors!EM$3</f>
        <v>1.3766120786879998</v>
      </c>
      <c r="ET123" s="3">
        <f>$H123*factors!EN$3</f>
        <v>1.4077448985599998</v>
      </c>
      <c r="EU123" s="3">
        <f>$H123*factors!EO$3</f>
        <v>1.4212809071999999</v>
      </c>
      <c r="EV123" s="3">
        <f>$H123*factors!EP$3</f>
        <v>1.3319432501759998</v>
      </c>
      <c r="EW123" s="3">
        <f>$H123*factors!EQ$3</f>
        <v>1.4649909350999997</v>
      </c>
      <c r="EX123" s="3">
        <f>$H123*factors!ER$3</f>
        <v>1.4494809252</v>
      </c>
      <c r="EY123" s="3">
        <f>$H123*factors!ES$3</f>
        <v>1.4790909440999997</v>
      </c>
      <c r="EZ123" s="3">
        <f>$H123*factors!ET$3</f>
        <v>1.4649909350999997</v>
      </c>
      <c r="FA123" s="3">
        <f>$H123*factors!EU$3</f>
        <v>1.3465508594999998</v>
      </c>
      <c r="FB123" s="3">
        <f>$H123*factors!EV$3</f>
        <v>1.4071808982</v>
      </c>
      <c r="FC123" s="3">
        <f>$H123*factors!EW$3</f>
        <v>1.4466609233999999</v>
      </c>
      <c r="FD123" s="3">
        <f>$H123*factors!EX$3</f>
        <v>1.3959008909999999</v>
      </c>
      <c r="FE123" s="3">
        <f>$H123*factors!EY$3</f>
        <v>1.4706309386999998</v>
      </c>
      <c r="FF123" s="3">
        <f>$H123*factors!EZ$3</f>
        <v>1.4720409396</v>
      </c>
      <c r="FG123" s="3">
        <f>$H123*factors!FA$3</f>
        <v>1.3465508594999998</v>
      </c>
      <c r="FH123" s="3">
        <f>$H123*factors!FB$3</f>
        <v>1.4170509044999997</v>
      </c>
      <c r="FI123" s="3">
        <f>$H123*factors!FC$3</f>
        <v>1.4762709422999998</v>
      </c>
      <c r="FJ123" s="3">
        <f>$H123*factors!FD$3</f>
        <v>1.4170509044999997</v>
      </c>
      <c r="FK123" s="3">
        <f>$H123*factors!FE$3</f>
        <v>1.4410209198000001</v>
      </c>
      <c r="FL123" s="3">
        <f>$H123*factors!FF$3</f>
        <v>1.4452509224999999</v>
      </c>
      <c r="FM123" s="3">
        <f>$H123*factors!FG$3</f>
        <v>1.4607609323999999</v>
      </c>
      <c r="FN123" s="3">
        <f>$H123*factors!FH$3</f>
        <v>1.3662908720999998</v>
      </c>
      <c r="FO123" s="3">
        <f>$H123*factors!FI$3</f>
        <v>1.4508909260999998</v>
      </c>
      <c r="FP123" s="3">
        <f>$H123*factors!FJ$3</f>
        <v>1.4100009</v>
      </c>
      <c r="FQ123" s="3">
        <f>$H123*factors!FK$3</f>
        <v>1.3959008909999999</v>
      </c>
      <c r="FR123" s="3">
        <f>$H123*factors!FL$3</f>
        <v>1.4241009089999999</v>
      </c>
      <c r="FS123" s="3">
        <f>$H123*factors!FM$3</f>
        <v>1.4156409035999997</v>
      </c>
      <c r="FT123" s="3">
        <f>$H123*factors!FN$3</f>
        <v>1.4466609233999999</v>
      </c>
      <c r="FU123" s="3">
        <f>$H123*factors!FO$3</f>
        <v>1.3902608873999998</v>
      </c>
      <c r="FV123" s="3">
        <f>$H123*factors!FP$3</f>
        <v>1.3789808801999999</v>
      </c>
      <c r="FW123" s="3">
        <f>$H123*factors!FQ$3</f>
        <v>1.4762709422999998</v>
      </c>
      <c r="FX123" s="3">
        <f>$H123*factors!FR$3</f>
        <v>1.4494809252</v>
      </c>
      <c r="FY123" s="3">
        <f>$H123*factors!FS$3</f>
        <v>1.4198709062999997</v>
      </c>
      <c r="FZ123" s="3">
        <f>$H123*factors!FT$3</f>
        <v>1.3493708612999999</v>
      </c>
      <c r="GA123" s="3">
        <f>$H123*factors!FU$3</f>
        <v>1.4198709062999997</v>
      </c>
      <c r="GB123" s="3">
        <f>$H123*factors!FV$3</f>
        <v>1.4720409396</v>
      </c>
      <c r="GC123" s="3">
        <f>$H123*factors!FW$3</f>
        <v>1.3789808801999999</v>
      </c>
      <c r="GD123" s="3">
        <f>$H123*factors!FX$3</f>
        <v>1.4029508954999999</v>
      </c>
      <c r="GE123" s="3">
        <f>$H123*factors!FY$3</f>
        <v>1.4029508954999999</v>
      </c>
      <c r="GF123" s="3">
        <f>$H123*factors!FZ$3</f>
        <v>1.3987208927999999</v>
      </c>
      <c r="GG123" s="3">
        <f>$H123*factors!GA$3</f>
        <v>1.3437308576999998</v>
      </c>
      <c r="GH123" s="3">
        <f>$H123*factors!GB$3</f>
        <v>1.4297409126</v>
      </c>
      <c r="GI123" s="3">
        <f>$H123*factors!GC$3</f>
        <v>1.3409108558999998</v>
      </c>
      <c r="GJ123" s="3">
        <f>$H123*factors!GD$3</f>
        <v>1.3437308576999998</v>
      </c>
      <c r="GK123" s="3">
        <f>$H123*factors!GE$3</f>
        <v>1.3775708792999999</v>
      </c>
      <c r="GL123" s="3">
        <f>$H123*factors!GF$3</f>
        <v>1.4593509314999999</v>
      </c>
      <c r="GM123" s="3">
        <f>$H123*factors!GG$3</f>
        <v>1.3832108829</v>
      </c>
      <c r="GN123" s="3">
        <f>$H123*factors!GH$3</f>
        <v>1.4269209108000001</v>
      </c>
      <c r="GO123" s="3">
        <f>$H123*factors!GI$3</f>
        <v>1.3479608603999997</v>
      </c>
      <c r="GP123" s="3">
        <f>$H123*factors!GJ$3</f>
        <v>1.4452509224999999</v>
      </c>
      <c r="GQ123" s="3">
        <f>$H123*factors!GK$3</f>
        <v>1.4748609414</v>
      </c>
      <c r="GR123" s="3">
        <f>$H123*factors!GL$3</f>
        <v>1.4466609233999999</v>
      </c>
      <c r="GS123" s="3">
        <f>$H123*factors!GM$3</f>
        <v>1.368095673252</v>
      </c>
      <c r="GT123" s="3">
        <f>$H123*factors!GN$3</f>
        <v>1.3996120133687999</v>
      </c>
      <c r="GU123" s="3">
        <f>$H123*factors!GO$3</f>
        <v>1.4325609144</v>
      </c>
      <c r="GV123" s="3">
        <f>$H123*factors!GP$3</f>
        <v>1.375258477824</v>
      </c>
      <c r="GW123" s="3">
        <f>$H123*factors!GQ$3</f>
        <v>1.4239655489136001</v>
      </c>
      <c r="GX123" s="3">
        <f>$H123*factors!GR$3</f>
        <v>1.4010445742831998</v>
      </c>
      <c r="GY123" s="3">
        <f>$H123*factors!GS$3</f>
        <v>1.3938817697112</v>
      </c>
      <c r="GZ123" s="3">
        <f>$H123*factors!GT$3</f>
        <v>1.4454539626295997</v>
      </c>
      <c r="HA123" s="3">
        <f>$H123*factors!GU$3</f>
        <v>1.3981794524543998</v>
      </c>
      <c r="HB123" s="3">
        <f>$H123*factors!GV$3</f>
        <v>1.4454539626295997</v>
      </c>
      <c r="HC123" s="3">
        <f>$H123*factors!GW$3</f>
        <v>1.4096399397695998</v>
      </c>
      <c r="HD123" s="3">
        <f>$H123*factors!GX$3</f>
        <v>1.4511842062871998</v>
      </c>
      <c r="HE123" s="3">
        <f>$H123*factors!GY$3</f>
        <v>1.4325609144</v>
      </c>
      <c r="HF123" s="3">
        <f>$H123*factors!GZ$3</f>
        <v>1.4769703027463998</v>
      </c>
      <c r="HG123" s="3">
        <f>$H123*factors!HA$3</f>
        <v>1.4196678661703999</v>
      </c>
      <c r="HH123" s="3">
        <f>$H123*factors!HB$3</f>
        <v>1.4010445742831998</v>
      </c>
      <c r="HI123" s="3">
        <f>$H123*factors!HC$3</f>
        <v>1.3838538433104</v>
      </c>
      <c r="HJ123" s="3">
        <f>$H123*factors!HD$3</f>
        <v>1.368095673252</v>
      </c>
      <c r="HK123" s="3">
        <f>$H123*factors!HE$3</f>
        <v>1.4468865235439998</v>
      </c>
      <c r="HL123" s="3">
        <f>$H123*factors!HF$3</f>
        <v>1.3637979905087998</v>
      </c>
      <c r="HM123" s="3">
        <f>$H123*factors!HG$3</f>
        <v>1.3781235996528001</v>
      </c>
      <c r="HN123" s="3">
        <f>$H123*factors!HH$3</f>
        <v>1.4698074981744</v>
      </c>
      <c r="HO123" s="3">
        <f>$H123*factors!HI$3</f>
        <v>1.4096399397695998</v>
      </c>
      <c r="HP123" s="3">
        <f>$H123*factors!HJ$3</f>
        <v>1.50418896012</v>
      </c>
      <c r="HQ123" s="3">
        <f>$H123*factors!HK$3</f>
        <v>1.375258477824</v>
      </c>
      <c r="HR123" s="3">
        <f>$H123*factors!HL$3</f>
        <v>1.4583470108592</v>
      </c>
      <c r="HS123" s="3">
        <f>$H123*factors!HM$3</f>
        <v>1.4841331073183999</v>
      </c>
      <c r="HT123" s="3">
        <f>$H123*factors!HN$3</f>
        <v>1.3838538433104</v>
      </c>
      <c r="HU123" s="3">
        <f>$H123*factors!HO$3</f>
        <v>1.3981794524543998</v>
      </c>
      <c r="HV123" s="3">
        <f>$H123*factors!HP$3</f>
        <v>1.4153701834272001</v>
      </c>
      <c r="HW123" s="3">
        <f>$H123*factors!HQ$3</f>
        <v>1.4354260362288001</v>
      </c>
      <c r="HX123" s="3">
        <f>$H123*factors!HR$3</f>
        <v>1.4941610337191997</v>
      </c>
      <c r="HY123" s="3">
        <f>$H123*factors!HS$3</f>
        <v>1.4196678661703999</v>
      </c>
      <c r="HZ123" s="3">
        <f>$H123*factors!HT$3</f>
        <v>1.4741051809175998</v>
      </c>
      <c r="IA123" s="3">
        <f>$H123*factors!HU$3</f>
        <v>1.4024771351976</v>
      </c>
      <c r="IB123" s="3">
        <f>$H123*factors!HV$3</f>
        <v>1.4511842062871998</v>
      </c>
      <c r="IC123" s="3">
        <f>$H123*factors!HW$3</f>
        <v>1.4655098154311998</v>
      </c>
      <c r="ID123" s="3">
        <f>$H123*factors!HX$3</f>
        <v>1.3609328686799997</v>
      </c>
      <c r="IE123" s="3">
        <f>$H123*factors!HY$3</f>
        <v>1.4454539626295997</v>
      </c>
      <c r="IF123" s="3">
        <f>$H123*factors!HZ$3</f>
        <v>1.4368585971431997</v>
      </c>
      <c r="IG123" s="3">
        <f>$H123*factors!IA$3</f>
        <v>1.4239655489136001</v>
      </c>
      <c r="IH123" s="3">
        <f>$H123*factors!IB$3</f>
        <v>1.4769703027463998</v>
      </c>
      <c r="II123" s="3">
        <f>$H123*factors!IC$3</f>
        <v>1.4139376225128</v>
      </c>
      <c r="IJ123" s="3">
        <f>$H123*factors!ID$3</f>
        <v>1.4268306707423999</v>
      </c>
      <c r="IK123" s="3">
        <f>$H123*factors!IE$3</f>
        <v>1.4784028636608</v>
      </c>
      <c r="IL123" s="3">
        <f>$H123*factors!IF$3</f>
        <v>1.4153701834272001</v>
      </c>
      <c r="IM123" s="3">
        <f>$H123*factors!IG$3</f>
        <v>1.4024771351976</v>
      </c>
      <c r="IN123" s="3">
        <f>$H123*factors!IH$3</f>
        <v>1.4110725006839999</v>
      </c>
      <c r="IO123" s="3">
        <f>$H123*factors!II$3</f>
        <v>1.425398109828</v>
      </c>
      <c r="IP123" s="3">
        <f>$H123*factors!IJ$3</f>
        <v>1.3781235996528001</v>
      </c>
      <c r="IQ123" s="3">
        <f>$H123*factors!IK$3</f>
        <v>1.3738259169095999</v>
      </c>
      <c r="IR123" s="3">
        <f>$H123*factors!IL$3</f>
        <v>1.4139376225128</v>
      </c>
      <c r="IS123" s="3">
        <f>$H123*factors!IM$3</f>
        <v>1.425398109828</v>
      </c>
      <c r="IT123" s="3">
        <f>$H123*factors!IN$3</f>
        <v>1.4354260362288001</v>
      </c>
      <c r="IU123" s="3">
        <f>$H123*factors!IO$3</f>
        <v>1.4669423763456</v>
      </c>
      <c r="IV123" s="3">
        <f>$H123*factors!IP$3</f>
        <v>1.4855656682327998</v>
      </c>
      <c r="IW123" s="3">
        <f>$H123*factors!IQ$3</f>
        <v>1.4039096961119999</v>
      </c>
      <c r="IX123" s="3">
        <f>$H123*factors!IR$3</f>
        <v>1.4669423763456</v>
      </c>
      <c r="IY123" s="3">
        <f>$H123*factors!IS$3</f>
        <v>1.4454539626295997</v>
      </c>
      <c r="IZ123" s="3">
        <f>$H123*factors!IT$3</f>
        <v>1.4698074981744</v>
      </c>
      <c r="JA123" s="3">
        <f>$H123*factors!IU$3</f>
        <v>1.3881515260535999</v>
      </c>
      <c r="JB123" s="3">
        <f>$H123*factors!IV$3</f>
        <v>1.4139376225128</v>
      </c>
      <c r="JC123" s="3">
        <f>$H123*factors!IW$3</f>
        <v>1.3809887214815999</v>
      </c>
      <c r="JD123" s="3">
        <f>$H123*factors!IX$3</f>
        <v>1.50418896012</v>
      </c>
      <c r="JE123" s="3">
        <f>$H123*factors!IY$3</f>
        <v>1.3852864042247999</v>
      </c>
      <c r="JF123" s="3">
        <f>$H123*factors!IZ$3</f>
        <v>1.4540493281159996</v>
      </c>
      <c r="JG123" s="3">
        <f>$H123*factors!JA$3</f>
        <v>1.4282632316567998</v>
      </c>
      <c r="JH123" s="3">
        <f>$H123*factors!JB$3</f>
        <v>1.4554818890304</v>
      </c>
      <c r="JI123" s="3">
        <f>$H123*factors!JC$3</f>
        <v>1.3623654295943999</v>
      </c>
      <c r="JJ123" s="3">
        <f>$H123*factors!JD$3</f>
        <v>1.4669423763456</v>
      </c>
      <c r="JK123" s="3">
        <f>$H123*factors!JE$3</f>
        <v>1.4196678661703999</v>
      </c>
      <c r="JL123" s="3">
        <f>$H123*factors!JF$3</f>
        <v>1.4769703027463998</v>
      </c>
      <c r="JM123" s="3">
        <f>$H123*factors!JG$3</f>
        <v>1.3781235996528001</v>
      </c>
      <c r="JN123" s="3">
        <f>$H123*factors!JH$3</f>
        <v>1.3781235996528001</v>
      </c>
      <c r="JO123" s="3">
        <f>$H123*factors!JI$3</f>
        <v>1.3609328686799997</v>
      </c>
      <c r="JP123" s="3">
        <f>$H123*factors!JJ$3</f>
        <v>1.4712400590888</v>
      </c>
      <c r="JQ123" s="3">
        <f>$H123*factors!JK$3</f>
        <v>1.4339934753143999</v>
      </c>
      <c r="JR123" s="3">
        <f>$H123*factors!JL$3</f>
        <v>1.489863350976</v>
      </c>
      <c r="JS123" s="3">
        <f>$H123*factors!JM$3</f>
        <v>1.3609328686799997</v>
      </c>
      <c r="JT123" s="3">
        <f>$H123*factors!JN$3</f>
        <v>1.4296957925711999</v>
      </c>
      <c r="JU123" s="3">
        <f>$H123*factors!JO$3</f>
        <v>1.3824212823959998</v>
      </c>
      <c r="JV123" s="3">
        <f>$H123*factors!JP$3</f>
        <v>1.4053422570264</v>
      </c>
      <c r="JW123" s="3">
        <f>$H123*factors!JQ$3</f>
        <v>1.5013238382912002</v>
      </c>
      <c r="JX123" s="3">
        <f>$H123*factors!JR$3</f>
        <v>1.4869982291471999</v>
      </c>
      <c r="JY123" s="3">
        <f>$H123*factors!JS$3</f>
        <v>1.3996120133687999</v>
      </c>
      <c r="JZ123" s="3">
        <f>$H123*factors!JT$3</f>
        <v>1.4153701834272001</v>
      </c>
      <c r="KA123" s="3">
        <f>$H123*factors!JU$3</f>
        <v>1.4211004270848</v>
      </c>
      <c r="KB123" s="3">
        <f>$H123*factors!JV$3</f>
        <v>1.3738259169095999</v>
      </c>
      <c r="KC123" s="3">
        <f>$H123*factors!JW$3</f>
        <v>1.3809887214815999</v>
      </c>
      <c r="KD123" s="3">
        <f>$H123*factors!JX$3</f>
        <v>1.3824212823959998</v>
      </c>
      <c r="KE123" s="3">
        <f>$H123*factors!JY$3</f>
        <v>1.4712400590888</v>
      </c>
      <c r="KF123" s="3">
        <f>$H123*factors!JZ$3</f>
        <v>1.4884307900615998</v>
      </c>
      <c r="KG123" s="3">
        <f>$H123*factors!KA$3</f>
        <v>1.4354260362288001</v>
      </c>
      <c r="KH123" s="3">
        <f>$H123*factors!KB$3</f>
        <v>1.4039096961119999</v>
      </c>
      <c r="KI123" s="3">
        <f>$H123*factors!KC$3</f>
        <v>1.3910166478823998</v>
      </c>
    </row>
    <row r="124" spans="1:295" x14ac:dyDescent="0.55000000000000004">
      <c r="A124" t="s">
        <v>501</v>
      </c>
      <c r="B124">
        <v>123</v>
      </c>
      <c r="C124">
        <v>230</v>
      </c>
      <c r="D124" t="s">
        <v>377</v>
      </c>
      <c r="E124">
        <v>3.241E-3</v>
      </c>
      <c r="F124">
        <v>123</v>
      </c>
      <c r="G124">
        <f>VLOOKUP(D124,demand_forecasted!$A$2:$G$11,2)</f>
        <v>11098</v>
      </c>
      <c r="H124" s="3">
        <f t="shared" si="2"/>
        <v>0.35968617999999997</v>
      </c>
      <c r="I124" s="3">
        <f>$H124*factors!C$3</f>
        <v>0.39817260125999998</v>
      </c>
      <c r="J124" s="3">
        <f>$H124*factors!D$3</f>
        <v>0.38379954150719997</v>
      </c>
      <c r="K124" s="3">
        <f>$H124*factors!E$3</f>
        <v>0.37719570324239998</v>
      </c>
      <c r="L124" s="3">
        <f>$H124*factors!F$3</f>
        <v>0.3760303200192</v>
      </c>
      <c r="M124" s="3">
        <f>$H124*factors!G$3</f>
        <v>0.37564185894479996</v>
      </c>
      <c r="N124" s="3">
        <f>$H124*factors!H$3</f>
        <v>0.38651876902799998</v>
      </c>
      <c r="O124" s="3">
        <f>$H124*factors!I$3</f>
        <v>0.39506491266479998</v>
      </c>
      <c r="P124" s="3">
        <f>$H124*factors!J$3</f>
        <v>0.39972644555760001</v>
      </c>
      <c r="Q124" s="3">
        <f>$H124*factors!K$3</f>
        <v>0.37525339787039996</v>
      </c>
      <c r="R124" s="3">
        <f>$H124*factors!L$3</f>
        <v>0.36903802067999997</v>
      </c>
      <c r="S124" s="3">
        <f>$H124*factors!M$3</f>
        <v>0.38418800258159996</v>
      </c>
      <c r="T124" s="3">
        <f>$H124*factors!N$3</f>
        <v>0.3973956791112</v>
      </c>
      <c r="U124" s="3">
        <f>$H124*factors!O$3</f>
        <v>0.3764187810936</v>
      </c>
      <c r="V124" s="3">
        <f>$H124*factors!P$3</f>
        <v>0.39156876299519999</v>
      </c>
      <c r="W124" s="3">
        <f>$H124*factors!Q$3</f>
        <v>0.39506491266479998</v>
      </c>
      <c r="X124" s="3">
        <f>$H124*factors!R$3</f>
        <v>0.37797262539119997</v>
      </c>
      <c r="Y124" s="3">
        <f>$H124*factors!S$3</f>
        <v>0.37447647572159998</v>
      </c>
      <c r="Z124" s="3">
        <f>$H124*factors!T$3</f>
        <v>0.40399951737600004</v>
      </c>
      <c r="AA124" s="3">
        <f>$H124*factors!U$3</f>
        <v>0.38146877506079996</v>
      </c>
      <c r="AB124" s="3">
        <f>$H124*factors!V$3</f>
        <v>0.38185723613520001</v>
      </c>
      <c r="AC124" s="3">
        <f>$H124*factors!W$3</f>
        <v>0.3822456972096</v>
      </c>
      <c r="AD124" s="3">
        <f>$H124*factors!X$3</f>
        <v>0.37408801464719998</v>
      </c>
      <c r="AE124" s="3">
        <f>$H124*factors!Y$3</f>
        <v>0.37719570324239998</v>
      </c>
      <c r="AF124" s="3">
        <f>$H124*factors!Z$3</f>
        <v>0.3849649247304</v>
      </c>
      <c r="AG124" s="3">
        <f>$H124*factors!AA$3</f>
        <v>0.37525339787039996</v>
      </c>
      <c r="AH124" s="3">
        <f>$H124*factors!AB$3</f>
        <v>0.37369955357279999</v>
      </c>
      <c r="AI124" s="3">
        <f>$H124*factors!AC$3</f>
        <v>0.38574184687919999</v>
      </c>
      <c r="AJ124" s="3">
        <f>$H124*factors!AD$3</f>
        <v>0.40050336770639999</v>
      </c>
      <c r="AK124" s="3">
        <f>$H124*factors!AE$3</f>
        <v>0.3853533858048</v>
      </c>
      <c r="AL124" s="3">
        <f>$H124*factors!AF$3</f>
        <v>0.37020340390319995</v>
      </c>
      <c r="AM124" s="3">
        <f>$H124*factors!AG$3</f>
        <v>0.38069185291199997</v>
      </c>
      <c r="AN124" s="3">
        <f>$H124*factors!AH$3</f>
        <v>0.37447647572159998</v>
      </c>
      <c r="AO124" s="3">
        <f>$H124*factors!AI$3</f>
        <v>0.39234568514399998</v>
      </c>
      <c r="AP124" s="3">
        <f>$H124*factors!AJ$3</f>
        <v>0.3760303200192</v>
      </c>
      <c r="AQ124" s="3">
        <f>$H124*factors!AK$3</f>
        <v>0.3880726133256</v>
      </c>
      <c r="AR124" s="3">
        <f>$H124*factors!AL$3</f>
        <v>0.37952646968879999</v>
      </c>
      <c r="AS124" s="3">
        <f>$H124*factors!AM$3</f>
        <v>0.37020340390319995</v>
      </c>
      <c r="AT124" s="3">
        <f>$H124*factors!AN$3</f>
        <v>0.38185723613520001</v>
      </c>
      <c r="AU124" s="3">
        <f>$H124*factors!AO$3</f>
        <v>0.40438797845039992</v>
      </c>
      <c r="AV124" s="3">
        <f>$H124*factors!AP$3</f>
        <v>0.3822456972096</v>
      </c>
      <c r="AW124" s="3">
        <f>$H124*factors!AQ$3</f>
        <v>0.37836108646559996</v>
      </c>
      <c r="AX124" s="3">
        <f>$H124*factors!AR$3</f>
        <v>0.400114906632</v>
      </c>
      <c r="AY124" s="3">
        <f>$H124*factors!AS$3</f>
        <v>0.36903802067999997</v>
      </c>
      <c r="AZ124" s="3">
        <f>$H124*factors!AT$3</f>
        <v>0.39545337373920003</v>
      </c>
      <c r="BA124" s="3">
        <f>$H124*factors!AU$3</f>
        <v>0.38690723010239997</v>
      </c>
      <c r="BB124" s="3">
        <f>$H124*factors!AV$3</f>
        <v>0.38185723613520001</v>
      </c>
      <c r="BC124" s="3">
        <f>$H124*factors!AW$3</f>
        <v>0.40399951737600004</v>
      </c>
      <c r="BD124" s="3">
        <f>$H124*factors!AX$3</f>
        <v>0.37292263142399995</v>
      </c>
      <c r="BE124" s="3">
        <f>$H124*factors!AY$3</f>
        <v>0.43843587224919994</v>
      </c>
      <c r="BF124" s="3">
        <f>$H124*factors!AZ$3</f>
        <v>0.40830136408879997</v>
      </c>
      <c r="BG124" s="3">
        <f>$H124*factors!BA$3</f>
        <v>0.41424337978239989</v>
      </c>
      <c r="BH124" s="3">
        <f>$H124*factors!BB$3</f>
        <v>0.41976096578359995</v>
      </c>
      <c r="BI124" s="3">
        <f>$H124*factors!BC$3</f>
        <v>0.43504043470999987</v>
      </c>
      <c r="BJ124" s="3">
        <f>$H124*factors!BD$3</f>
        <v>0.41551666885959992</v>
      </c>
      <c r="BK124" s="3">
        <f>$H124*factors!BE$3</f>
        <v>0.41636552824439987</v>
      </c>
      <c r="BL124" s="3">
        <f>$H124*factors!BF$3</f>
        <v>0.41169680162799993</v>
      </c>
      <c r="BM124" s="3">
        <f>$H124*factors!BG$3</f>
        <v>0.43970916132639998</v>
      </c>
      <c r="BN124" s="3">
        <f>$H124*factors!BH$3</f>
        <v>0.43419157532519992</v>
      </c>
      <c r="BO124" s="3">
        <f>$H124*factors!BI$3</f>
        <v>0.40830136408879997</v>
      </c>
      <c r="BP124" s="3">
        <f>$H124*factors!BJ$3</f>
        <v>0.40702807501159993</v>
      </c>
      <c r="BQ124" s="3">
        <f>$H124*factors!BK$3</f>
        <v>0.41381895008999992</v>
      </c>
      <c r="BR124" s="3">
        <f>$H124*factors!BL$3</f>
        <v>0.42867398932399997</v>
      </c>
      <c r="BS124" s="3">
        <f>$H124*factors!BM$3</f>
        <v>0.43546486440239995</v>
      </c>
      <c r="BT124" s="3">
        <f>$H124*factors!BN$3</f>
        <v>0.43673815347959993</v>
      </c>
      <c r="BU124" s="3">
        <f>$H124*factors!BO$3</f>
        <v>0.4439534582504</v>
      </c>
      <c r="BV124" s="3">
        <f>$H124*factors!BP$3</f>
        <v>0.41297009070519997</v>
      </c>
      <c r="BW124" s="3">
        <f>$H124*factors!BQ$3</f>
        <v>0.42230754393799991</v>
      </c>
      <c r="BX124" s="3">
        <f>$H124*factors!BR$3</f>
        <v>0.41424337978239989</v>
      </c>
      <c r="BY124" s="3">
        <f>$H124*factors!BS$3</f>
        <v>0.43334271594039986</v>
      </c>
      <c r="BZ124" s="3">
        <f>$H124*factors!BT$3</f>
        <v>0.4252785517847999</v>
      </c>
      <c r="CA124" s="3">
        <f>$H124*factors!BU$3</f>
        <v>0.41976096578359995</v>
      </c>
      <c r="CB124" s="3">
        <f>$H124*factors!BV$3</f>
        <v>0.40617921562679993</v>
      </c>
      <c r="CC124" s="3">
        <f>$H124*factors!BW$3</f>
        <v>0.41806324701399994</v>
      </c>
      <c r="CD124" s="3">
        <f>$H124*factors!BX$3</f>
        <v>0.41933653609119997</v>
      </c>
      <c r="CE124" s="3">
        <f>$H124*factors!BY$3</f>
        <v>0.4252785517847999</v>
      </c>
      <c r="CF124" s="3">
        <f>$H124*factors!BZ$3</f>
        <v>0.41891210639879994</v>
      </c>
      <c r="CG124" s="3">
        <f>$H124*factors!CA$3</f>
        <v>0.40490592654959989</v>
      </c>
      <c r="CH124" s="3">
        <f>$H124*factors!CB$3</f>
        <v>0.40533035624199987</v>
      </c>
      <c r="CI124" s="3">
        <f>$H124*factors!CC$3</f>
        <v>0.40320820777999994</v>
      </c>
      <c r="CJ124" s="3">
        <f>$H124*factors!CD$3</f>
        <v>0.41976096578359995</v>
      </c>
      <c r="CK124" s="3">
        <f>$H124*factors!CE$3</f>
        <v>0.43843587224919994</v>
      </c>
      <c r="CL124" s="3">
        <f>$H124*factors!CF$3</f>
        <v>0.41084794224319993</v>
      </c>
      <c r="CM124" s="3">
        <f>$H124*factors!CG$3</f>
        <v>0.4206098251683999</v>
      </c>
      <c r="CN124" s="3">
        <f>$H124*factors!CH$3</f>
        <v>0.4066036453191999</v>
      </c>
      <c r="CO124" s="3">
        <f>$H124*factors!CI$3</f>
        <v>0.40957465316599989</v>
      </c>
      <c r="CP124" s="3">
        <f>$H124*factors!CJ$3</f>
        <v>0.42909841901639983</v>
      </c>
      <c r="CQ124" s="3">
        <f>$H124*factors!CK$3</f>
        <v>0.41636552824439987</v>
      </c>
      <c r="CR124" s="3">
        <f>$H124*factors!CL$3</f>
        <v>0.42952284870879992</v>
      </c>
      <c r="CS124" s="3">
        <f>$H124*factors!CM$3</f>
        <v>0.44310459886559994</v>
      </c>
      <c r="CT124" s="3">
        <f>$H124*factors!CN$3</f>
        <v>0.43801144255679997</v>
      </c>
      <c r="CU124" s="3">
        <f>$H124*factors!CO$3</f>
        <v>0.42824955963159989</v>
      </c>
      <c r="CV124" s="3">
        <f>$H124*factors!CP$3</f>
        <v>0.4456511770199999</v>
      </c>
      <c r="CW124" s="3">
        <f>$H124*factors!CQ$3</f>
        <v>0.42145868455319996</v>
      </c>
      <c r="CX124" s="3">
        <f>$H124*factors!CR$3</f>
        <v>0.41509223916719995</v>
      </c>
      <c r="CY124" s="3">
        <f>$H124*factors!CS$3</f>
        <v>0.4112723719355999</v>
      </c>
      <c r="CZ124" s="3">
        <f>$H124*factors!CT$3</f>
        <v>0.40533035624199987</v>
      </c>
      <c r="DA124" s="3">
        <f>$H124*factors!CU$3</f>
        <v>0.42083283059999993</v>
      </c>
      <c r="DB124" s="3">
        <f>$H124*factors!CV$3</f>
        <v>0.44802510580799998</v>
      </c>
      <c r="DC124" s="3">
        <f>$H124*factors!CW$3</f>
        <v>0.4290336755039999</v>
      </c>
      <c r="DD124" s="3">
        <f>$H124*factors!CX$3</f>
        <v>0.42601231159199993</v>
      </c>
      <c r="DE124" s="3">
        <f>$H124*factors!CY$3</f>
        <v>0.438529390656</v>
      </c>
      <c r="DF124" s="3">
        <f>$H124*factors!CZ$3</f>
        <v>0.43766614382399993</v>
      </c>
      <c r="DG124" s="3">
        <f>$H124*factors!DA$3</f>
        <v>0.43593965015999997</v>
      </c>
      <c r="DH124" s="3">
        <f>$H124*factors!DB$3</f>
        <v>0.43593965015999997</v>
      </c>
      <c r="DI124" s="3">
        <f>$H124*factors!DC$3</f>
        <v>0.41953796035199992</v>
      </c>
      <c r="DJ124" s="3">
        <f>$H124*factors!DD$3</f>
        <v>0.44457211847999994</v>
      </c>
      <c r="DK124" s="3">
        <f>$H124*factors!DE$3</f>
        <v>0.44457211847999994</v>
      </c>
      <c r="DL124" s="3">
        <f>$H124*factors!DF$3</f>
        <v>0.43939263748799995</v>
      </c>
      <c r="DM124" s="3">
        <f>$H124*factors!DG$3</f>
        <v>0.41392685594399992</v>
      </c>
      <c r="DN124" s="3">
        <f>$H124*factors!DH$3</f>
        <v>0.43421315649599995</v>
      </c>
      <c r="DO124" s="3">
        <f>$H124*factors!DI$3</f>
        <v>0.44845672922399993</v>
      </c>
      <c r="DP124" s="3">
        <f>$H124*factors!DJ$3</f>
        <v>0.44457211847999994</v>
      </c>
      <c r="DQ124" s="3">
        <f>$H124*factors!DK$3</f>
        <v>0.4238541945119999</v>
      </c>
      <c r="DR124" s="3">
        <f>$H124*factors!DL$3</f>
        <v>0.41910633693599997</v>
      </c>
      <c r="DS124" s="3">
        <f>$H124*factors!DM$3</f>
        <v>0.45277296338399992</v>
      </c>
      <c r="DT124" s="3">
        <f>$H124*factors!DN$3</f>
        <v>0.42558068817599998</v>
      </c>
      <c r="DU124" s="3">
        <f>$H124*factors!DO$3</f>
        <v>0.44543536531199995</v>
      </c>
      <c r="DV124" s="3">
        <f>$H124*factors!DP$3</f>
        <v>0.43507640332799996</v>
      </c>
      <c r="DW124" s="3">
        <f>$H124*factors!DQ$3</f>
        <v>0.41522172619199993</v>
      </c>
      <c r="DX124" s="3">
        <f>$H124*factors!DR$3</f>
        <v>0.4398242609039999</v>
      </c>
      <c r="DY124" s="3">
        <f>$H124*factors!DS$3</f>
        <v>0.4173798432719999</v>
      </c>
      <c r="DZ124" s="3">
        <f>$H124*factors!DT$3</f>
        <v>0.44629861214399991</v>
      </c>
      <c r="EA124" s="3">
        <f>$H124*factors!DU$3</f>
        <v>0.42040120718399993</v>
      </c>
      <c r="EB124" s="3">
        <f>$H124*factors!DV$3</f>
        <v>0.41004224519999993</v>
      </c>
      <c r="EC124" s="3">
        <f>$H124*factors!DW$3</f>
        <v>0.44111913115199991</v>
      </c>
      <c r="ED124" s="3">
        <f>$H124*factors!DX$3</f>
        <v>0.41392685594399992</v>
      </c>
      <c r="EE124" s="3">
        <f>$H124*factors!DY$3</f>
        <v>0.4173798432719999</v>
      </c>
      <c r="EF124" s="3">
        <f>$H124*factors!DZ$3</f>
        <v>0.45277296338399992</v>
      </c>
      <c r="EG124" s="3">
        <f>$H124*factors!EA$3</f>
        <v>0.42299094767999995</v>
      </c>
      <c r="EH124" s="3">
        <f>$H124*factors!EB$3</f>
        <v>0.42428581792799996</v>
      </c>
      <c r="EI124" s="3">
        <f>$H124*factors!EC$3</f>
        <v>0.42342257109599996</v>
      </c>
      <c r="EJ124" s="3">
        <f>$H124*factors!ED$3</f>
        <v>0.41263198569599996</v>
      </c>
      <c r="EK124" s="3">
        <f>$H124*factors!EE$3</f>
        <v>0.44111913115199991</v>
      </c>
      <c r="EL124" s="3">
        <f>$H124*factors!EF$3</f>
        <v>0.41953796035199992</v>
      </c>
      <c r="EM124" s="3">
        <f>$H124*factors!EG$3</f>
        <v>0.43637127357599992</v>
      </c>
      <c r="EN124" s="3">
        <f>$H124*factors!EH$3</f>
        <v>0.41004224519999993</v>
      </c>
      <c r="EO124" s="3">
        <f>$H124*factors!EI$3</f>
        <v>0.41608497302399988</v>
      </c>
      <c r="EP124" s="3">
        <f>$H124*factors!EJ$3</f>
        <v>0.43896101407199994</v>
      </c>
      <c r="EQ124" s="3">
        <f>$H124*factors!EK$3</f>
        <v>0.42687555842399993</v>
      </c>
      <c r="ER124" s="3">
        <f>$H124*factors!EL$3</f>
        <v>0.44457211847999994</v>
      </c>
      <c r="ES124" s="3">
        <f>$H124*factors!EM$3</f>
        <v>0.43896101407199994</v>
      </c>
      <c r="ET124" s="3">
        <f>$H124*factors!EN$3</f>
        <v>0.44888835263999993</v>
      </c>
      <c r="EU124" s="3">
        <f>$H124*factors!EO$3</f>
        <v>0.45320458679999998</v>
      </c>
      <c r="EV124" s="3">
        <f>$H124*factors!EP$3</f>
        <v>0.42471744134399991</v>
      </c>
      <c r="EW124" s="3">
        <f>$H124*factors!EQ$3</f>
        <v>0.46714242627499991</v>
      </c>
      <c r="EX124" s="3">
        <f>$H124*factors!ER$3</f>
        <v>0.46219674129999999</v>
      </c>
      <c r="EY124" s="3">
        <f>$H124*factors!ES$3</f>
        <v>0.47163850352499986</v>
      </c>
      <c r="EZ124" s="3">
        <f>$H124*factors!ET$3</f>
        <v>0.46714242627499991</v>
      </c>
      <c r="FA124" s="3">
        <f>$H124*factors!EU$3</f>
        <v>0.42937537737499992</v>
      </c>
      <c r="FB124" s="3">
        <f>$H124*factors!EV$3</f>
        <v>0.44870850954999997</v>
      </c>
      <c r="FC124" s="3">
        <f>$H124*factors!EW$3</f>
        <v>0.46129752584999995</v>
      </c>
      <c r="FD124" s="3">
        <f>$H124*factors!EX$3</f>
        <v>0.44511164774999995</v>
      </c>
      <c r="FE124" s="3">
        <f>$H124*factors!EY$3</f>
        <v>0.46894085717499995</v>
      </c>
      <c r="FF124" s="3">
        <f>$H124*factors!EZ$3</f>
        <v>0.46939046490000003</v>
      </c>
      <c r="FG124" s="3">
        <f>$H124*factors!FA$3</f>
        <v>0.42937537737499992</v>
      </c>
      <c r="FH124" s="3">
        <f>$H124*factors!FB$3</f>
        <v>0.45185576362499991</v>
      </c>
      <c r="FI124" s="3">
        <f>$H124*factors!FC$3</f>
        <v>0.47073928807499993</v>
      </c>
      <c r="FJ124" s="3">
        <f>$H124*factors!FD$3</f>
        <v>0.45185576362499991</v>
      </c>
      <c r="FK124" s="3">
        <f>$H124*factors!FE$3</f>
        <v>0.45949909494999996</v>
      </c>
      <c r="FL124" s="3">
        <f>$H124*factors!FF$3</f>
        <v>0.46084791812499998</v>
      </c>
      <c r="FM124" s="3">
        <f>$H124*factors!FG$3</f>
        <v>0.46579360309999995</v>
      </c>
      <c r="FN124" s="3">
        <f>$H124*factors!FH$3</f>
        <v>0.43566988552499991</v>
      </c>
      <c r="FO124" s="3">
        <f>$H124*factors!FI$3</f>
        <v>0.4626463490249999</v>
      </c>
      <c r="FP124" s="3">
        <f>$H124*factors!FJ$3</f>
        <v>0.44960772499999996</v>
      </c>
      <c r="FQ124" s="3">
        <f>$H124*factors!FK$3</f>
        <v>0.44511164774999995</v>
      </c>
      <c r="FR124" s="3">
        <f>$H124*factors!FL$3</f>
        <v>0.45410380224999997</v>
      </c>
      <c r="FS124" s="3">
        <f>$H124*factors!FM$3</f>
        <v>0.45140615589999994</v>
      </c>
      <c r="FT124" s="3">
        <f>$H124*factors!FN$3</f>
        <v>0.46129752584999995</v>
      </c>
      <c r="FU124" s="3">
        <f>$H124*factors!FO$3</f>
        <v>0.44331321684999991</v>
      </c>
      <c r="FV124" s="3">
        <f>$H124*factors!FP$3</f>
        <v>0.43971635504999995</v>
      </c>
      <c r="FW124" s="3">
        <f>$H124*factors!FQ$3</f>
        <v>0.47073928807499993</v>
      </c>
      <c r="FX124" s="3">
        <f>$H124*factors!FR$3</f>
        <v>0.46219674129999999</v>
      </c>
      <c r="FY124" s="3">
        <f>$H124*factors!FS$3</f>
        <v>0.4527549790749999</v>
      </c>
      <c r="FZ124" s="3">
        <f>$H124*factors!FT$3</f>
        <v>0.43027459282499997</v>
      </c>
      <c r="GA124" s="3">
        <f>$H124*factors!FU$3</f>
        <v>0.4527549790749999</v>
      </c>
      <c r="GB124" s="3">
        <f>$H124*factors!FV$3</f>
        <v>0.46939046490000003</v>
      </c>
      <c r="GC124" s="3">
        <f>$H124*factors!FW$3</f>
        <v>0.43971635504999995</v>
      </c>
      <c r="GD124" s="3">
        <f>$H124*factors!FX$3</f>
        <v>0.4473596863749999</v>
      </c>
      <c r="GE124" s="3">
        <f>$H124*factors!FY$3</f>
        <v>0.4473596863749999</v>
      </c>
      <c r="GF124" s="3">
        <f>$H124*factors!FZ$3</f>
        <v>0.44601086319999994</v>
      </c>
      <c r="GG124" s="3">
        <f>$H124*factors!GA$3</f>
        <v>0.42847616192499993</v>
      </c>
      <c r="GH124" s="3">
        <f>$H124*factors!GB$3</f>
        <v>0.45590223315</v>
      </c>
      <c r="GI124" s="3">
        <f>$H124*factors!GC$3</f>
        <v>0.42757694647499994</v>
      </c>
      <c r="GJ124" s="3">
        <f>$H124*factors!GD$3</f>
        <v>0.42847616192499993</v>
      </c>
      <c r="GK124" s="3">
        <f>$H124*factors!GE$3</f>
        <v>0.43926674732499993</v>
      </c>
      <c r="GL124" s="3">
        <f>$H124*factors!GF$3</f>
        <v>0.46534399537499993</v>
      </c>
      <c r="GM124" s="3">
        <f>$H124*factors!GG$3</f>
        <v>0.44106517822499997</v>
      </c>
      <c r="GN124" s="3">
        <f>$H124*factors!GH$3</f>
        <v>0.45500301770000001</v>
      </c>
      <c r="GO124" s="3">
        <f>$H124*factors!GI$3</f>
        <v>0.42982498509999989</v>
      </c>
      <c r="GP124" s="3">
        <f>$H124*factors!GJ$3</f>
        <v>0.46084791812499998</v>
      </c>
      <c r="GQ124" s="3">
        <f>$H124*factors!GK$3</f>
        <v>0.47028968035000002</v>
      </c>
      <c r="GR124" s="3">
        <f>$H124*factors!GL$3</f>
        <v>0.46129752584999995</v>
      </c>
      <c r="GS124" s="3">
        <f>$H124*factors!GM$3</f>
        <v>0.43624538341299995</v>
      </c>
      <c r="GT124" s="3">
        <f>$H124*factors!GN$3</f>
        <v>0.4462950152822</v>
      </c>
      <c r="GU124" s="3">
        <f>$H124*factors!GO$3</f>
        <v>0.45680144859999994</v>
      </c>
      <c r="GV124" s="3">
        <f>$H124*factors!GP$3</f>
        <v>0.438529390656</v>
      </c>
      <c r="GW124" s="3">
        <f>$H124*factors!GQ$3</f>
        <v>0.45406063990839995</v>
      </c>
      <c r="GX124" s="3">
        <f>$H124*factors!GR$3</f>
        <v>0.44675181673079994</v>
      </c>
      <c r="GY124" s="3">
        <f>$H124*factors!GS$3</f>
        <v>0.44446780948780001</v>
      </c>
      <c r="GZ124" s="3">
        <f>$H124*factors!GT$3</f>
        <v>0.46091266163739991</v>
      </c>
      <c r="HA124" s="3">
        <f>$H124*factors!GU$3</f>
        <v>0.44583821383359995</v>
      </c>
      <c r="HB124" s="3">
        <f>$H124*factors!GV$3</f>
        <v>0.46091266163739991</v>
      </c>
      <c r="HC124" s="3">
        <f>$H124*factors!GW$3</f>
        <v>0.44949262542239993</v>
      </c>
      <c r="HD124" s="3">
        <f>$H124*factors!GX$3</f>
        <v>0.4627398674317999</v>
      </c>
      <c r="HE124" s="3">
        <f>$H124*factors!GY$3</f>
        <v>0.45680144859999994</v>
      </c>
      <c r="HF124" s="3">
        <f>$H124*factors!GZ$3</f>
        <v>0.4709622935065999</v>
      </c>
      <c r="HG124" s="3">
        <f>$H124*factors!HA$3</f>
        <v>0.45269023556259996</v>
      </c>
      <c r="HH124" s="3">
        <f>$H124*factors!HB$3</f>
        <v>0.44675181673079994</v>
      </c>
      <c r="HI124" s="3">
        <f>$H124*factors!HC$3</f>
        <v>0.44127019934759998</v>
      </c>
      <c r="HJ124" s="3">
        <f>$H124*factors!HD$3</f>
        <v>0.43624538341299995</v>
      </c>
      <c r="HK124" s="3">
        <f>$H124*factors!HE$3</f>
        <v>0.46136946308599996</v>
      </c>
      <c r="HL124" s="3">
        <f>$H124*factors!HF$3</f>
        <v>0.43487497906719991</v>
      </c>
      <c r="HM124" s="3">
        <f>$H124*factors!HG$3</f>
        <v>0.43944299355319999</v>
      </c>
      <c r="HN124" s="3">
        <f>$H124*factors!HH$3</f>
        <v>0.46867828626359997</v>
      </c>
      <c r="HO124" s="3">
        <f>$H124*factors!HI$3</f>
        <v>0.44949262542239993</v>
      </c>
      <c r="HP124" s="3">
        <f>$H124*factors!HJ$3</f>
        <v>0.47964152103000002</v>
      </c>
      <c r="HQ124" s="3">
        <f>$H124*factors!HK$3</f>
        <v>0.438529390656</v>
      </c>
      <c r="HR124" s="3">
        <f>$H124*factors!HL$3</f>
        <v>0.4650238746748</v>
      </c>
      <c r="HS124" s="3">
        <f>$H124*factors!HM$3</f>
        <v>0.47324630074959995</v>
      </c>
      <c r="HT124" s="3">
        <f>$H124*factors!HN$3</f>
        <v>0.44127019934759998</v>
      </c>
      <c r="HU124" s="3">
        <f>$H124*factors!HO$3</f>
        <v>0.44583821383359995</v>
      </c>
      <c r="HV124" s="3">
        <f>$H124*factors!HP$3</f>
        <v>0.45131983121679997</v>
      </c>
      <c r="HW124" s="3">
        <f>$H124*factors!HQ$3</f>
        <v>0.45771505149719993</v>
      </c>
      <c r="HX124" s="3">
        <f>$H124*factors!HR$3</f>
        <v>0.47644391088979993</v>
      </c>
      <c r="HY124" s="3">
        <f>$H124*factors!HS$3</f>
        <v>0.45269023556259996</v>
      </c>
      <c r="HZ124" s="3">
        <f>$H124*factors!HT$3</f>
        <v>0.47004869060939991</v>
      </c>
      <c r="IA124" s="3">
        <f>$H124*factors!HU$3</f>
        <v>0.4472086181794</v>
      </c>
      <c r="IB124" s="3">
        <f>$H124*factors!HV$3</f>
        <v>0.4627398674317999</v>
      </c>
      <c r="IC124" s="3">
        <f>$H124*factors!HW$3</f>
        <v>0.46730788191779993</v>
      </c>
      <c r="ID124" s="3">
        <f>$H124*factors!HX$3</f>
        <v>0.43396137616999991</v>
      </c>
      <c r="IE124" s="3">
        <f>$H124*factors!HY$3</f>
        <v>0.46091266163739991</v>
      </c>
      <c r="IF124" s="3">
        <f>$H124*factors!HZ$3</f>
        <v>0.45817185294579993</v>
      </c>
      <c r="IG124" s="3">
        <f>$H124*factors!IA$3</f>
        <v>0.45406063990839995</v>
      </c>
      <c r="IH124" s="3">
        <f>$H124*factors!IB$3</f>
        <v>0.4709622935065999</v>
      </c>
      <c r="II124" s="3">
        <f>$H124*factors!IC$3</f>
        <v>0.45086302976819997</v>
      </c>
      <c r="IJ124" s="3">
        <f>$H124*factors!ID$3</f>
        <v>0.45497424280559995</v>
      </c>
      <c r="IK124" s="3">
        <f>$H124*factors!IE$3</f>
        <v>0.47141909495519996</v>
      </c>
      <c r="IL124" s="3">
        <f>$H124*factors!IF$3</f>
        <v>0.45131983121679997</v>
      </c>
      <c r="IM124" s="3">
        <f>$H124*factors!IG$3</f>
        <v>0.4472086181794</v>
      </c>
      <c r="IN124" s="3">
        <f>$H124*factors!IH$3</f>
        <v>0.44994942687099998</v>
      </c>
      <c r="IO124" s="3">
        <f>$H124*factors!II$3</f>
        <v>0.45451744135699995</v>
      </c>
      <c r="IP124" s="3">
        <f>$H124*factors!IJ$3</f>
        <v>0.43944299355319999</v>
      </c>
      <c r="IQ124" s="3">
        <f>$H124*factors!IK$3</f>
        <v>0.43807258920739994</v>
      </c>
      <c r="IR124" s="3">
        <f>$H124*factors!IL$3</f>
        <v>0.45086302976819997</v>
      </c>
      <c r="IS124" s="3">
        <f>$H124*factors!IM$3</f>
        <v>0.45451744135699995</v>
      </c>
      <c r="IT124" s="3">
        <f>$H124*factors!IN$3</f>
        <v>0.45771505149719993</v>
      </c>
      <c r="IU124" s="3">
        <f>$H124*factors!IO$3</f>
        <v>0.46776468336639998</v>
      </c>
      <c r="IV124" s="3">
        <f>$H124*factors!IP$3</f>
        <v>0.47370310219819989</v>
      </c>
      <c r="IW124" s="3">
        <f>$H124*factors!IQ$3</f>
        <v>0.44766541962799994</v>
      </c>
      <c r="IX124" s="3">
        <f>$H124*factors!IR$3</f>
        <v>0.46776468336639998</v>
      </c>
      <c r="IY124" s="3">
        <f>$H124*factors!IS$3</f>
        <v>0.46091266163739991</v>
      </c>
      <c r="IZ124" s="3">
        <f>$H124*factors!IT$3</f>
        <v>0.46867828626359997</v>
      </c>
      <c r="JA124" s="3">
        <f>$H124*factors!IU$3</f>
        <v>0.44264060369339991</v>
      </c>
      <c r="JB124" s="3">
        <f>$H124*factors!IV$3</f>
        <v>0.45086302976819997</v>
      </c>
      <c r="JC124" s="3">
        <f>$H124*factors!IW$3</f>
        <v>0.44035659645039998</v>
      </c>
      <c r="JD124" s="3">
        <f>$H124*factors!IX$3</f>
        <v>0.47964152103000002</v>
      </c>
      <c r="JE124" s="3">
        <f>$H124*factors!IY$3</f>
        <v>0.44172700079619992</v>
      </c>
      <c r="JF124" s="3">
        <f>$H124*factors!IZ$3</f>
        <v>0.46365347032899989</v>
      </c>
      <c r="JG124" s="3">
        <f>$H124*factors!JA$3</f>
        <v>0.45543104425419995</v>
      </c>
      <c r="JH124" s="3">
        <f>$H124*factors!JB$3</f>
        <v>0.4641102717776</v>
      </c>
      <c r="JI124" s="3">
        <f>$H124*factors!JC$3</f>
        <v>0.43441817761859997</v>
      </c>
      <c r="JJ124" s="3">
        <f>$H124*factors!JD$3</f>
        <v>0.46776468336639998</v>
      </c>
      <c r="JK124" s="3">
        <f>$H124*factors!JE$3</f>
        <v>0.45269023556259996</v>
      </c>
      <c r="JL124" s="3">
        <f>$H124*factors!JF$3</f>
        <v>0.4709622935065999</v>
      </c>
      <c r="JM124" s="3">
        <f>$H124*factors!JG$3</f>
        <v>0.43944299355319999</v>
      </c>
      <c r="JN124" s="3">
        <f>$H124*factors!JH$3</f>
        <v>0.43944299355319999</v>
      </c>
      <c r="JO124" s="3">
        <f>$H124*factors!JI$3</f>
        <v>0.43396137616999991</v>
      </c>
      <c r="JP124" s="3">
        <f>$H124*factors!JJ$3</f>
        <v>0.46913508771219992</v>
      </c>
      <c r="JQ124" s="3">
        <f>$H124*factors!JK$3</f>
        <v>0.45725825004859993</v>
      </c>
      <c r="JR124" s="3">
        <f>$H124*factors!JL$3</f>
        <v>0.47507350654399993</v>
      </c>
      <c r="JS124" s="3">
        <f>$H124*factors!JM$3</f>
        <v>0.43396137616999991</v>
      </c>
      <c r="JT124" s="3">
        <f>$H124*factors!JN$3</f>
        <v>0.45588784570279994</v>
      </c>
      <c r="JU124" s="3">
        <f>$H124*factors!JO$3</f>
        <v>0.44081339789899993</v>
      </c>
      <c r="JV124" s="3">
        <f>$H124*factors!JP$3</f>
        <v>0.44812222107659999</v>
      </c>
      <c r="JW124" s="3">
        <f>$H124*factors!JQ$3</f>
        <v>0.47872791813280002</v>
      </c>
      <c r="JX124" s="3">
        <f>$H124*factors!JR$3</f>
        <v>0.47415990364679994</v>
      </c>
      <c r="JY124" s="3">
        <f>$H124*factors!JS$3</f>
        <v>0.4462950152822</v>
      </c>
      <c r="JZ124" s="3">
        <f>$H124*factors!JT$3</f>
        <v>0.45131983121679997</v>
      </c>
      <c r="KA124" s="3">
        <f>$H124*factors!JU$3</f>
        <v>0.45314703701119996</v>
      </c>
      <c r="KB124" s="3">
        <f>$H124*factors!JV$3</f>
        <v>0.43807258920739994</v>
      </c>
      <c r="KC124" s="3">
        <f>$H124*factors!JW$3</f>
        <v>0.44035659645039998</v>
      </c>
      <c r="KD124" s="3">
        <f>$H124*factors!JX$3</f>
        <v>0.44081339789899993</v>
      </c>
      <c r="KE124" s="3">
        <f>$H124*factors!JY$3</f>
        <v>0.46913508771219992</v>
      </c>
      <c r="KF124" s="3">
        <f>$H124*factors!JZ$3</f>
        <v>0.47461670509539988</v>
      </c>
      <c r="KG124" s="3">
        <f>$H124*factors!KA$3</f>
        <v>0.45771505149719993</v>
      </c>
      <c r="KH124" s="3">
        <f>$H124*factors!KB$3</f>
        <v>0.44766541962799994</v>
      </c>
      <c r="KI124" s="3">
        <f>$H124*factors!KC$3</f>
        <v>0.44355420659059991</v>
      </c>
    </row>
    <row r="125" spans="1:295" x14ac:dyDescent="0.55000000000000004">
      <c r="A125" t="s">
        <v>502</v>
      </c>
      <c r="B125">
        <v>124</v>
      </c>
      <c r="C125">
        <v>230</v>
      </c>
      <c r="D125" t="s">
        <v>377</v>
      </c>
      <c r="E125">
        <v>3.8730000000000001E-3</v>
      </c>
      <c r="F125">
        <v>124</v>
      </c>
      <c r="G125">
        <f>VLOOKUP(D125,demand_forecasted!$A$2:$G$11,2)</f>
        <v>11098</v>
      </c>
      <c r="H125" s="3">
        <f t="shared" si="2"/>
        <v>0.42982554000000001</v>
      </c>
      <c r="I125" s="3">
        <f>$H125*factors!C$3</f>
        <v>0.47581687278000001</v>
      </c>
      <c r="J125" s="3">
        <f>$H125*factors!D$3</f>
        <v>0.45864104420160001</v>
      </c>
      <c r="K125" s="3">
        <f>$H125*factors!E$3</f>
        <v>0.45074944728720001</v>
      </c>
      <c r="L125" s="3">
        <f>$H125*factors!F$3</f>
        <v>0.44935681253760007</v>
      </c>
      <c r="M125" s="3">
        <f>$H125*factors!G$3</f>
        <v>0.44889260095439998</v>
      </c>
      <c r="N125" s="3">
        <f>$H125*factors!H$3</f>
        <v>0.46189052528399999</v>
      </c>
      <c r="O125" s="3">
        <f>$H125*factors!I$3</f>
        <v>0.4721031801144</v>
      </c>
      <c r="P125" s="3">
        <f>$H125*factors!J$3</f>
        <v>0.47767371911280004</v>
      </c>
      <c r="Q125" s="3">
        <f>$H125*factors!K$3</f>
        <v>0.4484283893712</v>
      </c>
      <c r="R125" s="3">
        <f>$H125*factors!L$3</f>
        <v>0.44100100404000003</v>
      </c>
      <c r="S125" s="3">
        <f>$H125*factors!M$3</f>
        <v>0.45910525578479999</v>
      </c>
      <c r="T125" s="3">
        <f>$H125*factors!N$3</f>
        <v>0.47488844961360005</v>
      </c>
      <c r="U125" s="3">
        <f>$H125*factors!O$3</f>
        <v>0.44982102412080005</v>
      </c>
      <c r="V125" s="3">
        <f>$H125*factors!P$3</f>
        <v>0.46792527586560001</v>
      </c>
      <c r="W125" s="3">
        <f>$H125*factors!Q$3</f>
        <v>0.4721031801144</v>
      </c>
      <c r="X125" s="3">
        <f>$H125*factors!R$3</f>
        <v>0.45167787045360003</v>
      </c>
      <c r="Y125" s="3">
        <f>$H125*factors!S$3</f>
        <v>0.44749996620480004</v>
      </c>
      <c r="Z125" s="3">
        <f>$H125*factors!T$3</f>
        <v>0.48278004652800011</v>
      </c>
      <c r="AA125" s="3">
        <f>$H125*factors!U$3</f>
        <v>0.45585577470239996</v>
      </c>
      <c r="AB125" s="3">
        <f>$H125*factors!V$3</f>
        <v>0.45631998628560005</v>
      </c>
      <c r="AC125" s="3">
        <f>$H125*factors!W$3</f>
        <v>0.45678419786880003</v>
      </c>
      <c r="AD125" s="3">
        <f>$H125*factors!X$3</f>
        <v>0.44703575462160006</v>
      </c>
      <c r="AE125" s="3">
        <f>$H125*factors!Y$3</f>
        <v>0.45074944728720001</v>
      </c>
      <c r="AF125" s="3">
        <f>$H125*factors!Z$3</f>
        <v>0.46003367895120006</v>
      </c>
      <c r="AG125" s="3">
        <f>$H125*factors!AA$3</f>
        <v>0.4484283893712</v>
      </c>
      <c r="AH125" s="3">
        <f>$H125*factors!AB$3</f>
        <v>0.44657154303840008</v>
      </c>
      <c r="AI125" s="3">
        <f>$H125*factors!AC$3</f>
        <v>0.46096210211760003</v>
      </c>
      <c r="AJ125" s="3">
        <f>$H125*factors!AD$3</f>
        <v>0.4786021422792</v>
      </c>
      <c r="AK125" s="3">
        <f>$H125*factors!AE$3</f>
        <v>0.46049789053440005</v>
      </c>
      <c r="AL125" s="3">
        <f>$H125*factors!AF$3</f>
        <v>0.44239363878959997</v>
      </c>
      <c r="AM125" s="3">
        <f>$H125*factors!AG$3</f>
        <v>0.454927351536</v>
      </c>
      <c r="AN125" s="3">
        <f>$H125*factors!AH$3</f>
        <v>0.44749996620480004</v>
      </c>
      <c r="AO125" s="3">
        <f>$H125*factors!AI$3</f>
        <v>0.46885369903200003</v>
      </c>
      <c r="AP125" s="3">
        <f>$H125*factors!AJ$3</f>
        <v>0.44935681253760007</v>
      </c>
      <c r="AQ125" s="3">
        <f>$H125*factors!AK$3</f>
        <v>0.46374737161680007</v>
      </c>
      <c r="AR125" s="3">
        <f>$H125*factors!AL$3</f>
        <v>0.45353471678640006</v>
      </c>
      <c r="AS125" s="3">
        <f>$H125*factors!AM$3</f>
        <v>0.44239363878959997</v>
      </c>
      <c r="AT125" s="3">
        <f>$H125*factors!AN$3</f>
        <v>0.45631998628560005</v>
      </c>
      <c r="AU125" s="3">
        <f>$H125*factors!AO$3</f>
        <v>0.48324425811119998</v>
      </c>
      <c r="AV125" s="3">
        <f>$H125*factors!AP$3</f>
        <v>0.45678419786880003</v>
      </c>
      <c r="AW125" s="3">
        <f>$H125*factors!AQ$3</f>
        <v>0.45214208203680001</v>
      </c>
      <c r="AX125" s="3">
        <f>$H125*factors!AR$3</f>
        <v>0.47813793069600002</v>
      </c>
      <c r="AY125" s="3">
        <f>$H125*factors!AS$3</f>
        <v>0.44100100404000003</v>
      </c>
      <c r="AZ125" s="3">
        <f>$H125*factors!AT$3</f>
        <v>0.47256739169760009</v>
      </c>
      <c r="BA125" s="3">
        <f>$H125*factors!AU$3</f>
        <v>0.46235473686719997</v>
      </c>
      <c r="BB125" s="3">
        <f>$H125*factors!AV$3</f>
        <v>0.45631998628560005</v>
      </c>
      <c r="BC125" s="3">
        <f>$H125*factors!AW$3</f>
        <v>0.48278004652800011</v>
      </c>
      <c r="BD125" s="3">
        <f>$H125*factors!AX$3</f>
        <v>0.445643119872</v>
      </c>
      <c r="BE125" s="3">
        <f>$H125*factors!AY$3</f>
        <v>0.52393154372759998</v>
      </c>
      <c r="BF125" s="3">
        <f>$H125*factors!AZ$3</f>
        <v>0.4879207599864</v>
      </c>
      <c r="BG125" s="3">
        <f>$H125*factors!BA$3</f>
        <v>0.49502147790719991</v>
      </c>
      <c r="BH125" s="3">
        <f>$H125*factors!BB$3</f>
        <v>0.50161500169079998</v>
      </c>
      <c r="BI125" s="3">
        <f>$H125*factors!BC$3</f>
        <v>0.51987399062999995</v>
      </c>
      <c r="BJ125" s="3">
        <f>$H125*factors!BD$3</f>
        <v>0.49654306031879997</v>
      </c>
      <c r="BK125" s="3">
        <f>$H125*factors!BE$3</f>
        <v>0.49755744859319995</v>
      </c>
      <c r="BL125" s="3">
        <f>$H125*factors!BF$3</f>
        <v>0.49197831308399992</v>
      </c>
      <c r="BM125" s="3">
        <f>$H125*factors!BG$3</f>
        <v>0.52545312613920003</v>
      </c>
      <c r="BN125" s="3">
        <f>$H125*factors!BH$3</f>
        <v>0.51885960235559991</v>
      </c>
      <c r="BO125" s="3">
        <f>$H125*factors!BI$3</f>
        <v>0.4879207599864</v>
      </c>
      <c r="BP125" s="3">
        <f>$H125*factors!BJ$3</f>
        <v>0.48639917757479995</v>
      </c>
      <c r="BQ125" s="3">
        <f>$H125*factors!BK$3</f>
        <v>0.49451428376999995</v>
      </c>
      <c r="BR125" s="3">
        <f>$H125*factors!BL$3</f>
        <v>0.51226607857200002</v>
      </c>
      <c r="BS125" s="3">
        <f>$H125*factors!BM$3</f>
        <v>0.52038118476719997</v>
      </c>
      <c r="BT125" s="3">
        <f>$H125*factors!BN$3</f>
        <v>0.52190276717879991</v>
      </c>
      <c r="BU125" s="3">
        <f>$H125*factors!BO$3</f>
        <v>0.53052506751119999</v>
      </c>
      <c r="BV125" s="3">
        <f>$H125*factors!BP$3</f>
        <v>0.49349989549559997</v>
      </c>
      <c r="BW125" s="3">
        <f>$H125*factors!BQ$3</f>
        <v>0.50465816651399997</v>
      </c>
      <c r="BX125" s="3">
        <f>$H125*factors!BR$3</f>
        <v>0.49502147790719991</v>
      </c>
      <c r="BY125" s="3">
        <f>$H125*factors!BS$3</f>
        <v>0.51784521408119988</v>
      </c>
      <c r="BZ125" s="3">
        <f>$H125*factors!BT$3</f>
        <v>0.50820852547439999</v>
      </c>
      <c r="CA125" s="3">
        <f>$H125*factors!BU$3</f>
        <v>0.50161500169079998</v>
      </c>
      <c r="CB125" s="3">
        <f>$H125*factors!BV$3</f>
        <v>0.48538478930039997</v>
      </c>
      <c r="CC125" s="3">
        <f>$H125*factors!BW$3</f>
        <v>0.49958622514199996</v>
      </c>
      <c r="CD125" s="3">
        <f>$H125*factors!BX$3</f>
        <v>0.50110780755359996</v>
      </c>
      <c r="CE125" s="3">
        <f>$H125*factors!BY$3</f>
        <v>0.50820852547439999</v>
      </c>
      <c r="CF125" s="3">
        <f>$H125*factors!BZ$3</f>
        <v>0.50060061341640005</v>
      </c>
      <c r="CG125" s="3">
        <f>$H125*factors!CA$3</f>
        <v>0.48386320688879991</v>
      </c>
      <c r="CH125" s="3">
        <f>$H125*factors!CB$3</f>
        <v>0.48437040102599993</v>
      </c>
      <c r="CI125" s="3">
        <f>$H125*factors!CC$3</f>
        <v>0.48183443034000001</v>
      </c>
      <c r="CJ125" s="3">
        <f>$H125*factors!CD$3</f>
        <v>0.50161500169079998</v>
      </c>
      <c r="CK125" s="3">
        <f>$H125*factors!CE$3</f>
        <v>0.52393154372759998</v>
      </c>
      <c r="CL125" s="3">
        <f>$H125*factors!CF$3</f>
        <v>0.49096392480959999</v>
      </c>
      <c r="CM125" s="3">
        <f>$H125*factors!CG$3</f>
        <v>0.5026293899651999</v>
      </c>
      <c r="CN125" s="3">
        <f>$H125*factors!CH$3</f>
        <v>0.48589198343759998</v>
      </c>
      <c r="CO125" s="3">
        <f>$H125*factors!CI$3</f>
        <v>0.48944234239799994</v>
      </c>
      <c r="CP125" s="3">
        <f>$H125*factors!CJ$3</f>
        <v>0.51277327270919992</v>
      </c>
      <c r="CQ125" s="3">
        <f>$H125*factors!CK$3</f>
        <v>0.49755744859319995</v>
      </c>
      <c r="CR125" s="3">
        <f>$H125*factors!CL$3</f>
        <v>0.51328046684639994</v>
      </c>
      <c r="CS125" s="3">
        <f>$H125*factors!CM$3</f>
        <v>0.52951067923679995</v>
      </c>
      <c r="CT125" s="3">
        <f>$H125*factors!CN$3</f>
        <v>0.52342434959039996</v>
      </c>
      <c r="CU125" s="3">
        <f>$H125*factors!CO$3</f>
        <v>0.51175888443479989</v>
      </c>
      <c r="CV125" s="3">
        <f>$H125*factors!CP$3</f>
        <v>0.53255384405999995</v>
      </c>
      <c r="CW125" s="3">
        <f>$H125*factors!CQ$3</f>
        <v>0.50364377823960005</v>
      </c>
      <c r="CX125" s="3">
        <f>$H125*factors!CR$3</f>
        <v>0.4960358661816</v>
      </c>
      <c r="CY125" s="3">
        <f>$H125*factors!CS$3</f>
        <v>0.49147111894679996</v>
      </c>
      <c r="CZ125" s="3">
        <f>$H125*factors!CT$3</f>
        <v>0.48437040102599993</v>
      </c>
      <c r="DA125" s="3">
        <f>$H125*factors!CU$3</f>
        <v>0.5028958818</v>
      </c>
      <c r="DB125" s="3">
        <f>$H125*factors!CV$3</f>
        <v>0.53539069262400008</v>
      </c>
      <c r="DC125" s="3">
        <f>$H125*factors!CW$3</f>
        <v>0.51269590411199994</v>
      </c>
      <c r="DD125" s="3">
        <f>$H125*factors!CX$3</f>
        <v>0.50908536957599992</v>
      </c>
      <c r="DE125" s="3">
        <f>$H125*factors!CY$3</f>
        <v>0.52404329836800001</v>
      </c>
      <c r="DF125" s="3">
        <f>$H125*factors!CZ$3</f>
        <v>0.523011717072</v>
      </c>
      <c r="DG125" s="3">
        <f>$H125*factors!DA$3</f>
        <v>0.52094855447999999</v>
      </c>
      <c r="DH125" s="3">
        <f>$H125*factors!DB$3</f>
        <v>0.52094855447999999</v>
      </c>
      <c r="DI125" s="3">
        <f>$H125*factors!DC$3</f>
        <v>0.50134850985599999</v>
      </c>
      <c r="DJ125" s="3">
        <f>$H125*factors!DD$3</f>
        <v>0.53126436744000005</v>
      </c>
      <c r="DK125" s="3">
        <f>$H125*factors!DE$3</f>
        <v>0.53126436744000005</v>
      </c>
      <c r="DL125" s="3">
        <f>$H125*factors!DF$3</f>
        <v>0.52507487966400002</v>
      </c>
      <c r="DM125" s="3">
        <f>$H125*factors!DG$3</f>
        <v>0.49464323143199995</v>
      </c>
      <c r="DN125" s="3">
        <f>$H125*factors!DH$3</f>
        <v>0.51888539188799998</v>
      </c>
      <c r="DO125" s="3">
        <f>$H125*factors!DI$3</f>
        <v>0.53590648327199997</v>
      </c>
      <c r="DP125" s="3">
        <f>$H125*factors!DJ$3</f>
        <v>0.53126436744000005</v>
      </c>
      <c r="DQ125" s="3">
        <f>$H125*factors!DK$3</f>
        <v>0.50650641633599991</v>
      </c>
      <c r="DR125" s="3">
        <f>$H125*factors!DL$3</f>
        <v>0.50083271920799999</v>
      </c>
      <c r="DS125" s="3">
        <f>$H125*factors!DM$3</f>
        <v>0.541064389752</v>
      </c>
      <c r="DT125" s="3">
        <f>$H125*factors!DN$3</f>
        <v>0.50856957892800003</v>
      </c>
      <c r="DU125" s="3">
        <f>$H125*factors!DO$3</f>
        <v>0.53229594873599995</v>
      </c>
      <c r="DV125" s="3">
        <f>$H125*factors!DP$3</f>
        <v>0.51991697318399999</v>
      </c>
      <c r="DW125" s="3">
        <f>$H125*factors!DQ$3</f>
        <v>0.49619060337599996</v>
      </c>
      <c r="DX125" s="3">
        <f>$H125*factors!DR$3</f>
        <v>0.52559067031199991</v>
      </c>
      <c r="DY125" s="3">
        <f>$H125*factors!DS$3</f>
        <v>0.49876955661599998</v>
      </c>
      <c r="DZ125" s="3">
        <f>$H125*factors!DT$3</f>
        <v>0.53332753003199995</v>
      </c>
      <c r="EA125" s="3">
        <f>$H125*factors!DU$3</f>
        <v>0.50238009115199989</v>
      </c>
      <c r="EB125" s="3">
        <f>$H125*factors!DV$3</f>
        <v>0.49000111559999998</v>
      </c>
      <c r="EC125" s="3">
        <f>$H125*factors!DW$3</f>
        <v>0.52713804225600003</v>
      </c>
      <c r="ED125" s="3">
        <f>$H125*factors!DX$3</f>
        <v>0.49464323143199995</v>
      </c>
      <c r="EE125" s="3">
        <f>$H125*factors!DY$3</f>
        <v>0.49876955661599998</v>
      </c>
      <c r="EF125" s="3">
        <f>$H125*factors!DZ$3</f>
        <v>0.541064389752</v>
      </c>
      <c r="EG125" s="3">
        <f>$H125*factors!EA$3</f>
        <v>0.50547483504000001</v>
      </c>
      <c r="EH125" s="3">
        <f>$H125*factors!EB$3</f>
        <v>0.50702220698400002</v>
      </c>
      <c r="EI125" s="3">
        <f>$H125*factors!EC$3</f>
        <v>0.50599062568800002</v>
      </c>
      <c r="EJ125" s="3">
        <f>$H125*factors!ED$3</f>
        <v>0.493095859488</v>
      </c>
      <c r="EK125" s="3">
        <f>$H125*factors!EE$3</f>
        <v>0.52713804225600003</v>
      </c>
      <c r="EL125" s="3">
        <f>$H125*factors!EF$3</f>
        <v>0.50134850985599999</v>
      </c>
      <c r="EM125" s="3">
        <f>$H125*factors!EG$3</f>
        <v>0.52146434512799988</v>
      </c>
      <c r="EN125" s="3">
        <f>$H125*factors!EH$3</f>
        <v>0.49000111559999998</v>
      </c>
      <c r="EO125" s="3">
        <f>$H125*factors!EI$3</f>
        <v>0.49722218467199991</v>
      </c>
      <c r="EP125" s="3">
        <f>$H125*factors!EJ$3</f>
        <v>0.52455908901600001</v>
      </c>
      <c r="EQ125" s="3">
        <f>$H125*factors!EK$3</f>
        <v>0.51011695087199993</v>
      </c>
      <c r="ER125" s="3">
        <f>$H125*factors!EL$3</f>
        <v>0.53126436744000005</v>
      </c>
      <c r="ES125" s="3">
        <f>$H125*factors!EM$3</f>
        <v>0.52455908901600001</v>
      </c>
      <c r="ET125" s="3">
        <f>$H125*factors!EN$3</f>
        <v>0.53642227391999997</v>
      </c>
      <c r="EU125" s="3">
        <f>$H125*factors!EO$3</f>
        <v>0.5415801804</v>
      </c>
      <c r="EV125" s="3">
        <f>$H125*factors!EP$3</f>
        <v>0.50753799763199992</v>
      </c>
      <c r="EW125" s="3">
        <f>$H125*factors!EQ$3</f>
        <v>0.55823592007499989</v>
      </c>
      <c r="EX125" s="3">
        <f>$H125*factors!ER$3</f>
        <v>0.5523258189000001</v>
      </c>
      <c r="EY125" s="3">
        <f>$H125*factors!ES$3</f>
        <v>0.56360873932499989</v>
      </c>
      <c r="EZ125" s="3">
        <f>$H125*factors!ET$3</f>
        <v>0.55823592007499989</v>
      </c>
      <c r="FA125" s="3">
        <f>$H125*factors!EU$3</f>
        <v>0.51310423837499997</v>
      </c>
      <c r="FB125" s="3">
        <f>$H125*factors!EV$3</f>
        <v>0.53620736115000001</v>
      </c>
      <c r="FC125" s="3">
        <f>$H125*factors!EW$3</f>
        <v>0.55125125504999994</v>
      </c>
      <c r="FD125" s="3">
        <f>$H125*factors!EX$3</f>
        <v>0.53190910575000006</v>
      </c>
      <c r="FE125" s="3">
        <f>$H125*factors!EY$3</f>
        <v>0.56038504777499998</v>
      </c>
      <c r="FF125" s="3">
        <f>$H125*factors!EZ$3</f>
        <v>0.56092232970000011</v>
      </c>
      <c r="FG125" s="3">
        <f>$H125*factors!FA$3</f>
        <v>0.51310423837499997</v>
      </c>
      <c r="FH125" s="3">
        <f>$H125*factors!FB$3</f>
        <v>0.53996833462499993</v>
      </c>
      <c r="FI125" s="3">
        <f>$H125*factors!FC$3</f>
        <v>0.56253417547499995</v>
      </c>
      <c r="FJ125" s="3">
        <f>$H125*factors!FD$3</f>
        <v>0.53996833462499993</v>
      </c>
      <c r="FK125" s="3">
        <f>$H125*factors!FE$3</f>
        <v>0.54910212735000008</v>
      </c>
      <c r="FL125" s="3">
        <f>$H125*factors!FF$3</f>
        <v>0.55071397312500003</v>
      </c>
      <c r="FM125" s="3">
        <f>$H125*factors!FG$3</f>
        <v>0.55662407429999994</v>
      </c>
      <c r="FN125" s="3">
        <f>$H125*factors!FH$3</f>
        <v>0.52062618532499993</v>
      </c>
      <c r="FO125" s="3">
        <f>$H125*factors!FI$3</f>
        <v>0.55286310082500001</v>
      </c>
      <c r="FP125" s="3">
        <f>$H125*factors!FJ$3</f>
        <v>0.53728192500000005</v>
      </c>
      <c r="FQ125" s="3">
        <f>$H125*factors!FK$3</f>
        <v>0.53190910575000006</v>
      </c>
      <c r="FR125" s="3">
        <f>$H125*factors!FL$3</f>
        <v>0.54265474425000004</v>
      </c>
      <c r="FS125" s="3">
        <f>$H125*factors!FM$3</f>
        <v>0.53943105269999991</v>
      </c>
      <c r="FT125" s="3">
        <f>$H125*factors!FN$3</f>
        <v>0.55125125504999994</v>
      </c>
      <c r="FU125" s="3">
        <f>$H125*factors!FO$3</f>
        <v>0.52975997804999997</v>
      </c>
      <c r="FV125" s="3">
        <f>$H125*factors!FP$3</f>
        <v>0.52546172265000002</v>
      </c>
      <c r="FW125" s="3">
        <f>$H125*factors!FQ$3</f>
        <v>0.56253417547499995</v>
      </c>
      <c r="FX125" s="3">
        <f>$H125*factors!FR$3</f>
        <v>0.5523258189000001</v>
      </c>
      <c r="FY125" s="3">
        <f>$H125*factors!FS$3</f>
        <v>0.54104289847499998</v>
      </c>
      <c r="FZ125" s="3">
        <f>$H125*factors!FT$3</f>
        <v>0.51417880222500001</v>
      </c>
      <c r="GA125" s="3">
        <f>$H125*factors!FU$3</f>
        <v>0.54104289847499998</v>
      </c>
      <c r="GB125" s="3">
        <f>$H125*factors!FV$3</f>
        <v>0.56092232970000011</v>
      </c>
      <c r="GC125" s="3">
        <f>$H125*factors!FW$3</f>
        <v>0.52546172265000002</v>
      </c>
      <c r="GD125" s="3">
        <f>$H125*factors!FX$3</f>
        <v>0.53459551537499994</v>
      </c>
      <c r="GE125" s="3">
        <f>$H125*factors!FY$3</f>
        <v>0.53459551537499994</v>
      </c>
      <c r="GF125" s="3">
        <f>$H125*factors!FZ$3</f>
        <v>0.53298366959999999</v>
      </c>
      <c r="GG125" s="3">
        <f>$H125*factors!GA$3</f>
        <v>0.51202967452499992</v>
      </c>
      <c r="GH125" s="3">
        <f>$H125*factors!GB$3</f>
        <v>0.54480387195000002</v>
      </c>
      <c r="GI125" s="3">
        <f>$H125*factors!GC$3</f>
        <v>0.51095511067499999</v>
      </c>
      <c r="GJ125" s="3">
        <f>$H125*factors!GD$3</f>
        <v>0.51202967452499992</v>
      </c>
      <c r="GK125" s="3">
        <f>$H125*factors!GE$3</f>
        <v>0.524924440725</v>
      </c>
      <c r="GL125" s="3">
        <f>$H125*factors!GF$3</f>
        <v>0.55608679237500003</v>
      </c>
      <c r="GM125" s="3">
        <f>$H125*factors!GG$3</f>
        <v>0.52707356842500008</v>
      </c>
      <c r="GN125" s="3">
        <f>$H125*factors!GH$3</f>
        <v>0.54372930810000009</v>
      </c>
      <c r="GO125" s="3">
        <f>$H125*factors!GI$3</f>
        <v>0.51364152029999999</v>
      </c>
      <c r="GP125" s="3">
        <f>$H125*factors!GJ$3</f>
        <v>0.55071397312500003</v>
      </c>
      <c r="GQ125" s="3">
        <f>$H125*factors!GK$3</f>
        <v>0.56199689355000004</v>
      </c>
      <c r="GR125" s="3">
        <f>$H125*factors!GL$3</f>
        <v>0.55125125504999994</v>
      </c>
      <c r="GS125" s="3">
        <f>$H125*factors!GM$3</f>
        <v>0.52131390618899998</v>
      </c>
      <c r="GT125" s="3">
        <f>$H125*factors!GN$3</f>
        <v>0.53332323177660002</v>
      </c>
      <c r="GU125" s="3">
        <f>$H125*factors!GO$3</f>
        <v>0.54587843580000006</v>
      </c>
      <c r="GV125" s="3">
        <f>$H125*factors!GP$3</f>
        <v>0.52404329836800001</v>
      </c>
      <c r="GW125" s="3">
        <f>$H125*factors!GQ$3</f>
        <v>0.54260316518520002</v>
      </c>
      <c r="GX125" s="3">
        <f>$H125*factors!GR$3</f>
        <v>0.53386911021240002</v>
      </c>
      <c r="GY125" s="3">
        <f>$H125*factors!GS$3</f>
        <v>0.5311397180334001</v>
      </c>
      <c r="GZ125" s="3">
        <f>$H125*factors!GT$3</f>
        <v>0.5507913417221999</v>
      </c>
      <c r="HA125" s="3">
        <f>$H125*factors!GU$3</f>
        <v>0.53277735334080001</v>
      </c>
      <c r="HB125" s="3">
        <f>$H125*factors!GV$3</f>
        <v>0.5507913417221999</v>
      </c>
      <c r="HC125" s="3">
        <f>$H125*factors!GW$3</f>
        <v>0.53714438082719995</v>
      </c>
      <c r="HD125" s="3">
        <f>$H125*factors!GX$3</f>
        <v>0.55297485546539993</v>
      </c>
      <c r="HE125" s="3">
        <f>$H125*factors!GY$3</f>
        <v>0.54587843580000006</v>
      </c>
      <c r="HF125" s="3">
        <f>$H125*factors!GZ$3</f>
        <v>0.56280066730979994</v>
      </c>
      <c r="HG125" s="3">
        <f>$H125*factors!HA$3</f>
        <v>0.5409655298778</v>
      </c>
      <c r="HH125" s="3">
        <f>$H125*factors!HB$3</f>
        <v>0.53386911021240002</v>
      </c>
      <c r="HI125" s="3">
        <f>$H125*factors!HC$3</f>
        <v>0.52731856898280005</v>
      </c>
      <c r="HJ125" s="3">
        <f>$H125*factors!HD$3</f>
        <v>0.52131390618899998</v>
      </c>
      <c r="HK125" s="3">
        <f>$H125*factors!HE$3</f>
        <v>0.55133722015800002</v>
      </c>
      <c r="HL125" s="3">
        <f>$H125*factors!HF$3</f>
        <v>0.51967627088159996</v>
      </c>
      <c r="HM125" s="3">
        <f>$H125*factors!HG$3</f>
        <v>0.52513505523960002</v>
      </c>
      <c r="HN125" s="3">
        <f>$H125*factors!HH$3</f>
        <v>0.56007127513080002</v>
      </c>
      <c r="HO125" s="3">
        <f>$H125*factors!HI$3</f>
        <v>0.53714438082719995</v>
      </c>
      <c r="HP125" s="3">
        <f>$H125*factors!HJ$3</f>
        <v>0.57317235759000007</v>
      </c>
      <c r="HQ125" s="3">
        <f>$H125*factors!HK$3</f>
        <v>0.52404329836800001</v>
      </c>
      <c r="HR125" s="3">
        <f>$H125*factors!HL$3</f>
        <v>0.55570424764440007</v>
      </c>
      <c r="HS125" s="3">
        <f>$H125*factors!HM$3</f>
        <v>0.56553005948879997</v>
      </c>
      <c r="HT125" s="3">
        <f>$H125*factors!HN$3</f>
        <v>0.52731856898280005</v>
      </c>
      <c r="HU125" s="3">
        <f>$H125*factors!HO$3</f>
        <v>0.53277735334080001</v>
      </c>
      <c r="HV125" s="3">
        <f>$H125*factors!HP$3</f>
        <v>0.53932789457040009</v>
      </c>
      <c r="HW125" s="3">
        <f>$H125*factors!HQ$3</f>
        <v>0.54697019267159996</v>
      </c>
      <c r="HX125" s="3">
        <f>$H125*factors!HR$3</f>
        <v>0.56935120853939991</v>
      </c>
      <c r="HY125" s="3">
        <f>$H125*factors!HS$3</f>
        <v>0.5409655298778</v>
      </c>
      <c r="HZ125" s="3">
        <f>$H125*factors!HT$3</f>
        <v>0.56170891043819993</v>
      </c>
      <c r="IA125" s="3">
        <f>$H125*factors!HU$3</f>
        <v>0.53441498864820003</v>
      </c>
      <c r="IB125" s="3">
        <f>$H125*factors!HV$3</f>
        <v>0.55297485546539993</v>
      </c>
      <c r="IC125" s="3">
        <f>$H125*factors!HW$3</f>
        <v>0.5584336398234</v>
      </c>
      <c r="ID125" s="3">
        <f>$H125*factors!HX$3</f>
        <v>0.51858451400999994</v>
      </c>
      <c r="IE125" s="3">
        <f>$H125*factors!HY$3</f>
        <v>0.5507913417221999</v>
      </c>
      <c r="IF125" s="3">
        <f>$H125*factors!HZ$3</f>
        <v>0.54751607110739997</v>
      </c>
      <c r="IG125" s="3">
        <f>$H125*factors!IA$3</f>
        <v>0.54260316518520002</v>
      </c>
      <c r="IH125" s="3">
        <f>$H125*factors!IB$3</f>
        <v>0.56280066730979994</v>
      </c>
      <c r="II125" s="3">
        <f>$H125*factors!IC$3</f>
        <v>0.53878201613459997</v>
      </c>
      <c r="IJ125" s="3">
        <f>$H125*factors!ID$3</f>
        <v>0.54369492205680003</v>
      </c>
      <c r="IK125" s="3">
        <f>$H125*factors!IE$3</f>
        <v>0.56334654574560006</v>
      </c>
      <c r="IL125" s="3">
        <f>$H125*factors!IF$3</f>
        <v>0.53932789457040009</v>
      </c>
      <c r="IM125" s="3">
        <f>$H125*factors!IG$3</f>
        <v>0.53441498864820003</v>
      </c>
      <c r="IN125" s="3">
        <f>$H125*factors!IH$3</f>
        <v>0.53769025926299996</v>
      </c>
      <c r="IO125" s="3">
        <f>$H125*factors!II$3</f>
        <v>0.54314904362100003</v>
      </c>
      <c r="IP125" s="3">
        <f>$H125*factors!IJ$3</f>
        <v>0.52513505523960002</v>
      </c>
      <c r="IQ125" s="3">
        <f>$H125*factors!IK$3</f>
        <v>0.5234974199322</v>
      </c>
      <c r="IR125" s="3">
        <f>$H125*factors!IL$3</f>
        <v>0.53878201613459997</v>
      </c>
      <c r="IS125" s="3">
        <f>$H125*factors!IM$3</f>
        <v>0.54314904362100003</v>
      </c>
      <c r="IT125" s="3">
        <f>$H125*factors!IN$3</f>
        <v>0.54697019267159996</v>
      </c>
      <c r="IU125" s="3">
        <f>$H125*factors!IO$3</f>
        <v>0.5589795182592</v>
      </c>
      <c r="IV125" s="3">
        <f>$H125*factors!IP$3</f>
        <v>0.56607593792459998</v>
      </c>
      <c r="IW125" s="3">
        <f>$H125*factors!IQ$3</f>
        <v>0.53496086708399992</v>
      </c>
      <c r="IX125" s="3">
        <f>$H125*factors!IR$3</f>
        <v>0.5589795182592</v>
      </c>
      <c r="IY125" s="3">
        <f>$H125*factors!IS$3</f>
        <v>0.5507913417221999</v>
      </c>
      <c r="IZ125" s="3">
        <f>$H125*factors!IT$3</f>
        <v>0.56007127513080002</v>
      </c>
      <c r="JA125" s="3">
        <f>$H125*factors!IU$3</f>
        <v>0.52895620429019996</v>
      </c>
      <c r="JB125" s="3">
        <f>$H125*factors!IV$3</f>
        <v>0.53878201613459997</v>
      </c>
      <c r="JC125" s="3">
        <f>$H125*factors!IW$3</f>
        <v>0.52622681211120004</v>
      </c>
      <c r="JD125" s="3">
        <f>$H125*factors!IX$3</f>
        <v>0.57317235759000007</v>
      </c>
      <c r="JE125" s="3">
        <f>$H125*factors!IY$3</f>
        <v>0.52786444741859995</v>
      </c>
      <c r="JF125" s="3">
        <f>$H125*factors!IZ$3</f>
        <v>0.55406661233699994</v>
      </c>
      <c r="JG125" s="3">
        <f>$H125*factors!JA$3</f>
        <v>0.54424080049259993</v>
      </c>
      <c r="JH125" s="3">
        <f>$H125*factors!JB$3</f>
        <v>0.55461249077280006</v>
      </c>
      <c r="JI125" s="3">
        <f>$H125*factors!JC$3</f>
        <v>0.51913039244580006</v>
      </c>
      <c r="JJ125" s="3">
        <f>$H125*factors!JD$3</f>
        <v>0.5589795182592</v>
      </c>
      <c r="JK125" s="3">
        <f>$H125*factors!JE$3</f>
        <v>0.5409655298778</v>
      </c>
      <c r="JL125" s="3">
        <f>$H125*factors!JF$3</f>
        <v>0.56280066730979994</v>
      </c>
      <c r="JM125" s="3">
        <f>$H125*factors!JG$3</f>
        <v>0.52513505523960002</v>
      </c>
      <c r="JN125" s="3">
        <f>$H125*factors!JH$3</f>
        <v>0.52513505523960002</v>
      </c>
      <c r="JO125" s="3">
        <f>$H125*factors!JI$3</f>
        <v>0.51858451400999994</v>
      </c>
      <c r="JP125" s="3">
        <f>$H125*factors!JJ$3</f>
        <v>0.56061715356660002</v>
      </c>
      <c r="JQ125" s="3">
        <f>$H125*factors!JK$3</f>
        <v>0.54642431423579996</v>
      </c>
      <c r="JR125" s="3">
        <f>$H125*factors!JL$3</f>
        <v>0.567713573232</v>
      </c>
      <c r="JS125" s="3">
        <f>$H125*factors!JM$3</f>
        <v>0.51858451400999994</v>
      </c>
      <c r="JT125" s="3">
        <f>$H125*factors!JN$3</f>
        <v>0.54478667892840005</v>
      </c>
      <c r="JU125" s="3">
        <f>$H125*factors!JO$3</f>
        <v>0.52677269054699993</v>
      </c>
      <c r="JV125" s="3">
        <f>$H125*factors!JP$3</f>
        <v>0.53550674551980004</v>
      </c>
      <c r="JW125" s="3">
        <f>$H125*factors!JQ$3</f>
        <v>0.57208060071840006</v>
      </c>
      <c r="JX125" s="3">
        <f>$H125*factors!JR$3</f>
        <v>0.56662181636039999</v>
      </c>
      <c r="JY125" s="3">
        <f>$H125*factors!JS$3</f>
        <v>0.53332323177660002</v>
      </c>
      <c r="JZ125" s="3">
        <f>$H125*factors!JT$3</f>
        <v>0.53932789457040009</v>
      </c>
      <c r="KA125" s="3">
        <f>$H125*factors!JU$3</f>
        <v>0.54151140831360001</v>
      </c>
      <c r="KB125" s="3">
        <f>$H125*factors!JV$3</f>
        <v>0.5234974199322</v>
      </c>
      <c r="KC125" s="3">
        <f>$H125*factors!JW$3</f>
        <v>0.52622681211120004</v>
      </c>
      <c r="KD125" s="3">
        <f>$H125*factors!JX$3</f>
        <v>0.52677269054699993</v>
      </c>
      <c r="KE125" s="3">
        <f>$H125*factors!JY$3</f>
        <v>0.56061715356660002</v>
      </c>
      <c r="KF125" s="3">
        <f>$H125*factors!JZ$3</f>
        <v>0.56716769479619999</v>
      </c>
      <c r="KG125" s="3">
        <f>$H125*factors!KA$3</f>
        <v>0.54697019267159996</v>
      </c>
      <c r="KH125" s="3">
        <f>$H125*factors!KB$3</f>
        <v>0.53496086708399992</v>
      </c>
      <c r="KI125" s="3">
        <f>$H125*factors!KC$3</f>
        <v>0.53004796116179997</v>
      </c>
    </row>
    <row r="126" spans="1:295" x14ac:dyDescent="0.55000000000000004">
      <c r="A126" t="s">
        <v>503</v>
      </c>
      <c r="B126">
        <v>125</v>
      </c>
      <c r="C126">
        <v>230</v>
      </c>
      <c r="D126" t="s">
        <v>377</v>
      </c>
      <c r="E126">
        <v>2.1940000000000002E-3</v>
      </c>
      <c r="F126">
        <v>125</v>
      </c>
      <c r="G126">
        <f>VLOOKUP(D126,demand_forecasted!$A$2:$G$11,2)</f>
        <v>11098</v>
      </c>
      <c r="H126" s="3">
        <f t="shared" si="2"/>
        <v>0.24349012000000003</v>
      </c>
      <c r="I126" s="3">
        <f>$H126*factors!C$3</f>
        <v>0.26954356284000003</v>
      </c>
      <c r="J126" s="3">
        <f>$H126*factors!D$3</f>
        <v>0.25981369764480006</v>
      </c>
      <c r="K126" s="3">
        <f>$H126*factors!E$3</f>
        <v>0.25534321904160007</v>
      </c>
      <c r="L126" s="3">
        <f>$H126*factors!F$3</f>
        <v>0.25455431105280008</v>
      </c>
      <c r="M126" s="3">
        <f>$H126*factors!G$3</f>
        <v>0.2542913417232</v>
      </c>
      <c r="N126" s="3">
        <f>$H126*factors!H$3</f>
        <v>0.26165448295200006</v>
      </c>
      <c r="O126" s="3">
        <f>$H126*factors!I$3</f>
        <v>0.26743980820320001</v>
      </c>
      <c r="P126" s="3">
        <f>$H126*factors!J$3</f>
        <v>0.27059544015840004</v>
      </c>
      <c r="Q126" s="3">
        <f>$H126*factors!K$3</f>
        <v>0.25402837239360004</v>
      </c>
      <c r="R126" s="3">
        <f>$H126*factors!L$3</f>
        <v>0.24982086312000004</v>
      </c>
      <c r="S126" s="3">
        <f>$H126*factors!M$3</f>
        <v>0.26007666697440002</v>
      </c>
      <c r="T126" s="3">
        <f>$H126*factors!N$3</f>
        <v>0.26901762418080005</v>
      </c>
      <c r="U126" s="3">
        <f>$H126*factors!O$3</f>
        <v>0.25481728038240004</v>
      </c>
      <c r="V126" s="3">
        <f>$H126*factors!P$3</f>
        <v>0.26507308423680004</v>
      </c>
      <c r="W126" s="3">
        <f>$H126*factors!Q$3</f>
        <v>0.26743980820320001</v>
      </c>
      <c r="X126" s="3">
        <f>$H126*factors!R$3</f>
        <v>0.25586915770080004</v>
      </c>
      <c r="Y126" s="3">
        <f>$H126*factors!S$3</f>
        <v>0.25350243373440007</v>
      </c>
      <c r="Z126" s="3">
        <f>$H126*factors!T$3</f>
        <v>0.2734881027840001</v>
      </c>
      <c r="AA126" s="3">
        <f>$H126*factors!U$3</f>
        <v>0.25823588166720002</v>
      </c>
      <c r="AB126" s="3">
        <f>$H126*factors!V$3</f>
        <v>0.25849885099680009</v>
      </c>
      <c r="AC126" s="3">
        <f>$H126*factors!W$3</f>
        <v>0.25876182032640005</v>
      </c>
      <c r="AD126" s="3">
        <f>$H126*factors!X$3</f>
        <v>0.25323946440480005</v>
      </c>
      <c r="AE126" s="3">
        <f>$H126*factors!Y$3</f>
        <v>0.25534321904160007</v>
      </c>
      <c r="AF126" s="3">
        <f>$H126*factors!Z$3</f>
        <v>0.26060260563360005</v>
      </c>
      <c r="AG126" s="3">
        <f>$H126*factors!AA$3</f>
        <v>0.25402837239360004</v>
      </c>
      <c r="AH126" s="3">
        <f>$H126*factors!AB$3</f>
        <v>0.25297649507520004</v>
      </c>
      <c r="AI126" s="3">
        <f>$H126*factors!AC$3</f>
        <v>0.26112854429280002</v>
      </c>
      <c r="AJ126" s="3">
        <f>$H126*factors!AD$3</f>
        <v>0.27112137881760007</v>
      </c>
      <c r="AK126" s="3">
        <f>$H126*factors!AE$3</f>
        <v>0.26086557496320006</v>
      </c>
      <c r="AL126" s="3">
        <f>$H126*factors!AF$3</f>
        <v>0.25060977110880001</v>
      </c>
      <c r="AM126" s="3">
        <f>$H126*factors!AG$3</f>
        <v>0.25770994300800004</v>
      </c>
      <c r="AN126" s="3">
        <f>$H126*factors!AH$3</f>
        <v>0.25350243373440007</v>
      </c>
      <c r="AO126" s="3">
        <f>$H126*factors!AI$3</f>
        <v>0.26559902289600001</v>
      </c>
      <c r="AP126" s="3">
        <f>$H126*factors!AJ$3</f>
        <v>0.25455431105280008</v>
      </c>
      <c r="AQ126" s="3">
        <f>$H126*factors!AK$3</f>
        <v>0.26270636027040006</v>
      </c>
      <c r="AR126" s="3">
        <f>$H126*factors!AL$3</f>
        <v>0.25692103501920005</v>
      </c>
      <c r="AS126" s="3">
        <f>$H126*factors!AM$3</f>
        <v>0.25060977110880001</v>
      </c>
      <c r="AT126" s="3">
        <f>$H126*factors!AN$3</f>
        <v>0.25849885099680009</v>
      </c>
      <c r="AU126" s="3">
        <f>$H126*factors!AO$3</f>
        <v>0.2737510721136</v>
      </c>
      <c r="AV126" s="3">
        <f>$H126*factors!AP$3</f>
        <v>0.25876182032640005</v>
      </c>
      <c r="AW126" s="3">
        <f>$H126*factors!AQ$3</f>
        <v>0.2561321270304</v>
      </c>
      <c r="AX126" s="3">
        <f>$H126*factors!AR$3</f>
        <v>0.27085840948800005</v>
      </c>
      <c r="AY126" s="3">
        <f>$H126*factors!AS$3</f>
        <v>0.24982086312000004</v>
      </c>
      <c r="AZ126" s="3">
        <f>$H126*factors!AT$3</f>
        <v>0.26770277753280008</v>
      </c>
      <c r="BA126" s="3">
        <f>$H126*factors!AU$3</f>
        <v>0.26191745228160002</v>
      </c>
      <c r="BB126" s="3">
        <f>$H126*factors!AV$3</f>
        <v>0.25849885099680009</v>
      </c>
      <c r="BC126" s="3">
        <f>$H126*factors!AW$3</f>
        <v>0.2734881027840001</v>
      </c>
      <c r="BD126" s="3">
        <f>$H126*factors!AX$3</f>
        <v>0.252450556416</v>
      </c>
      <c r="BE126" s="3">
        <f>$H126*factors!AY$3</f>
        <v>0.29679984687280003</v>
      </c>
      <c r="BF126" s="3">
        <f>$H126*factors!AZ$3</f>
        <v>0.27640024461920004</v>
      </c>
      <c r="BG126" s="3">
        <f>$H126*factors!BA$3</f>
        <v>0.28042270140159997</v>
      </c>
      <c r="BH126" s="3">
        <f>$H126*factors!BB$3</f>
        <v>0.28415783984240001</v>
      </c>
      <c r="BI126" s="3">
        <f>$H126*factors!BC$3</f>
        <v>0.29450130013999998</v>
      </c>
      <c r="BJ126" s="3">
        <f>$H126*factors!BD$3</f>
        <v>0.28128465642639999</v>
      </c>
      <c r="BK126" s="3">
        <f>$H126*factors!BE$3</f>
        <v>0.28185929310960001</v>
      </c>
      <c r="BL126" s="3">
        <f>$H126*factors!BF$3</f>
        <v>0.27869879135199999</v>
      </c>
      <c r="BM126" s="3">
        <f>$H126*factors!BG$3</f>
        <v>0.29766180189760005</v>
      </c>
      <c r="BN126" s="3">
        <f>$H126*factors!BH$3</f>
        <v>0.29392666345680002</v>
      </c>
      <c r="BO126" s="3">
        <f>$H126*factors!BI$3</f>
        <v>0.27640024461920004</v>
      </c>
      <c r="BP126" s="3">
        <f>$H126*factors!BJ$3</f>
        <v>0.27553828959440002</v>
      </c>
      <c r="BQ126" s="3">
        <f>$H126*factors!BK$3</f>
        <v>0.28013538306000002</v>
      </c>
      <c r="BR126" s="3">
        <f>$H126*factors!BL$3</f>
        <v>0.29019152501600004</v>
      </c>
      <c r="BS126" s="3">
        <f>$H126*factors!BM$3</f>
        <v>0.29478861848160004</v>
      </c>
      <c r="BT126" s="3">
        <f>$H126*factors!BN$3</f>
        <v>0.29565057350640001</v>
      </c>
      <c r="BU126" s="3">
        <f>$H126*factors!BO$3</f>
        <v>0.30053498531360007</v>
      </c>
      <c r="BV126" s="3">
        <f>$H126*factors!BP$3</f>
        <v>0.27956074637680001</v>
      </c>
      <c r="BW126" s="3">
        <f>$H126*factors!BQ$3</f>
        <v>0.28588174989199999</v>
      </c>
      <c r="BX126" s="3">
        <f>$H126*factors!BR$3</f>
        <v>0.28042270140159997</v>
      </c>
      <c r="BY126" s="3">
        <f>$H126*factors!BS$3</f>
        <v>0.29335202677359995</v>
      </c>
      <c r="BZ126" s="3">
        <f>$H126*factors!BT$3</f>
        <v>0.28789297828319999</v>
      </c>
      <c r="CA126" s="3">
        <f>$H126*factors!BU$3</f>
        <v>0.28415783984240001</v>
      </c>
      <c r="CB126" s="3">
        <f>$H126*factors!BV$3</f>
        <v>0.27496365291120001</v>
      </c>
      <c r="CC126" s="3">
        <f>$H126*factors!BW$3</f>
        <v>0.28300856647600003</v>
      </c>
      <c r="CD126" s="3">
        <f>$H126*factors!BX$3</f>
        <v>0.28387052150080005</v>
      </c>
      <c r="CE126" s="3">
        <f>$H126*factors!BY$3</f>
        <v>0.28789297828319999</v>
      </c>
      <c r="CF126" s="3">
        <f>$H126*factors!BZ$3</f>
        <v>0.28358320315920005</v>
      </c>
      <c r="CG126" s="3">
        <f>$H126*factors!CA$3</f>
        <v>0.27410169788639999</v>
      </c>
      <c r="CH126" s="3">
        <f>$H126*factors!CB$3</f>
        <v>0.27438901622799999</v>
      </c>
      <c r="CI126" s="3">
        <f>$H126*factors!CC$3</f>
        <v>0.27295242452000001</v>
      </c>
      <c r="CJ126" s="3">
        <f>$H126*factors!CD$3</f>
        <v>0.28415783984240001</v>
      </c>
      <c r="CK126" s="3">
        <f>$H126*factors!CE$3</f>
        <v>0.29679984687280003</v>
      </c>
      <c r="CL126" s="3">
        <f>$H126*factors!CF$3</f>
        <v>0.27812415466880003</v>
      </c>
      <c r="CM126" s="3">
        <f>$H126*factors!CG$3</f>
        <v>0.28473247652560002</v>
      </c>
      <c r="CN126" s="3">
        <f>$H126*factors!CH$3</f>
        <v>0.27525097125280001</v>
      </c>
      <c r="CO126" s="3">
        <f>$H126*factors!CI$3</f>
        <v>0.27726219964400001</v>
      </c>
      <c r="CP126" s="3">
        <f>$H126*factors!CJ$3</f>
        <v>0.29047884335759999</v>
      </c>
      <c r="CQ126" s="3">
        <f>$H126*factors!CK$3</f>
        <v>0.28185929310960001</v>
      </c>
      <c r="CR126" s="3">
        <f>$H126*factors!CL$3</f>
        <v>0.2907661616992</v>
      </c>
      <c r="CS126" s="3">
        <f>$H126*factors!CM$3</f>
        <v>0.2999603486304</v>
      </c>
      <c r="CT126" s="3">
        <f>$H126*factors!CN$3</f>
        <v>0.29651252853120003</v>
      </c>
      <c r="CU126" s="3">
        <f>$H126*factors!CO$3</f>
        <v>0.28990420667439998</v>
      </c>
      <c r="CV126" s="3">
        <f>$H126*factors!CP$3</f>
        <v>0.30168425867999998</v>
      </c>
      <c r="CW126" s="3">
        <f>$H126*factors!CQ$3</f>
        <v>0.28530711320880003</v>
      </c>
      <c r="CX126" s="3">
        <f>$H126*factors!CR$3</f>
        <v>0.28099733808480004</v>
      </c>
      <c r="CY126" s="3">
        <f>$H126*factors!CS$3</f>
        <v>0.27841147301040003</v>
      </c>
      <c r="CZ126" s="3">
        <f>$H126*factors!CT$3</f>
        <v>0.27438901622799999</v>
      </c>
      <c r="DA126" s="3">
        <f>$H126*factors!CU$3</f>
        <v>0.28488344040000002</v>
      </c>
      <c r="DB126" s="3">
        <f>$H126*factors!CV$3</f>
        <v>0.30329129347200007</v>
      </c>
      <c r="DC126" s="3">
        <f>$H126*factors!CW$3</f>
        <v>0.29043501513600001</v>
      </c>
      <c r="DD126" s="3">
        <f>$H126*factors!CX$3</f>
        <v>0.28838969812800003</v>
      </c>
      <c r="DE126" s="3">
        <f>$H126*factors!CY$3</f>
        <v>0.29686315430400007</v>
      </c>
      <c r="DF126" s="3">
        <f>$H126*factors!CZ$3</f>
        <v>0.296278778016</v>
      </c>
      <c r="DG126" s="3">
        <f>$H126*factors!DA$3</f>
        <v>0.29511002544000003</v>
      </c>
      <c r="DH126" s="3">
        <f>$H126*factors!DB$3</f>
        <v>0.29511002544000003</v>
      </c>
      <c r="DI126" s="3">
        <f>$H126*factors!DC$3</f>
        <v>0.28400687596800001</v>
      </c>
      <c r="DJ126" s="3">
        <f>$H126*factors!DD$3</f>
        <v>0.30095378832000003</v>
      </c>
      <c r="DK126" s="3">
        <f>$H126*factors!DE$3</f>
        <v>0.30095378832000003</v>
      </c>
      <c r="DL126" s="3">
        <f>$H126*factors!DF$3</f>
        <v>0.29744753059200002</v>
      </c>
      <c r="DM126" s="3">
        <f>$H126*factors!DG$3</f>
        <v>0.28020843009599999</v>
      </c>
      <c r="DN126" s="3">
        <f>$H126*factors!DH$3</f>
        <v>0.29394127286400007</v>
      </c>
      <c r="DO126" s="3">
        <f>$H126*factors!DI$3</f>
        <v>0.30358348161600002</v>
      </c>
      <c r="DP126" s="3">
        <f>$H126*factors!DJ$3</f>
        <v>0.30095378832000003</v>
      </c>
      <c r="DQ126" s="3">
        <f>$H126*factors!DK$3</f>
        <v>0.286928757408</v>
      </c>
      <c r="DR126" s="3">
        <f>$H126*factors!DL$3</f>
        <v>0.28371468782400006</v>
      </c>
      <c r="DS126" s="3">
        <f>$H126*factors!DM$3</f>
        <v>0.30650536305600001</v>
      </c>
      <c r="DT126" s="3">
        <f>$H126*factors!DN$3</f>
        <v>0.28809750998400002</v>
      </c>
      <c r="DU126" s="3">
        <f>$H126*factors!DO$3</f>
        <v>0.30153816460800004</v>
      </c>
      <c r="DV126" s="3">
        <f>$H126*factors!DP$3</f>
        <v>0.29452564915200002</v>
      </c>
      <c r="DW126" s="3">
        <f>$H126*factors!DQ$3</f>
        <v>0.28108499452800001</v>
      </c>
      <c r="DX126" s="3">
        <f>$H126*factors!DR$3</f>
        <v>0.29773971873600003</v>
      </c>
      <c r="DY126" s="3">
        <f>$H126*factors!DS$3</f>
        <v>0.28254593524799998</v>
      </c>
      <c r="DZ126" s="3">
        <f>$H126*factors!DT$3</f>
        <v>0.30212254089599999</v>
      </c>
      <c r="EA126" s="3">
        <f>$H126*factors!DU$3</f>
        <v>0.28459125225600002</v>
      </c>
      <c r="EB126" s="3">
        <f>$H126*factors!DV$3</f>
        <v>0.2775787368</v>
      </c>
      <c r="EC126" s="3">
        <f>$H126*factors!DW$3</f>
        <v>0.29861628316800004</v>
      </c>
      <c r="ED126" s="3">
        <f>$H126*factors!DX$3</f>
        <v>0.28020843009599999</v>
      </c>
      <c r="EE126" s="3">
        <f>$H126*factors!DY$3</f>
        <v>0.28254593524799998</v>
      </c>
      <c r="EF126" s="3">
        <f>$H126*factors!DZ$3</f>
        <v>0.30650536305600001</v>
      </c>
      <c r="EG126" s="3">
        <f>$H126*factors!EA$3</f>
        <v>0.28634438112000005</v>
      </c>
      <c r="EH126" s="3">
        <f>$H126*factors!EB$3</f>
        <v>0.28722094555200001</v>
      </c>
      <c r="EI126" s="3">
        <f>$H126*factors!EC$3</f>
        <v>0.28663656926400005</v>
      </c>
      <c r="EJ126" s="3">
        <f>$H126*factors!ED$3</f>
        <v>0.27933186566400003</v>
      </c>
      <c r="EK126" s="3">
        <f>$H126*factors!EE$3</f>
        <v>0.29861628316800004</v>
      </c>
      <c r="EL126" s="3">
        <f>$H126*factors!EF$3</f>
        <v>0.28400687596800001</v>
      </c>
      <c r="EM126" s="3">
        <f>$H126*factors!EG$3</f>
        <v>0.29540221358399998</v>
      </c>
      <c r="EN126" s="3">
        <f>$H126*factors!EH$3</f>
        <v>0.2775787368</v>
      </c>
      <c r="EO126" s="3">
        <f>$H126*factors!EI$3</f>
        <v>0.28166937081600002</v>
      </c>
      <c r="EP126" s="3">
        <f>$H126*factors!EJ$3</f>
        <v>0.29715534244800001</v>
      </c>
      <c r="EQ126" s="3">
        <f>$H126*factors!EK$3</f>
        <v>0.28897407441599998</v>
      </c>
      <c r="ER126" s="3">
        <f>$H126*factors!EL$3</f>
        <v>0.30095378832000003</v>
      </c>
      <c r="ES126" s="3">
        <f>$H126*factors!EM$3</f>
        <v>0.29715534244800001</v>
      </c>
      <c r="ET126" s="3">
        <f>$H126*factors!EN$3</f>
        <v>0.30387566976000002</v>
      </c>
      <c r="EU126" s="3">
        <f>$H126*factors!EO$3</f>
        <v>0.30679755120000002</v>
      </c>
      <c r="EV126" s="3">
        <f>$H126*factors!EP$3</f>
        <v>0.28751313369600001</v>
      </c>
      <c r="EW126" s="3">
        <f>$H126*factors!EQ$3</f>
        <v>0.31623279334999999</v>
      </c>
      <c r="EX126" s="3">
        <f>$H126*factors!ER$3</f>
        <v>0.31288480420000009</v>
      </c>
      <c r="EY126" s="3">
        <f>$H126*factors!ES$3</f>
        <v>0.31927641984999999</v>
      </c>
      <c r="EZ126" s="3">
        <f>$H126*factors!ET$3</f>
        <v>0.31623279334999999</v>
      </c>
      <c r="FA126" s="3">
        <f>$H126*factors!EU$3</f>
        <v>0.29066633074999998</v>
      </c>
      <c r="FB126" s="3">
        <f>$H126*factors!EV$3</f>
        <v>0.30375392470000007</v>
      </c>
      <c r="FC126" s="3">
        <f>$H126*factors!EW$3</f>
        <v>0.31227607890000003</v>
      </c>
      <c r="FD126" s="3">
        <f>$H126*factors!EX$3</f>
        <v>0.30131902350000006</v>
      </c>
      <c r="FE126" s="3">
        <f>$H126*factors!EY$3</f>
        <v>0.31745024395000004</v>
      </c>
      <c r="FF126" s="3">
        <f>$H126*factors!EZ$3</f>
        <v>0.3177546066000001</v>
      </c>
      <c r="FG126" s="3">
        <f>$H126*factors!FA$3</f>
        <v>0.29066633074999998</v>
      </c>
      <c r="FH126" s="3">
        <f>$H126*factors!FB$3</f>
        <v>0.30588446325000002</v>
      </c>
      <c r="FI126" s="3">
        <f>$H126*factors!FC$3</f>
        <v>0.31866769454999999</v>
      </c>
      <c r="FJ126" s="3">
        <f>$H126*factors!FD$3</f>
        <v>0.30588446325000002</v>
      </c>
      <c r="FK126" s="3">
        <f>$H126*factors!FE$3</f>
        <v>0.31105862830000008</v>
      </c>
      <c r="FL126" s="3">
        <f>$H126*factors!FF$3</f>
        <v>0.31197171625000003</v>
      </c>
      <c r="FM126" s="3">
        <f>$H126*factors!FG$3</f>
        <v>0.31531970540000004</v>
      </c>
      <c r="FN126" s="3">
        <f>$H126*factors!FH$3</f>
        <v>0.29492740785000005</v>
      </c>
      <c r="FO126" s="3">
        <f>$H126*factors!FI$3</f>
        <v>0.31318916685000003</v>
      </c>
      <c r="FP126" s="3">
        <f>$H126*factors!FJ$3</f>
        <v>0.30436265000000007</v>
      </c>
      <c r="FQ126" s="3">
        <f>$H126*factors!FK$3</f>
        <v>0.30131902350000006</v>
      </c>
      <c r="FR126" s="3">
        <f>$H126*factors!FL$3</f>
        <v>0.30740627650000002</v>
      </c>
      <c r="FS126" s="3">
        <f>$H126*factors!FM$3</f>
        <v>0.30558010060000002</v>
      </c>
      <c r="FT126" s="3">
        <f>$H126*factors!FN$3</f>
        <v>0.31227607890000003</v>
      </c>
      <c r="FU126" s="3">
        <f>$H126*factors!FO$3</f>
        <v>0.3001015729</v>
      </c>
      <c r="FV126" s="3">
        <f>$H126*factors!FP$3</f>
        <v>0.2976666717</v>
      </c>
      <c r="FW126" s="3">
        <f>$H126*factors!FQ$3</f>
        <v>0.31866769454999999</v>
      </c>
      <c r="FX126" s="3">
        <f>$H126*factors!FR$3</f>
        <v>0.31288480420000009</v>
      </c>
      <c r="FY126" s="3">
        <f>$H126*factors!FS$3</f>
        <v>0.30649318855000002</v>
      </c>
      <c r="FZ126" s="3">
        <f>$H126*factors!FT$3</f>
        <v>0.29127505605000004</v>
      </c>
      <c r="GA126" s="3">
        <f>$H126*factors!FU$3</f>
        <v>0.30649318855000002</v>
      </c>
      <c r="GB126" s="3">
        <f>$H126*factors!FV$3</f>
        <v>0.3177546066000001</v>
      </c>
      <c r="GC126" s="3">
        <f>$H126*factors!FW$3</f>
        <v>0.2976666717</v>
      </c>
      <c r="GD126" s="3">
        <f>$H126*factors!FX$3</f>
        <v>0.30284083675000001</v>
      </c>
      <c r="GE126" s="3">
        <f>$H126*factors!FY$3</f>
        <v>0.30284083675000001</v>
      </c>
      <c r="GF126" s="3">
        <f>$H126*factors!FZ$3</f>
        <v>0.30192774880000006</v>
      </c>
      <c r="GG126" s="3">
        <f>$H126*factors!GA$3</f>
        <v>0.29005760545000003</v>
      </c>
      <c r="GH126" s="3">
        <f>$H126*factors!GB$3</f>
        <v>0.30862372710000008</v>
      </c>
      <c r="GI126" s="3">
        <f>$H126*factors!GC$3</f>
        <v>0.28944888015000003</v>
      </c>
      <c r="GJ126" s="3">
        <f>$H126*factors!GD$3</f>
        <v>0.29005760545000003</v>
      </c>
      <c r="GK126" s="3">
        <f>$H126*factors!GE$3</f>
        <v>0.29736230905000005</v>
      </c>
      <c r="GL126" s="3">
        <f>$H126*factors!GF$3</f>
        <v>0.31501534275000004</v>
      </c>
      <c r="GM126" s="3">
        <f>$H126*factors!GG$3</f>
        <v>0.29857975965000005</v>
      </c>
      <c r="GN126" s="3">
        <f>$H126*factors!GH$3</f>
        <v>0.30801500180000008</v>
      </c>
      <c r="GO126" s="3">
        <f>$H126*factors!GI$3</f>
        <v>0.29097069339999998</v>
      </c>
      <c r="GP126" s="3">
        <f>$H126*factors!GJ$3</f>
        <v>0.31197171625000003</v>
      </c>
      <c r="GQ126" s="3">
        <f>$H126*factors!GK$3</f>
        <v>0.31836333190000005</v>
      </c>
      <c r="GR126" s="3">
        <f>$H126*factors!GL$3</f>
        <v>0.31227607890000003</v>
      </c>
      <c r="GS126" s="3">
        <f>$H126*factors!GM$3</f>
        <v>0.29531699204200001</v>
      </c>
      <c r="GT126" s="3">
        <f>$H126*factors!GN$3</f>
        <v>0.30212010599480005</v>
      </c>
      <c r="GU126" s="3">
        <f>$H126*factors!GO$3</f>
        <v>0.30923245240000002</v>
      </c>
      <c r="GV126" s="3">
        <f>$H126*factors!GP$3</f>
        <v>0.29686315430400007</v>
      </c>
      <c r="GW126" s="3">
        <f>$H126*factors!GQ$3</f>
        <v>0.30737705768560003</v>
      </c>
      <c r="GX126" s="3">
        <f>$H126*factors!GR$3</f>
        <v>0.30242933844720005</v>
      </c>
      <c r="GY126" s="3">
        <f>$H126*factors!GS$3</f>
        <v>0.30088317618520005</v>
      </c>
      <c r="GZ126" s="3">
        <f>$H126*factors!GT$3</f>
        <v>0.31201554447160001</v>
      </c>
      <c r="HA126" s="3">
        <f>$H126*factors!GU$3</f>
        <v>0.30181087354240005</v>
      </c>
      <c r="HB126" s="3">
        <f>$H126*factors!GV$3</f>
        <v>0.31201554447160001</v>
      </c>
      <c r="HC126" s="3">
        <f>$H126*factors!GW$3</f>
        <v>0.30428473316160004</v>
      </c>
      <c r="HD126" s="3">
        <f>$H126*factors!GX$3</f>
        <v>0.31325247428120001</v>
      </c>
      <c r="HE126" s="3">
        <f>$H126*factors!GY$3</f>
        <v>0.30923245240000002</v>
      </c>
      <c r="HF126" s="3">
        <f>$H126*factors!GZ$3</f>
        <v>0.31881865842440005</v>
      </c>
      <c r="HG126" s="3">
        <f>$H126*factors!HA$3</f>
        <v>0.30644936032840003</v>
      </c>
      <c r="HH126" s="3">
        <f>$H126*factors!HB$3</f>
        <v>0.30242933844720005</v>
      </c>
      <c r="HI126" s="3">
        <f>$H126*factors!HC$3</f>
        <v>0.29871854901840006</v>
      </c>
      <c r="HJ126" s="3">
        <f>$H126*factors!HD$3</f>
        <v>0.29531699204200001</v>
      </c>
      <c r="HK126" s="3">
        <f>$H126*factors!HE$3</f>
        <v>0.31232477692400001</v>
      </c>
      <c r="HL126" s="3">
        <f>$H126*factors!HF$3</f>
        <v>0.29438929468480002</v>
      </c>
      <c r="HM126" s="3">
        <f>$H126*factors!HG$3</f>
        <v>0.29748161920880006</v>
      </c>
      <c r="HN126" s="3">
        <f>$H126*factors!HH$3</f>
        <v>0.31727249616240005</v>
      </c>
      <c r="HO126" s="3">
        <f>$H126*factors!HI$3</f>
        <v>0.30428473316160004</v>
      </c>
      <c r="HP126" s="3">
        <f>$H126*factors!HJ$3</f>
        <v>0.32469407502000008</v>
      </c>
      <c r="HQ126" s="3">
        <f>$H126*factors!HK$3</f>
        <v>0.29686315430400007</v>
      </c>
      <c r="HR126" s="3">
        <f>$H126*factors!HL$3</f>
        <v>0.31479863654320006</v>
      </c>
      <c r="HS126" s="3">
        <f>$H126*factors!HM$3</f>
        <v>0.32036482068640004</v>
      </c>
      <c r="HT126" s="3">
        <f>$H126*factors!HN$3</f>
        <v>0.29871854901840006</v>
      </c>
      <c r="HU126" s="3">
        <f>$H126*factors!HO$3</f>
        <v>0.30181087354240005</v>
      </c>
      <c r="HV126" s="3">
        <f>$H126*factors!HP$3</f>
        <v>0.30552166297120004</v>
      </c>
      <c r="HW126" s="3">
        <f>$H126*factors!HQ$3</f>
        <v>0.30985091730480002</v>
      </c>
      <c r="HX126" s="3">
        <f>$H126*factors!HR$3</f>
        <v>0.32252944785319998</v>
      </c>
      <c r="HY126" s="3">
        <f>$H126*factors!HS$3</f>
        <v>0.30644936032840003</v>
      </c>
      <c r="HZ126" s="3">
        <f>$H126*factors!HT$3</f>
        <v>0.31820019351960005</v>
      </c>
      <c r="IA126" s="3">
        <f>$H126*factors!HU$3</f>
        <v>0.30273857089960005</v>
      </c>
      <c r="IB126" s="3">
        <f>$H126*factors!HV$3</f>
        <v>0.31325247428120001</v>
      </c>
      <c r="IC126" s="3">
        <f>$H126*factors!HW$3</f>
        <v>0.31634479880520006</v>
      </c>
      <c r="ID126" s="3">
        <f>$H126*factors!HX$3</f>
        <v>0.29377082978000002</v>
      </c>
      <c r="IE126" s="3">
        <f>$H126*factors!HY$3</f>
        <v>0.31201554447160001</v>
      </c>
      <c r="IF126" s="3">
        <f>$H126*factors!HZ$3</f>
        <v>0.31016014975720002</v>
      </c>
      <c r="IG126" s="3">
        <f>$H126*factors!IA$3</f>
        <v>0.30737705768560003</v>
      </c>
      <c r="IH126" s="3">
        <f>$H126*factors!IB$3</f>
        <v>0.31881865842440005</v>
      </c>
      <c r="II126" s="3">
        <f>$H126*factors!IC$3</f>
        <v>0.30521243051880004</v>
      </c>
      <c r="IJ126" s="3">
        <f>$H126*factors!ID$3</f>
        <v>0.30799552259040003</v>
      </c>
      <c r="IK126" s="3">
        <f>$H126*factors!IE$3</f>
        <v>0.31912789087680005</v>
      </c>
      <c r="IL126" s="3">
        <f>$H126*factors!IF$3</f>
        <v>0.30552166297120004</v>
      </c>
      <c r="IM126" s="3">
        <f>$H126*factors!IG$3</f>
        <v>0.30273857089960005</v>
      </c>
      <c r="IN126" s="3">
        <f>$H126*factors!IH$3</f>
        <v>0.30459396561400004</v>
      </c>
      <c r="IO126" s="3">
        <f>$H126*factors!II$3</f>
        <v>0.30768629013800003</v>
      </c>
      <c r="IP126" s="3">
        <f>$H126*factors!IJ$3</f>
        <v>0.29748161920880006</v>
      </c>
      <c r="IQ126" s="3">
        <f>$H126*factors!IK$3</f>
        <v>0.29655392185160001</v>
      </c>
      <c r="IR126" s="3">
        <f>$H126*factors!IL$3</f>
        <v>0.30521243051880004</v>
      </c>
      <c r="IS126" s="3">
        <f>$H126*factors!IM$3</f>
        <v>0.30768629013800003</v>
      </c>
      <c r="IT126" s="3">
        <f>$H126*factors!IN$3</f>
        <v>0.30985091730480002</v>
      </c>
      <c r="IU126" s="3">
        <f>$H126*factors!IO$3</f>
        <v>0.31665403125760005</v>
      </c>
      <c r="IV126" s="3">
        <f>$H126*factors!IP$3</f>
        <v>0.32067405313880004</v>
      </c>
      <c r="IW126" s="3">
        <f>$H126*factors!IQ$3</f>
        <v>0.30304780335200004</v>
      </c>
      <c r="IX126" s="3">
        <f>$H126*factors!IR$3</f>
        <v>0.31665403125760005</v>
      </c>
      <c r="IY126" s="3">
        <f>$H126*factors!IS$3</f>
        <v>0.31201554447160001</v>
      </c>
      <c r="IZ126" s="3">
        <f>$H126*factors!IT$3</f>
        <v>0.31727249616240005</v>
      </c>
      <c r="JA126" s="3">
        <f>$H126*factors!IU$3</f>
        <v>0.2996462463756</v>
      </c>
      <c r="JB126" s="3">
        <f>$H126*factors!IV$3</f>
        <v>0.30521243051880004</v>
      </c>
      <c r="JC126" s="3">
        <f>$H126*factors!IW$3</f>
        <v>0.29810008411360006</v>
      </c>
      <c r="JD126" s="3">
        <f>$H126*factors!IX$3</f>
        <v>0.32469407502000008</v>
      </c>
      <c r="JE126" s="3">
        <f>$H126*factors!IY$3</f>
        <v>0.2990277814708</v>
      </c>
      <c r="JF126" s="3">
        <f>$H126*factors!IZ$3</f>
        <v>0.31387093918600001</v>
      </c>
      <c r="JG126" s="3">
        <f>$H126*factors!JA$3</f>
        <v>0.30830475504280003</v>
      </c>
      <c r="JH126" s="3">
        <f>$H126*factors!JB$3</f>
        <v>0.31418017163840006</v>
      </c>
      <c r="JI126" s="3">
        <f>$H126*factors!JC$3</f>
        <v>0.29408006223240002</v>
      </c>
      <c r="JJ126" s="3">
        <f>$H126*factors!JD$3</f>
        <v>0.31665403125760005</v>
      </c>
      <c r="JK126" s="3">
        <f>$H126*factors!JE$3</f>
        <v>0.30644936032840003</v>
      </c>
      <c r="JL126" s="3">
        <f>$H126*factors!JF$3</f>
        <v>0.31881865842440005</v>
      </c>
      <c r="JM126" s="3">
        <f>$H126*factors!JG$3</f>
        <v>0.29748161920880006</v>
      </c>
      <c r="JN126" s="3">
        <f>$H126*factors!JH$3</f>
        <v>0.29748161920880006</v>
      </c>
      <c r="JO126" s="3">
        <f>$H126*factors!JI$3</f>
        <v>0.29377082978000002</v>
      </c>
      <c r="JP126" s="3">
        <f>$H126*factors!JJ$3</f>
        <v>0.31758172861480005</v>
      </c>
      <c r="JQ126" s="3">
        <f>$H126*factors!JK$3</f>
        <v>0.30954168485240002</v>
      </c>
      <c r="JR126" s="3">
        <f>$H126*factors!JL$3</f>
        <v>0.32160175049600004</v>
      </c>
      <c r="JS126" s="3">
        <f>$H126*factors!JM$3</f>
        <v>0.29377082978000002</v>
      </c>
      <c r="JT126" s="3">
        <f>$H126*factors!JN$3</f>
        <v>0.30861398749520003</v>
      </c>
      <c r="JU126" s="3">
        <f>$H126*factors!JO$3</f>
        <v>0.298409316566</v>
      </c>
      <c r="JV126" s="3">
        <f>$H126*factors!JP$3</f>
        <v>0.30335703580440004</v>
      </c>
      <c r="JW126" s="3">
        <f>$H126*factors!JQ$3</f>
        <v>0.32407561011520009</v>
      </c>
      <c r="JX126" s="3">
        <f>$H126*factors!JR$3</f>
        <v>0.32098328559120004</v>
      </c>
      <c r="JY126" s="3">
        <f>$H126*factors!JS$3</f>
        <v>0.30212010599480005</v>
      </c>
      <c r="JZ126" s="3">
        <f>$H126*factors!JT$3</f>
        <v>0.30552166297120004</v>
      </c>
      <c r="KA126" s="3">
        <f>$H126*factors!JU$3</f>
        <v>0.30675859278080003</v>
      </c>
      <c r="KB126" s="3">
        <f>$H126*factors!JV$3</f>
        <v>0.29655392185160001</v>
      </c>
      <c r="KC126" s="3">
        <f>$H126*factors!JW$3</f>
        <v>0.29810008411360006</v>
      </c>
      <c r="KD126" s="3">
        <f>$H126*factors!JX$3</f>
        <v>0.298409316566</v>
      </c>
      <c r="KE126" s="3">
        <f>$H126*factors!JY$3</f>
        <v>0.31758172861480005</v>
      </c>
      <c r="KF126" s="3">
        <f>$H126*factors!JZ$3</f>
        <v>0.32129251804359998</v>
      </c>
      <c r="KG126" s="3">
        <f>$H126*factors!KA$3</f>
        <v>0.30985091730480002</v>
      </c>
      <c r="KH126" s="3">
        <f>$H126*factors!KB$3</f>
        <v>0.30304780335200004</v>
      </c>
      <c r="KI126" s="3">
        <f>$H126*factors!KC$3</f>
        <v>0.3002647112804</v>
      </c>
    </row>
    <row r="127" spans="1:295" x14ac:dyDescent="0.55000000000000004">
      <c r="A127" t="s">
        <v>504</v>
      </c>
      <c r="B127">
        <v>126</v>
      </c>
      <c r="C127">
        <v>500</v>
      </c>
      <c r="D127" t="s">
        <v>377</v>
      </c>
      <c r="E127">
        <v>7.2639999999999996E-3</v>
      </c>
      <c r="F127">
        <v>126</v>
      </c>
      <c r="G127">
        <f>VLOOKUP(D127,demand_forecasted!$A$2:$G$11,2)</f>
        <v>11098</v>
      </c>
      <c r="H127" s="3">
        <f t="shared" si="2"/>
        <v>0.80615872</v>
      </c>
      <c r="I127" s="3">
        <f>$H127*factors!C$3</f>
        <v>0.89241770304000001</v>
      </c>
      <c r="J127" s="3">
        <f>$H127*factors!D$3</f>
        <v>0.86020360058879997</v>
      </c>
      <c r="K127" s="3">
        <f>$H127*factors!E$3</f>
        <v>0.84540252648960001</v>
      </c>
      <c r="L127" s="3">
        <f>$H127*factors!F$3</f>
        <v>0.8427905722368001</v>
      </c>
      <c r="M127" s="3">
        <f>$H127*factors!G$3</f>
        <v>0.84191992081919997</v>
      </c>
      <c r="N127" s="3">
        <f>$H127*factors!H$3</f>
        <v>0.86629816051200004</v>
      </c>
      <c r="O127" s="3">
        <f>$H127*factors!I$3</f>
        <v>0.88545249169920004</v>
      </c>
      <c r="P127" s="3">
        <f>$H127*factors!J$3</f>
        <v>0.89590030871040005</v>
      </c>
      <c r="Q127" s="3">
        <f>$H127*factors!K$3</f>
        <v>0.84104926940159996</v>
      </c>
      <c r="R127" s="3">
        <f>$H127*factors!L$3</f>
        <v>0.82711884672000002</v>
      </c>
      <c r="S127" s="3">
        <f>$H127*factors!M$3</f>
        <v>0.86107425200639998</v>
      </c>
      <c r="T127" s="3">
        <f>$H127*factors!N$3</f>
        <v>0.89067640020479999</v>
      </c>
      <c r="U127" s="3">
        <f>$H127*factors!O$3</f>
        <v>0.84366122365440011</v>
      </c>
      <c r="V127" s="3">
        <f>$H127*factors!P$3</f>
        <v>0.87761662894080006</v>
      </c>
      <c r="W127" s="3">
        <f>$H127*factors!Q$3</f>
        <v>0.88545249169920004</v>
      </c>
      <c r="X127" s="3">
        <f>$H127*factors!R$3</f>
        <v>0.84714382932480004</v>
      </c>
      <c r="Y127" s="3">
        <f>$H127*factors!S$3</f>
        <v>0.83930796656640005</v>
      </c>
      <c r="Z127" s="3">
        <f>$H127*factors!T$3</f>
        <v>0.90547747430400016</v>
      </c>
      <c r="AA127" s="3">
        <f>$H127*factors!U$3</f>
        <v>0.8549796920831999</v>
      </c>
      <c r="AB127" s="3">
        <f>$H127*factors!V$3</f>
        <v>0.85585034350080014</v>
      </c>
      <c r="AC127" s="3">
        <f>$H127*factors!W$3</f>
        <v>0.85672099491840004</v>
      </c>
      <c r="AD127" s="3">
        <f>$H127*factors!X$3</f>
        <v>0.83843731514880004</v>
      </c>
      <c r="AE127" s="3">
        <f>$H127*factors!Y$3</f>
        <v>0.84540252648960001</v>
      </c>
      <c r="AF127" s="3">
        <f>$H127*factors!Z$3</f>
        <v>0.86281555484160011</v>
      </c>
      <c r="AG127" s="3">
        <f>$H127*factors!AA$3</f>
        <v>0.84104926940159996</v>
      </c>
      <c r="AH127" s="3">
        <f>$H127*factors!AB$3</f>
        <v>0.83756666373120003</v>
      </c>
      <c r="AI127" s="3">
        <f>$H127*factors!AC$3</f>
        <v>0.86455685767680002</v>
      </c>
      <c r="AJ127" s="3">
        <f>$H127*factors!AD$3</f>
        <v>0.89764161154559996</v>
      </c>
      <c r="AK127" s="3">
        <f>$H127*factors!AE$3</f>
        <v>0.86368620625920012</v>
      </c>
      <c r="AL127" s="3">
        <f>$H127*factors!AF$3</f>
        <v>0.82973080097279994</v>
      </c>
      <c r="AM127" s="3">
        <f>$H127*factors!AG$3</f>
        <v>0.853238389248</v>
      </c>
      <c r="AN127" s="3">
        <f>$H127*factors!AH$3</f>
        <v>0.83930796656640005</v>
      </c>
      <c r="AO127" s="3">
        <f>$H127*factors!AI$3</f>
        <v>0.87935793177599997</v>
      </c>
      <c r="AP127" s="3">
        <f>$H127*factors!AJ$3</f>
        <v>0.8427905722368001</v>
      </c>
      <c r="AQ127" s="3">
        <f>$H127*factors!AK$3</f>
        <v>0.86978076618240008</v>
      </c>
      <c r="AR127" s="3">
        <f>$H127*factors!AL$3</f>
        <v>0.85062643499520008</v>
      </c>
      <c r="AS127" s="3">
        <f>$H127*factors!AM$3</f>
        <v>0.82973080097279994</v>
      </c>
      <c r="AT127" s="3">
        <f>$H127*factors!AN$3</f>
        <v>0.85585034350080014</v>
      </c>
      <c r="AU127" s="3">
        <f>$H127*factors!AO$3</f>
        <v>0.90634812572159995</v>
      </c>
      <c r="AV127" s="3">
        <f>$H127*factors!AP$3</f>
        <v>0.85672099491840004</v>
      </c>
      <c r="AW127" s="3">
        <f>$H127*factors!AQ$3</f>
        <v>0.84801448074239993</v>
      </c>
      <c r="AX127" s="3">
        <f>$H127*factors!AR$3</f>
        <v>0.89677096012800006</v>
      </c>
      <c r="AY127" s="3">
        <f>$H127*factors!AS$3</f>
        <v>0.82711884672000002</v>
      </c>
      <c r="AZ127" s="3">
        <f>$H127*factors!AT$3</f>
        <v>0.88632314311680016</v>
      </c>
      <c r="BA127" s="3">
        <f>$H127*factors!AU$3</f>
        <v>0.86716881192959994</v>
      </c>
      <c r="BB127" s="3">
        <f>$H127*factors!AV$3</f>
        <v>0.85585034350080014</v>
      </c>
      <c r="BC127" s="3">
        <f>$H127*factors!AW$3</f>
        <v>0.90547747430400016</v>
      </c>
      <c r="BD127" s="3">
        <f>$H127*factors!AX$3</f>
        <v>0.8358253608959999</v>
      </c>
      <c r="BE127" s="3">
        <f>$H127*factors!AY$3</f>
        <v>0.98265911015679996</v>
      </c>
      <c r="BF127" s="3">
        <f>$H127*factors!AZ$3</f>
        <v>0.91511913259519995</v>
      </c>
      <c r="BG127" s="3">
        <f>$H127*factors!BA$3</f>
        <v>0.9284368746495999</v>
      </c>
      <c r="BH127" s="3">
        <f>$H127*factors!BB$3</f>
        <v>0.94080334941439991</v>
      </c>
      <c r="BI127" s="3">
        <f>$H127*factors!BC$3</f>
        <v>0.97504897183999983</v>
      </c>
      <c r="BJ127" s="3">
        <f>$H127*factors!BD$3</f>
        <v>0.93129067651839992</v>
      </c>
      <c r="BK127" s="3">
        <f>$H127*factors!BE$3</f>
        <v>0.9331932110975999</v>
      </c>
      <c r="BL127" s="3">
        <f>$H127*factors!BF$3</f>
        <v>0.92272927091199985</v>
      </c>
      <c r="BM127" s="3">
        <f>$H127*factors!BG$3</f>
        <v>0.98551291202559999</v>
      </c>
      <c r="BN127" s="3">
        <f>$H127*factors!BH$3</f>
        <v>0.97314643726079986</v>
      </c>
      <c r="BO127" s="3">
        <f>$H127*factors!BI$3</f>
        <v>0.91511913259519995</v>
      </c>
      <c r="BP127" s="3">
        <f>$H127*factors!BJ$3</f>
        <v>0.91226533072639993</v>
      </c>
      <c r="BQ127" s="3">
        <f>$H127*factors!BK$3</f>
        <v>0.92748560735999985</v>
      </c>
      <c r="BR127" s="3">
        <f>$H127*factors!BL$3</f>
        <v>0.96077996249599995</v>
      </c>
      <c r="BS127" s="3">
        <f>$H127*factors!BM$3</f>
        <v>0.97600023912959999</v>
      </c>
      <c r="BT127" s="3">
        <f>$H127*factors!BN$3</f>
        <v>0.9788540409983999</v>
      </c>
      <c r="BU127" s="3">
        <f>$H127*factors!BO$3</f>
        <v>0.99502558492159998</v>
      </c>
      <c r="BV127" s="3">
        <f>$H127*factors!BP$3</f>
        <v>0.92558307278079999</v>
      </c>
      <c r="BW127" s="3">
        <f>$H127*factors!BQ$3</f>
        <v>0.94651095315199996</v>
      </c>
      <c r="BX127" s="3">
        <f>$H127*factors!BR$3</f>
        <v>0.9284368746495999</v>
      </c>
      <c r="BY127" s="3">
        <f>$H127*factors!BS$3</f>
        <v>0.97124390268159977</v>
      </c>
      <c r="BZ127" s="3">
        <f>$H127*factors!BT$3</f>
        <v>0.95316982417919993</v>
      </c>
      <c r="CA127" s="3">
        <f>$H127*factors!BU$3</f>
        <v>0.94080334941439991</v>
      </c>
      <c r="CB127" s="3">
        <f>$H127*factors!BV$3</f>
        <v>0.91036279614719995</v>
      </c>
      <c r="CC127" s="3">
        <f>$H127*factors!BW$3</f>
        <v>0.93699828025599996</v>
      </c>
      <c r="CD127" s="3">
        <f>$H127*factors!BX$3</f>
        <v>0.93985208212479998</v>
      </c>
      <c r="CE127" s="3">
        <f>$H127*factors!BY$3</f>
        <v>0.95316982417919993</v>
      </c>
      <c r="CF127" s="3">
        <f>$H127*factors!BZ$3</f>
        <v>0.93890081483520005</v>
      </c>
      <c r="CG127" s="3">
        <f>$H127*factors!CA$3</f>
        <v>0.90750899427839982</v>
      </c>
      <c r="CH127" s="3">
        <f>$H127*factors!CB$3</f>
        <v>0.90846026156799986</v>
      </c>
      <c r="CI127" s="3">
        <f>$H127*factors!CC$3</f>
        <v>0.90370392511999997</v>
      </c>
      <c r="CJ127" s="3">
        <f>$H127*factors!CD$3</f>
        <v>0.94080334941439991</v>
      </c>
      <c r="CK127" s="3">
        <f>$H127*factors!CE$3</f>
        <v>0.98265911015679996</v>
      </c>
      <c r="CL127" s="3">
        <f>$H127*factors!CF$3</f>
        <v>0.92082673633279988</v>
      </c>
      <c r="CM127" s="3">
        <f>$H127*factors!CG$3</f>
        <v>0.94270588399359989</v>
      </c>
      <c r="CN127" s="3">
        <f>$H127*factors!CH$3</f>
        <v>0.91131406343679988</v>
      </c>
      <c r="CO127" s="3">
        <f>$H127*factors!CI$3</f>
        <v>0.91797293446399986</v>
      </c>
      <c r="CP127" s="3">
        <f>$H127*factors!CJ$3</f>
        <v>0.96173122978559977</v>
      </c>
      <c r="CQ127" s="3">
        <f>$H127*factors!CK$3</f>
        <v>0.9331932110975999</v>
      </c>
      <c r="CR127" s="3">
        <f>$H127*factors!CL$3</f>
        <v>0.96268249707519993</v>
      </c>
      <c r="CS127" s="3">
        <f>$H127*factors!CM$3</f>
        <v>0.99312305034239989</v>
      </c>
      <c r="CT127" s="3">
        <f>$H127*factors!CN$3</f>
        <v>0.98170784286719992</v>
      </c>
      <c r="CU127" s="3">
        <f>$H127*factors!CO$3</f>
        <v>0.9598286952063998</v>
      </c>
      <c r="CV127" s="3">
        <f>$H127*factors!CP$3</f>
        <v>0.99883065407999994</v>
      </c>
      <c r="CW127" s="3">
        <f>$H127*factors!CQ$3</f>
        <v>0.94460841857279998</v>
      </c>
      <c r="CX127" s="3">
        <f>$H127*factors!CR$3</f>
        <v>0.93033940922879999</v>
      </c>
      <c r="CY127" s="3">
        <f>$H127*factors!CS$3</f>
        <v>0.92177800362239992</v>
      </c>
      <c r="CZ127" s="3">
        <f>$H127*factors!CT$3</f>
        <v>0.90846026156799986</v>
      </c>
      <c r="DA127" s="3">
        <f>$H127*factors!CU$3</f>
        <v>0.9432057023999999</v>
      </c>
      <c r="DB127" s="3">
        <f>$H127*factors!CV$3</f>
        <v>1.0041513016320001</v>
      </c>
      <c r="DC127" s="3">
        <f>$H127*factors!CW$3</f>
        <v>0.96158612121599985</v>
      </c>
      <c r="DD127" s="3">
        <f>$H127*factors!CX$3</f>
        <v>0.95481438796799989</v>
      </c>
      <c r="DE127" s="3">
        <f>$H127*factors!CY$3</f>
        <v>0.98286871142400001</v>
      </c>
      <c r="DF127" s="3">
        <f>$H127*factors!CZ$3</f>
        <v>0.98093393049599986</v>
      </c>
      <c r="DG127" s="3">
        <f>$H127*factors!DA$3</f>
        <v>0.97706436864000001</v>
      </c>
      <c r="DH127" s="3">
        <f>$H127*factors!DB$3</f>
        <v>0.97706436864000001</v>
      </c>
      <c r="DI127" s="3">
        <f>$H127*factors!DC$3</f>
        <v>0.9403035310079999</v>
      </c>
      <c r="DJ127" s="3">
        <f>$H127*factors!DD$3</f>
        <v>0.99641217792000003</v>
      </c>
      <c r="DK127" s="3">
        <f>$H127*factors!DE$3</f>
        <v>0.99641217792000003</v>
      </c>
      <c r="DL127" s="3">
        <f>$H127*factors!DF$3</f>
        <v>0.98480349235200004</v>
      </c>
      <c r="DM127" s="3">
        <f>$H127*factors!DG$3</f>
        <v>0.92772745497599984</v>
      </c>
      <c r="DN127" s="3">
        <f>$H127*factors!DH$3</f>
        <v>0.97319480678400005</v>
      </c>
      <c r="DO127" s="3">
        <f>$H127*factors!DI$3</f>
        <v>1.005118692096</v>
      </c>
      <c r="DP127" s="3">
        <f>$H127*factors!DJ$3</f>
        <v>0.99641217792000003</v>
      </c>
      <c r="DQ127" s="3">
        <f>$H127*factors!DK$3</f>
        <v>0.94997743564799986</v>
      </c>
      <c r="DR127" s="3">
        <f>$H127*factors!DL$3</f>
        <v>0.93933614054400005</v>
      </c>
      <c r="DS127" s="3">
        <f>$H127*factors!DM$3</f>
        <v>1.0147925967359999</v>
      </c>
      <c r="DT127" s="3">
        <f>$H127*factors!DN$3</f>
        <v>0.95384699750400004</v>
      </c>
      <c r="DU127" s="3">
        <f>$H127*factors!DO$3</f>
        <v>0.99834695884799995</v>
      </c>
      <c r="DV127" s="3">
        <f>$H127*factors!DP$3</f>
        <v>0.97512958771199998</v>
      </c>
      <c r="DW127" s="3">
        <f>$H127*factors!DQ$3</f>
        <v>0.93062962636799984</v>
      </c>
      <c r="DX127" s="3">
        <f>$H127*factors!DR$3</f>
        <v>0.98577088281599989</v>
      </c>
      <c r="DY127" s="3">
        <f>$H127*factors!DS$3</f>
        <v>0.93546657868799987</v>
      </c>
      <c r="DZ127" s="3">
        <f>$H127*factors!DT$3</f>
        <v>1.000281739776</v>
      </c>
      <c r="EA127" s="3">
        <f>$H127*factors!DU$3</f>
        <v>0.94223831193599983</v>
      </c>
      <c r="EB127" s="3">
        <f>$H127*factors!DV$3</f>
        <v>0.91902094079999996</v>
      </c>
      <c r="EC127" s="3">
        <f>$H127*factors!DW$3</f>
        <v>0.98867305420799989</v>
      </c>
      <c r="ED127" s="3">
        <f>$H127*factors!DX$3</f>
        <v>0.92772745497599984</v>
      </c>
      <c r="EE127" s="3">
        <f>$H127*factors!DY$3</f>
        <v>0.93546657868799987</v>
      </c>
      <c r="EF127" s="3">
        <f>$H127*factors!DZ$3</f>
        <v>1.0147925967359999</v>
      </c>
      <c r="EG127" s="3">
        <f>$H127*factors!EA$3</f>
        <v>0.94804265471999993</v>
      </c>
      <c r="EH127" s="3">
        <f>$H127*factors!EB$3</f>
        <v>0.95094482611199993</v>
      </c>
      <c r="EI127" s="3">
        <f>$H127*factors!EC$3</f>
        <v>0.94901004518400001</v>
      </c>
      <c r="EJ127" s="3">
        <f>$H127*factors!ED$3</f>
        <v>0.92482528358399996</v>
      </c>
      <c r="EK127" s="3">
        <f>$H127*factors!EE$3</f>
        <v>0.98867305420799989</v>
      </c>
      <c r="EL127" s="3">
        <f>$H127*factors!EF$3</f>
        <v>0.9403035310079999</v>
      </c>
      <c r="EM127" s="3">
        <f>$H127*factors!EG$3</f>
        <v>0.97803175910399986</v>
      </c>
      <c r="EN127" s="3">
        <f>$H127*factors!EH$3</f>
        <v>0.91902094079999996</v>
      </c>
      <c r="EO127" s="3">
        <f>$H127*factors!EI$3</f>
        <v>0.93256440729599988</v>
      </c>
      <c r="EP127" s="3">
        <f>$H127*factors!EJ$3</f>
        <v>0.98383610188799997</v>
      </c>
      <c r="EQ127" s="3">
        <f>$H127*factors!EK$3</f>
        <v>0.95674916889599992</v>
      </c>
      <c r="ER127" s="3">
        <f>$H127*factors!EL$3</f>
        <v>0.99641217792000003</v>
      </c>
      <c r="ES127" s="3">
        <f>$H127*factors!EM$3</f>
        <v>0.98383610188799997</v>
      </c>
      <c r="ET127" s="3">
        <f>$H127*factors!EN$3</f>
        <v>1.00608608256</v>
      </c>
      <c r="EU127" s="3">
        <f>$H127*factors!EO$3</f>
        <v>1.0157599872</v>
      </c>
      <c r="EV127" s="3">
        <f>$H127*factors!EP$3</f>
        <v>0.95191221657599989</v>
      </c>
      <c r="EW127" s="3">
        <f>$H127*factors!EQ$3</f>
        <v>1.0469986375999998</v>
      </c>
      <c r="EX127" s="3">
        <f>$H127*factors!ER$3</f>
        <v>1.0359139552000001</v>
      </c>
      <c r="EY127" s="3">
        <f>$H127*factors!ES$3</f>
        <v>1.0570756215999999</v>
      </c>
      <c r="EZ127" s="3">
        <f>$H127*factors!ET$3</f>
        <v>1.0469986375999998</v>
      </c>
      <c r="FA127" s="3">
        <f>$H127*factors!EU$3</f>
        <v>0.96235197199999989</v>
      </c>
      <c r="FB127" s="3">
        <f>$H127*factors!EV$3</f>
        <v>1.0056830032000001</v>
      </c>
      <c r="FC127" s="3">
        <f>$H127*factors!EW$3</f>
        <v>1.0338985584</v>
      </c>
      <c r="FD127" s="3">
        <f>$H127*factors!EX$3</f>
        <v>0.99762141599999998</v>
      </c>
      <c r="FE127" s="3">
        <f>$H127*factors!EY$3</f>
        <v>1.0510294311999999</v>
      </c>
      <c r="FF127" s="3">
        <f>$H127*factors!EZ$3</f>
        <v>1.0520371296000002</v>
      </c>
      <c r="FG127" s="3">
        <f>$H127*factors!FA$3</f>
        <v>0.96235197199999989</v>
      </c>
      <c r="FH127" s="3">
        <f>$H127*factors!FB$3</f>
        <v>1.0127368919999999</v>
      </c>
      <c r="FI127" s="3">
        <f>$H127*factors!FC$3</f>
        <v>1.0550602247999998</v>
      </c>
      <c r="FJ127" s="3">
        <f>$H127*factors!FD$3</f>
        <v>1.0127368919999999</v>
      </c>
      <c r="FK127" s="3">
        <f>$H127*factors!FE$3</f>
        <v>1.0298677648000001</v>
      </c>
      <c r="FL127" s="3">
        <f>$H127*factors!FF$3</f>
        <v>1.03289086</v>
      </c>
      <c r="FM127" s="3">
        <f>$H127*factors!FG$3</f>
        <v>1.0439755423999999</v>
      </c>
      <c r="FN127" s="3">
        <f>$H127*factors!FH$3</f>
        <v>0.97645974959999993</v>
      </c>
      <c r="FO127" s="3">
        <f>$H127*factors!FI$3</f>
        <v>1.0369216535999999</v>
      </c>
      <c r="FP127" s="3">
        <f>$H127*factors!FJ$3</f>
        <v>1.0076984</v>
      </c>
      <c r="FQ127" s="3">
        <f>$H127*factors!FK$3</f>
        <v>0.99762141599999998</v>
      </c>
      <c r="FR127" s="3">
        <f>$H127*factors!FL$3</f>
        <v>1.0177753839999999</v>
      </c>
      <c r="FS127" s="3">
        <f>$H127*factors!FM$3</f>
        <v>1.0117291935999999</v>
      </c>
      <c r="FT127" s="3">
        <f>$H127*factors!FN$3</f>
        <v>1.0338985584</v>
      </c>
      <c r="FU127" s="3">
        <f>$H127*factors!FO$3</f>
        <v>0.99359062239999996</v>
      </c>
      <c r="FV127" s="3">
        <f>$H127*factors!FP$3</f>
        <v>0.9855290351999999</v>
      </c>
      <c r="FW127" s="3">
        <f>$H127*factors!FQ$3</f>
        <v>1.0550602247999998</v>
      </c>
      <c r="FX127" s="3">
        <f>$H127*factors!FR$3</f>
        <v>1.0359139552000001</v>
      </c>
      <c r="FY127" s="3">
        <f>$H127*factors!FS$3</f>
        <v>1.0147522887999998</v>
      </c>
      <c r="FZ127" s="3">
        <f>$H127*factors!FT$3</f>
        <v>0.96436736880000007</v>
      </c>
      <c r="GA127" s="3">
        <f>$H127*factors!FU$3</f>
        <v>1.0147522887999998</v>
      </c>
      <c r="GB127" s="3">
        <f>$H127*factors!FV$3</f>
        <v>1.0520371296000002</v>
      </c>
      <c r="GC127" s="3">
        <f>$H127*factors!FW$3</f>
        <v>0.9855290351999999</v>
      </c>
      <c r="GD127" s="3">
        <f>$H127*factors!FX$3</f>
        <v>1.0026599079999998</v>
      </c>
      <c r="GE127" s="3">
        <f>$H127*factors!FY$3</f>
        <v>1.0026599079999998</v>
      </c>
      <c r="GF127" s="3">
        <f>$H127*factors!FZ$3</f>
        <v>0.99963681279999994</v>
      </c>
      <c r="GG127" s="3">
        <f>$H127*factors!GA$3</f>
        <v>0.96033657519999993</v>
      </c>
      <c r="GH127" s="3">
        <f>$H127*factors!GB$3</f>
        <v>1.0218061776</v>
      </c>
      <c r="GI127" s="3">
        <f>$H127*factors!GC$3</f>
        <v>0.95832117839999997</v>
      </c>
      <c r="GJ127" s="3">
        <f>$H127*factors!GD$3</f>
        <v>0.96033657519999993</v>
      </c>
      <c r="GK127" s="3">
        <f>$H127*factors!GE$3</f>
        <v>0.98452133679999998</v>
      </c>
      <c r="GL127" s="3">
        <f>$H127*factors!GF$3</f>
        <v>1.0429678439999999</v>
      </c>
      <c r="GM127" s="3">
        <f>$H127*factors!GG$3</f>
        <v>0.98855213040000001</v>
      </c>
      <c r="GN127" s="3">
        <f>$H127*factors!GH$3</f>
        <v>1.0197907808000002</v>
      </c>
      <c r="GO127" s="3">
        <f>$H127*factors!GI$3</f>
        <v>0.96335967039999981</v>
      </c>
      <c r="GP127" s="3">
        <f>$H127*factors!GJ$3</f>
        <v>1.03289086</v>
      </c>
      <c r="GQ127" s="3">
        <f>$H127*factors!GK$3</f>
        <v>1.0540525264</v>
      </c>
      <c r="GR127" s="3">
        <f>$H127*factors!GL$3</f>
        <v>1.0338985584</v>
      </c>
      <c r="GS127" s="3">
        <f>$H127*factors!GM$3</f>
        <v>0.97774960355200002</v>
      </c>
      <c r="GT127" s="3">
        <f>$H127*factors!GN$3</f>
        <v>1.0002736781888</v>
      </c>
      <c r="GU127" s="3">
        <f>$H127*factors!GO$3</f>
        <v>1.0238215744000001</v>
      </c>
      <c r="GV127" s="3">
        <f>$H127*factors!GP$3</f>
        <v>0.98286871142400001</v>
      </c>
      <c r="GW127" s="3">
        <f>$H127*factors!GQ$3</f>
        <v>1.0176786449535999</v>
      </c>
      <c r="GX127" s="3">
        <f>$H127*factors!GR$3</f>
        <v>1.0012974997632</v>
      </c>
      <c r="GY127" s="3">
        <f>$H127*factors!GS$3</f>
        <v>0.99617839189120005</v>
      </c>
      <c r="GZ127" s="3">
        <f>$H127*factors!GT$3</f>
        <v>1.0330359685695998</v>
      </c>
      <c r="HA127" s="3">
        <f>$H127*factors!GU$3</f>
        <v>0.99924985661439991</v>
      </c>
      <c r="HB127" s="3">
        <f>$H127*factors!GV$3</f>
        <v>1.0330359685695998</v>
      </c>
      <c r="HC127" s="3">
        <f>$H127*factors!GW$3</f>
        <v>1.0074404292096</v>
      </c>
      <c r="HD127" s="3">
        <f>$H127*factors!GX$3</f>
        <v>1.0371312548671998</v>
      </c>
      <c r="HE127" s="3">
        <f>$H127*factors!GY$3</f>
        <v>1.0238215744000001</v>
      </c>
      <c r="HF127" s="3">
        <f>$H127*factors!GZ$3</f>
        <v>1.0555600432063998</v>
      </c>
      <c r="HG127" s="3">
        <f>$H127*factors!HA$3</f>
        <v>1.0146071802304</v>
      </c>
      <c r="HH127" s="3">
        <f>$H127*factors!HB$3</f>
        <v>1.0012974997632</v>
      </c>
      <c r="HI127" s="3">
        <f>$H127*factors!HC$3</f>
        <v>0.98901164087040006</v>
      </c>
      <c r="HJ127" s="3">
        <f>$H127*factors!HD$3</f>
        <v>0.97774960355200002</v>
      </c>
      <c r="HK127" s="3">
        <f>$H127*factors!HE$3</f>
        <v>1.0340597901439998</v>
      </c>
      <c r="HL127" s="3">
        <f>$H127*factors!HF$3</f>
        <v>0.97467813882879994</v>
      </c>
      <c r="HM127" s="3">
        <f>$H127*factors!HG$3</f>
        <v>0.98491635457280002</v>
      </c>
      <c r="HN127" s="3">
        <f>$H127*factors!HH$3</f>
        <v>1.0504409353344</v>
      </c>
      <c r="HO127" s="3">
        <f>$H127*factors!HI$3</f>
        <v>1.0074404292096</v>
      </c>
      <c r="HP127" s="3">
        <f>$H127*factors!HJ$3</f>
        <v>1.0750126531200002</v>
      </c>
      <c r="HQ127" s="3">
        <f>$H127*factors!HK$3</f>
        <v>0.98286871142400001</v>
      </c>
      <c r="HR127" s="3">
        <f>$H127*factors!HL$3</f>
        <v>1.0422503627392001</v>
      </c>
      <c r="HS127" s="3">
        <f>$H127*factors!HM$3</f>
        <v>1.0606791510783999</v>
      </c>
      <c r="HT127" s="3">
        <f>$H127*factors!HN$3</f>
        <v>0.98901164087040006</v>
      </c>
      <c r="HU127" s="3">
        <f>$H127*factors!HO$3</f>
        <v>0.99924985661439991</v>
      </c>
      <c r="HV127" s="3">
        <f>$H127*factors!HP$3</f>
        <v>1.0115357155072</v>
      </c>
      <c r="HW127" s="3">
        <f>$H127*factors!HQ$3</f>
        <v>1.0258692175488</v>
      </c>
      <c r="HX127" s="3">
        <f>$H127*factors!HR$3</f>
        <v>1.0678459020991999</v>
      </c>
      <c r="HY127" s="3">
        <f>$H127*factors!HS$3</f>
        <v>1.0146071802304</v>
      </c>
      <c r="HZ127" s="3">
        <f>$H127*factors!HT$3</f>
        <v>1.0535124000575999</v>
      </c>
      <c r="IA127" s="3">
        <f>$H127*factors!HU$3</f>
        <v>1.0023213213376001</v>
      </c>
      <c r="IB127" s="3">
        <f>$H127*factors!HV$3</f>
        <v>1.0371312548671998</v>
      </c>
      <c r="IC127" s="3">
        <f>$H127*factors!HW$3</f>
        <v>1.0473694706112</v>
      </c>
      <c r="ID127" s="3">
        <f>$H127*factors!HX$3</f>
        <v>0.97263049567999993</v>
      </c>
      <c r="IE127" s="3">
        <f>$H127*factors!HY$3</f>
        <v>1.0330359685695998</v>
      </c>
      <c r="IF127" s="3">
        <f>$H127*factors!HZ$3</f>
        <v>1.0268930391231998</v>
      </c>
      <c r="IG127" s="3">
        <f>$H127*factors!IA$3</f>
        <v>1.0176786449535999</v>
      </c>
      <c r="IH127" s="3">
        <f>$H127*factors!IB$3</f>
        <v>1.0555600432063998</v>
      </c>
      <c r="II127" s="3">
        <f>$H127*factors!IC$3</f>
        <v>1.0105118939327999</v>
      </c>
      <c r="IJ127" s="3">
        <f>$H127*factors!ID$3</f>
        <v>1.0197262881024001</v>
      </c>
      <c r="IK127" s="3">
        <f>$H127*factors!IE$3</f>
        <v>1.0565838647807999</v>
      </c>
      <c r="IL127" s="3">
        <f>$H127*factors!IF$3</f>
        <v>1.0115357155072</v>
      </c>
      <c r="IM127" s="3">
        <f>$H127*factors!IG$3</f>
        <v>1.0023213213376001</v>
      </c>
      <c r="IN127" s="3">
        <f>$H127*factors!IH$3</f>
        <v>1.008464250784</v>
      </c>
      <c r="IO127" s="3">
        <f>$H127*factors!II$3</f>
        <v>1.018702466528</v>
      </c>
      <c r="IP127" s="3">
        <f>$H127*factors!IJ$3</f>
        <v>0.98491635457280002</v>
      </c>
      <c r="IQ127" s="3">
        <f>$H127*factors!IK$3</f>
        <v>0.98184488984959994</v>
      </c>
      <c r="IR127" s="3">
        <f>$H127*factors!IL$3</f>
        <v>1.0105118939327999</v>
      </c>
      <c r="IS127" s="3">
        <f>$H127*factors!IM$3</f>
        <v>1.018702466528</v>
      </c>
      <c r="IT127" s="3">
        <f>$H127*factors!IN$3</f>
        <v>1.0258692175488</v>
      </c>
      <c r="IU127" s="3">
        <f>$H127*factors!IO$3</f>
        <v>1.0483932921856001</v>
      </c>
      <c r="IV127" s="3">
        <f>$H127*factors!IP$3</f>
        <v>1.0617029726528</v>
      </c>
      <c r="IW127" s="3">
        <f>$H127*factors!IQ$3</f>
        <v>1.0033451429119999</v>
      </c>
      <c r="IX127" s="3">
        <f>$H127*factors!IR$3</f>
        <v>1.0483932921856001</v>
      </c>
      <c r="IY127" s="3">
        <f>$H127*factors!IS$3</f>
        <v>1.0330359685695998</v>
      </c>
      <c r="IZ127" s="3">
        <f>$H127*factors!IT$3</f>
        <v>1.0504409353344</v>
      </c>
      <c r="JA127" s="3">
        <f>$H127*factors!IU$3</f>
        <v>0.99208310559359991</v>
      </c>
      <c r="JB127" s="3">
        <f>$H127*factors!IV$3</f>
        <v>1.0105118939327999</v>
      </c>
      <c r="JC127" s="3">
        <f>$H127*factors!IW$3</f>
        <v>0.98696399772160004</v>
      </c>
      <c r="JD127" s="3">
        <f>$H127*factors!IX$3</f>
        <v>1.0750126531200002</v>
      </c>
      <c r="JE127" s="3">
        <f>$H127*factors!IY$3</f>
        <v>0.9900354624447999</v>
      </c>
      <c r="JF127" s="3">
        <f>$H127*factors!IZ$3</f>
        <v>1.0391788980159999</v>
      </c>
      <c r="JG127" s="3">
        <f>$H127*factors!JA$3</f>
        <v>1.0207501096767999</v>
      </c>
      <c r="JH127" s="3">
        <f>$H127*factors!JB$3</f>
        <v>1.0402027195904</v>
      </c>
      <c r="JI127" s="3">
        <f>$H127*factors!JC$3</f>
        <v>0.97365431725439999</v>
      </c>
      <c r="JJ127" s="3">
        <f>$H127*factors!JD$3</f>
        <v>1.0483932921856001</v>
      </c>
      <c r="JK127" s="3">
        <f>$H127*factors!JE$3</f>
        <v>1.0146071802304</v>
      </c>
      <c r="JL127" s="3">
        <f>$H127*factors!JF$3</f>
        <v>1.0555600432063998</v>
      </c>
      <c r="JM127" s="3">
        <f>$H127*factors!JG$3</f>
        <v>0.98491635457280002</v>
      </c>
      <c r="JN127" s="3">
        <f>$H127*factors!JH$3</f>
        <v>0.98491635457280002</v>
      </c>
      <c r="JO127" s="3">
        <f>$H127*factors!JI$3</f>
        <v>0.97263049567999993</v>
      </c>
      <c r="JP127" s="3">
        <f>$H127*factors!JJ$3</f>
        <v>1.0514647569088</v>
      </c>
      <c r="JQ127" s="3">
        <f>$H127*factors!JK$3</f>
        <v>1.0248453959743999</v>
      </c>
      <c r="JR127" s="3">
        <f>$H127*factors!JL$3</f>
        <v>1.064774437376</v>
      </c>
      <c r="JS127" s="3">
        <f>$H127*factors!JM$3</f>
        <v>0.97263049567999993</v>
      </c>
      <c r="JT127" s="3">
        <f>$H127*factors!JN$3</f>
        <v>1.0217739312512</v>
      </c>
      <c r="JU127" s="3">
        <f>$H127*factors!JO$3</f>
        <v>0.98798781929599988</v>
      </c>
      <c r="JV127" s="3">
        <f>$H127*factors!JP$3</f>
        <v>1.0043689644864</v>
      </c>
      <c r="JW127" s="3">
        <f>$H127*factors!JQ$3</f>
        <v>1.0729650099712</v>
      </c>
      <c r="JX127" s="3">
        <f>$H127*factors!JR$3</f>
        <v>1.0627267942272001</v>
      </c>
      <c r="JY127" s="3">
        <f>$H127*factors!JS$3</f>
        <v>1.0002736781888</v>
      </c>
      <c r="JZ127" s="3">
        <f>$H127*factors!JT$3</f>
        <v>1.0115357155072</v>
      </c>
      <c r="KA127" s="3">
        <f>$H127*factors!JU$3</f>
        <v>1.0156310018048</v>
      </c>
      <c r="KB127" s="3">
        <f>$H127*factors!JV$3</f>
        <v>0.98184488984959994</v>
      </c>
      <c r="KC127" s="3">
        <f>$H127*factors!JW$3</f>
        <v>0.98696399772160004</v>
      </c>
      <c r="KD127" s="3">
        <f>$H127*factors!JX$3</f>
        <v>0.98798781929599988</v>
      </c>
      <c r="KE127" s="3">
        <f>$H127*factors!JY$3</f>
        <v>1.0514647569088</v>
      </c>
      <c r="KF127" s="3">
        <f>$H127*factors!JZ$3</f>
        <v>1.0637506158015999</v>
      </c>
      <c r="KG127" s="3">
        <f>$H127*factors!KA$3</f>
        <v>1.0258692175488</v>
      </c>
      <c r="KH127" s="3">
        <f>$H127*factors!KB$3</f>
        <v>1.0033451429119999</v>
      </c>
      <c r="KI127" s="3">
        <f>$H127*factors!KC$3</f>
        <v>0.99413074874239993</v>
      </c>
    </row>
    <row r="128" spans="1:295" x14ac:dyDescent="0.55000000000000004">
      <c r="A128" t="s">
        <v>505</v>
      </c>
      <c r="B128">
        <v>127</v>
      </c>
      <c r="C128">
        <v>230</v>
      </c>
      <c r="D128" t="s">
        <v>377</v>
      </c>
      <c r="E128">
        <v>3.372E-3</v>
      </c>
      <c r="F128">
        <v>127</v>
      </c>
      <c r="G128">
        <f>VLOOKUP(D128,demand_forecasted!$A$2:$G$11,2)</f>
        <v>11098</v>
      </c>
      <c r="H128" s="3">
        <f t="shared" si="2"/>
        <v>0.37422455999999998</v>
      </c>
      <c r="I128" s="3">
        <f>$H128*factors!C$3</f>
        <v>0.41426658791999998</v>
      </c>
      <c r="J128" s="3">
        <f>$H128*factors!D$3</f>
        <v>0.39931257450239999</v>
      </c>
      <c r="K128" s="3">
        <f>$H128*factors!E$3</f>
        <v>0.39244181158079999</v>
      </c>
      <c r="L128" s="3">
        <f>$H128*factors!F$3</f>
        <v>0.39122932400640004</v>
      </c>
      <c r="M128" s="3">
        <f>$H128*factors!G$3</f>
        <v>0.39082516148159996</v>
      </c>
      <c r="N128" s="3">
        <f>$H128*factors!H$3</f>
        <v>0.40214171217599998</v>
      </c>
      <c r="O128" s="3">
        <f>$H128*factors!I$3</f>
        <v>0.41103328772159997</v>
      </c>
      <c r="P128" s="3">
        <f>$H128*factors!J$3</f>
        <v>0.41588323801920002</v>
      </c>
      <c r="Q128" s="3">
        <f>$H128*factors!K$3</f>
        <v>0.39042099895679999</v>
      </c>
      <c r="R128" s="3">
        <f>$H128*factors!L$3</f>
        <v>0.38395439855999997</v>
      </c>
      <c r="S128" s="3">
        <f>$H128*factors!M$3</f>
        <v>0.39971673702719995</v>
      </c>
      <c r="T128" s="3">
        <f>$H128*factors!N$3</f>
        <v>0.4134582628704</v>
      </c>
      <c r="U128" s="3">
        <f>$H128*factors!O$3</f>
        <v>0.3916334865312</v>
      </c>
      <c r="V128" s="3">
        <f>$H128*factors!P$3</f>
        <v>0.40739582499839999</v>
      </c>
      <c r="W128" s="3">
        <f>$H128*factors!Q$3</f>
        <v>0.41103328772159997</v>
      </c>
      <c r="X128" s="3">
        <f>$H128*factors!R$3</f>
        <v>0.39325013663039998</v>
      </c>
      <c r="Y128" s="3">
        <f>$H128*factors!S$3</f>
        <v>0.3896126739072</v>
      </c>
      <c r="Z128" s="3">
        <f>$H128*factors!T$3</f>
        <v>0.42032902579200004</v>
      </c>
      <c r="AA128" s="3">
        <f>$H128*factors!U$3</f>
        <v>0.39688759935359996</v>
      </c>
      <c r="AB128" s="3">
        <f>$H128*factors!V$3</f>
        <v>0.39729176187840004</v>
      </c>
      <c r="AC128" s="3">
        <f>$H128*factors!W$3</f>
        <v>0.39769592440320001</v>
      </c>
      <c r="AD128" s="3">
        <f>$H128*factors!X$3</f>
        <v>0.38920851138240004</v>
      </c>
      <c r="AE128" s="3">
        <f>$H128*factors!Y$3</f>
        <v>0.39244181158079999</v>
      </c>
      <c r="AF128" s="3">
        <f>$H128*factors!Z$3</f>
        <v>0.40052506207680005</v>
      </c>
      <c r="AG128" s="3">
        <f>$H128*factors!AA$3</f>
        <v>0.39042099895679999</v>
      </c>
      <c r="AH128" s="3">
        <f>$H128*factors!AB$3</f>
        <v>0.38880434885760001</v>
      </c>
      <c r="AI128" s="3">
        <f>$H128*factors!AC$3</f>
        <v>0.40133338712639999</v>
      </c>
      <c r="AJ128" s="3">
        <f>$H128*factors!AD$3</f>
        <v>0.41669156306880001</v>
      </c>
      <c r="AK128" s="3">
        <f>$H128*factors!AE$3</f>
        <v>0.40092922460160002</v>
      </c>
      <c r="AL128" s="3">
        <f>$H128*factors!AF$3</f>
        <v>0.38516688613439998</v>
      </c>
      <c r="AM128" s="3">
        <f>$H128*factors!AG$3</f>
        <v>0.39607927430399997</v>
      </c>
      <c r="AN128" s="3">
        <f>$H128*factors!AH$3</f>
        <v>0.3896126739072</v>
      </c>
      <c r="AO128" s="3">
        <f>$H128*factors!AI$3</f>
        <v>0.40820415004799998</v>
      </c>
      <c r="AP128" s="3">
        <f>$H128*factors!AJ$3</f>
        <v>0.39122932400640004</v>
      </c>
      <c r="AQ128" s="3">
        <f>$H128*factors!AK$3</f>
        <v>0.40375836227520001</v>
      </c>
      <c r="AR128" s="3">
        <f>$H128*factors!AL$3</f>
        <v>0.39486678672960002</v>
      </c>
      <c r="AS128" s="3">
        <f>$H128*factors!AM$3</f>
        <v>0.38516688613439998</v>
      </c>
      <c r="AT128" s="3">
        <f>$H128*factors!AN$3</f>
        <v>0.39729176187840004</v>
      </c>
      <c r="AU128" s="3">
        <f>$H128*factors!AO$3</f>
        <v>0.42073318831679996</v>
      </c>
      <c r="AV128" s="3">
        <f>$H128*factors!AP$3</f>
        <v>0.39769592440320001</v>
      </c>
      <c r="AW128" s="3">
        <f>$H128*factors!AQ$3</f>
        <v>0.39365429915519995</v>
      </c>
      <c r="AX128" s="3">
        <f>$H128*factors!AR$3</f>
        <v>0.41628740054399999</v>
      </c>
      <c r="AY128" s="3">
        <f>$H128*factors!AS$3</f>
        <v>0.38395439855999997</v>
      </c>
      <c r="AZ128" s="3">
        <f>$H128*factors!AT$3</f>
        <v>0.41143745024640005</v>
      </c>
      <c r="BA128" s="3">
        <f>$H128*factors!AU$3</f>
        <v>0.40254587470079994</v>
      </c>
      <c r="BB128" s="3">
        <f>$H128*factors!AV$3</f>
        <v>0.39729176187840004</v>
      </c>
      <c r="BC128" s="3">
        <f>$H128*factors!AW$3</f>
        <v>0.42032902579200004</v>
      </c>
      <c r="BD128" s="3">
        <f>$H128*factors!AX$3</f>
        <v>0.38799602380799997</v>
      </c>
      <c r="BE128" s="3">
        <f>$H128*factors!AY$3</f>
        <v>0.45615728516639997</v>
      </c>
      <c r="BF128" s="3">
        <f>$H128*factors!AZ$3</f>
        <v>0.42480475152959996</v>
      </c>
      <c r="BG128" s="3">
        <f>$H128*factors!BA$3</f>
        <v>0.43098694126079989</v>
      </c>
      <c r="BH128" s="3">
        <f>$H128*factors!BB$3</f>
        <v>0.43672754601119995</v>
      </c>
      <c r="BI128" s="3">
        <f>$H128*factors!BC$3</f>
        <v>0.45262460531999993</v>
      </c>
      <c r="BJ128" s="3">
        <f>$H128*factors!BD$3</f>
        <v>0.43231169620319992</v>
      </c>
      <c r="BK128" s="3">
        <f>$H128*factors!BE$3</f>
        <v>0.43319486616479991</v>
      </c>
      <c r="BL128" s="3">
        <f>$H128*factors!BF$3</f>
        <v>0.42833743137599994</v>
      </c>
      <c r="BM128" s="3">
        <f>$H128*factors!BG$3</f>
        <v>0.4574820401088</v>
      </c>
      <c r="BN128" s="3">
        <f>$H128*factors!BH$3</f>
        <v>0.45174143535839995</v>
      </c>
      <c r="BO128" s="3">
        <f>$H128*factors!BI$3</f>
        <v>0.42480475152959996</v>
      </c>
      <c r="BP128" s="3">
        <f>$H128*factors!BJ$3</f>
        <v>0.42347999658719992</v>
      </c>
      <c r="BQ128" s="3">
        <f>$H128*factors!BK$3</f>
        <v>0.4305453562799999</v>
      </c>
      <c r="BR128" s="3">
        <f>$H128*factors!BL$3</f>
        <v>0.44600083060799994</v>
      </c>
      <c r="BS128" s="3">
        <f>$H128*factors!BM$3</f>
        <v>0.45306619030079998</v>
      </c>
      <c r="BT128" s="3">
        <f>$H128*factors!BN$3</f>
        <v>0.45439094524319995</v>
      </c>
      <c r="BU128" s="3">
        <f>$H128*factors!BO$3</f>
        <v>0.46189788991679998</v>
      </c>
      <c r="BV128" s="3">
        <f>$H128*factors!BP$3</f>
        <v>0.42966218631839997</v>
      </c>
      <c r="BW128" s="3">
        <f>$H128*factors!BQ$3</f>
        <v>0.43937705589599996</v>
      </c>
      <c r="BX128" s="3">
        <f>$H128*factors!BR$3</f>
        <v>0.43098694126079989</v>
      </c>
      <c r="BY128" s="3">
        <f>$H128*factors!BS$3</f>
        <v>0.45085826539679991</v>
      </c>
      <c r="BZ128" s="3">
        <f>$H128*factors!BT$3</f>
        <v>0.44246815076159995</v>
      </c>
      <c r="CA128" s="3">
        <f>$H128*factors!BU$3</f>
        <v>0.43672754601119995</v>
      </c>
      <c r="CB128" s="3">
        <f>$H128*factors!BV$3</f>
        <v>0.42259682662559994</v>
      </c>
      <c r="CC128" s="3">
        <f>$H128*factors!BW$3</f>
        <v>0.43496120608799993</v>
      </c>
      <c r="CD128" s="3">
        <f>$H128*factors!BX$3</f>
        <v>0.43628596103039996</v>
      </c>
      <c r="CE128" s="3">
        <f>$H128*factors!BY$3</f>
        <v>0.44246815076159995</v>
      </c>
      <c r="CF128" s="3">
        <f>$H128*factors!BZ$3</f>
        <v>0.43584437604959997</v>
      </c>
      <c r="CG128" s="3">
        <f>$H128*factors!CA$3</f>
        <v>0.42127207168319991</v>
      </c>
      <c r="CH128" s="3">
        <f>$H128*factors!CB$3</f>
        <v>0.4217136566639999</v>
      </c>
      <c r="CI128" s="3">
        <f>$H128*factors!CC$3</f>
        <v>0.41950573176</v>
      </c>
      <c r="CJ128" s="3">
        <f>$H128*factors!CD$3</f>
        <v>0.43672754601119995</v>
      </c>
      <c r="CK128" s="3">
        <f>$H128*factors!CE$3</f>
        <v>0.45615728516639997</v>
      </c>
      <c r="CL128" s="3">
        <f>$H128*factors!CF$3</f>
        <v>0.42745426141439996</v>
      </c>
      <c r="CM128" s="3">
        <f>$H128*factors!CG$3</f>
        <v>0.43761071597279994</v>
      </c>
      <c r="CN128" s="3">
        <f>$H128*factors!CH$3</f>
        <v>0.42303841160639993</v>
      </c>
      <c r="CO128" s="3">
        <f>$H128*factors!CI$3</f>
        <v>0.42612950647199993</v>
      </c>
      <c r="CP128" s="3">
        <f>$H128*factors!CJ$3</f>
        <v>0.44644241558879988</v>
      </c>
      <c r="CQ128" s="3">
        <f>$H128*factors!CK$3</f>
        <v>0.43319486616479991</v>
      </c>
      <c r="CR128" s="3">
        <f>$H128*factors!CL$3</f>
        <v>0.44688400056959993</v>
      </c>
      <c r="CS128" s="3">
        <f>$H128*factors!CM$3</f>
        <v>0.46101471995519994</v>
      </c>
      <c r="CT128" s="3">
        <f>$H128*factors!CN$3</f>
        <v>0.45571570018559998</v>
      </c>
      <c r="CU128" s="3">
        <f>$H128*factors!CO$3</f>
        <v>0.4455592456271999</v>
      </c>
      <c r="CV128" s="3">
        <f>$H128*factors!CP$3</f>
        <v>0.46366422983999994</v>
      </c>
      <c r="CW128" s="3">
        <f>$H128*factors!CQ$3</f>
        <v>0.43849388593439997</v>
      </c>
      <c r="CX128" s="3">
        <f>$H128*factors!CR$3</f>
        <v>0.43187011122239999</v>
      </c>
      <c r="CY128" s="3">
        <f>$H128*factors!CS$3</f>
        <v>0.42789584639519995</v>
      </c>
      <c r="CZ128" s="3">
        <f>$H128*factors!CT$3</f>
        <v>0.4217136566639999</v>
      </c>
      <c r="DA128" s="3">
        <f>$H128*factors!CU$3</f>
        <v>0.43784273519999994</v>
      </c>
      <c r="DB128" s="3">
        <f>$H128*factors!CV$3</f>
        <v>0.46613411193600002</v>
      </c>
      <c r="DC128" s="3">
        <f>$H128*factors!CW$3</f>
        <v>0.44637505516799991</v>
      </c>
      <c r="DD128" s="3">
        <f>$H128*factors!CX$3</f>
        <v>0.44323156886399995</v>
      </c>
      <c r="DE128" s="3">
        <f>$H128*factors!CY$3</f>
        <v>0.45625458355199999</v>
      </c>
      <c r="DF128" s="3">
        <f>$H128*factors!CZ$3</f>
        <v>0.45535644460799996</v>
      </c>
      <c r="DG128" s="3">
        <f>$H128*factors!DA$3</f>
        <v>0.45356016671999999</v>
      </c>
      <c r="DH128" s="3">
        <f>$H128*factors!DB$3</f>
        <v>0.45356016671999999</v>
      </c>
      <c r="DI128" s="3">
        <f>$H128*factors!DC$3</f>
        <v>0.43649552678399994</v>
      </c>
      <c r="DJ128" s="3">
        <f>$H128*factors!DD$3</f>
        <v>0.46254155615999998</v>
      </c>
      <c r="DK128" s="3">
        <f>$H128*factors!DE$3</f>
        <v>0.46254155615999998</v>
      </c>
      <c r="DL128" s="3">
        <f>$H128*factors!DF$3</f>
        <v>0.45715272249599997</v>
      </c>
      <c r="DM128" s="3">
        <f>$H128*factors!DG$3</f>
        <v>0.43065762364799992</v>
      </c>
      <c r="DN128" s="3">
        <f>$H128*factors!DH$3</f>
        <v>0.45176388883200003</v>
      </c>
      <c r="DO128" s="3">
        <f>$H128*factors!DI$3</f>
        <v>0.46658318140799993</v>
      </c>
      <c r="DP128" s="3">
        <f>$H128*factors!DJ$3</f>
        <v>0.46254155615999998</v>
      </c>
      <c r="DQ128" s="3">
        <f>$H128*factors!DK$3</f>
        <v>0.44098622150399996</v>
      </c>
      <c r="DR128" s="3">
        <f>$H128*factors!DL$3</f>
        <v>0.43604645731199998</v>
      </c>
      <c r="DS128" s="3">
        <f>$H128*factors!DM$3</f>
        <v>0.47107387612799995</v>
      </c>
      <c r="DT128" s="3">
        <f>$H128*factors!DN$3</f>
        <v>0.44278249939199998</v>
      </c>
      <c r="DU128" s="3">
        <f>$H128*factors!DO$3</f>
        <v>0.46343969510399996</v>
      </c>
      <c r="DV128" s="3">
        <f>$H128*factors!DP$3</f>
        <v>0.45266202777600001</v>
      </c>
      <c r="DW128" s="3">
        <f>$H128*factors!DQ$3</f>
        <v>0.43200483206399992</v>
      </c>
      <c r="DX128" s="3">
        <f>$H128*factors!DR$3</f>
        <v>0.45760179196799994</v>
      </c>
      <c r="DY128" s="3">
        <f>$H128*factors!DS$3</f>
        <v>0.43425017942399996</v>
      </c>
      <c r="DZ128" s="3">
        <f>$H128*factors!DT$3</f>
        <v>0.46433783404799994</v>
      </c>
      <c r="EA128" s="3">
        <f>$H128*factors!DU$3</f>
        <v>0.43739366572799993</v>
      </c>
      <c r="EB128" s="3">
        <f>$H128*factors!DV$3</f>
        <v>0.42661599839999992</v>
      </c>
      <c r="EC128" s="3">
        <f>$H128*factors!DW$3</f>
        <v>0.45894900038399994</v>
      </c>
      <c r="ED128" s="3">
        <f>$H128*factors!DX$3</f>
        <v>0.43065762364799992</v>
      </c>
      <c r="EE128" s="3">
        <f>$H128*factors!DY$3</f>
        <v>0.43425017942399996</v>
      </c>
      <c r="EF128" s="3">
        <f>$H128*factors!DZ$3</f>
        <v>0.47107387612799995</v>
      </c>
      <c r="EG128" s="3">
        <f>$H128*factors!EA$3</f>
        <v>0.44008808255999998</v>
      </c>
      <c r="EH128" s="3">
        <f>$H128*factors!EB$3</f>
        <v>0.44143529097599998</v>
      </c>
      <c r="EI128" s="3">
        <f>$H128*factors!EC$3</f>
        <v>0.440537152032</v>
      </c>
      <c r="EJ128" s="3">
        <f>$H128*factors!ED$3</f>
        <v>0.42931041523199998</v>
      </c>
      <c r="EK128" s="3">
        <f>$H128*factors!EE$3</f>
        <v>0.45894900038399994</v>
      </c>
      <c r="EL128" s="3">
        <f>$H128*factors!EF$3</f>
        <v>0.43649552678399994</v>
      </c>
      <c r="EM128" s="3">
        <f>$H128*factors!EG$3</f>
        <v>0.4540092361919999</v>
      </c>
      <c r="EN128" s="3">
        <f>$H128*factors!EH$3</f>
        <v>0.42661599839999992</v>
      </c>
      <c r="EO128" s="3">
        <f>$H128*factors!EI$3</f>
        <v>0.4329029710079999</v>
      </c>
      <c r="EP128" s="3">
        <f>$H128*factors!EJ$3</f>
        <v>0.45670365302399996</v>
      </c>
      <c r="EQ128" s="3">
        <f>$H128*factors!EK$3</f>
        <v>0.44412970780799993</v>
      </c>
      <c r="ER128" s="3">
        <f>$H128*factors!EL$3</f>
        <v>0.46254155615999998</v>
      </c>
      <c r="ES128" s="3">
        <f>$H128*factors!EM$3</f>
        <v>0.45670365302399996</v>
      </c>
      <c r="ET128" s="3">
        <f>$H128*factors!EN$3</f>
        <v>0.46703225088</v>
      </c>
      <c r="EU128" s="3">
        <f>$H128*factors!EO$3</f>
        <v>0.47152294559999997</v>
      </c>
      <c r="EV128" s="3">
        <f>$H128*factors!EP$3</f>
        <v>0.44188436044799995</v>
      </c>
      <c r="EW128" s="3">
        <f>$H128*factors!EQ$3</f>
        <v>0.48602414729999993</v>
      </c>
      <c r="EX128" s="3">
        <f>$H128*factors!ER$3</f>
        <v>0.48087855960000003</v>
      </c>
      <c r="EY128" s="3">
        <f>$H128*factors!ES$3</f>
        <v>0.49070195429999991</v>
      </c>
      <c r="EZ128" s="3">
        <f>$H128*factors!ET$3</f>
        <v>0.48602414729999993</v>
      </c>
      <c r="FA128" s="3">
        <f>$H128*factors!EU$3</f>
        <v>0.44673056849999992</v>
      </c>
      <c r="FB128" s="3">
        <f>$H128*factors!EV$3</f>
        <v>0.46684513859999999</v>
      </c>
      <c r="FC128" s="3">
        <f>$H128*factors!EW$3</f>
        <v>0.47994299819999997</v>
      </c>
      <c r="FD128" s="3">
        <f>$H128*factors!EX$3</f>
        <v>0.46310289300000002</v>
      </c>
      <c r="FE128" s="3">
        <f>$H128*factors!EY$3</f>
        <v>0.48789527009999994</v>
      </c>
      <c r="FF128" s="3">
        <f>$H128*factors!EZ$3</f>
        <v>0.48836305080000003</v>
      </c>
      <c r="FG128" s="3">
        <f>$H128*factors!FA$3</f>
        <v>0.44673056849999992</v>
      </c>
      <c r="FH128" s="3">
        <f>$H128*factors!FB$3</f>
        <v>0.47011960349999993</v>
      </c>
      <c r="FI128" s="3">
        <f>$H128*factors!FC$3</f>
        <v>0.4897663928999999</v>
      </c>
      <c r="FJ128" s="3">
        <f>$H128*factors!FD$3</f>
        <v>0.47011960349999993</v>
      </c>
      <c r="FK128" s="3">
        <f>$H128*factors!FE$3</f>
        <v>0.47807187540000001</v>
      </c>
      <c r="FL128" s="3">
        <f>$H128*factors!FF$3</f>
        <v>0.47947521749999999</v>
      </c>
      <c r="FM128" s="3">
        <f>$H128*factors!FG$3</f>
        <v>0.48462080519999995</v>
      </c>
      <c r="FN128" s="3">
        <f>$H128*factors!FH$3</f>
        <v>0.45327949829999997</v>
      </c>
      <c r="FO128" s="3">
        <f>$H128*factors!FI$3</f>
        <v>0.48134634029999995</v>
      </c>
      <c r="FP128" s="3">
        <f>$H128*factors!FJ$3</f>
        <v>0.46778069999999999</v>
      </c>
      <c r="FQ128" s="3">
        <f>$H128*factors!FK$3</f>
        <v>0.46310289300000002</v>
      </c>
      <c r="FR128" s="3">
        <f>$H128*factors!FL$3</f>
        <v>0.47245850699999997</v>
      </c>
      <c r="FS128" s="3">
        <f>$H128*factors!FM$3</f>
        <v>0.46965182279999995</v>
      </c>
      <c r="FT128" s="3">
        <f>$H128*factors!FN$3</f>
        <v>0.47994299819999997</v>
      </c>
      <c r="FU128" s="3">
        <f>$H128*factors!FO$3</f>
        <v>0.46123177019999995</v>
      </c>
      <c r="FV128" s="3">
        <f>$H128*factors!FP$3</f>
        <v>0.45748952459999997</v>
      </c>
      <c r="FW128" s="3">
        <f>$H128*factors!FQ$3</f>
        <v>0.4897663928999999</v>
      </c>
      <c r="FX128" s="3">
        <f>$H128*factors!FR$3</f>
        <v>0.48087855960000003</v>
      </c>
      <c r="FY128" s="3">
        <f>$H128*factors!FS$3</f>
        <v>0.47105516489999993</v>
      </c>
      <c r="FZ128" s="3">
        <f>$H128*factors!FT$3</f>
        <v>0.44766612989999999</v>
      </c>
      <c r="GA128" s="3">
        <f>$H128*factors!FU$3</f>
        <v>0.47105516489999993</v>
      </c>
      <c r="GB128" s="3">
        <f>$H128*factors!FV$3</f>
        <v>0.48836305080000003</v>
      </c>
      <c r="GC128" s="3">
        <f>$H128*factors!FW$3</f>
        <v>0.45748952459999997</v>
      </c>
      <c r="GD128" s="3">
        <f>$H128*factors!FX$3</f>
        <v>0.46544179649999995</v>
      </c>
      <c r="GE128" s="3">
        <f>$H128*factors!FY$3</f>
        <v>0.46544179649999995</v>
      </c>
      <c r="GF128" s="3">
        <f>$H128*factors!FZ$3</f>
        <v>0.46403845439999997</v>
      </c>
      <c r="GG128" s="3">
        <f>$H128*factors!GA$3</f>
        <v>0.44579500709999997</v>
      </c>
      <c r="GH128" s="3">
        <f>$H128*factors!GB$3</f>
        <v>0.47432962979999999</v>
      </c>
      <c r="GI128" s="3">
        <f>$H128*factors!GC$3</f>
        <v>0.44485944569999997</v>
      </c>
      <c r="GJ128" s="3">
        <f>$H128*factors!GD$3</f>
        <v>0.44579500709999997</v>
      </c>
      <c r="GK128" s="3">
        <f>$H128*factors!GE$3</f>
        <v>0.45702174389999994</v>
      </c>
      <c r="GL128" s="3">
        <f>$H128*factors!GF$3</f>
        <v>0.48415302449999997</v>
      </c>
      <c r="GM128" s="3">
        <f>$H128*factors!GG$3</f>
        <v>0.45889286670000001</v>
      </c>
      <c r="GN128" s="3">
        <f>$H128*factors!GH$3</f>
        <v>0.47339406840000003</v>
      </c>
      <c r="GO128" s="3">
        <f>$H128*factors!GI$3</f>
        <v>0.4471983491999999</v>
      </c>
      <c r="GP128" s="3">
        <f>$H128*factors!GJ$3</f>
        <v>0.47947521749999999</v>
      </c>
      <c r="GQ128" s="3">
        <f>$H128*factors!GK$3</f>
        <v>0.48929861220000004</v>
      </c>
      <c r="GR128" s="3">
        <f>$H128*factors!GL$3</f>
        <v>0.47994299819999997</v>
      </c>
      <c r="GS128" s="3">
        <f>$H128*factors!GM$3</f>
        <v>0.45387825759599998</v>
      </c>
      <c r="GT128" s="3">
        <f>$H128*factors!GN$3</f>
        <v>0.46433409180239998</v>
      </c>
      <c r="GU128" s="3">
        <f>$H128*factors!GO$3</f>
        <v>0.47526519119999999</v>
      </c>
      <c r="GV128" s="3">
        <f>$H128*factors!GP$3</f>
        <v>0.45625458355199999</v>
      </c>
      <c r="GW128" s="3">
        <f>$H128*factors!GQ$3</f>
        <v>0.47241360005279998</v>
      </c>
      <c r="GX128" s="3">
        <f>$H128*factors!GR$3</f>
        <v>0.46480935699359993</v>
      </c>
      <c r="GY128" s="3">
        <f>$H128*factors!GS$3</f>
        <v>0.46243303103760003</v>
      </c>
      <c r="GZ128" s="3">
        <f>$H128*factors!GT$3</f>
        <v>0.47954257792079991</v>
      </c>
      <c r="HA128" s="3">
        <f>$H128*factors!GU$3</f>
        <v>0.46385882661119998</v>
      </c>
      <c r="HB128" s="3">
        <f>$H128*factors!GV$3</f>
        <v>0.47954257792079991</v>
      </c>
      <c r="HC128" s="3">
        <f>$H128*factors!GW$3</f>
        <v>0.46766094814079995</v>
      </c>
      <c r="HD128" s="3">
        <f>$H128*factors!GX$3</f>
        <v>0.48144363868559992</v>
      </c>
      <c r="HE128" s="3">
        <f>$H128*factors!GY$3</f>
        <v>0.47526519119999999</v>
      </c>
      <c r="HF128" s="3">
        <f>$H128*factors!GZ$3</f>
        <v>0.48999841212719997</v>
      </c>
      <c r="HG128" s="3">
        <f>$H128*factors!HA$3</f>
        <v>0.47098780447919997</v>
      </c>
      <c r="HH128" s="3">
        <f>$H128*factors!HB$3</f>
        <v>0.46480935699359993</v>
      </c>
      <c r="HI128" s="3">
        <f>$H128*factors!HC$3</f>
        <v>0.45910617469920001</v>
      </c>
      <c r="HJ128" s="3">
        <f>$H128*factors!HD$3</f>
        <v>0.45387825759599998</v>
      </c>
      <c r="HK128" s="3">
        <f>$H128*factors!HE$3</f>
        <v>0.48001784311199996</v>
      </c>
      <c r="HL128" s="3">
        <f>$H128*factors!HF$3</f>
        <v>0.45245246202239991</v>
      </c>
      <c r="HM128" s="3">
        <f>$H128*factors!HG$3</f>
        <v>0.4572051139344</v>
      </c>
      <c r="HN128" s="3">
        <f>$H128*factors!HH$3</f>
        <v>0.48762208617120001</v>
      </c>
      <c r="HO128" s="3">
        <f>$H128*factors!HI$3</f>
        <v>0.46766094814079995</v>
      </c>
      <c r="HP128" s="3">
        <f>$H128*factors!HJ$3</f>
        <v>0.49902845076000002</v>
      </c>
      <c r="HQ128" s="3">
        <f>$H128*factors!HK$3</f>
        <v>0.45625458355199999</v>
      </c>
      <c r="HR128" s="3">
        <f>$H128*factors!HL$3</f>
        <v>0.48381996464160004</v>
      </c>
      <c r="HS128" s="3">
        <f>$H128*factors!HM$3</f>
        <v>0.49237473808319998</v>
      </c>
      <c r="HT128" s="3">
        <f>$H128*factors!HN$3</f>
        <v>0.45910617469920001</v>
      </c>
      <c r="HU128" s="3">
        <f>$H128*factors!HO$3</f>
        <v>0.46385882661119998</v>
      </c>
      <c r="HV128" s="3">
        <f>$H128*factors!HP$3</f>
        <v>0.46956200890560001</v>
      </c>
      <c r="HW128" s="3">
        <f>$H128*factors!HQ$3</f>
        <v>0.4762157215824</v>
      </c>
      <c r="HX128" s="3">
        <f>$H128*factors!HR$3</f>
        <v>0.49570159442159994</v>
      </c>
      <c r="HY128" s="3">
        <f>$H128*factors!HS$3</f>
        <v>0.47098780447919997</v>
      </c>
      <c r="HZ128" s="3">
        <f>$H128*factors!HT$3</f>
        <v>0.48904788174479996</v>
      </c>
      <c r="IA128" s="3">
        <f>$H128*factors!HU$3</f>
        <v>0.46528462218479999</v>
      </c>
      <c r="IB128" s="3">
        <f>$H128*factors!HV$3</f>
        <v>0.48144363868559992</v>
      </c>
      <c r="IC128" s="3">
        <f>$H128*factors!HW$3</f>
        <v>0.48619629059759994</v>
      </c>
      <c r="ID128" s="3">
        <f>$H128*factors!HX$3</f>
        <v>0.45150193163999996</v>
      </c>
      <c r="IE128" s="3">
        <f>$H128*factors!HY$3</f>
        <v>0.47954257792079991</v>
      </c>
      <c r="IF128" s="3">
        <f>$H128*factors!HZ$3</f>
        <v>0.47669098677359995</v>
      </c>
      <c r="IG128" s="3">
        <f>$H128*factors!IA$3</f>
        <v>0.47241360005279998</v>
      </c>
      <c r="IH128" s="3">
        <f>$H128*factors!IB$3</f>
        <v>0.48999841212719997</v>
      </c>
      <c r="II128" s="3">
        <f>$H128*factors!IC$3</f>
        <v>0.46908674371439996</v>
      </c>
      <c r="IJ128" s="3">
        <f>$H128*factors!ID$3</f>
        <v>0.47336413043519998</v>
      </c>
      <c r="IK128" s="3">
        <f>$H128*factors!IE$3</f>
        <v>0.49047367731839997</v>
      </c>
      <c r="IL128" s="3">
        <f>$H128*factors!IF$3</f>
        <v>0.46956200890560001</v>
      </c>
      <c r="IM128" s="3">
        <f>$H128*factors!IG$3</f>
        <v>0.46528462218479999</v>
      </c>
      <c r="IN128" s="3">
        <f>$H128*factors!IH$3</f>
        <v>0.46813621333200001</v>
      </c>
      <c r="IO128" s="3">
        <f>$H128*factors!II$3</f>
        <v>0.47288886524399998</v>
      </c>
      <c r="IP128" s="3">
        <f>$H128*factors!IJ$3</f>
        <v>0.4572051139344</v>
      </c>
      <c r="IQ128" s="3">
        <f>$H128*factors!IK$3</f>
        <v>0.45577931836079999</v>
      </c>
      <c r="IR128" s="3">
        <f>$H128*factors!IL$3</f>
        <v>0.46908674371439996</v>
      </c>
      <c r="IS128" s="3">
        <f>$H128*factors!IM$3</f>
        <v>0.47288886524399998</v>
      </c>
      <c r="IT128" s="3">
        <f>$H128*factors!IN$3</f>
        <v>0.4762157215824</v>
      </c>
      <c r="IU128" s="3">
        <f>$H128*factors!IO$3</f>
        <v>0.4866715557888</v>
      </c>
      <c r="IV128" s="3">
        <f>$H128*factors!IP$3</f>
        <v>0.49285000327439993</v>
      </c>
      <c r="IW128" s="3">
        <f>$H128*factors!IQ$3</f>
        <v>0.46575988737599994</v>
      </c>
      <c r="IX128" s="3">
        <f>$H128*factors!IR$3</f>
        <v>0.4866715557888</v>
      </c>
      <c r="IY128" s="3">
        <f>$H128*factors!IS$3</f>
        <v>0.47954257792079991</v>
      </c>
      <c r="IZ128" s="3">
        <f>$H128*factors!IT$3</f>
        <v>0.48762208617120001</v>
      </c>
      <c r="JA128" s="3">
        <f>$H128*factors!IU$3</f>
        <v>0.46053197027279996</v>
      </c>
      <c r="JB128" s="3">
        <f>$H128*factors!IV$3</f>
        <v>0.46908674371439996</v>
      </c>
      <c r="JC128" s="3">
        <f>$H128*factors!IW$3</f>
        <v>0.4581556443168</v>
      </c>
      <c r="JD128" s="3">
        <f>$H128*factors!IX$3</f>
        <v>0.49902845076000002</v>
      </c>
      <c r="JE128" s="3">
        <f>$H128*factors!IY$3</f>
        <v>0.45958143989039996</v>
      </c>
      <c r="JF128" s="3">
        <f>$H128*factors!IZ$3</f>
        <v>0.48239416906799992</v>
      </c>
      <c r="JG128" s="3">
        <f>$H128*factors!JA$3</f>
        <v>0.47383939562639993</v>
      </c>
      <c r="JH128" s="3">
        <f>$H128*factors!JB$3</f>
        <v>0.48286943425920004</v>
      </c>
      <c r="JI128" s="3">
        <f>$H128*factors!JC$3</f>
        <v>0.45197719683119997</v>
      </c>
      <c r="JJ128" s="3">
        <f>$H128*factors!JD$3</f>
        <v>0.4866715557888</v>
      </c>
      <c r="JK128" s="3">
        <f>$H128*factors!JE$3</f>
        <v>0.47098780447919997</v>
      </c>
      <c r="JL128" s="3">
        <f>$H128*factors!JF$3</f>
        <v>0.48999841212719997</v>
      </c>
      <c r="JM128" s="3">
        <f>$H128*factors!JG$3</f>
        <v>0.4572051139344</v>
      </c>
      <c r="JN128" s="3">
        <f>$H128*factors!JH$3</f>
        <v>0.4572051139344</v>
      </c>
      <c r="JO128" s="3">
        <f>$H128*factors!JI$3</f>
        <v>0.45150193163999996</v>
      </c>
      <c r="JP128" s="3">
        <f>$H128*factors!JJ$3</f>
        <v>0.48809735136239996</v>
      </c>
      <c r="JQ128" s="3">
        <f>$H128*factors!JK$3</f>
        <v>0.47574045639119994</v>
      </c>
      <c r="JR128" s="3">
        <f>$H128*factors!JL$3</f>
        <v>0.49427579884799999</v>
      </c>
      <c r="JS128" s="3">
        <f>$H128*factors!JM$3</f>
        <v>0.45150193163999996</v>
      </c>
      <c r="JT128" s="3">
        <f>$H128*factors!JN$3</f>
        <v>0.47431466081759999</v>
      </c>
      <c r="JU128" s="3">
        <f>$H128*factors!JO$3</f>
        <v>0.45863090950799995</v>
      </c>
      <c r="JV128" s="3">
        <f>$H128*factors!JP$3</f>
        <v>0.4662351525672</v>
      </c>
      <c r="JW128" s="3">
        <f>$H128*factors!JQ$3</f>
        <v>0.49807792037760001</v>
      </c>
      <c r="JX128" s="3">
        <f>$H128*factors!JR$3</f>
        <v>0.49332526846559999</v>
      </c>
      <c r="JY128" s="3">
        <f>$H128*factors!JS$3</f>
        <v>0.46433409180239998</v>
      </c>
      <c r="JZ128" s="3">
        <f>$H128*factors!JT$3</f>
        <v>0.46956200890560001</v>
      </c>
      <c r="KA128" s="3">
        <f>$H128*factors!JU$3</f>
        <v>0.47146306967040003</v>
      </c>
      <c r="KB128" s="3">
        <f>$H128*factors!JV$3</f>
        <v>0.45577931836079999</v>
      </c>
      <c r="KC128" s="3">
        <f>$H128*factors!JW$3</f>
        <v>0.4581556443168</v>
      </c>
      <c r="KD128" s="3">
        <f>$H128*factors!JX$3</f>
        <v>0.45863090950799995</v>
      </c>
      <c r="KE128" s="3">
        <f>$H128*factors!JY$3</f>
        <v>0.48809735136239996</v>
      </c>
      <c r="KF128" s="3">
        <f>$H128*factors!JZ$3</f>
        <v>0.49380053365679993</v>
      </c>
      <c r="KG128" s="3">
        <f>$H128*factors!KA$3</f>
        <v>0.4762157215824</v>
      </c>
      <c r="KH128" s="3">
        <f>$H128*factors!KB$3</f>
        <v>0.46575988737599994</v>
      </c>
      <c r="KI128" s="3">
        <f>$H128*factors!KC$3</f>
        <v>0.46148250065519991</v>
      </c>
    </row>
    <row r="129" spans="1:295" x14ac:dyDescent="0.55000000000000004">
      <c r="A129" t="s">
        <v>506</v>
      </c>
      <c r="B129">
        <v>128</v>
      </c>
      <c r="C129">
        <v>230</v>
      </c>
      <c r="D129" t="s">
        <v>377</v>
      </c>
      <c r="E129">
        <v>2.6090000000000002E-3</v>
      </c>
      <c r="F129">
        <v>128</v>
      </c>
      <c r="G129">
        <f>VLOOKUP(D129,demand_forecasted!$A$2:$G$11,2)</f>
        <v>11098</v>
      </c>
      <c r="H129" s="3">
        <f t="shared" si="2"/>
        <v>0.28954682000000004</v>
      </c>
      <c r="I129" s="3">
        <f>$H129*factors!C$3</f>
        <v>0.32052832974000006</v>
      </c>
      <c r="J129" s="3">
        <f>$H129*factors!D$3</f>
        <v>0.30895803881280004</v>
      </c>
      <c r="K129" s="3">
        <f>$H129*factors!E$3</f>
        <v>0.30364195919760006</v>
      </c>
      <c r="L129" s="3">
        <f>$H129*factors!F$3</f>
        <v>0.3027038275008001</v>
      </c>
      <c r="M129" s="3">
        <f>$H129*factors!G$3</f>
        <v>0.30239111693520004</v>
      </c>
      <c r="N129" s="3">
        <f>$H129*factors!H$3</f>
        <v>0.31114701277200002</v>
      </c>
      <c r="O129" s="3">
        <f>$H129*factors!I$3</f>
        <v>0.31802664521520002</v>
      </c>
      <c r="P129" s="3">
        <f>$H129*factors!J$3</f>
        <v>0.32177917200240008</v>
      </c>
      <c r="Q129" s="3">
        <f>$H129*factors!K$3</f>
        <v>0.30207840636960004</v>
      </c>
      <c r="R129" s="3">
        <f>$H129*factors!L$3</f>
        <v>0.29707503732000007</v>
      </c>
      <c r="S129" s="3">
        <f>$H129*factors!M$3</f>
        <v>0.30927074937840004</v>
      </c>
      <c r="T129" s="3">
        <f>$H129*factors!N$3</f>
        <v>0.31990290860880005</v>
      </c>
      <c r="U129" s="3">
        <f>$H129*factors!O$3</f>
        <v>0.30301653806640005</v>
      </c>
      <c r="V129" s="3">
        <f>$H129*factors!P$3</f>
        <v>0.31521225012480003</v>
      </c>
      <c r="W129" s="3">
        <f>$H129*factors!Q$3</f>
        <v>0.31802664521520002</v>
      </c>
      <c r="X129" s="3">
        <f>$H129*factors!R$3</f>
        <v>0.30426738032880002</v>
      </c>
      <c r="Y129" s="3">
        <f>$H129*factors!S$3</f>
        <v>0.30145298523840003</v>
      </c>
      <c r="Z129" s="3">
        <f>$H129*factors!T$3</f>
        <v>0.32521898822400008</v>
      </c>
      <c r="AA129" s="3">
        <f>$H129*factors!U$3</f>
        <v>0.30708177541920001</v>
      </c>
      <c r="AB129" s="3">
        <f>$H129*factors!V$3</f>
        <v>0.30739448598480007</v>
      </c>
      <c r="AC129" s="3">
        <f>$H129*factors!W$3</f>
        <v>0.30770719655040008</v>
      </c>
      <c r="AD129" s="3">
        <f>$H129*factors!X$3</f>
        <v>0.30114027467280008</v>
      </c>
      <c r="AE129" s="3">
        <f>$H129*factors!Y$3</f>
        <v>0.30364195919760006</v>
      </c>
      <c r="AF129" s="3">
        <f>$H129*factors!Z$3</f>
        <v>0.30989617050960006</v>
      </c>
      <c r="AG129" s="3">
        <f>$H129*factors!AA$3</f>
        <v>0.30207840636960004</v>
      </c>
      <c r="AH129" s="3">
        <f>$H129*factors!AB$3</f>
        <v>0.30082756410720007</v>
      </c>
      <c r="AI129" s="3">
        <f>$H129*factors!AC$3</f>
        <v>0.31052159164080007</v>
      </c>
      <c r="AJ129" s="3">
        <f>$H129*factors!AD$3</f>
        <v>0.32240459313360004</v>
      </c>
      <c r="AK129" s="3">
        <f>$H129*factors!AE$3</f>
        <v>0.31020888107520006</v>
      </c>
      <c r="AL129" s="3">
        <f>$H129*factors!AF$3</f>
        <v>0.29801316901680003</v>
      </c>
      <c r="AM129" s="3">
        <f>$H129*factors!AG$3</f>
        <v>0.30645635428800005</v>
      </c>
      <c r="AN129" s="3">
        <f>$H129*factors!AH$3</f>
        <v>0.30145298523840003</v>
      </c>
      <c r="AO129" s="3">
        <f>$H129*factors!AI$3</f>
        <v>0.31583767125600004</v>
      </c>
      <c r="AP129" s="3">
        <f>$H129*factors!AJ$3</f>
        <v>0.3027038275008001</v>
      </c>
      <c r="AQ129" s="3">
        <f>$H129*factors!AK$3</f>
        <v>0.3123978550344001</v>
      </c>
      <c r="AR129" s="3">
        <f>$H129*factors!AL$3</f>
        <v>0.30551822259120009</v>
      </c>
      <c r="AS129" s="3">
        <f>$H129*factors!AM$3</f>
        <v>0.29801316901680003</v>
      </c>
      <c r="AT129" s="3">
        <f>$H129*factors!AN$3</f>
        <v>0.30739448598480007</v>
      </c>
      <c r="AU129" s="3">
        <f>$H129*factors!AO$3</f>
        <v>0.32553169878960003</v>
      </c>
      <c r="AV129" s="3">
        <f>$H129*factors!AP$3</f>
        <v>0.30770719655040008</v>
      </c>
      <c r="AW129" s="3">
        <f>$H129*factors!AQ$3</f>
        <v>0.30458009089440002</v>
      </c>
      <c r="AX129" s="3">
        <f>$H129*factors!AR$3</f>
        <v>0.32209188256800003</v>
      </c>
      <c r="AY129" s="3">
        <f>$H129*factors!AS$3</f>
        <v>0.29707503732000007</v>
      </c>
      <c r="AZ129" s="3">
        <f>$H129*factors!AT$3</f>
        <v>0.31833935578080008</v>
      </c>
      <c r="BA129" s="3">
        <f>$H129*factors!AU$3</f>
        <v>0.31145972333760003</v>
      </c>
      <c r="BB129" s="3">
        <f>$H129*factors!AV$3</f>
        <v>0.30739448598480007</v>
      </c>
      <c r="BC129" s="3">
        <f>$H129*factors!AW$3</f>
        <v>0.32521898822400008</v>
      </c>
      <c r="BD129" s="3">
        <f>$H129*factors!AX$3</f>
        <v>0.30020214297600001</v>
      </c>
      <c r="BE129" s="3">
        <f>$H129*factors!AY$3</f>
        <v>0.35294020077080002</v>
      </c>
      <c r="BF129" s="3">
        <f>$H129*factors!AZ$3</f>
        <v>0.32868196819120005</v>
      </c>
      <c r="BG129" s="3">
        <f>$H129*factors!BA$3</f>
        <v>0.33346528165759998</v>
      </c>
      <c r="BH129" s="3">
        <f>$H129*factors!BB$3</f>
        <v>0.33790692987640003</v>
      </c>
      <c r="BI129" s="3">
        <f>$H129*factors!BC$3</f>
        <v>0.35020687879000001</v>
      </c>
      <c r="BJ129" s="3">
        <f>$H129*factors!BD$3</f>
        <v>0.33449027740039999</v>
      </c>
      <c r="BK129" s="3">
        <f>$H129*factors!BE$3</f>
        <v>0.33517360789559997</v>
      </c>
      <c r="BL129" s="3">
        <f>$H129*factors!BF$3</f>
        <v>0.331415290172</v>
      </c>
      <c r="BM129" s="3">
        <f>$H129*factors!BG$3</f>
        <v>0.35396519651360003</v>
      </c>
      <c r="BN129" s="3">
        <f>$H129*factors!BH$3</f>
        <v>0.34952354829480003</v>
      </c>
      <c r="BO129" s="3">
        <f>$H129*factors!BI$3</f>
        <v>0.32868196819120005</v>
      </c>
      <c r="BP129" s="3">
        <f>$H129*factors!BJ$3</f>
        <v>0.32765697244839997</v>
      </c>
      <c r="BQ129" s="3">
        <f>$H129*factors!BK$3</f>
        <v>0.33312361640999999</v>
      </c>
      <c r="BR129" s="3">
        <f>$H129*factors!BL$3</f>
        <v>0.34508190007600004</v>
      </c>
      <c r="BS129" s="3">
        <f>$H129*factors!BM$3</f>
        <v>0.35054854403760005</v>
      </c>
      <c r="BT129" s="3">
        <f>$H129*factors!BN$3</f>
        <v>0.35157353978040001</v>
      </c>
      <c r="BU129" s="3">
        <f>$H129*factors!BO$3</f>
        <v>0.35738184898960007</v>
      </c>
      <c r="BV129" s="3">
        <f>$H129*factors!BP$3</f>
        <v>0.33244028591480002</v>
      </c>
      <c r="BW129" s="3">
        <f>$H129*factors!BQ$3</f>
        <v>0.33995692136200001</v>
      </c>
      <c r="BX129" s="3">
        <f>$H129*factors!BR$3</f>
        <v>0.33346528165759998</v>
      </c>
      <c r="BY129" s="3">
        <f>$H129*factors!BS$3</f>
        <v>0.34884021779959995</v>
      </c>
      <c r="BZ129" s="3">
        <f>$H129*factors!BT$3</f>
        <v>0.34234857809520003</v>
      </c>
      <c r="CA129" s="3">
        <f>$H129*factors!BU$3</f>
        <v>0.33790692987640003</v>
      </c>
      <c r="CB129" s="3">
        <f>$H129*factors!BV$3</f>
        <v>0.3269736419532</v>
      </c>
      <c r="CC129" s="3">
        <f>$H129*factors!BW$3</f>
        <v>0.33654026888600003</v>
      </c>
      <c r="CD129" s="3">
        <f>$H129*factors!BX$3</f>
        <v>0.33756526462880004</v>
      </c>
      <c r="CE129" s="3">
        <f>$H129*factors!BY$3</f>
        <v>0.34234857809520003</v>
      </c>
      <c r="CF129" s="3">
        <f>$H129*factors!BZ$3</f>
        <v>0.33722359938120006</v>
      </c>
      <c r="CG129" s="3">
        <f>$H129*factors!CA$3</f>
        <v>0.32594864621039998</v>
      </c>
      <c r="CH129" s="3">
        <f>$H129*factors!CB$3</f>
        <v>0.32629031145799997</v>
      </c>
      <c r="CI129" s="3">
        <f>$H129*factors!CC$3</f>
        <v>0.32458198522000004</v>
      </c>
      <c r="CJ129" s="3">
        <f>$H129*factors!CD$3</f>
        <v>0.33790692987640003</v>
      </c>
      <c r="CK129" s="3">
        <f>$H129*factors!CE$3</f>
        <v>0.35294020077080002</v>
      </c>
      <c r="CL129" s="3">
        <f>$H129*factors!CF$3</f>
        <v>0.33073195967680002</v>
      </c>
      <c r="CM129" s="3">
        <f>$H129*factors!CG$3</f>
        <v>0.3385902603716</v>
      </c>
      <c r="CN129" s="3">
        <f>$H129*factors!CH$3</f>
        <v>0.32731530720079999</v>
      </c>
      <c r="CO129" s="3">
        <f>$H129*factors!CI$3</f>
        <v>0.32970696393400001</v>
      </c>
      <c r="CP129" s="3">
        <f>$H129*factors!CJ$3</f>
        <v>0.34542356532359997</v>
      </c>
      <c r="CQ129" s="3">
        <f>$H129*factors!CK$3</f>
        <v>0.33517360789559997</v>
      </c>
      <c r="CR129" s="3">
        <f>$H129*factors!CL$3</f>
        <v>0.34576523057120001</v>
      </c>
      <c r="CS129" s="3">
        <f>$H129*factors!CM$3</f>
        <v>0.35669851849440004</v>
      </c>
      <c r="CT129" s="3">
        <f>$H129*factors!CN$3</f>
        <v>0.35259853552320003</v>
      </c>
      <c r="CU129" s="3">
        <f>$H129*factors!CO$3</f>
        <v>0.34474023482839999</v>
      </c>
      <c r="CV129" s="3">
        <f>$H129*factors!CP$3</f>
        <v>0.35874850998000002</v>
      </c>
      <c r="CW129" s="3">
        <f>$H129*factors!CQ$3</f>
        <v>0.33927359086680003</v>
      </c>
      <c r="CX129" s="3">
        <f>$H129*factors!CR$3</f>
        <v>0.33414861215280001</v>
      </c>
      <c r="CY129" s="3">
        <f>$H129*factors!CS$3</f>
        <v>0.33107362492440001</v>
      </c>
      <c r="CZ129" s="3">
        <f>$H129*factors!CT$3</f>
        <v>0.32629031145799997</v>
      </c>
      <c r="DA129" s="3">
        <f>$H129*factors!CU$3</f>
        <v>0.33876977940000003</v>
      </c>
      <c r="DB129" s="3">
        <f>$H129*factors!CV$3</f>
        <v>0.36065951899200005</v>
      </c>
      <c r="DC129" s="3">
        <f>$H129*factors!CW$3</f>
        <v>0.34537144689600002</v>
      </c>
      <c r="DD129" s="3">
        <f>$H129*factors!CX$3</f>
        <v>0.34293925360800004</v>
      </c>
      <c r="DE129" s="3">
        <f>$H129*factors!CY$3</f>
        <v>0.35301548294400009</v>
      </c>
      <c r="DF129" s="3">
        <f>$H129*factors!CZ$3</f>
        <v>0.35232057057600003</v>
      </c>
      <c r="DG129" s="3">
        <f>$H129*factors!DA$3</f>
        <v>0.35093074584000006</v>
      </c>
      <c r="DH129" s="3">
        <f>$H129*factors!DB$3</f>
        <v>0.35093074584000006</v>
      </c>
      <c r="DI129" s="3">
        <f>$H129*factors!DC$3</f>
        <v>0.33772741084800001</v>
      </c>
      <c r="DJ129" s="3">
        <f>$H129*factors!DD$3</f>
        <v>0.35787986952000006</v>
      </c>
      <c r="DK129" s="3">
        <f>$H129*factors!DE$3</f>
        <v>0.35787986952000006</v>
      </c>
      <c r="DL129" s="3">
        <f>$H129*factors!DF$3</f>
        <v>0.35371039531200005</v>
      </c>
      <c r="DM129" s="3">
        <f>$H129*factors!DG$3</f>
        <v>0.33321048045599999</v>
      </c>
      <c r="DN129" s="3">
        <f>$H129*factors!DH$3</f>
        <v>0.34954092110400004</v>
      </c>
      <c r="DO129" s="3">
        <f>$H129*factors!DI$3</f>
        <v>0.361006975176</v>
      </c>
      <c r="DP129" s="3">
        <f>$H129*factors!DJ$3</f>
        <v>0.35787986952000006</v>
      </c>
      <c r="DQ129" s="3">
        <f>$H129*factors!DK$3</f>
        <v>0.34120197268800001</v>
      </c>
      <c r="DR129" s="3">
        <f>$H129*factors!DL$3</f>
        <v>0.33737995466400006</v>
      </c>
      <c r="DS129" s="3">
        <f>$H129*factors!DM$3</f>
        <v>0.364481537016</v>
      </c>
      <c r="DT129" s="3">
        <f>$H129*factors!DN$3</f>
        <v>0.34259179742400003</v>
      </c>
      <c r="DU129" s="3">
        <f>$H129*factors!DO$3</f>
        <v>0.35857478188800002</v>
      </c>
      <c r="DV129" s="3">
        <f>$H129*factors!DP$3</f>
        <v>0.35023583347200005</v>
      </c>
      <c r="DW129" s="3">
        <f>$H129*factors!DQ$3</f>
        <v>0.33425284900800001</v>
      </c>
      <c r="DX129" s="3">
        <f>$H129*factors!DR$3</f>
        <v>0.354057851496</v>
      </c>
      <c r="DY129" s="3">
        <f>$H129*factors!DS$3</f>
        <v>0.33599012992799998</v>
      </c>
      <c r="DZ129" s="3">
        <f>$H129*factors!DT$3</f>
        <v>0.35926969425600003</v>
      </c>
      <c r="EA129" s="3">
        <f>$H129*factors!DU$3</f>
        <v>0.33842232321600002</v>
      </c>
      <c r="EB129" s="3">
        <f>$H129*factors!DV$3</f>
        <v>0.3300833748</v>
      </c>
      <c r="EC129" s="3">
        <f>$H129*factors!DW$3</f>
        <v>0.35510022004800001</v>
      </c>
      <c r="ED129" s="3">
        <f>$H129*factors!DX$3</f>
        <v>0.33321048045599999</v>
      </c>
      <c r="EE129" s="3">
        <f>$H129*factors!DY$3</f>
        <v>0.33599012992799998</v>
      </c>
      <c r="EF129" s="3">
        <f>$H129*factors!DZ$3</f>
        <v>0.364481537016</v>
      </c>
      <c r="EG129" s="3">
        <f>$H129*factors!EA$3</f>
        <v>0.34050706032</v>
      </c>
      <c r="EH129" s="3">
        <f>$H129*factors!EB$3</f>
        <v>0.34154942887200002</v>
      </c>
      <c r="EI129" s="3">
        <f>$H129*factors!EC$3</f>
        <v>0.34085451650400006</v>
      </c>
      <c r="EJ129" s="3">
        <f>$H129*factors!ED$3</f>
        <v>0.33216811190400003</v>
      </c>
      <c r="EK129" s="3">
        <f>$H129*factors!EE$3</f>
        <v>0.35510022004800001</v>
      </c>
      <c r="EL129" s="3">
        <f>$H129*factors!EF$3</f>
        <v>0.33772741084800001</v>
      </c>
      <c r="EM129" s="3">
        <f>$H129*factors!EG$3</f>
        <v>0.35127820202400001</v>
      </c>
      <c r="EN129" s="3">
        <f>$H129*factors!EH$3</f>
        <v>0.3300833748</v>
      </c>
      <c r="EO129" s="3">
        <f>$H129*factors!EI$3</f>
        <v>0.33494776137600002</v>
      </c>
      <c r="EP129" s="3">
        <f>$H129*factors!EJ$3</f>
        <v>0.35336293912800004</v>
      </c>
      <c r="EQ129" s="3">
        <f>$H129*factors!EK$3</f>
        <v>0.34363416597599999</v>
      </c>
      <c r="ER129" s="3">
        <f>$H129*factors!EL$3</f>
        <v>0.35787986952000006</v>
      </c>
      <c r="ES129" s="3">
        <f>$H129*factors!EM$3</f>
        <v>0.35336293912800004</v>
      </c>
      <c r="ET129" s="3">
        <f>$H129*factors!EN$3</f>
        <v>0.36135443136000006</v>
      </c>
      <c r="EU129" s="3">
        <f>$H129*factors!EO$3</f>
        <v>0.36482899320000006</v>
      </c>
      <c r="EV129" s="3">
        <f>$H129*factors!EP$3</f>
        <v>0.34189688505600002</v>
      </c>
      <c r="EW129" s="3">
        <f>$H129*factors!EQ$3</f>
        <v>0.37604893247499999</v>
      </c>
      <c r="EX129" s="3">
        <f>$H129*factors!ER$3</f>
        <v>0.37206766370000011</v>
      </c>
      <c r="EY129" s="3">
        <f>$H129*factors!ES$3</f>
        <v>0.37966826772500001</v>
      </c>
      <c r="EZ129" s="3">
        <f>$H129*factors!ET$3</f>
        <v>0.37604893247499999</v>
      </c>
      <c r="FA129" s="3">
        <f>$H129*factors!EU$3</f>
        <v>0.34564651637499999</v>
      </c>
      <c r="FB129" s="3">
        <f>$H129*factors!EV$3</f>
        <v>0.36120965795000004</v>
      </c>
      <c r="FC129" s="3">
        <f>$H129*factors!EW$3</f>
        <v>0.37134379665000006</v>
      </c>
      <c r="FD129" s="3">
        <f>$H129*factors!EX$3</f>
        <v>0.35831418975000007</v>
      </c>
      <c r="FE129" s="3">
        <f>$H129*factors!EY$3</f>
        <v>0.37749666657500003</v>
      </c>
      <c r="FF129" s="3">
        <f>$H129*factors!EZ$3</f>
        <v>0.37785860010000011</v>
      </c>
      <c r="FG129" s="3">
        <f>$H129*factors!FA$3</f>
        <v>0.34564651637499999</v>
      </c>
      <c r="FH129" s="3">
        <f>$H129*factors!FB$3</f>
        <v>0.36374319262499999</v>
      </c>
      <c r="FI129" s="3">
        <f>$H129*factors!FC$3</f>
        <v>0.37894440067500001</v>
      </c>
      <c r="FJ129" s="3">
        <f>$H129*factors!FD$3</f>
        <v>0.36374319262499999</v>
      </c>
      <c r="FK129" s="3">
        <f>$H129*factors!FE$3</f>
        <v>0.36989606255000007</v>
      </c>
      <c r="FL129" s="3">
        <f>$H129*factors!FF$3</f>
        <v>0.37098186312500003</v>
      </c>
      <c r="FM129" s="3">
        <f>$H129*factors!FG$3</f>
        <v>0.37496313190000002</v>
      </c>
      <c r="FN129" s="3">
        <f>$H129*factors!FH$3</f>
        <v>0.35071358572500005</v>
      </c>
      <c r="FO129" s="3">
        <f>$H129*factors!FI$3</f>
        <v>0.37242959722500002</v>
      </c>
      <c r="FP129" s="3">
        <f>$H129*factors!FJ$3</f>
        <v>0.36193352500000003</v>
      </c>
      <c r="FQ129" s="3">
        <f>$H129*factors!FK$3</f>
        <v>0.35831418975000007</v>
      </c>
      <c r="FR129" s="3">
        <f>$H129*factors!FL$3</f>
        <v>0.36555286025000006</v>
      </c>
      <c r="FS129" s="3">
        <f>$H129*factors!FM$3</f>
        <v>0.36338125910000002</v>
      </c>
      <c r="FT129" s="3">
        <f>$H129*factors!FN$3</f>
        <v>0.37134379665000006</v>
      </c>
      <c r="FU129" s="3">
        <f>$H129*factors!FO$3</f>
        <v>0.35686645565000003</v>
      </c>
      <c r="FV129" s="3">
        <f>$H129*factors!FP$3</f>
        <v>0.35397098745</v>
      </c>
      <c r="FW129" s="3">
        <f>$H129*factors!FQ$3</f>
        <v>0.37894440067500001</v>
      </c>
      <c r="FX129" s="3">
        <f>$H129*factors!FR$3</f>
        <v>0.37206766370000011</v>
      </c>
      <c r="FY129" s="3">
        <f>$H129*factors!FS$3</f>
        <v>0.36446705967499998</v>
      </c>
      <c r="FZ129" s="3">
        <f>$H129*factors!FT$3</f>
        <v>0.34637038342500004</v>
      </c>
      <c r="GA129" s="3">
        <f>$H129*factors!FU$3</f>
        <v>0.36446705967499998</v>
      </c>
      <c r="GB129" s="3">
        <f>$H129*factors!FV$3</f>
        <v>0.37785860010000011</v>
      </c>
      <c r="GC129" s="3">
        <f>$H129*factors!FW$3</f>
        <v>0.35397098745</v>
      </c>
      <c r="GD129" s="3">
        <f>$H129*factors!FX$3</f>
        <v>0.36012385737500002</v>
      </c>
      <c r="GE129" s="3">
        <f>$H129*factors!FY$3</f>
        <v>0.36012385737500002</v>
      </c>
      <c r="GF129" s="3">
        <f>$H129*factors!FZ$3</f>
        <v>0.35903805680000006</v>
      </c>
      <c r="GG129" s="3">
        <f>$H129*factors!GA$3</f>
        <v>0.344922649325</v>
      </c>
      <c r="GH129" s="3">
        <f>$H129*factors!GB$3</f>
        <v>0.36700059435000004</v>
      </c>
      <c r="GI129" s="3">
        <f>$H129*factors!GC$3</f>
        <v>0.34419878227500006</v>
      </c>
      <c r="GJ129" s="3">
        <f>$H129*factors!GD$3</f>
        <v>0.344922649325</v>
      </c>
      <c r="GK129" s="3">
        <f>$H129*factors!GE$3</f>
        <v>0.35360905392500003</v>
      </c>
      <c r="GL129" s="3">
        <f>$H129*factors!GF$3</f>
        <v>0.37460119837500006</v>
      </c>
      <c r="GM129" s="3">
        <f>$H129*factors!GG$3</f>
        <v>0.35505678802500007</v>
      </c>
      <c r="GN129" s="3">
        <f>$H129*factors!GH$3</f>
        <v>0.3662767273000001</v>
      </c>
      <c r="GO129" s="3">
        <f>$H129*factors!GI$3</f>
        <v>0.34600844990000001</v>
      </c>
      <c r="GP129" s="3">
        <f>$H129*factors!GJ$3</f>
        <v>0.37098186312500003</v>
      </c>
      <c r="GQ129" s="3">
        <f>$H129*factors!GK$3</f>
        <v>0.3785824671500001</v>
      </c>
      <c r="GR129" s="3">
        <f>$H129*factors!GL$3</f>
        <v>0.37134379665000006</v>
      </c>
      <c r="GS129" s="3">
        <f>$H129*factors!GM$3</f>
        <v>0.35117686063700004</v>
      </c>
      <c r="GT129" s="3">
        <f>$H129*factors!GN$3</f>
        <v>0.35926679878780005</v>
      </c>
      <c r="GU129" s="3">
        <f>$H129*factors!GO$3</f>
        <v>0.36772446140000004</v>
      </c>
      <c r="GV129" s="3">
        <f>$H129*factors!GP$3</f>
        <v>0.35301548294400009</v>
      </c>
      <c r="GW129" s="3">
        <f>$H129*factors!GQ$3</f>
        <v>0.36551811463160006</v>
      </c>
      <c r="GX129" s="3">
        <f>$H129*factors!GR$3</f>
        <v>0.35963452324920003</v>
      </c>
      <c r="GY129" s="3">
        <f>$H129*factors!GS$3</f>
        <v>0.3577959009422001</v>
      </c>
      <c r="GZ129" s="3">
        <f>$H129*factors!GT$3</f>
        <v>0.37103398155259998</v>
      </c>
      <c r="HA129" s="3">
        <f>$H129*factors!GU$3</f>
        <v>0.35889907432640006</v>
      </c>
      <c r="HB129" s="3">
        <f>$H129*factors!GV$3</f>
        <v>0.37103398155259998</v>
      </c>
      <c r="HC129" s="3">
        <f>$H129*factors!GW$3</f>
        <v>0.36184087001760001</v>
      </c>
      <c r="HD129" s="3">
        <f>$H129*factors!GX$3</f>
        <v>0.37250487939819998</v>
      </c>
      <c r="HE129" s="3">
        <f>$H129*factors!GY$3</f>
        <v>0.36772446140000004</v>
      </c>
      <c r="HF129" s="3">
        <f>$H129*factors!GZ$3</f>
        <v>0.37912391970340004</v>
      </c>
      <c r="HG129" s="3">
        <f>$H129*factors!HA$3</f>
        <v>0.36441494124740004</v>
      </c>
      <c r="HH129" s="3">
        <f>$H129*factors!HB$3</f>
        <v>0.35963452324920003</v>
      </c>
      <c r="HI129" s="3">
        <f>$H129*factors!HC$3</f>
        <v>0.35522182971240007</v>
      </c>
      <c r="HJ129" s="3">
        <f>$H129*factors!HD$3</f>
        <v>0.35117686063700004</v>
      </c>
      <c r="HK129" s="3">
        <f>$H129*factors!HE$3</f>
        <v>0.37140170601400002</v>
      </c>
      <c r="HL129" s="3">
        <f>$H129*factors!HF$3</f>
        <v>0.35007368725280003</v>
      </c>
      <c r="HM129" s="3">
        <f>$H129*factors!HG$3</f>
        <v>0.35375093186680007</v>
      </c>
      <c r="HN129" s="3">
        <f>$H129*factors!HH$3</f>
        <v>0.37728529739640004</v>
      </c>
      <c r="HO129" s="3">
        <f>$H129*factors!HI$3</f>
        <v>0.36184087001760001</v>
      </c>
      <c r="HP129" s="3">
        <f>$H129*factors!HJ$3</f>
        <v>0.38611068447000008</v>
      </c>
      <c r="HQ129" s="3">
        <f>$H129*factors!HK$3</f>
        <v>0.35301548294400009</v>
      </c>
      <c r="HR129" s="3">
        <f>$H129*factors!HL$3</f>
        <v>0.37434350170520009</v>
      </c>
      <c r="HS129" s="3">
        <f>$H129*factors!HM$3</f>
        <v>0.38096254201040003</v>
      </c>
      <c r="HT129" s="3">
        <f>$H129*factors!HN$3</f>
        <v>0.35522182971240007</v>
      </c>
      <c r="HU129" s="3">
        <f>$H129*factors!HO$3</f>
        <v>0.35889907432640006</v>
      </c>
      <c r="HV129" s="3">
        <f>$H129*factors!HP$3</f>
        <v>0.36331176786320007</v>
      </c>
      <c r="HW129" s="3">
        <f>$H129*factors!HQ$3</f>
        <v>0.36845991032280007</v>
      </c>
      <c r="HX129" s="3">
        <f>$H129*factors!HR$3</f>
        <v>0.3835366132402</v>
      </c>
      <c r="HY129" s="3">
        <f>$H129*factors!HS$3</f>
        <v>0.36441494124740004</v>
      </c>
      <c r="HZ129" s="3">
        <f>$H129*factors!HT$3</f>
        <v>0.37838847078060001</v>
      </c>
      <c r="IA129" s="3">
        <f>$H129*factors!HU$3</f>
        <v>0.36000224771060008</v>
      </c>
      <c r="IB129" s="3">
        <f>$H129*factors!HV$3</f>
        <v>0.37250487939819998</v>
      </c>
      <c r="IC129" s="3">
        <f>$H129*factors!HW$3</f>
        <v>0.37618212401220003</v>
      </c>
      <c r="ID129" s="3">
        <f>$H129*factors!HX$3</f>
        <v>0.34933823832999999</v>
      </c>
      <c r="IE129" s="3">
        <f>$H129*factors!HY$3</f>
        <v>0.37103398155259998</v>
      </c>
      <c r="IF129" s="3">
        <f>$H129*factors!HZ$3</f>
        <v>0.3688276347842</v>
      </c>
      <c r="IG129" s="3">
        <f>$H129*factors!IA$3</f>
        <v>0.36551811463160006</v>
      </c>
      <c r="IH129" s="3">
        <f>$H129*factors!IB$3</f>
        <v>0.37912391970340004</v>
      </c>
      <c r="II129" s="3">
        <f>$H129*factors!IC$3</f>
        <v>0.36294404340180003</v>
      </c>
      <c r="IJ129" s="3">
        <f>$H129*factors!ID$3</f>
        <v>0.36625356355440009</v>
      </c>
      <c r="IK129" s="3">
        <f>$H129*factors!IE$3</f>
        <v>0.37949164416480008</v>
      </c>
      <c r="IL129" s="3">
        <f>$H129*factors!IF$3</f>
        <v>0.36331176786320007</v>
      </c>
      <c r="IM129" s="3">
        <f>$H129*factors!IG$3</f>
        <v>0.36000224771060008</v>
      </c>
      <c r="IN129" s="3">
        <f>$H129*factors!IH$3</f>
        <v>0.36220859447900006</v>
      </c>
      <c r="IO129" s="3">
        <f>$H129*factors!II$3</f>
        <v>0.36588583909300004</v>
      </c>
      <c r="IP129" s="3">
        <f>$H129*factors!IJ$3</f>
        <v>0.35375093186680007</v>
      </c>
      <c r="IQ129" s="3">
        <f>$H129*factors!IK$3</f>
        <v>0.35264775848260005</v>
      </c>
      <c r="IR129" s="3">
        <f>$H129*factors!IL$3</f>
        <v>0.36294404340180003</v>
      </c>
      <c r="IS129" s="3">
        <f>$H129*factors!IM$3</f>
        <v>0.36588583909300004</v>
      </c>
      <c r="IT129" s="3">
        <f>$H129*factors!IN$3</f>
        <v>0.36845991032280007</v>
      </c>
      <c r="IU129" s="3">
        <f>$H129*factors!IO$3</f>
        <v>0.37654984847360007</v>
      </c>
      <c r="IV129" s="3">
        <f>$H129*factors!IP$3</f>
        <v>0.38133026647180002</v>
      </c>
      <c r="IW129" s="3">
        <f>$H129*factors!IQ$3</f>
        <v>0.36036997217200001</v>
      </c>
      <c r="IX129" s="3">
        <f>$H129*factors!IR$3</f>
        <v>0.37654984847360007</v>
      </c>
      <c r="IY129" s="3">
        <f>$H129*factors!IS$3</f>
        <v>0.37103398155259998</v>
      </c>
      <c r="IZ129" s="3">
        <f>$H129*factors!IT$3</f>
        <v>0.37728529739640004</v>
      </c>
      <c r="JA129" s="3">
        <f>$H129*factors!IU$3</f>
        <v>0.35632500309660003</v>
      </c>
      <c r="JB129" s="3">
        <f>$H129*factors!IV$3</f>
        <v>0.36294404340180003</v>
      </c>
      <c r="JC129" s="3">
        <f>$H129*factors!IW$3</f>
        <v>0.35448638078960004</v>
      </c>
      <c r="JD129" s="3">
        <f>$H129*factors!IX$3</f>
        <v>0.38611068447000008</v>
      </c>
      <c r="JE129" s="3">
        <f>$H129*factors!IY$3</f>
        <v>0.3555895541738</v>
      </c>
      <c r="JF129" s="3">
        <f>$H129*factors!IZ$3</f>
        <v>0.37324032832100001</v>
      </c>
      <c r="JG129" s="3">
        <f>$H129*factors!JA$3</f>
        <v>0.36662128801580002</v>
      </c>
      <c r="JH129" s="3">
        <f>$H129*factors!JB$3</f>
        <v>0.37360805278240011</v>
      </c>
      <c r="JI129" s="3">
        <f>$H129*factors!JC$3</f>
        <v>0.34970596279140004</v>
      </c>
      <c r="JJ129" s="3">
        <f>$H129*factors!JD$3</f>
        <v>0.37654984847360007</v>
      </c>
      <c r="JK129" s="3">
        <f>$H129*factors!JE$3</f>
        <v>0.36441494124740004</v>
      </c>
      <c r="JL129" s="3">
        <f>$H129*factors!JF$3</f>
        <v>0.37912391970340004</v>
      </c>
      <c r="JM129" s="3">
        <f>$H129*factors!JG$3</f>
        <v>0.35375093186680007</v>
      </c>
      <c r="JN129" s="3">
        <f>$H129*factors!JH$3</f>
        <v>0.35375093186680007</v>
      </c>
      <c r="JO129" s="3">
        <f>$H129*factors!JI$3</f>
        <v>0.34933823832999999</v>
      </c>
      <c r="JP129" s="3">
        <f>$H129*factors!JJ$3</f>
        <v>0.37765302185780003</v>
      </c>
      <c r="JQ129" s="3">
        <f>$H129*factors!JK$3</f>
        <v>0.36809218586140002</v>
      </c>
      <c r="JR129" s="3">
        <f>$H129*factors!JL$3</f>
        <v>0.38243343985600003</v>
      </c>
      <c r="JS129" s="3">
        <f>$H129*factors!JM$3</f>
        <v>0.34933823832999999</v>
      </c>
      <c r="JT129" s="3">
        <f>$H129*factors!JN$3</f>
        <v>0.36698901247720006</v>
      </c>
      <c r="JU129" s="3">
        <f>$H129*factors!JO$3</f>
        <v>0.35485410525100003</v>
      </c>
      <c r="JV129" s="3">
        <f>$H129*factors!JP$3</f>
        <v>0.36073769663340005</v>
      </c>
      <c r="JW129" s="3">
        <f>$H129*factors!JQ$3</f>
        <v>0.3853752355472001</v>
      </c>
      <c r="JX129" s="3">
        <f>$H129*factors!JR$3</f>
        <v>0.38169799093320006</v>
      </c>
      <c r="JY129" s="3">
        <f>$H129*factors!JS$3</f>
        <v>0.35926679878780005</v>
      </c>
      <c r="JZ129" s="3">
        <f>$H129*factors!JT$3</f>
        <v>0.36331176786320007</v>
      </c>
      <c r="KA129" s="3">
        <f>$H129*factors!JU$3</f>
        <v>0.36478266570880008</v>
      </c>
      <c r="KB129" s="3">
        <f>$H129*factors!JV$3</f>
        <v>0.35264775848260005</v>
      </c>
      <c r="KC129" s="3">
        <f>$H129*factors!JW$3</f>
        <v>0.35448638078960004</v>
      </c>
      <c r="KD129" s="3">
        <f>$H129*factors!JX$3</f>
        <v>0.35485410525100003</v>
      </c>
      <c r="KE129" s="3">
        <f>$H129*factors!JY$3</f>
        <v>0.37765302185780003</v>
      </c>
      <c r="KF129" s="3">
        <f>$H129*factors!JZ$3</f>
        <v>0.38206571539459999</v>
      </c>
      <c r="KG129" s="3">
        <f>$H129*factors!KA$3</f>
        <v>0.36845991032280007</v>
      </c>
      <c r="KH129" s="3">
        <f>$H129*factors!KB$3</f>
        <v>0.36036997217200001</v>
      </c>
      <c r="KI129" s="3">
        <f>$H129*factors!KC$3</f>
        <v>0.35706045201940001</v>
      </c>
    </row>
    <row r="130" spans="1:295" x14ac:dyDescent="0.55000000000000004">
      <c r="A130" t="s">
        <v>507</v>
      </c>
      <c r="B130">
        <v>129</v>
      </c>
      <c r="C130">
        <v>230</v>
      </c>
      <c r="D130" t="s">
        <v>377</v>
      </c>
      <c r="E130">
        <v>2.6090000000000002E-3</v>
      </c>
      <c r="F130">
        <v>129</v>
      </c>
      <c r="G130">
        <f>VLOOKUP(D130,demand_forecasted!$A$2:$G$11,2)</f>
        <v>11098</v>
      </c>
      <c r="H130" s="3">
        <f t="shared" si="2"/>
        <v>0.28954682000000004</v>
      </c>
      <c r="I130" s="3">
        <f>$H130*factors!C$3</f>
        <v>0.32052832974000006</v>
      </c>
      <c r="J130" s="3">
        <f>$H130*factors!D$3</f>
        <v>0.30895803881280004</v>
      </c>
      <c r="K130" s="3">
        <f>$H130*factors!E$3</f>
        <v>0.30364195919760006</v>
      </c>
      <c r="L130" s="3">
        <f>$H130*factors!F$3</f>
        <v>0.3027038275008001</v>
      </c>
      <c r="M130" s="3">
        <f>$H130*factors!G$3</f>
        <v>0.30239111693520004</v>
      </c>
      <c r="N130" s="3">
        <f>$H130*factors!H$3</f>
        <v>0.31114701277200002</v>
      </c>
      <c r="O130" s="3">
        <f>$H130*factors!I$3</f>
        <v>0.31802664521520002</v>
      </c>
      <c r="P130" s="3">
        <f>$H130*factors!J$3</f>
        <v>0.32177917200240008</v>
      </c>
      <c r="Q130" s="3">
        <f>$H130*factors!K$3</f>
        <v>0.30207840636960004</v>
      </c>
      <c r="R130" s="3">
        <f>$H130*factors!L$3</f>
        <v>0.29707503732000007</v>
      </c>
      <c r="S130" s="3">
        <f>$H130*factors!M$3</f>
        <v>0.30927074937840004</v>
      </c>
      <c r="T130" s="3">
        <f>$H130*factors!N$3</f>
        <v>0.31990290860880005</v>
      </c>
      <c r="U130" s="3">
        <f>$H130*factors!O$3</f>
        <v>0.30301653806640005</v>
      </c>
      <c r="V130" s="3">
        <f>$H130*factors!P$3</f>
        <v>0.31521225012480003</v>
      </c>
      <c r="W130" s="3">
        <f>$H130*factors!Q$3</f>
        <v>0.31802664521520002</v>
      </c>
      <c r="X130" s="3">
        <f>$H130*factors!R$3</f>
        <v>0.30426738032880002</v>
      </c>
      <c r="Y130" s="3">
        <f>$H130*factors!S$3</f>
        <v>0.30145298523840003</v>
      </c>
      <c r="Z130" s="3">
        <f>$H130*factors!T$3</f>
        <v>0.32521898822400008</v>
      </c>
      <c r="AA130" s="3">
        <f>$H130*factors!U$3</f>
        <v>0.30708177541920001</v>
      </c>
      <c r="AB130" s="3">
        <f>$H130*factors!V$3</f>
        <v>0.30739448598480007</v>
      </c>
      <c r="AC130" s="3">
        <f>$H130*factors!W$3</f>
        <v>0.30770719655040008</v>
      </c>
      <c r="AD130" s="3">
        <f>$H130*factors!X$3</f>
        <v>0.30114027467280008</v>
      </c>
      <c r="AE130" s="3">
        <f>$H130*factors!Y$3</f>
        <v>0.30364195919760006</v>
      </c>
      <c r="AF130" s="3">
        <f>$H130*factors!Z$3</f>
        <v>0.30989617050960006</v>
      </c>
      <c r="AG130" s="3">
        <f>$H130*factors!AA$3</f>
        <v>0.30207840636960004</v>
      </c>
      <c r="AH130" s="3">
        <f>$H130*factors!AB$3</f>
        <v>0.30082756410720007</v>
      </c>
      <c r="AI130" s="3">
        <f>$H130*factors!AC$3</f>
        <v>0.31052159164080007</v>
      </c>
      <c r="AJ130" s="3">
        <f>$H130*factors!AD$3</f>
        <v>0.32240459313360004</v>
      </c>
      <c r="AK130" s="3">
        <f>$H130*factors!AE$3</f>
        <v>0.31020888107520006</v>
      </c>
      <c r="AL130" s="3">
        <f>$H130*factors!AF$3</f>
        <v>0.29801316901680003</v>
      </c>
      <c r="AM130" s="3">
        <f>$H130*factors!AG$3</f>
        <v>0.30645635428800005</v>
      </c>
      <c r="AN130" s="3">
        <f>$H130*factors!AH$3</f>
        <v>0.30145298523840003</v>
      </c>
      <c r="AO130" s="3">
        <f>$H130*factors!AI$3</f>
        <v>0.31583767125600004</v>
      </c>
      <c r="AP130" s="3">
        <f>$H130*factors!AJ$3</f>
        <v>0.3027038275008001</v>
      </c>
      <c r="AQ130" s="3">
        <f>$H130*factors!AK$3</f>
        <v>0.3123978550344001</v>
      </c>
      <c r="AR130" s="3">
        <f>$H130*factors!AL$3</f>
        <v>0.30551822259120009</v>
      </c>
      <c r="AS130" s="3">
        <f>$H130*factors!AM$3</f>
        <v>0.29801316901680003</v>
      </c>
      <c r="AT130" s="3">
        <f>$H130*factors!AN$3</f>
        <v>0.30739448598480007</v>
      </c>
      <c r="AU130" s="3">
        <f>$H130*factors!AO$3</f>
        <v>0.32553169878960003</v>
      </c>
      <c r="AV130" s="3">
        <f>$H130*factors!AP$3</f>
        <v>0.30770719655040008</v>
      </c>
      <c r="AW130" s="3">
        <f>$H130*factors!AQ$3</f>
        <v>0.30458009089440002</v>
      </c>
      <c r="AX130" s="3">
        <f>$H130*factors!AR$3</f>
        <v>0.32209188256800003</v>
      </c>
      <c r="AY130" s="3">
        <f>$H130*factors!AS$3</f>
        <v>0.29707503732000007</v>
      </c>
      <c r="AZ130" s="3">
        <f>$H130*factors!AT$3</f>
        <v>0.31833935578080008</v>
      </c>
      <c r="BA130" s="3">
        <f>$H130*factors!AU$3</f>
        <v>0.31145972333760003</v>
      </c>
      <c r="BB130" s="3">
        <f>$H130*factors!AV$3</f>
        <v>0.30739448598480007</v>
      </c>
      <c r="BC130" s="3">
        <f>$H130*factors!AW$3</f>
        <v>0.32521898822400008</v>
      </c>
      <c r="BD130" s="3">
        <f>$H130*factors!AX$3</f>
        <v>0.30020214297600001</v>
      </c>
      <c r="BE130" s="3">
        <f>$H130*factors!AY$3</f>
        <v>0.35294020077080002</v>
      </c>
      <c r="BF130" s="3">
        <f>$H130*factors!AZ$3</f>
        <v>0.32868196819120005</v>
      </c>
      <c r="BG130" s="3">
        <f>$H130*factors!BA$3</f>
        <v>0.33346528165759998</v>
      </c>
      <c r="BH130" s="3">
        <f>$H130*factors!BB$3</f>
        <v>0.33790692987640003</v>
      </c>
      <c r="BI130" s="3">
        <f>$H130*factors!BC$3</f>
        <v>0.35020687879000001</v>
      </c>
      <c r="BJ130" s="3">
        <f>$H130*factors!BD$3</f>
        <v>0.33449027740039999</v>
      </c>
      <c r="BK130" s="3">
        <f>$H130*factors!BE$3</f>
        <v>0.33517360789559997</v>
      </c>
      <c r="BL130" s="3">
        <f>$H130*factors!BF$3</f>
        <v>0.331415290172</v>
      </c>
      <c r="BM130" s="3">
        <f>$H130*factors!BG$3</f>
        <v>0.35396519651360003</v>
      </c>
      <c r="BN130" s="3">
        <f>$H130*factors!BH$3</f>
        <v>0.34952354829480003</v>
      </c>
      <c r="BO130" s="3">
        <f>$H130*factors!BI$3</f>
        <v>0.32868196819120005</v>
      </c>
      <c r="BP130" s="3">
        <f>$H130*factors!BJ$3</f>
        <v>0.32765697244839997</v>
      </c>
      <c r="BQ130" s="3">
        <f>$H130*factors!BK$3</f>
        <v>0.33312361640999999</v>
      </c>
      <c r="BR130" s="3">
        <f>$H130*factors!BL$3</f>
        <v>0.34508190007600004</v>
      </c>
      <c r="BS130" s="3">
        <f>$H130*factors!BM$3</f>
        <v>0.35054854403760005</v>
      </c>
      <c r="BT130" s="3">
        <f>$H130*factors!BN$3</f>
        <v>0.35157353978040001</v>
      </c>
      <c r="BU130" s="3">
        <f>$H130*factors!BO$3</f>
        <v>0.35738184898960007</v>
      </c>
      <c r="BV130" s="3">
        <f>$H130*factors!BP$3</f>
        <v>0.33244028591480002</v>
      </c>
      <c r="BW130" s="3">
        <f>$H130*factors!BQ$3</f>
        <v>0.33995692136200001</v>
      </c>
      <c r="BX130" s="3">
        <f>$H130*factors!BR$3</f>
        <v>0.33346528165759998</v>
      </c>
      <c r="BY130" s="3">
        <f>$H130*factors!BS$3</f>
        <v>0.34884021779959995</v>
      </c>
      <c r="BZ130" s="3">
        <f>$H130*factors!BT$3</f>
        <v>0.34234857809520003</v>
      </c>
      <c r="CA130" s="3">
        <f>$H130*factors!BU$3</f>
        <v>0.33790692987640003</v>
      </c>
      <c r="CB130" s="3">
        <f>$H130*factors!BV$3</f>
        <v>0.3269736419532</v>
      </c>
      <c r="CC130" s="3">
        <f>$H130*factors!BW$3</f>
        <v>0.33654026888600003</v>
      </c>
      <c r="CD130" s="3">
        <f>$H130*factors!BX$3</f>
        <v>0.33756526462880004</v>
      </c>
      <c r="CE130" s="3">
        <f>$H130*factors!BY$3</f>
        <v>0.34234857809520003</v>
      </c>
      <c r="CF130" s="3">
        <f>$H130*factors!BZ$3</f>
        <v>0.33722359938120006</v>
      </c>
      <c r="CG130" s="3">
        <f>$H130*factors!CA$3</f>
        <v>0.32594864621039998</v>
      </c>
      <c r="CH130" s="3">
        <f>$H130*factors!CB$3</f>
        <v>0.32629031145799997</v>
      </c>
      <c r="CI130" s="3">
        <f>$H130*factors!CC$3</f>
        <v>0.32458198522000004</v>
      </c>
      <c r="CJ130" s="3">
        <f>$H130*factors!CD$3</f>
        <v>0.33790692987640003</v>
      </c>
      <c r="CK130" s="3">
        <f>$H130*factors!CE$3</f>
        <v>0.35294020077080002</v>
      </c>
      <c r="CL130" s="3">
        <f>$H130*factors!CF$3</f>
        <v>0.33073195967680002</v>
      </c>
      <c r="CM130" s="3">
        <f>$H130*factors!CG$3</f>
        <v>0.3385902603716</v>
      </c>
      <c r="CN130" s="3">
        <f>$H130*factors!CH$3</f>
        <v>0.32731530720079999</v>
      </c>
      <c r="CO130" s="3">
        <f>$H130*factors!CI$3</f>
        <v>0.32970696393400001</v>
      </c>
      <c r="CP130" s="3">
        <f>$H130*factors!CJ$3</f>
        <v>0.34542356532359997</v>
      </c>
      <c r="CQ130" s="3">
        <f>$H130*factors!CK$3</f>
        <v>0.33517360789559997</v>
      </c>
      <c r="CR130" s="3">
        <f>$H130*factors!CL$3</f>
        <v>0.34576523057120001</v>
      </c>
      <c r="CS130" s="3">
        <f>$H130*factors!CM$3</f>
        <v>0.35669851849440004</v>
      </c>
      <c r="CT130" s="3">
        <f>$H130*factors!CN$3</f>
        <v>0.35259853552320003</v>
      </c>
      <c r="CU130" s="3">
        <f>$H130*factors!CO$3</f>
        <v>0.34474023482839999</v>
      </c>
      <c r="CV130" s="3">
        <f>$H130*factors!CP$3</f>
        <v>0.35874850998000002</v>
      </c>
      <c r="CW130" s="3">
        <f>$H130*factors!CQ$3</f>
        <v>0.33927359086680003</v>
      </c>
      <c r="CX130" s="3">
        <f>$H130*factors!CR$3</f>
        <v>0.33414861215280001</v>
      </c>
      <c r="CY130" s="3">
        <f>$H130*factors!CS$3</f>
        <v>0.33107362492440001</v>
      </c>
      <c r="CZ130" s="3">
        <f>$H130*factors!CT$3</f>
        <v>0.32629031145799997</v>
      </c>
      <c r="DA130" s="3">
        <f>$H130*factors!CU$3</f>
        <v>0.33876977940000003</v>
      </c>
      <c r="DB130" s="3">
        <f>$H130*factors!CV$3</f>
        <v>0.36065951899200005</v>
      </c>
      <c r="DC130" s="3">
        <f>$H130*factors!CW$3</f>
        <v>0.34537144689600002</v>
      </c>
      <c r="DD130" s="3">
        <f>$H130*factors!CX$3</f>
        <v>0.34293925360800004</v>
      </c>
      <c r="DE130" s="3">
        <f>$H130*factors!CY$3</f>
        <v>0.35301548294400009</v>
      </c>
      <c r="DF130" s="3">
        <f>$H130*factors!CZ$3</f>
        <v>0.35232057057600003</v>
      </c>
      <c r="DG130" s="3">
        <f>$H130*factors!DA$3</f>
        <v>0.35093074584000006</v>
      </c>
      <c r="DH130" s="3">
        <f>$H130*factors!DB$3</f>
        <v>0.35093074584000006</v>
      </c>
      <c r="DI130" s="3">
        <f>$H130*factors!DC$3</f>
        <v>0.33772741084800001</v>
      </c>
      <c r="DJ130" s="3">
        <f>$H130*factors!DD$3</f>
        <v>0.35787986952000006</v>
      </c>
      <c r="DK130" s="3">
        <f>$H130*factors!DE$3</f>
        <v>0.35787986952000006</v>
      </c>
      <c r="DL130" s="3">
        <f>$H130*factors!DF$3</f>
        <v>0.35371039531200005</v>
      </c>
      <c r="DM130" s="3">
        <f>$H130*factors!DG$3</f>
        <v>0.33321048045599999</v>
      </c>
      <c r="DN130" s="3">
        <f>$H130*factors!DH$3</f>
        <v>0.34954092110400004</v>
      </c>
      <c r="DO130" s="3">
        <f>$H130*factors!DI$3</f>
        <v>0.361006975176</v>
      </c>
      <c r="DP130" s="3">
        <f>$H130*factors!DJ$3</f>
        <v>0.35787986952000006</v>
      </c>
      <c r="DQ130" s="3">
        <f>$H130*factors!DK$3</f>
        <v>0.34120197268800001</v>
      </c>
      <c r="DR130" s="3">
        <f>$H130*factors!DL$3</f>
        <v>0.33737995466400006</v>
      </c>
      <c r="DS130" s="3">
        <f>$H130*factors!DM$3</f>
        <v>0.364481537016</v>
      </c>
      <c r="DT130" s="3">
        <f>$H130*factors!DN$3</f>
        <v>0.34259179742400003</v>
      </c>
      <c r="DU130" s="3">
        <f>$H130*factors!DO$3</f>
        <v>0.35857478188800002</v>
      </c>
      <c r="DV130" s="3">
        <f>$H130*factors!DP$3</f>
        <v>0.35023583347200005</v>
      </c>
      <c r="DW130" s="3">
        <f>$H130*factors!DQ$3</f>
        <v>0.33425284900800001</v>
      </c>
      <c r="DX130" s="3">
        <f>$H130*factors!DR$3</f>
        <v>0.354057851496</v>
      </c>
      <c r="DY130" s="3">
        <f>$H130*factors!DS$3</f>
        <v>0.33599012992799998</v>
      </c>
      <c r="DZ130" s="3">
        <f>$H130*factors!DT$3</f>
        <v>0.35926969425600003</v>
      </c>
      <c r="EA130" s="3">
        <f>$H130*factors!DU$3</f>
        <v>0.33842232321600002</v>
      </c>
      <c r="EB130" s="3">
        <f>$H130*factors!DV$3</f>
        <v>0.3300833748</v>
      </c>
      <c r="EC130" s="3">
        <f>$H130*factors!DW$3</f>
        <v>0.35510022004800001</v>
      </c>
      <c r="ED130" s="3">
        <f>$H130*factors!DX$3</f>
        <v>0.33321048045599999</v>
      </c>
      <c r="EE130" s="3">
        <f>$H130*factors!DY$3</f>
        <v>0.33599012992799998</v>
      </c>
      <c r="EF130" s="3">
        <f>$H130*factors!DZ$3</f>
        <v>0.364481537016</v>
      </c>
      <c r="EG130" s="3">
        <f>$H130*factors!EA$3</f>
        <v>0.34050706032</v>
      </c>
      <c r="EH130" s="3">
        <f>$H130*factors!EB$3</f>
        <v>0.34154942887200002</v>
      </c>
      <c r="EI130" s="3">
        <f>$H130*factors!EC$3</f>
        <v>0.34085451650400006</v>
      </c>
      <c r="EJ130" s="3">
        <f>$H130*factors!ED$3</f>
        <v>0.33216811190400003</v>
      </c>
      <c r="EK130" s="3">
        <f>$H130*factors!EE$3</f>
        <v>0.35510022004800001</v>
      </c>
      <c r="EL130" s="3">
        <f>$H130*factors!EF$3</f>
        <v>0.33772741084800001</v>
      </c>
      <c r="EM130" s="3">
        <f>$H130*factors!EG$3</f>
        <v>0.35127820202400001</v>
      </c>
      <c r="EN130" s="3">
        <f>$H130*factors!EH$3</f>
        <v>0.3300833748</v>
      </c>
      <c r="EO130" s="3">
        <f>$H130*factors!EI$3</f>
        <v>0.33494776137600002</v>
      </c>
      <c r="EP130" s="3">
        <f>$H130*factors!EJ$3</f>
        <v>0.35336293912800004</v>
      </c>
      <c r="EQ130" s="3">
        <f>$H130*factors!EK$3</f>
        <v>0.34363416597599999</v>
      </c>
      <c r="ER130" s="3">
        <f>$H130*factors!EL$3</f>
        <v>0.35787986952000006</v>
      </c>
      <c r="ES130" s="3">
        <f>$H130*factors!EM$3</f>
        <v>0.35336293912800004</v>
      </c>
      <c r="ET130" s="3">
        <f>$H130*factors!EN$3</f>
        <v>0.36135443136000006</v>
      </c>
      <c r="EU130" s="3">
        <f>$H130*factors!EO$3</f>
        <v>0.36482899320000006</v>
      </c>
      <c r="EV130" s="3">
        <f>$H130*factors!EP$3</f>
        <v>0.34189688505600002</v>
      </c>
      <c r="EW130" s="3">
        <f>$H130*factors!EQ$3</f>
        <v>0.37604893247499999</v>
      </c>
      <c r="EX130" s="3">
        <f>$H130*factors!ER$3</f>
        <v>0.37206766370000011</v>
      </c>
      <c r="EY130" s="3">
        <f>$H130*factors!ES$3</f>
        <v>0.37966826772500001</v>
      </c>
      <c r="EZ130" s="3">
        <f>$H130*factors!ET$3</f>
        <v>0.37604893247499999</v>
      </c>
      <c r="FA130" s="3">
        <f>$H130*factors!EU$3</f>
        <v>0.34564651637499999</v>
      </c>
      <c r="FB130" s="3">
        <f>$H130*factors!EV$3</f>
        <v>0.36120965795000004</v>
      </c>
      <c r="FC130" s="3">
        <f>$H130*factors!EW$3</f>
        <v>0.37134379665000006</v>
      </c>
      <c r="FD130" s="3">
        <f>$H130*factors!EX$3</f>
        <v>0.35831418975000007</v>
      </c>
      <c r="FE130" s="3">
        <f>$H130*factors!EY$3</f>
        <v>0.37749666657500003</v>
      </c>
      <c r="FF130" s="3">
        <f>$H130*factors!EZ$3</f>
        <v>0.37785860010000011</v>
      </c>
      <c r="FG130" s="3">
        <f>$H130*factors!FA$3</f>
        <v>0.34564651637499999</v>
      </c>
      <c r="FH130" s="3">
        <f>$H130*factors!FB$3</f>
        <v>0.36374319262499999</v>
      </c>
      <c r="FI130" s="3">
        <f>$H130*factors!FC$3</f>
        <v>0.37894440067500001</v>
      </c>
      <c r="FJ130" s="3">
        <f>$H130*factors!FD$3</f>
        <v>0.36374319262499999</v>
      </c>
      <c r="FK130" s="3">
        <f>$H130*factors!FE$3</f>
        <v>0.36989606255000007</v>
      </c>
      <c r="FL130" s="3">
        <f>$H130*factors!FF$3</f>
        <v>0.37098186312500003</v>
      </c>
      <c r="FM130" s="3">
        <f>$H130*factors!FG$3</f>
        <v>0.37496313190000002</v>
      </c>
      <c r="FN130" s="3">
        <f>$H130*factors!FH$3</f>
        <v>0.35071358572500005</v>
      </c>
      <c r="FO130" s="3">
        <f>$H130*factors!FI$3</f>
        <v>0.37242959722500002</v>
      </c>
      <c r="FP130" s="3">
        <f>$H130*factors!FJ$3</f>
        <v>0.36193352500000003</v>
      </c>
      <c r="FQ130" s="3">
        <f>$H130*factors!FK$3</f>
        <v>0.35831418975000007</v>
      </c>
      <c r="FR130" s="3">
        <f>$H130*factors!FL$3</f>
        <v>0.36555286025000006</v>
      </c>
      <c r="FS130" s="3">
        <f>$H130*factors!FM$3</f>
        <v>0.36338125910000002</v>
      </c>
      <c r="FT130" s="3">
        <f>$H130*factors!FN$3</f>
        <v>0.37134379665000006</v>
      </c>
      <c r="FU130" s="3">
        <f>$H130*factors!FO$3</f>
        <v>0.35686645565000003</v>
      </c>
      <c r="FV130" s="3">
        <f>$H130*factors!FP$3</f>
        <v>0.35397098745</v>
      </c>
      <c r="FW130" s="3">
        <f>$H130*factors!FQ$3</f>
        <v>0.37894440067500001</v>
      </c>
      <c r="FX130" s="3">
        <f>$H130*factors!FR$3</f>
        <v>0.37206766370000011</v>
      </c>
      <c r="FY130" s="3">
        <f>$H130*factors!FS$3</f>
        <v>0.36446705967499998</v>
      </c>
      <c r="FZ130" s="3">
        <f>$H130*factors!FT$3</f>
        <v>0.34637038342500004</v>
      </c>
      <c r="GA130" s="3">
        <f>$H130*factors!FU$3</f>
        <v>0.36446705967499998</v>
      </c>
      <c r="GB130" s="3">
        <f>$H130*factors!FV$3</f>
        <v>0.37785860010000011</v>
      </c>
      <c r="GC130" s="3">
        <f>$H130*factors!FW$3</f>
        <v>0.35397098745</v>
      </c>
      <c r="GD130" s="3">
        <f>$H130*factors!FX$3</f>
        <v>0.36012385737500002</v>
      </c>
      <c r="GE130" s="3">
        <f>$H130*factors!FY$3</f>
        <v>0.36012385737500002</v>
      </c>
      <c r="GF130" s="3">
        <f>$H130*factors!FZ$3</f>
        <v>0.35903805680000006</v>
      </c>
      <c r="GG130" s="3">
        <f>$H130*factors!GA$3</f>
        <v>0.344922649325</v>
      </c>
      <c r="GH130" s="3">
        <f>$H130*factors!GB$3</f>
        <v>0.36700059435000004</v>
      </c>
      <c r="GI130" s="3">
        <f>$H130*factors!GC$3</f>
        <v>0.34419878227500006</v>
      </c>
      <c r="GJ130" s="3">
        <f>$H130*factors!GD$3</f>
        <v>0.344922649325</v>
      </c>
      <c r="GK130" s="3">
        <f>$H130*factors!GE$3</f>
        <v>0.35360905392500003</v>
      </c>
      <c r="GL130" s="3">
        <f>$H130*factors!GF$3</f>
        <v>0.37460119837500006</v>
      </c>
      <c r="GM130" s="3">
        <f>$H130*factors!GG$3</f>
        <v>0.35505678802500007</v>
      </c>
      <c r="GN130" s="3">
        <f>$H130*factors!GH$3</f>
        <v>0.3662767273000001</v>
      </c>
      <c r="GO130" s="3">
        <f>$H130*factors!GI$3</f>
        <v>0.34600844990000001</v>
      </c>
      <c r="GP130" s="3">
        <f>$H130*factors!GJ$3</f>
        <v>0.37098186312500003</v>
      </c>
      <c r="GQ130" s="3">
        <f>$H130*factors!GK$3</f>
        <v>0.3785824671500001</v>
      </c>
      <c r="GR130" s="3">
        <f>$H130*factors!GL$3</f>
        <v>0.37134379665000006</v>
      </c>
      <c r="GS130" s="3">
        <f>$H130*factors!GM$3</f>
        <v>0.35117686063700004</v>
      </c>
      <c r="GT130" s="3">
        <f>$H130*factors!GN$3</f>
        <v>0.35926679878780005</v>
      </c>
      <c r="GU130" s="3">
        <f>$H130*factors!GO$3</f>
        <v>0.36772446140000004</v>
      </c>
      <c r="GV130" s="3">
        <f>$H130*factors!GP$3</f>
        <v>0.35301548294400009</v>
      </c>
      <c r="GW130" s="3">
        <f>$H130*factors!GQ$3</f>
        <v>0.36551811463160006</v>
      </c>
      <c r="GX130" s="3">
        <f>$H130*factors!GR$3</f>
        <v>0.35963452324920003</v>
      </c>
      <c r="GY130" s="3">
        <f>$H130*factors!GS$3</f>
        <v>0.3577959009422001</v>
      </c>
      <c r="GZ130" s="3">
        <f>$H130*factors!GT$3</f>
        <v>0.37103398155259998</v>
      </c>
      <c r="HA130" s="3">
        <f>$H130*factors!GU$3</f>
        <v>0.35889907432640006</v>
      </c>
      <c r="HB130" s="3">
        <f>$H130*factors!GV$3</f>
        <v>0.37103398155259998</v>
      </c>
      <c r="HC130" s="3">
        <f>$H130*factors!GW$3</f>
        <v>0.36184087001760001</v>
      </c>
      <c r="HD130" s="3">
        <f>$H130*factors!GX$3</f>
        <v>0.37250487939819998</v>
      </c>
      <c r="HE130" s="3">
        <f>$H130*factors!GY$3</f>
        <v>0.36772446140000004</v>
      </c>
      <c r="HF130" s="3">
        <f>$H130*factors!GZ$3</f>
        <v>0.37912391970340004</v>
      </c>
      <c r="HG130" s="3">
        <f>$H130*factors!HA$3</f>
        <v>0.36441494124740004</v>
      </c>
      <c r="HH130" s="3">
        <f>$H130*factors!HB$3</f>
        <v>0.35963452324920003</v>
      </c>
      <c r="HI130" s="3">
        <f>$H130*factors!HC$3</f>
        <v>0.35522182971240007</v>
      </c>
      <c r="HJ130" s="3">
        <f>$H130*factors!HD$3</f>
        <v>0.35117686063700004</v>
      </c>
      <c r="HK130" s="3">
        <f>$H130*factors!HE$3</f>
        <v>0.37140170601400002</v>
      </c>
      <c r="HL130" s="3">
        <f>$H130*factors!HF$3</f>
        <v>0.35007368725280003</v>
      </c>
      <c r="HM130" s="3">
        <f>$H130*factors!HG$3</f>
        <v>0.35375093186680007</v>
      </c>
      <c r="HN130" s="3">
        <f>$H130*factors!HH$3</f>
        <v>0.37728529739640004</v>
      </c>
      <c r="HO130" s="3">
        <f>$H130*factors!HI$3</f>
        <v>0.36184087001760001</v>
      </c>
      <c r="HP130" s="3">
        <f>$H130*factors!HJ$3</f>
        <v>0.38611068447000008</v>
      </c>
      <c r="HQ130" s="3">
        <f>$H130*factors!HK$3</f>
        <v>0.35301548294400009</v>
      </c>
      <c r="HR130" s="3">
        <f>$H130*factors!HL$3</f>
        <v>0.37434350170520009</v>
      </c>
      <c r="HS130" s="3">
        <f>$H130*factors!HM$3</f>
        <v>0.38096254201040003</v>
      </c>
      <c r="HT130" s="3">
        <f>$H130*factors!HN$3</f>
        <v>0.35522182971240007</v>
      </c>
      <c r="HU130" s="3">
        <f>$H130*factors!HO$3</f>
        <v>0.35889907432640006</v>
      </c>
      <c r="HV130" s="3">
        <f>$H130*factors!HP$3</f>
        <v>0.36331176786320007</v>
      </c>
      <c r="HW130" s="3">
        <f>$H130*factors!HQ$3</f>
        <v>0.36845991032280007</v>
      </c>
      <c r="HX130" s="3">
        <f>$H130*factors!HR$3</f>
        <v>0.3835366132402</v>
      </c>
      <c r="HY130" s="3">
        <f>$H130*factors!HS$3</f>
        <v>0.36441494124740004</v>
      </c>
      <c r="HZ130" s="3">
        <f>$H130*factors!HT$3</f>
        <v>0.37838847078060001</v>
      </c>
      <c r="IA130" s="3">
        <f>$H130*factors!HU$3</f>
        <v>0.36000224771060008</v>
      </c>
      <c r="IB130" s="3">
        <f>$H130*factors!HV$3</f>
        <v>0.37250487939819998</v>
      </c>
      <c r="IC130" s="3">
        <f>$H130*factors!HW$3</f>
        <v>0.37618212401220003</v>
      </c>
      <c r="ID130" s="3">
        <f>$H130*factors!HX$3</f>
        <v>0.34933823832999999</v>
      </c>
      <c r="IE130" s="3">
        <f>$H130*factors!HY$3</f>
        <v>0.37103398155259998</v>
      </c>
      <c r="IF130" s="3">
        <f>$H130*factors!HZ$3</f>
        <v>0.3688276347842</v>
      </c>
      <c r="IG130" s="3">
        <f>$H130*factors!IA$3</f>
        <v>0.36551811463160006</v>
      </c>
      <c r="IH130" s="3">
        <f>$H130*factors!IB$3</f>
        <v>0.37912391970340004</v>
      </c>
      <c r="II130" s="3">
        <f>$H130*factors!IC$3</f>
        <v>0.36294404340180003</v>
      </c>
      <c r="IJ130" s="3">
        <f>$H130*factors!ID$3</f>
        <v>0.36625356355440009</v>
      </c>
      <c r="IK130" s="3">
        <f>$H130*factors!IE$3</f>
        <v>0.37949164416480008</v>
      </c>
      <c r="IL130" s="3">
        <f>$H130*factors!IF$3</f>
        <v>0.36331176786320007</v>
      </c>
      <c r="IM130" s="3">
        <f>$H130*factors!IG$3</f>
        <v>0.36000224771060008</v>
      </c>
      <c r="IN130" s="3">
        <f>$H130*factors!IH$3</f>
        <v>0.36220859447900006</v>
      </c>
      <c r="IO130" s="3">
        <f>$H130*factors!II$3</f>
        <v>0.36588583909300004</v>
      </c>
      <c r="IP130" s="3">
        <f>$H130*factors!IJ$3</f>
        <v>0.35375093186680007</v>
      </c>
      <c r="IQ130" s="3">
        <f>$H130*factors!IK$3</f>
        <v>0.35264775848260005</v>
      </c>
      <c r="IR130" s="3">
        <f>$H130*factors!IL$3</f>
        <v>0.36294404340180003</v>
      </c>
      <c r="IS130" s="3">
        <f>$H130*factors!IM$3</f>
        <v>0.36588583909300004</v>
      </c>
      <c r="IT130" s="3">
        <f>$H130*factors!IN$3</f>
        <v>0.36845991032280007</v>
      </c>
      <c r="IU130" s="3">
        <f>$H130*factors!IO$3</f>
        <v>0.37654984847360007</v>
      </c>
      <c r="IV130" s="3">
        <f>$H130*factors!IP$3</f>
        <v>0.38133026647180002</v>
      </c>
      <c r="IW130" s="3">
        <f>$H130*factors!IQ$3</f>
        <v>0.36036997217200001</v>
      </c>
      <c r="IX130" s="3">
        <f>$H130*factors!IR$3</f>
        <v>0.37654984847360007</v>
      </c>
      <c r="IY130" s="3">
        <f>$H130*factors!IS$3</f>
        <v>0.37103398155259998</v>
      </c>
      <c r="IZ130" s="3">
        <f>$H130*factors!IT$3</f>
        <v>0.37728529739640004</v>
      </c>
      <c r="JA130" s="3">
        <f>$H130*factors!IU$3</f>
        <v>0.35632500309660003</v>
      </c>
      <c r="JB130" s="3">
        <f>$H130*factors!IV$3</f>
        <v>0.36294404340180003</v>
      </c>
      <c r="JC130" s="3">
        <f>$H130*factors!IW$3</f>
        <v>0.35448638078960004</v>
      </c>
      <c r="JD130" s="3">
        <f>$H130*factors!IX$3</f>
        <v>0.38611068447000008</v>
      </c>
      <c r="JE130" s="3">
        <f>$H130*factors!IY$3</f>
        <v>0.3555895541738</v>
      </c>
      <c r="JF130" s="3">
        <f>$H130*factors!IZ$3</f>
        <v>0.37324032832100001</v>
      </c>
      <c r="JG130" s="3">
        <f>$H130*factors!JA$3</f>
        <v>0.36662128801580002</v>
      </c>
      <c r="JH130" s="3">
        <f>$H130*factors!JB$3</f>
        <v>0.37360805278240011</v>
      </c>
      <c r="JI130" s="3">
        <f>$H130*factors!JC$3</f>
        <v>0.34970596279140004</v>
      </c>
      <c r="JJ130" s="3">
        <f>$H130*factors!JD$3</f>
        <v>0.37654984847360007</v>
      </c>
      <c r="JK130" s="3">
        <f>$H130*factors!JE$3</f>
        <v>0.36441494124740004</v>
      </c>
      <c r="JL130" s="3">
        <f>$H130*factors!JF$3</f>
        <v>0.37912391970340004</v>
      </c>
      <c r="JM130" s="3">
        <f>$H130*factors!JG$3</f>
        <v>0.35375093186680007</v>
      </c>
      <c r="JN130" s="3">
        <f>$H130*factors!JH$3</f>
        <v>0.35375093186680007</v>
      </c>
      <c r="JO130" s="3">
        <f>$H130*factors!JI$3</f>
        <v>0.34933823832999999</v>
      </c>
      <c r="JP130" s="3">
        <f>$H130*factors!JJ$3</f>
        <v>0.37765302185780003</v>
      </c>
      <c r="JQ130" s="3">
        <f>$H130*factors!JK$3</f>
        <v>0.36809218586140002</v>
      </c>
      <c r="JR130" s="3">
        <f>$H130*factors!JL$3</f>
        <v>0.38243343985600003</v>
      </c>
      <c r="JS130" s="3">
        <f>$H130*factors!JM$3</f>
        <v>0.34933823832999999</v>
      </c>
      <c r="JT130" s="3">
        <f>$H130*factors!JN$3</f>
        <v>0.36698901247720006</v>
      </c>
      <c r="JU130" s="3">
        <f>$H130*factors!JO$3</f>
        <v>0.35485410525100003</v>
      </c>
      <c r="JV130" s="3">
        <f>$H130*factors!JP$3</f>
        <v>0.36073769663340005</v>
      </c>
      <c r="JW130" s="3">
        <f>$H130*factors!JQ$3</f>
        <v>0.3853752355472001</v>
      </c>
      <c r="JX130" s="3">
        <f>$H130*factors!JR$3</f>
        <v>0.38169799093320006</v>
      </c>
      <c r="JY130" s="3">
        <f>$H130*factors!JS$3</f>
        <v>0.35926679878780005</v>
      </c>
      <c r="JZ130" s="3">
        <f>$H130*factors!JT$3</f>
        <v>0.36331176786320007</v>
      </c>
      <c r="KA130" s="3">
        <f>$H130*factors!JU$3</f>
        <v>0.36478266570880008</v>
      </c>
      <c r="KB130" s="3">
        <f>$H130*factors!JV$3</f>
        <v>0.35264775848260005</v>
      </c>
      <c r="KC130" s="3">
        <f>$H130*factors!JW$3</f>
        <v>0.35448638078960004</v>
      </c>
      <c r="KD130" s="3">
        <f>$H130*factors!JX$3</f>
        <v>0.35485410525100003</v>
      </c>
      <c r="KE130" s="3">
        <f>$H130*factors!JY$3</f>
        <v>0.37765302185780003</v>
      </c>
      <c r="KF130" s="3">
        <f>$H130*factors!JZ$3</f>
        <v>0.38206571539459999</v>
      </c>
      <c r="KG130" s="3">
        <f>$H130*factors!KA$3</f>
        <v>0.36845991032280007</v>
      </c>
      <c r="KH130" s="3">
        <f>$H130*factors!KB$3</f>
        <v>0.36036997217200001</v>
      </c>
      <c r="KI130" s="3">
        <f>$H130*factors!KC$3</f>
        <v>0.35706045201940001</v>
      </c>
    </row>
    <row r="131" spans="1:295" x14ac:dyDescent="0.55000000000000004">
      <c r="A131" t="s">
        <v>508</v>
      </c>
      <c r="B131">
        <v>130</v>
      </c>
      <c r="C131">
        <v>230</v>
      </c>
      <c r="D131" t="s">
        <v>377</v>
      </c>
      <c r="E131">
        <v>3.3409999999999998E-3</v>
      </c>
      <c r="F131">
        <v>130</v>
      </c>
      <c r="G131">
        <f>VLOOKUP(D131,demand_forecasted!$A$2:$G$11,2)</f>
        <v>11098</v>
      </c>
      <c r="H131" s="3">
        <f t="shared" si="2"/>
        <v>0.37078418000000002</v>
      </c>
      <c r="I131" s="3">
        <f>$H131*factors!C$3</f>
        <v>0.41045808725999999</v>
      </c>
      <c r="J131" s="3">
        <f>$H131*factors!D$3</f>
        <v>0.39564155142720003</v>
      </c>
      <c r="K131" s="3">
        <f>$H131*factors!E$3</f>
        <v>0.38883395388240005</v>
      </c>
      <c r="L131" s="3">
        <f>$H131*factors!F$3</f>
        <v>0.38763261313920006</v>
      </c>
      <c r="M131" s="3">
        <f>$H131*factors!G$3</f>
        <v>0.3872321662248</v>
      </c>
      <c r="N131" s="3">
        <f>$H131*factors!H$3</f>
        <v>0.39844467982800003</v>
      </c>
      <c r="O131" s="3">
        <f>$H131*factors!I$3</f>
        <v>0.4072545119448</v>
      </c>
      <c r="P131" s="3">
        <f>$H131*factors!J$3</f>
        <v>0.41205987491760004</v>
      </c>
      <c r="Q131" s="3">
        <f>$H131*factors!K$3</f>
        <v>0.3868317193104</v>
      </c>
      <c r="R131" s="3">
        <f>$H131*factors!L$3</f>
        <v>0.38042456868000002</v>
      </c>
      <c r="S131" s="3">
        <f>$H131*factors!M$3</f>
        <v>0.39604199834160003</v>
      </c>
      <c r="T131" s="3">
        <f>$H131*factors!N$3</f>
        <v>0.40965719343120005</v>
      </c>
      <c r="U131" s="3">
        <f>$H131*factors!O$3</f>
        <v>0.38803306005360005</v>
      </c>
      <c r="V131" s="3">
        <f>$H131*factors!P$3</f>
        <v>0.40365048971520007</v>
      </c>
      <c r="W131" s="3">
        <f>$H131*factors!Q$3</f>
        <v>0.4072545119448</v>
      </c>
      <c r="X131" s="3">
        <f>$H131*factors!R$3</f>
        <v>0.38963484771119999</v>
      </c>
      <c r="Y131" s="3">
        <f>$H131*factors!S$3</f>
        <v>0.38603082548160006</v>
      </c>
      <c r="Z131" s="3">
        <f>$H131*factors!T$3</f>
        <v>0.41646479097600009</v>
      </c>
      <c r="AA131" s="3">
        <f>$H131*factors!U$3</f>
        <v>0.39323886994079998</v>
      </c>
      <c r="AB131" s="3">
        <f>$H131*factors!V$3</f>
        <v>0.39363931685520009</v>
      </c>
      <c r="AC131" s="3">
        <f>$H131*factors!W$3</f>
        <v>0.39403976376960004</v>
      </c>
      <c r="AD131" s="3">
        <f>$H131*factors!X$3</f>
        <v>0.38563037856720006</v>
      </c>
      <c r="AE131" s="3">
        <f>$H131*factors!Y$3</f>
        <v>0.38883395388240005</v>
      </c>
      <c r="AF131" s="3">
        <f>$H131*factors!Z$3</f>
        <v>0.39684289217040009</v>
      </c>
      <c r="AG131" s="3">
        <f>$H131*factors!AA$3</f>
        <v>0.3868317193104</v>
      </c>
      <c r="AH131" s="3">
        <f>$H131*factors!AB$3</f>
        <v>0.38522993165280006</v>
      </c>
      <c r="AI131" s="3">
        <f>$H131*factors!AC$3</f>
        <v>0.39764378599920003</v>
      </c>
      <c r="AJ131" s="3">
        <f>$H131*factors!AD$3</f>
        <v>0.41286076874640004</v>
      </c>
      <c r="AK131" s="3">
        <f>$H131*factors!AE$3</f>
        <v>0.39724333908480003</v>
      </c>
      <c r="AL131" s="3">
        <f>$H131*factors!AF$3</f>
        <v>0.38162590942320002</v>
      </c>
      <c r="AM131" s="3">
        <f>$H131*factors!AG$3</f>
        <v>0.39243797611200004</v>
      </c>
      <c r="AN131" s="3">
        <f>$H131*factors!AH$3</f>
        <v>0.38603082548160006</v>
      </c>
      <c r="AO131" s="3">
        <f>$H131*factors!AI$3</f>
        <v>0.40445138354400001</v>
      </c>
      <c r="AP131" s="3">
        <f>$H131*factors!AJ$3</f>
        <v>0.38763261313920006</v>
      </c>
      <c r="AQ131" s="3">
        <f>$H131*factors!AK$3</f>
        <v>0.40004646748560008</v>
      </c>
      <c r="AR131" s="3">
        <f>$H131*factors!AL$3</f>
        <v>0.39123663536880005</v>
      </c>
      <c r="AS131" s="3">
        <f>$H131*factors!AM$3</f>
        <v>0.38162590942320002</v>
      </c>
      <c r="AT131" s="3">
        <f>$H131*factors!AN$3</f>
        <v>0.39363931685520009</v>
      </c>
      <c r="AU131" s="3">
        <f>$H131*factors!AO$3</f>
        <v>0.41686523789039998</v>
      </c>
      <c r="AV131" s="3">
        <f>$H131*factors!AP$3</f>
        <v>0.39403976376960004</v>
      </c>
      <c r="AW131" s="3">
        <f>$H131*factors!AQ$3</f>
        <v>0.39003529462559999</v>
      </c>
      <c r="AX131" s="3">
        <f>$H131*factors!AR$3</f>
        <v>0.41246032183200004</v>
      </c>
      <c r="AY131" s="3">
        <f>$H131*factors!AS$3</f>
        <v>0.38042456868000002</v>
      </c>
      <c r="AZ131" s="3">
        <f>$H131*factors!AT$3</f>
        <v>0.40765495885920011</v>
      </c>
      <c r="BA131" s="3">
        <f>$H131*factors!AU$3</f>
        <v>0.39884512674240002</v>
      </c>
      <c r="BB131" s="3">
        <f>$H131*factors!AV$3</f>
        <v>0.39363931685520009</v>
      </c>
      <c r="BC131" s="3">
        <f>$H131*factors!AW$3</f>
        <v>0.41646479097600009</v>
      </c>
      <c r="BD131" s="3">
        <f>$H131*factors!AX$3</f>
        <v>0.38442903782400001</v>
      </c>
      <c r="BE131" s="3">
        <f>$H131*factors!AY$3</f>
        <v>0.45196366836919999</v>
      </c>
      <c r="BF131" s="3">
        <f>$H131*factors!AZ$3</f>
        <v>0.42089936976879999</v>
      </c>
      <c r="BG131" s="3">
        <f>$H131*factors!BA$3</f>
        <v>0.42702472442239997</v>
      </c>
      <c r="BH131" s="3">
        <f>$H131*factors!BB$3</f>
        <v>0.43271255374360001</v>
      </c>
      <c r="BI131" s="3">
        <f>$H131*factors!BC$3</f>
        <v>0.44846346570999995</v>
      </c>
      <c r="BJ131" s="3">
        <f>$H131*factors!BD$3</f>
        <v>0.4283373004196</v>
      </c>
      <c r="BK131" s="3">
        <f>$H131*factors!BE$3</f>
        <v>0.42921235108439998</v>
      </c>
      <c r="BL131" s="3">
        <f>$H131*factors!BF$3</f>
        <v>0.42439957242799997</v>
      </c>
      <c r="BM131" s="3">
        <f>$H131*factors!BG$3</f>
        <v>0.45327624436640002</v>
      </c>
      <c r="BN131" s="3">
        <f>$H131*factors!BH$3</f>
        <v>0.44758841504519997</v>
      </c>
      <c r="BO131" s="3">
        <f>$H131*factors!BI$3</f>
        <v>0.42089936976879999</v>
      </c>
      <c r="BP131" s="3">
        <f>$H131*factors!BJ$3</f>
        <v>0.41958679377159996</v>
      </c>
      <c r="BQ131" s="3">
        <f>$H131*factors!BK$3</f>
        <v>0.42658719908999998</v>
      </c>
      <c r="BR131" s="3">
        <f>$H131*factors!BL$3</f>
        <v>0.44190058572400004</v>
      </c>
      <c r="BS131" s="3">
        <f>$H131*factors!BM$3</f>
        <v>0.4489009910424</v>
      </c>
      <c r="BT131" s="3">
        <f>$H131*factors!BN$3</f>
        <v>0.45021356703959997</v>
      </c>
      <c r="BU131" s="3">
        <f>$H131*factors!BO$3</f>
        <v>0.45765149769040003</v>
      </c>
      <c r="BV131" s="3">
        <f>$H131*factors!BP$3</f>
        <v>0.4257121484252</v>
      </c>
      <c r="BW131" s="3">
        <f>$H131*factors!BQ$3</f>
        <v>0.43533770573800001</v>
      </c>
      <c r="BX131" s="3">
        <f>$H131*factors!BR$3</f>
        <v>0.42702472442239997</v>
      </c>
      <c r="BY131" s="3">
        <f>$H131*factors!BS$3</f>
        <v>0.44671336438039994</v>
      </c>
      <c r="BZ131" s="3">
        <f>$H131*factors!BT$3</f>
        <v>0.43840038306479995</v>
      </c>
      <c r="CA131" s="3">
        <f>$H131*factors!BU$3</f>
        <v>0.43271255374360001</v>
      </c>
      <c r="CB131" s="3">
        <f>$H131*factors!BV$3</f>
        <v>0.41871174310679998</v>
      </c>
      <c r="CC131" s="3">
        <f>$H131*factors!BW$3</f>
        <v>0.430962452414</v>
      </c>
      <c r="CD131" s="3">
        <f>$H131*factors!BX$3</f>
        <v>0.43227502841120002</v>
      </c>
      <c r="CE131" s="3">
        <f>$H131*factors!BY$3</f>
        <v>0.43840038306479995</v>
      </c>
      <c r="CF131" s="3">
        <f>$H131*factors!BZ$3</f>
        <v>0.43183750307880003</v>
      </c>
      <c r="CG131" s="3">
        <f>$H131*factors!CA$3</f>
        <v>0.41739916710959996</v>
      </c>
      <c r="CH131" s="3">
        <f>$H131*factors!CB$3</f>
        <v>0.41783669244199995</v>
      </c>
      <c r="CI131" s="3">
        <f>$H131*factors!CC$3</f>
        <v>0.41564906577999999</v>
      </c>
      <c r="CJ131" s="3">
        <f>$H131*factors!CD$3</f>
        <v>0.43271255374360001</v>
      </c>
      <c r="CK131" s="3">
        <f>$H131*factors!CE$3</f>
        <v>0.45196366836919999</v>
      </c>
      <c r="CL131" s="3">
        <f>$H131*factors!CF$3</f>
        <v>0.42352452176319999</v>
      </c>
      <c r="CM131" s="3">
        <f>$H131*factors!CG$3</f>
        <v>0.4335876044084</v>
      </c>
      <c r="CN131" s="3">
        <f>$H131*factors!CH$3</f>
        <v>0.41914926843919997</v>
      </c>
      <c r="CO131" s="3">
        <f>$H131*factors!CI$3</f>
        <v>0.42221194576599996</v>
      </c>
      <c r="CP131" s="3">
        <f>$H131*factors!CJ$3</f>
        <v>0.44233811105639992</v>
      </c>
      <c r="CQ131" s="3">
        <f>$H131*factors!CK$3</f>
        <v>0.42921235108439998</v>
      </c>
      <c r="CR131" s="3">
        <f>$H131*factors!CL$3</f>
        <v>0.44277563638879996</v>
      </c>
      <c r="CS131" s="3">
        <f>$H131*factors!CM$3</f>
        <v>0.4567764470256</v>
      </c>
      <c r="CT131" s="3">
        <f>$H131*factors!CN$3</f>
        <v>0.4515261430368</v>
      </c>
      <c r="CU131" s="3">
        <f>$H131*factors!CO$3</f>
        <v>0.44146306039159994</v>
      </c>
      <c r="CV131" s="3">
        <f>$H131*factors!CP$3</f>
        <v>0.45940159902</v>
      </c>
      <c r="CW131" s="3">
        <f>$H131*factors!CQ$3</f>
        <v>0.43446265507320003</v>
      </c>
      <c r="CX131" s="3">
        <f>$H131*factors!CR$3</f>
        <v>0.42789977508720001</v>
      </c>
      <c r="CY131" s="3">
        <f>$H131*factors!CS$3</f>
        <v>0.42396204709559998</v>
      </c>
      <c r="CZ131" s="3">
        <f>$H131*factors!CT$3</f>
        <v>0.41783669244199995</v>
      </c>
      <c r="DA131" s="3">
        <f>$H131*factors!CU$3</f>
        <v>0.43381749060000002</v>
      </c>
      <c r="DB131" s="3">
        <f>$H131*factors!CV$3</f>
        <v>0.46184877460800006</v>
      </c>
      <c r="DC131" s="3">
        <f>$H131*factors!CW$3</f>
        <v>0.44227136990399996</v>
      </c>
      <c r="DD131" s="3">
        <f>$H131*factors!CX$3</f>
        <v>0.43915678279199999</v>
      </c>
      <c r="DE131" s="3">
        <f>$H131*factors!CY$3</f>
        <v>0.45206007225600003</v>
      </c>
      <c r="DF131" s="3">
        <f>$H131*factors!CZ$3</f>
        <v>0.45117019022399996</v>
      </c>
      <c r="DG131" s="3">
        <f>$H131*factors!DA$3</f>
        <v>0.44939042616000002</v>
      </c>
      <c r="DH131" s="3">
        <f>$H131*factors!DB$3</f>
        <v>0.44939042616000002</v>
      </c>
      <c r="DI131" s="3">
        <f>$H131*factors!DC$3</f>
        <v>0.43248266755199999</v>
      </c>
      <c r="DJ131" s="3">
        <f>$H131*factors!DD$3</f>
        <v>0.45828924648000002</v>
      </c>
      <c r="DK131" s="3">
        <f>$H131*factors!DE$3</f>
        <v>0.45828924648000002</v>
      </c>
      <c r="DL131" s="3">
        <f>$H131*factors!DF$3</f>
        <v>0.45294995428800006</v>
      </c>
      <c r="DM131" s="3">
        <f>$H131*factors!DG$3</f>
        <v>0.42669843434399995</v>
      </c>
      <c r="DN131" s="3">
        <f>$H131*factors!DH$3</f>
        <v>0.44761066209600003</v>
      </c>
      <c r="DO131" s="3">
        <f>$H131*factors!DI$3</f>
        <v>0.46229371562400001</v>
      </c>
      <c r="DP131" s="3">
        <f>$H131*factors!DJ$3</f>
        <v>0.45828924648000002</v>
      </c>
      <c r="DQ131" s="3">
        <f>$H131*factors!DK$3</f>
        <v>0.43693207771199999</v>
      </c>
      <c r="DR131" s="3">
        <f>$H131*factors!DL$3</f>
        <v>0.43203772653600003</v>
      </c>
      <c r="DS131" s="3">
        <f>$H131*factors!DM$3</f>
        <v>0.46674312578400001</v>
      </c>
      <c r="DT131" s="3">
        <f>$H131*factors!DN$3</f>
        <v>0.43871184177600003</v>
      </c>
      <c r="DU131" s="3">
        <f>$H131*factors!DO$3</f>
        <v>0.45917912851199999</v>
      </c>
      <c r="DV131" s="3">
        <f>$H131*factors!DP$3</f>
        <v>0.448500544128</v>
      </c>
      <c r="DW131" s="3">
        <f>$H131*factors!DQ$3</f>
        <v>0.42803325739199999</v>
      </c>
      <c r="DX131" s="3">
        <f>$H131*factors!DR$3</f>
        <v>0.45339489530399996</v>
      </c>
      <c r="DY131" s="3">
        <f>$H131*factors!DS$3</f>
        <v>0.43025796247199999</v>
      </c>
      <c r="DZ131" s="3">
        <f>$H131*factors!DT$3</f>
        <v>0.46006901054400001</v>
      </c>
      <c r="EA131" s="3">
        <f>$H131*factors!DU$3</f>
        <v>0.43337254958399996</v>
      </c>
      <c r="EB131" s="3">
        <f>$H131*factors!DV$3</f>
        <v>0.42269396519999997</v>
      </c>
      <c r="EC131" s="3">
        <f>$H131*factors!DW$3</f>
        <v>0.45472971835199999</v>
      </c>
      <c r="ED131" s="3">
        <f>$H131*factors!DX$3</f>
        <v>0.42669843434399995</v>
      </c>
      <c r="EE131" s="3">
        <f>$H131*factors!DY$3</f>
        <v>0.43025796247199999</v>
      </c>
      <c r="EF131" s="3">
        <f>$H131*factors!DZ$3</f>
        <v>0.46674312578400001</v>
      </c>
      <c r="EG131" s="3">
        <f>$H131*factors!EA$3</f>
        <v>0.43604219568000002</v>
      </c>
      <c r="EH131" s="3">
        <f>$H131*factors!EB$3</f>
        <v>0.437377018728</v>
      </c>
      <c r="EI131" s="3">
        <f>$H131*factors!EC$3</f>
        <v>0.43648713669600003</v>
      </c>
      <c r="EJ131" s="3">
        <f>$H131*factors!ED$3</f>
        <v>0.42536361129600003</v>
      </c>
      <c r="EK131" s="3">
        <f>$H131*factors!EE$3</f>
        <v>0.45472971835199999</v>
      </c>
      <c r="EL131" s="3">
        <f>$H131*factors!EF$3</f>
        <v>0.43248266755199999</v>
      </c>
      <c r="EM131" s="3">
        <f>$H131*factors!EG$3</f>
        <v>0.44983536717599998</v>
      </c>
      <c r="EN131" s="3">
        <f>$H131*factors!EH$3</f>
        <v>0.42269396519999997</v>
      </c>
      <c r="EO131" s="3">
        <f>$H131*factors!EI$3</f>
        <v>0.42892313942399996</v>
      </c>
      <c r="EP131" s="3">
        <f>$H131*factors!EJ$3</f>
        <v>0.45250501327199999</v>
      </c>
      <c r="EQ131" s="3">
        <f>$H131*factors!EK$3</f>
        <v>0.44004666482399996</v>
      </c>
      <c r="ER131" s="3">
        <f>$H131*factors!EL$3</f>
        <v>0.45828924648000002</v>
      </c>
      <c r="ES131" s="3">
        <f>$H131*factors!EM$3</f>
        <v>0.45250501327199999</v>
      </c>
      <c r="ET131" s="3">
        <f>$H131*factors!EN$3</f>
        <v>0.46273865664000002</v>
      </c>
      <c r="EU131" s="3">
        <f>$H131*factors!EO$3</f>
        <v>0.46718806680000002</v>
      </c>
      <c r="EV131" s="3">
        <f>$H131*factors!EP$3</f>
        <v>0.43782195974399996</v>
      </c>
      <c r="EW131" s="3">
        <f>$H131*factors!EQ$3</f>
        <v>0.48155595377499999</v>
      </c>
      <c r="EX131" s="3">
        <f>$H131*factors!ER$3</f>
        <v>0.47645767130000005</v>
      </c>
      <c r="EY131" s="3">
        <f>$H131*factors!ES$3</f>
        <v>0.48619075602499995</v>
      </c>
      <c r="EZ131" s="3">
        <f>$H131*factors!ET$3</f>
        <v>0.48155595377499999</v>
      </c>
      <c r="FA131" s="3">
        <f>$H131*factors!EU$3</f>
        <v>0.44262361487499996</v>
      </c>
      <c r="FB131" s="3">
        <f>$H131*factors!EV$3</f>
        <v>0.46255326455000007</v>
      </c>
      <c r="FC131" s="3">
        <f>$H131*factors!EW$3</f>
        <v>0.47553071085000004</v>
      </c>
      <c r="FD131" s="3">
        <f>$H131*factors!EX$3</f>
        <v>0.45884542275000006</v>
      </c>
      <c r="FE131" s="3">
        <f>$H131*factors!EY$3</f>
        <v>0.48340987467500002</v>
      </c>
      <c r="FF131" s="3">
        <f>$H131*factors!EZ$3</f>
        <v>0.48387335490000011</v>
      </c>
      <c r="FG131" s="3">
        <f>$H131*factors!FA$3</f>
        <v>0.44262361487499996</v>
      </c>
      <c r="FH131" s="3">
        <f>$H131*factors!FB$3</f>
        <v>0.46579762612499997</v>
      </c>
      <c r="FI131" s="3">
        <f>$H131*factors!FC$3</f>
        <v>0.48526379557499999</v>
      </c>
      <c r="FJ131" s="3">
        <f>$H131*factors!FD$3</f>
        <v>0.46579762612499997</v>
      </c>
      <c r="FK131" s="3">
        <f>$H131*factors!FE$3</f>
        <v>0.47367678995000007</v>
      </c>
      <c r="FL131" s="3">
        <f>$H131*factors!FF$3</f>
        <v>0.475067230625</v>
      </c>
      <c r="FM131" s="3">
        <f>$H131*factors!FG$3</f>
        <v>0.4801655131</v>
      </c>
      <c r="FN131" s="3">
        <f>$H131*factors!FH$3</f>
        <v>0.449112338025</v>
      </c>
      <c r="FO131" s="3">
        <f>$H131*factors!FI$3</f>
        <v>0.47692115152499998</v>
      </c>
      <c r="FP131" s="3">
        <f>$H131*factors!FJ$3</f>
        <v>0.46348022500000002</v>
      </c>
      <c r="FQ131" s="3">
        <f>$H131*factors!FK$3</f>
        <v>0.45884542275000006</v>
      </c>
      <c r="FR131" s="3">
        <f>$H131*factors!FL$3</f>
        <v>0.46811502724999998</v>
      </c>
      <c r="FS131" s="3">
        <f>$H131*factors!FM$3</f>
        <v>0.4653341459</v>
      </c>
      <c r="FT131" s="3">
        <f>$H131*factors!FN$3</f>
        <v>0.47553071085000004</v>
      </c>
      <c r="FU131" s="3">
        <f>$H131*factors!FO$3</f>
        <v>0.45699150184999998</v>
      </c>
      <c r="FV131" s="3">
        <f>$H131*factors!FP$3</f>
        <v>0.45328366004999998</v>
      </c>
      <c r="FW131" s="3">
        <f>$H131*factors!FQ$3</f>
        <v>0.48526379557499999</v>
      </c>
      <c r="FX131" s="3">
        <f>$H131*factors!FR$3</f>
        <v>0.47645767130000005</v>
      </c>
      <c r="FY131" s="3">
        <f>$H131*factors!FS$3</f>
        <v>0.46672458657499993</v>
      </c>
      <c r="FZ131" s="3">
        <f>$H131*factors!FT$3</f>
        <v>0.44355057532500003</v>
      </c>
      <c r="GA131" s="3">
        <f>$H131*factors!FU$3</f>
        <v>0.46672458657499993</v>
      </c>
      <c r="GB131" s="3">
        <f>$H131*factors!FV$3</f>
        <v>0.48387335490000011</v>
      </c>
      <c r="GC131" s="3">
        <f>$H131*factors!FW$3</f>
        <v>0.45328366004999998</v>
      </c>
      <c r="GD131" s="3">
        <f>$H131*factors!FX$3</f>
        <v>0.46116282387500002</v>
      </c>
      <c r="GE131" s="3">
        <f>$H131*factors!FY$3</f>
        <v>0.46116282387500002</v>
      </c>
      <c r="GF131" s="3">
        <f>$H131*factors!FZ$3</f>
        <v>0.45977238320000002</v>
      </c>
      <c r="GG131" s="3">
        <f>$H131*factors!GA$3</f>
        <v>0.441696654425</v>
      </c>
      <c r="GH131" s="3">
        <f>$H131*factors!GB$3</f>
        <v>0.46996894815000007</v>
      </c>
      <c r="GI131" s="3">
        <f>$H131*factors!GC$3</f>
        <v>0.44076969397499999</v>
      </c>
      <c r="GJ131" s="3">
        <f>$H131*factors!GD$3</f>
        <v>0.441696654425</v>
      </c>
      <c r="GK131" s="3">
        <f>$H131*factors!GE$3</f>
        <v>0.452820179825</v>
      </c>
      <c r="GL131" s="3">
        <f>$H131*factors!GF$3</f>
        <v>0.47970203287500002</v>
      </c>
      <c r="GM131" s="3">
        <f>$H131*factors!GG$3</f>
        <v>0.45467410072500003</v>
      </c>
      <c r="GN131" s="3">
        <f>$H131*factors!GH$3</f>
        <v>0.46904198770000005</v>
      </c>
      <c r="GO131" s="3">
        <f>$H131*factors!GI$3</f>
        <v>0.44308709509999994</v>
      </c>
      <c r="GP131" s="3">
        <f>$H131*factors!GJ$3</f>
        <v>0.475067230625</v>
      </c>
      <c r="GQ131" s="3">
        <f>$H131*factors!GK$3</f>
        <v>0.48480031535000007</v>
      </c>
      <c r="GR131" s="3">
        <f>$H131*factors!GL$3</f>
        <v>0.47553071085000004</v>
      </c>
      <c r="GS131" s="3">
        <f>$H131*factors!GM$3</f>
        <v>0.44970559271300004</v>
      </c>
      <c r="GT131" s="3">
        <f>$H131*factors!GN$3</f>
        <v>0.46006530270220003</v>
      </c>
      <c r="GU131" s="3">
        <f>$H131*factors!GO$3</f>
        <v>0.47089590860000002</v>
      </c>
      <c r="GV131" s="3">
        <f>$H131*factors!GP$3</f>
        <v>0.45206007225600003</v>
      </c>
      <c r="GW131" s="3">
        <f>$H131*factors!GQ$3</f>
        <v>0.46807053314840003</v>
      </c>
      <c r="GX131" s="3">
        <f>$H131*factors!GR$3</f>
        <v>0.46053619861080003</v>
      </c>
      <c r="GY131" s="3">
        <f>$H131*factors!GS$3</f>
        <v>0.45818171906780003</v>
      </c>
      <c r="GZ131" s="3">
        <f>$H131*factors!GT$3</f>
        <v>0.47513397177739997</v>
      </c>
      <c r="HA131" s="3">
        <f>$H131*factors!GU$3</f>
        <v>0.45959440679360003</v>
      </c>
      <c r="HB131" s="3">
        <f>$H131*factors!GV$3</f>
        <v>0.47513397177739997</v>
      </c>
      <c r="HC131" s="3">
        <f>$H131*factors!GW$3</f>
        <v>0.46336157406239997</v>
      </c>
      <c r="HD131" s="3">
        <f>$H131*factors!GX$3</f>
        <v>0.47701755541179997</v>
      </c>
      <c r="HE131" s="3">
        <f>$H131*factors!GY$3</f>
        <v>0.47089590860000002</v>
      </c>
      <c r="HF131" s="3">
        <f>$H131*factors!GZ$3</f>
        <v>0.48549368176660002</v>
      </c>
      <c r="HG131" s="3">
        <f>$H131*factors!HA$3</f>
        <v>0.46665784542260003</v>
      </c>
      <c r="HH131" s="3">
        <f>$H131*factors!HB$3</f>
        <v>0.46053619861080003</v>
      </c>
      <c r="HI131" s="3">
        <f>$H131*factors!HC$3</f>
        <v>0.45488544770760003</v>
      </c>
      <c r="HJ131" s="3">
        <f>$H131*factors!HD$3</f>
        <v>0.44970559271300004</v>
      </c>
      <c r="HK131" s="3">
        <f>$H131*factors!HE$3</f>
        <v>0.47560486768600002</v>
      </c>
      <c r="HL131" s="3">
        <f>$H131*factors!HF$3</f>
        <v>0.44829290498719998</v>
      </c>
      <c r="HM131" s="3">
        <f>$H131*factors!HG$3</f>
        <v>0.45300186407320003</v>
      </c>
      <c r="HN131" s="3">
        <f>$H131*factors!HH$3</f>
        <v>0.48313920222360007</v>
      </c>
      <c r="HO131" s="3">
        <f>$H131*factors!HI$3</f>
        <v>0.46336157406239997</v>
      </c>
      <c r="HP131" s="3">
        <f>$H131*factors!HJ$3</f>
        <v>0.49444070403000007</v>
      </c>
      <c r="HQ131" s="3">
        <f>$H131*factors!HK$3</f>
        <v>0.45206007225600003</v>
      </c>
      <c r="HR131" s="3">
        <f>$H131*factors!HL$3</f>
        <v>0.47937203495480007</v>
      </c>
      <c r="HS131" s="3">
        <f>$H131*factors!HM$3</f>
        <v>0.48784816130960001</v>
      </c>
      <c r="HT131" s="3">
        <f>$H131*factors!HN$3</f>
        <v>0.45488544770760003</v>
      </c>
      <c r="HU131" s="3">
        <f>$H131*factors!HO$3</f>
        <v>0.45959440679360003</v>
      </c>
      <c r="HV131" s="3">
        <f>$H131*factors!HP$3</f>
        <v>0.46524515769680008</v>
      </c>
      <c r="HW131" s="3">
        <f>$H131*factors!HQ$3</f>
        <v>0.47183770041720002</v>
      </c>
      <c r="HX131" s="3">
        <f>$H131*factors!HR$3</f>
        <v>0.49114443266979996</v>
      </c>
      <c r="HY131" s="3">
        <f>$H131*factors!HS$3</f>
        <v>0.46665784542260003</v>
      </c>
      <c r="HZ131" s="3">
        <f>$H131*factors!HT$3</f>
        <v>0.48455188994940002</v>
      </c>
      <c r="IA131" s="3">
        <f>$H131*factors!HU$3</f>
        <v>0.46100709451940003</v>
      </c>
      <c r="IB131" s="3">
        <f>$H131*factors!HV$3</f>
        <v>0.47701755541179997</v>
      </c>
      <c r="IC131" s="3">
        <f>$H131*factors!HW$3</f>
        <v>0.48172651449780002</v>
      </c>
      <c r="ID131" s="3">
        <f>$H131*factors!HX$3</f>
        <v>0.44735111316999998</v>
      </c>
      <c r="IE131" s="3">
        <f>$H131*factors!HY$3</f>
        <v>0.47513397177739997</v>
      </c>
      <c r="IF131" s="3">
        <f>$H131*factors!HZ$3</f>
        <v>0.47230859632579997</v>
      </c>
      <c r="IG131" s="3">
        <f>$H131*factors!IA$3</f>
        <v>0.46807053314840003</v>
      </c>
      <c r="IH131" s="3">
        <f>$H131*factors!IB$3</f>
        <v>0.48549368176660002</v>
      </c>
      <c r="II131" s="3">
        <f>$H131*factors!IC$3</f>
        <v>0.46477426178820003</v>
      </c>
      <c r="IJ131" s="3">
        <f>$H131*factors!ID$3</f>
        <v>0.46901232496560002</v>
      </c>
      <c r="IK131" s="3">
        <f>$H131*factors!IE$3</f>
        <v>0.48596457767520002</v>
      </c>
      <c r="IL131" s="3">
        <f>$H131*factors!IF$3</f>
        <v>0.46524515769680008</v>
      </c>
      <c r="IM131" s="3">
        <f>$H131*factors!IG$3</f>
        <v>0.46100709451940003</v>
      </c>
      <c r="IN131" s="3">
        <f>$H131*factors!IH$3</f>
        <v>0.46383246997100003</v>
      </c>
      <c r="IO131" s="3">
        <f>$H131*factors!II$3</f>
        <v>0.46854142905700003</v>
      </c>
      <c r="IP131" s="3">
        <f>$H131*factors!IJ$3</f>
        <v>0.45300186407320003</v>
      </c>
      <c r="IQ131" s="3">
        <f>$H131*factors!IK$3</f>
        <v>0.45158917634740003</v>
      </c>
      <c r="IR131" s="3">
        <f>$H131*factors!IL$3</f>
        <v>0.46477426178820003</v>
      </c>
      <c r="IS131" s="3">
        <f>$H131*factors!IM$3</f>
        <v>0.46854142905700003</v>
      </c>
      <c r="IT131" s="3">
        <f>$H131*factors!IN$3</f>
        <v>0.47183770041720002</v>
      </c>
      <c r="IU131" s="3">
        <f>$H131*factors!IO$3</f>
        <v>0.48219741040640007</v>
      </c>
      <c r="IV131" s="3">
        <f>$H131*factors!IP$3</f>
        <v>0.48831905721819996</v>
      </c>
      <c r="IW131" s="3">
        <f>$H131*factors!IQ$3</f>
        <v>0.46147799042799997</v>
      </c>
      <c r="IX131" s="3">
        <f>$H131*factors!IR$3</f>
        <v>0.48219741040640007</v>
      </c>
      <c r="IY131" s="3">
        <f>$H131*factors!IS$3</f>
        <v>0.47513397177739997</v>
      </c>
      <c r="IZ131" s="3">
        <f>$H131*factors!IT$3</f>
        <v>0.48313920222360007</v>
      </c>
      <c r="JA131" s="3">
        <f>$H131*factors!IU$3</f>
        <v>0.45629813543339998</v>
      </c>
      <c r="JB131" s="3">
        <f>$H131*factors!IV$3</f>
        <v>0.46477426178820003</v>
      </c>
      <c r="JC131" s="3">
        <f>$H131*factors!IW$3</f>
        <v>0.45394365589040003</v>
      </c>
      <c r="JD131" s="3">
        <f>$H131*factors!IX$3</f>
        <v>0.49444070403000007</v>
      </c>
      <c r="JE131" s="3">
        <f>$H131*factors!IY$3</f>
        <v>0.45535634361619998</v>
      </c>
      <c r="JF131" s="3">
        <f>$H131*factors!IZ$3</f>
        <v>0.47795934722899996</v>
      </c>
      <c r="JG131" s="3">
        <f>$H131*factors!JA$3</f>
        <v>0.46948322087419997</v>
      </c>
      <c r="JH131" s="3">
        <f>$H131*factors!JB$3</f>
        <v>0.47843024313760008</v>
      </c>
      <c r="JI131" s="3">
        <f>$H131*factors!JC$3</f>
        <v>0.44782200907860004</v>
      </c>
      <c r="JJ131" s="3">
        <f>$H131*factors!JD$3</f>
        <v>0.48219741040640007</v>
      </c>
      <c r="JK131" s="3">
        <f>$H131*factors!JE$3</f>
        <v>0.46665784542260003</v>
      </c>
      <c r="JL131" s="3">
        <f>$H131*factors!JF$3</f>
        <v>0.48549368176660002</v>
      </c>
      <c r="JM131" s="3">
        <f>$H131*factors!JG$3</f>
        <v>0.45300186407320003</v>
      </c>
      <c r="JN131" s="3">
        <f>$H131*factors!JH$3</f>
        <v>0.45300186407320003</v>
      </c>
      <c r="JO131" s="3">
        <f>$H131*factors!JI$3</f>
        <v>0.44735111316999998</v>
      </c>
      <c r="JP131" s="3">
        <f>$H131*factors!JJ$3</f>
        <v>0.48361009813220002</v>
      </c>
      <c r="JQ131" s="3">
        <f>$H131*factors!JK$3</f>
        <v>0.47136680450859997</v>
      </c>
      <c r="JR131" s="3">
        <f>$H131*factors!JL$3</f>
        <v>0.48973174494400001</v>
      </c>
      <c r="JS131" s="3">
        <f>$H131*factors!JM$3</f>
        <v>0.44735111316999998</v>
      </c>
      <c r="JT131" s="3">
        <f>$H131*factors!JN$3</f>
        <v>0.46995411678280002</v>
      </c>
      <c r="JU131" s="3">
        <f>$H131*factors!JO$3</f>
        <v>0.45441455179899998</v>
      </c>
      <c r="JV131" s="3">
        <f>$H131*factors!JP$3</f>
        <v>0.46194888633660003</v>
      </c>
      <c r="JW131" s="3">
        <f>$H131*factors!JQ$3</f>
        <v>0.49349891221280007</v>
      </c>
      <c r="JX131" s="3">
        <f>$H131*factors!JR$3</f>
        <v>0.48878995312680001</v>
      </c>
      <c r="JY131" s="3">
        <f>$H131*factors!JS$3</f>
        <v>0.46006530270220003</v>
      </c>
      <c r="JZ131" s="3">
        <f>$H131*factors!JT$3</f>
        <v>0.46524515769680008</v>
      </c>
      <c r="KA131" s="3">
        <f>$H131*factors!JU$3</f>
        <v>0.46712874133120003</v>
      </c>
      <c r="KB131" s="3">
        <f>$H131*factors!JV$3</f>
        <v>0.45158917634740003</v>
      </c>
      <c r="KC131" s="3">
        <f>$H131*factors!JW$3</f>
        <v>0.45394365589040003</v>
      </c>
      <c r="KD131" s="3">
        <f>$H131*factors!JX$3</f>
        <v>0.45441455179899998</v>
      </c>
      <c r="KE131" s="3">
        <f>$H131*factors!JY$3</f>
        <v>0.48361009813220002</v>
      </c>
      <c r="KF131" s="3">
        <f>$H131*factors!JZ$3</f>
        <v>0.48926084903539996</v>
      </c>
      <c r="KG131" s="3">
        <f>$H131*factors!KA$3</f>
        <v>0.47183770041720002</v>
      </c>
      <c r="KH131" s="3">
        <f>$H131*factors!KB$3</f>
        <v>0.46147799042799997</v>
      </c>
      <c r="KI131" s="3">
        <f>$H131*factors!KC$3</f>
        <v>0.45723992725059998</v>
      </c>
    </row>
    <row r="132" spans="1:295" x14ac:dyDescent="0.55000000000000004">
      <c r="A132" t="s">
        <v>509</v>
      </c>
      <c r="B132">
        <v>131</v>
      </c>
      <c r="C132">
        <v>287</v>
      </c>
      <c r="D132" t="s">
        <v>377</v>
      </c>
      <c r="E132">
        <v>3.431E-3</v>
      </c>
      <c r="F132">
        <v>131</v>
      </c>
      <c r="G132">
        <f>VLOOKUP(D132,demand_forecasted!$A$2:$G$11,2)</f>
        <v>11098</v>
      </c>
      <c r="H132" s="3">
        <f t="shared" si="2"/>
        <v>0.38077238000000002</v>
      </c>
      <c r="I132" s="3">
        <f>$H132*factors!C$3</f>
        <v>0.42151502466000002</v>
      </c>
      <c r="J132" s="3">
        <f>$H132*factors!D$3</f>
        <v>0.40629936035520003</v>
      </c>
      <c r="K132" s="3">
        <f>$H132*factors!E$3</f>
        <v>0.39930837945840003</v>
      </c>
      <c r="L132" s="3">
        <f>$H132*factors!F$3</f>
        <v>0.39807467694720006</v>
      </c>
      <c r="M132" s="3">
        <f>$H132*factors!G$3</f>
        <v>0.39766344277679999</v>
      </c>
      <c r="N132" s="3">
        <f>$H132*factors!H$3</f>
        <v>0.40917799954800005</v>
      </c>
      <c r="O132" s="3">
        <f>$H132*factors!I$3</f>
        <v>0.41822515129680005</v>
      </c>
      <c r="P132" s="3">
        <f>$H132*factors!J$3</f>
        <v>0.42315996134160005</v>
      </c>
      <c r="Q132" s="3">
        <f>$H132*factors!K$3</f>
        <v>0.39725220860640004</v>
      </c>
      <c r="R132" s="3">
        <f>$H132*factors!L$3</f>
        <v>0.39067246188000004</v>
      </c>
      <c r="S132" s="3">
        <f>$H132*factors!M$3</f>
        <v>0.40671059452559999</v>
      </c>
      <c r="T132" s="3">
        <f>$H132*factors!N$3</f>
        <v>0.42069255631920005</v>
      </c>
      <c r="U132" s="3">
        <f>$H132*factors!O$3</f>
        <v>0.39848591111760007</v>
      </c>
      <c r="V132" s="3">
        <f>$H132*factors!P$3</f>
        <v>0.41452404376320007</v>
      </c>
      <c r="W132" s="3">
        <f>$H132*factors!Q$3</f>
        <v>0.41822515129680005</v>
      </c>
      <c r="X132" s="3">
        <f>$H132*factors!R$3</f>
        <v>0.4001308477992</v>
      </c>
      <c r="Y132" s="3">
        <f>$H132*factors!S$3</f>
        <v>0.39642974026560002</v>
      </c>
      <c r="Z132" s="3">
        <f>$H132*factors!T$3</f>
        <v>0.42768353721600011</v>
      </c>
      <c r="AA132" s="3">
        <f>$H132*factors!U$3</f>
        <v>0.40383195533280003</v>
      </c>
      <c r="AB132" s="3">
        <f>$H132*factors!V$3</f>
        <v>0.4042431895032001</v>
      </c>
      <c r="AC132" s="3">
        <f>$H132*factors!W$3</f>
        <v>0.40465442367360005</v>
      </c>
      <c r="AD132" s="3">
        <f>$H132*factors!X$3</f>
        <v>0.39601850609520006</v>
      </c>
      <c r="AE132" s="3">
        <f>$H132*factors!Y$3</f>
        <v>0.39930837945840003</v>
      </c>
      <c r="AF132" s="3">
        <f>$H132*factors!Z$3</f>
        <v>0.40753306286640006</v>
      </c>
      <c r="AG132" s="3">
        <f>$H132*factors!AA$3</f>
        <v>0.39725220860640004</v>
      </c>
      <c r="AH132" s="3">
        <f>$H132*factors!AB$3</f>
        <v>0.39560727192480005</v>
      </c>
      <c r="AI132" s="3">
        <f>$H132*factors!AC$3</f>
        <v>0.40835553120720003</v>
      </c>
      <c r="AJ132" s="3">
        <f>$H132*factors!AD$3</f>
        <v>0.42398242968240002</v>
      </c>
      <c r="AK132" s="3">
        <f>$H132*factors!AE$3</f>
        <v>0.40794429703680007</v>
      </c>
      <c r="AL132" s="3">
        <f>$H132*factors!AF$3</f>
        <v>0.39190616439120002</v>
      </c>
      <c r="AM132" s="3">
        <f>$H132*factors!AG$3</f>
        <v>0.40300948699200001</v>
      </c>
      <c r="AN132" s="3">
        <f>$H132*factors!AH$3</f>
        <v>0.39642974026560002</v>
      </c>
      <c r="AO132" s="3">
        <f>$H132*factors!AI$3</f>
        <v>0.41534651210400003</v>
      </c>
      <c r="AP132" s="3">
        <f>$H132*factors!AJ$3</f>
        <v>0.39807467694720006</v>
      </c>
      <c r="AQ132" s="3">
        <f>$H132*factors!AK$3</f>
        <v>0.41082293622960009</v>
      </c>
      <c r="AR132" s="3">
        <f>$H132*factors!AL$3</f>
        <v>0.40177578448080004</v>
      </c>
      <c r="AS132" s="3">
        <f>$H132*factors!AM$3</f>
        <v>0.39190616439120002</v>
      </c>
      <c r="AT132" s="3">
        <f>$H132*factors!AN$3</f>
        <v>0.4042431895032001</v>
      </c>
      <c r="AU132" s="3">
        <f>$H132*factors!AO$3</f>
        <v>0.42809477138640001</v>
      </c>
      <c r="AV132" s="3">
        <f>$H132*factors!AP$3</f>
        <v>0.40465442367360005</v>
      </c>
      <c r="AW132" s="3">
        <f>$H132*factors!AQ$3</f>
        <v>0.40054208196960001</v>
      </c>
      <c r="AX132" s="3">
        <f>$H132*factors!AR$3</f>
        <v>0.42357119551200006</v>
      </c>
      <c r="AY132" s="3">
        <f>$H132*factors!AS$3</f>
        <v>0.39067246188000004</v>
      </c>
      <c r="AZ132" s="3">
        <f>$H132*factors!AT$3</f>
        <v>0.41863638546720011</v>
      </c>
      <c r="BA132" s="3">
        <f>$H132*factors!AU$3</f>
        <v>0.4095892337184</v>
      </c>
      <c r="BB132" s="3">
        <f>$H132*factors!AV$3</f>
        <v>0.4042431895032001</v>
      </c>
      <c r="BC132" s="3">
        <f>$H132*factors!AW$3</f>
        <v>0.42768353721600011</v>
      </c>
      <c r="BD132" s="3">
        <f>$H132*factors!AX$3</f>
        <v>0.39478480358399998</v>
      </c>
      <c r="BE132" s="3">
        <f>$H132*factors!AY$3</f>
        <v>0.4641386848772</v>
      </c>
      <c r="BF132" s="3">
        <f>$H132*factors!AZ$3</f>
        <v>0.4322375748808</v>
      </c>
      <c r="BG132" s="3">
        <f>$H132*factors!BA$3</f>
        <v>0.43852793459839995</v>
      </c>
      <c r="BH132" s="3">
        <f>$H132*factors!BB$3</f>
        <v>0.44436898290760002</v>
      </c>
      <c r="BI132" s="3">
        <f>$H132*factors!BC$3</f>
        <v>0.46054419360999993</v>
      </c>
      <c r="BJ132" s="3">
        <f>$H132*factors!BD$3</f>
        <v>0.43987586882359997</v>
      </c>
      <c r="BK132" s="3">
        <f>$H132*factors!BE$3</f>
        <v>0.44077449164039995</v>
      </c>
      <c r="BL132" s="3">
        <f>$H132*factors!BF$3</f>
        <v>0.43583206614799996</v>
      </c>
      <c r="BM132" s="3">
        <f>$H132*factors!BG$3</f>
        <v>0.46548661910240002</v>
      </c>
      <c r="BN132" s="3">
        <f>$H132*factors!BH$3</f>
        <v>0.45964557079319995</v>
      </c>
      <c r="BO132" s="3">
        <f>$H132*factors!BI$3</f>
        <v>0.4322375748808</v>
      </c>
      <c r="BP132" s="3">
        <f>$H132*factors!BJ$3</f>
        <v>0.43088964065559998</v>
      </c>
      <c r="BQ132" s="3">
        <f>$H132*factors!BK$3</f>
        <v>0.43807862318999996</v>
      </c>
      <c r="BR132" s="3">
        <f>$H132*factors!BL$3</f>
        <v>0.45380452248399999</v>
      </c>
      <c r="BS132" s="3">
        <f>$H132*factors!BM$3</f>
        <v>0.46099350501840003</v>
      </c>
      <c r="BT132" s="3">
        <f>$H132*factors!BN$3</f>
        <v>0.46234143924359999</v>
      </c>
      <c r="BU132" s="3">
        <f>$H132*factors!BO$3</f>
        <v>0.46997973318640002</v>
      </c>
      <c r="BV132" s="3">
        <f>$H132*factors!BP$3</f>
        <v>0.43718000037319998</v>
      </c>
      <c r="BW132" s="3">
        <f>$H132*factors!BQ$3</f>
        <v>0.447064851358</v>
      </c>
      <c r="BX132" s="3">
        <f>$H132*factors!BR$3</f>
        <v>0.43852793459839995</v>
      </c>
      <c r="BY132" s="3">
        <f>$H132*factors!BS$3</f>
        <v>0.45874694797639992</v>
      </c>
      <c r="BZ132" s="3">
        <f>$H132*factors!BT$3</f>
        <v>0.45021003121679998</v>
      </c>
      <c r="CA132" s="3">
        <f>$H132*factors!BU$3</f>
        <v>0.44436898290760002</v>
      </c>
      <c r="CB132" s="3">
        <f>$H132*factors!BV$3</f>
        <v>0.4299910178388</v>
      </c>
      <c r="CC132" s="3">
        <f>$H132*factors!BW$3</f>
        <v>0.44257173727400001</v>
      </c>
      <c r="CD132" s="3">
        <f>$H132*factors!BX$3</f>
        <v>0.44391967149920003</v>
      </c>
      <c r="CE132" s="3">
        <f>$H132*factors!BY$3</f>
        <v>0.45021003121679998</v>
      </c>
      <c r="CF132" s="3">
        <f>$H132*factors!BZ$3</f>
        <v>0.44347036009080004</v>
      </c>
      <c r="CG132" s="3">
        <f>$H132*factors!CA$3</f>
        <v>0.42864308361359998</v>
      </c>
      <c r="CH132" s="3">
        <f>$H132*factors!CB$3</f>
        <v>0.42909239502199992</v>
      </c>
      <c r="CI132" s="3">
        <f>$H132*factors!CC$3</f>
        <v>0.42684583798000003</v>
      </c>
      <c r="CJ132" s="3">
        <f>$H132*factors!CD$3</f>
        <v>0.44436898290760002</v>
      </c>
      <c r="CK132" s="3">
        <f>$H132*factors!CE$3</f>
        <v>0.4641386848772</v>
      </c>
      <c r="CL132" s="3">
        <f>$H132*factors!CF$3</f>
        <v>0.43493344333119999</v>
      </c>
      <c r="CM132" s="3">
        <f>$H132*factors!CG$3</f>
        <v>0.4452676057244</v>
      </c>
      <c r="CN132" s="3">
        <f>$H132*factors!CH$3</f>
        <v>0.43044032924719999</v>
      </c>
      <c r="CO132" s="3">
        <f>$H132*factors!CI$3</f>
        <v>0.43358550910599997</v>
      </c>
      <c r="CP132" s="3">
        <f>$H132*factors!CJ$3</f>
        <v>0.45425383389239993</v>
      </c>
      <c r="CQ132" s="3">
        <f>$H132*factors!CK$3</f>
        <v>0.44077449164039995</v>
      </c>
      <c r="CR132" s="3">
        <f>$H132*factors!CL$3</f>
        <v>0.45470314530079997</v>
      </c>
      <c r="CS132" s="3">
        <f>$H132*factors!CM$3</f>
        <v>0.46908111036959999</v>
      </c>
      <c r="CT132" s="3">
        <f>$H132*factors!CN$3</f>
        <v>0.46368937346880001</v>
      </c>
      <c r="CU132" s="3">
        <f>$H132*factors!CO$3</f>
        <v>0.45335521107559995</v>
      </c>
      <c r="CV132" s="3">
        <f>$H132*factors!CP$3</f>
        <v>0.47177697881999997</v>
      </c>
      <c r="CW132" s="3">
        <f>$H132*factors!CQ$3</f>
        <v>0.44616622854120003</v>
      </c>
      <c r="CX132" s="3">
        <f>$H132*factors!CR$3</f>
        <v>0.43942655741519998</v>
      </c>
      <c r="CY132" s="3">
        <f>$H132*factors!CS$3</f>
        <v>0.43538275473959998</v>
      </c>
      <c r="CZ132" s="3">
        <f>$H132*factors!CT$3</f>
        <v>0.42909239502199992</v>
      </c>
      <c r="DA132" s="3">
        <f>$H132*factors!CU$3</f>
        <v>0.44550368460000001</v>
      </c>
      <c r="DB132" s="3">
        <f>$H132*factors!CV$3</f>
        <v>0.47429007652800004</v>
      </c>
      <c r="DC132" s="3">
        <f>$H132*factors!CW$3</f>
        <v>0.454185294864</v>
      </c>
      <c r="DD132" s="3">
        <f>$H132*factors!CX$3</f>
        <v>0.45098680687199999</v>
      </c>
      <c r="DE132" s="3">
        <f>$H132*factors!CY$3</f>
        <v>0.46423768569600005</v>
      </c>
      <c r="DF132" s="3">
        <f>$H132*factors!CZ$3</f>
        <v>0.46332383198399996</v>
      </c>
      <c r="DG132" s="3">
        <f>$H132*factors!DA$3</f>
        <v>0.46149612456</v>
      </c>
      <c r="DH132" s="3">
        <f>$H132*factors!DB$3</f>
        <v>0.46149612456</v>
      </c>
      <c r="DI132" s="3">
        <f>$H132*factors!DC$3</f>
        <v>0.44413290403199995</v>
      </c>
      <c r="DJ132" s="3">
        <f>$H132*factors!DD$3</f>
        <v>0.47063466168000001</v>
      </c>
      <c r="DK132" s="3">
        <f>$H132*factors!DE$3</f>
        <v>0.47063466168000001</v>
      </c>
      <c r="DL132" s="3">
        <f>$H132*factors!DF$3</f>
        <v>0.46515153940800003</v>
      </c>
      <c r="DM132" s="3">
        <f>$H132*factors!DG$3</f>
        <v>0.43819285490399995</v>
      </c>
      <c r="DN132" s="3">
        <f>$H132*factors!DH$3</f>
        <v>0.45966841713600004</v>
      </c>
      <c r="DO132" s="3">
        <f>$H132*factors!DI$3</f>
        <v>0.474747003384</v>
      </c>
      <c r="DP132" s="3">
        <f>$H132*factors!DJ$3</f>
        <v>0.47063466168000001</v>
      </c>
      <c r="DQ132" s="3">
        <f>$H132*factors!DK$3</f>
        <v>0.44870217259199996</v>
      </c>
      <c r="DR132" s="3">
        <f>$H132*factors!DL$3</f>
        <v>0.44367597717600005</v>
      </c>
      <c r="DS132" s="3">
        <f>$H132*factors!DM$3</f>
        <v>0.47931627194400001</v>
      </c>
      <c r="DT132" s="3">
        <f>$H132*factors!DN$3</f>
        <v>0.45052988001600003</v>
      </c>
      <c r="DU132" s="3">
        <f>$H132*factors!DO$3</f>
        <v>0.47154851539199999</v>
      </c>
      <c r="DV132" s="3">
        <f>$H132*factors!DP$3</f>
        <v>0.46058227084800002</v>
      </c>
      <c r="DW132" s="3">
        <f>$H132*factors!DQ$3</f>
        <v>0.439563635472</v>
      </c>
      <c r="DX132" s="3">
        <f>$H132*factors!DR$3</f>
        <v>0.46560846626399999</v>
      </c>
      <c r="DY132" s="3">
        <f>$H132*factors!DS$3</f>
        <v>0.44184826975199998</v>
      </c>
      <c r="DZ132" s="3">
        <f>$H132*factors!DT$3</f>
        <v>0.47246236910399997</v>
      </c>
      <c r="EA132" s="3">
        <f>$H132*factors!DU$3</f>
        <v>0.44504675774399999</v>
      </c>
      <c r="EB132" s="3">
        <f>$H132*factors!DV$3</f>
        <v>0.43408051319999996</v>
      </c>
      <c r="EC132" s="3">
        <f>$H132*factors!DW$3</f>
        <v>0.46697924683199998</v>
      </c>
      <c r="ED132" s="3">
        <f>$H132*factors!DX$3</f>
        <v>0.43819285490399995</v>
      </c>
      <c r="EE132" s="3">
        <f>$H132*factors!DY$3</f>
        <v>0.44184826975199998</v>
      </c>
      <c r="EF132" s="3">
        <f>$H132*factors!DZ$3</f>
        <v>0.47931627194400001</v>
      </c>
      <c r="EG132" s="3">
        <f>$H132*factors!EA$3</f>
        <v>0.44778831887999998</v>
      </c>
      <c r="EH132" s="3">
        <f>$H132*factors!EB$3</f>
        <v>0.44915909944800003</v>
      </c>
      <c r="EI132" s="3">
        <f>$H132*factors!EC$3</f>
        <v>0.44824524573600005</v>
      </c>
      <c r="EJ132" s="3">
        <f>$H132*factors!ED$3</f>
        <v>0.43682207433600001</v>
      </c>
      <c r="EK132" s="3">
        <f>$H132*factors!EE$3</f>
        <v>0.46697924683199998</v>
      </c>
      <c r="EL132" s="3">
        <f>$H132*factors!EF$3</f>
        <v>0.44413290403199995</v>
      </c>
      <c r="EM132" s="3">
        <f>$H132*factors!EG$3</f>
        <v>0.46195305141599996</v>
      </c>
      <c r="EN132" s="3">
        <f>$H132*factors!EH$3</f>
        <v>0.43408051319999996</v>
      </c>
      <c r="EO132" s="3">
        <f>$H132*factors!EI$3</f>
        <v>0.44047748918399998</v>
      </c>
      <c r="EP132" s="3">
        <f>$H132*factors!EJ$3</f>
        <v>0.46469461255200001</v>
      </c>
      <c r="EQ132" s="3">
        <f>$H132*factors!EK$3</f>
        <v>0.45190066058399997</v>
      </c>
      <c r="ER132" s="3">
        <f>$H132*factors!EL$3</f>
        <v>0.47063466168000001</v>
      </c>
      <c r="ES132" s="3">
        <f>$H132*factors!EM$3</f>
        <v>0.46469461255200001</v>
      </c>
      <c r="ET132" s="3">
        <f>$H132*factors!EN$3</f>
        <v>0.47520393024000002</v>
      </c>
      <c r="EU132" s="3">
        <f>$H132*factors!EO$3</f>
        <v>0.47977319880000002</v>
      </c>
      <c r="EV132" s="3">
        <f>$H132*factors!EP$3</f>
        <v>0.44961602630399999</v>
      </c>
      <c r="EW132" s="3">
        <f>$H132*factors!EQ$3</f>
        <v>0.49452812852499994</v>
      </c>
      <c r="EX132" s="3">
        <f>$H132*factors!ER$3</f>
        <v>0.4892925083000001</v>
      </c>
      <c r="EY132" s="3">
        <f>$H132*factors!ES$3</f>
        <v>0.49928778327499995</v>
      </c>
      <c r="EZ132" s="3">
        <f>$H132*factors!ET$3</f>
        <v>0.49452812852499994</v>
      </c>
      <c r="FA132" s="3">
        <f>$H132*factors!EU$3</f>
        <v>0.45454702862499996</v>
      </c>
      <c r="FB132" s="3">
        <f>$H132*factors!EV$3</f>
        <v>0.47501354405000007</v>
      </c>
      <c r="FC132" s="3">
        <f>$H132*factors!EW$3</f>
        <v>0.48834057735000003</v>
      </c>
      <c r="FD132" s="3">
        <f>$H132*factors!EX$3</f>
        <v>0.47120582025000002</v>
      </c>
      <c r="FE132" s="3">
        <f>$H132*factors!EY$3</f>
        <v>0.49643199042500002</v>
      </c>
      <c r="FF132" s="3">
        <f>$H132*factors!EZ$3</f>
        <v>0.49690795590000009</v>
      </c>
      <c r="FG132" s="3">
        <f>$H132*factors!FA$3</f>
        <v>0.45454702862499996</v>
      </c>
      <c r="FH132" s="3">
        <f>$H132*factors!FB$3</f>
        <v>0.478345302375</v>
      </c>
      <c r="FI132" s="3">
        <f>$H132*factors!FC$3</f>
        <v>0.49833585232499999</v>
      </c>
      <c r="FJ132" s="3">
        <f>$H132*factors!FD$3</f>
        <v>0.478345302375</v>
      </c>
      <c r="FK132" s="3">
        <f>$H132*factors!FE$3</f>
        <v>0.48643671545000006</v>
      </c>
      <c r="FL132" s="3">
        <f>$H132*factors!FF$3</f>
        <v>0.48786461187500002</v>
      </c>
      <c r="FM132" s="3">
        <f>$H132*factors!FG$3</f>
        <v>0.49310023209999998</v>
      </c>
      <c r="FN132" s="3">
        <f>$H132*factors!FH$3</f>
        <v>0.46121054527499999</v>
      </c>
      <c r="FO132" s="3">
        <f>$H132*factors!FI$3</f>
        <v>0.48976847377499999</v>
      </c>
      <c r="FP132" s="3">
        <f>$H132*factors!FJ$3</f>
        <v>0.47596547500000003</v>
      </c>
      <c r="FQ132" s="3">
        <f>$H132*factors!FK$3</f>
        <v>0.47120582025000002</v>
      </c>
      <c r="FR132" s="3">
        <f>$H132*factors!FL$3</f>
        <v>0.48072512975000004</v>
      </c>
      <c r="FS132" s="3">
        <f>$H132*factors!FM$3</f>
        <v>0.4778693369</v>
      </c>
      <c r="FT132" s="3">
        <f>$H132*factors!FN$3</f>
        <v>0.48834057735000003</v>
      </c>
      <c r="FU132" s="3">
        <f>$H132*factors!FO$3</f>
        <v>0.46930195834999999</v>
      </c>
      <c r="FV132" s="3">
        <f>$H132*factors!FP$3</f>
        <v>0.46549423455</v>
      </c>
      <c r="FW132" s="3">
        <f>$H132*factors!FQ$3</f>
        <v>0.49833585232499999</v>
      </c>
      <c r="FX132" s="3">
        <f>$H132*factors!FR$3</f>
        <v>0.4892925083000001</v>
      </c>
      <c r="FY132" s="3">
        <f>$H132*factors!FS$3</f>
        <v>0.47929723332499996</v>
      </c>
      <c r="FZ132" s="3">
        <f>$H132*factors!FT$3</f>
        <v>0.45549895957500003</v>
      </c>
      <c r="GA132" s="3">
        <f>$H132*factors!FU$3</f>
        <v>0.47929723332499996</v>
      </c>
      <c r="GB132" s="3">
        <f>$H132*factors!FV$3</f>
        <v>0.49690795590000009</v>
      </c>
      <c r="GC132" s="3">
        <f>$H132*factors!FW$3</f>
        <v>0.46549423455</v>
      </c>
      <c r="GD132" s="3">
        <f>$H132*factors!FX$3</f>
        <v>0.47358564762499999</v>
      </c>
      <c r="GE132" s="3">
        <f>$H132*factors!FY$3</f>
        <v>0.47358564762499999</v>
      </c>
      <c r="GF132" s="3">
        <f>$H132*factors!FZ$3</f>
        <v>0.47215775120000003</v>
      </c>
      <c r="GG132" s="3">
        <f>$H132*factors!GA$3</f>
        <v>0.453595097675</v>
      </c>
      <c r="GH132" s="3">
        <f>$H132*factors!GB$3</f>
        <v>0.48262899165000006</v>
      </c>
      <c r="GI132" s="3">
        <f>$H132*factors!GC$3</f>
        <v>0.45264316672499999</v>
      </c>
      <c r="GJ132" s="3">
        <f>$H132*factors!GD$3</f>
        <v>0.453595097675</v>
      </c>
      <c r="GK132" s="3">
        <f>$H132*factors!GE$3</f>
        <v>0.46501826907499999</v>
      </c>
      <c r="GL132" s="3">
        <f>$H132*factors!GF$3</f>
        <v>0.49262426662500003</v>
      </c>
      <c r="GM132" s="3">
        <f>$H132*factors!GG$3</f>
        <v>0.46692213097500007</v>
      </c>
      <c r="GN132" s="3">
        <f>$H132*factors!GH$3</f>
        <v>0.48167706070000005</v>
      </c>
      <c r="GO132" s="3">
        <f>$H132*factors!GI$3</f>
        <v>0.45502299409999997</v>
      </c>
      <c r="GP132" s="3">
        <f>$H132*factors!GJ$3</f>
        <v>0.48786461187500002</v>
      </c>
      <c r="GQ132" s="3">
        <f>$H132*factors!GK$3</f>
        <v>0.49785988685000004</v>
      </c>
      <c r="GR132" s="3">
        <f>$H132*factors!GL$3</f>
        <v>0.48834057735000003</v>
      </c>
      <c r="GS132" s="3">
        <f>$H132*factors!GM$3</f>
        <v>0.46181978108300004</v>
      </c>
      <c r="GT132" s="3">
        <f>$H132*factors!GN$3</f>
        <v>0.47245856138020004</v>
      </c>
      <c r="GU132" s="3">
        <f>$H132*factors!GO$3</f>
        <v>0.48358092260000002</v>
      </c>
      <c r="GV132" s="3">
        <f>$H132*factors!GP$3</f>
        <v>0.46423768569600005</v>
      </c>
      <c r="GW132" s="3">
        <f>$H132*factors!GQ$3</f>
        <v>0.48067943706440003</v>
      </c>
      <c r="GX132" s="3">
        <f>$H132*factors!GR$3</f>
        <v>0.47294214230280002</v>
      </c>
      <c r="GY132" s="3">
        <f>$H132*factors!GS$3</f>
        <v>0.47052423768980006</v>
      </c>
      <c r="GZ132" s="3">
        <f>$H132*factors!GT$3</f>
        <v>0.48793315090339995</v>
      </c>
      <c r="HA132" s="3">
        <f>$H132*factors!GU$3</f>
        <v>0.4719749804576</v>
      </c>
      <c r="HB132" s="3">
        <f>$H132*factors!GV$3</f>
        <v>0.48793315090339995</v>
      </c>
      <c r="HC132" s="3">
        <f>$H132*factors!GW$3</f>
        <v>0.47584362783840001</v>
      </c>
      <c r="HD132" s="3">
        <f>$H132*factors!GX$3</f>
        <v>0.48986747459379998</v>
      </c>
      <c r="HE132" s="3">
        <f>$H132*factors!GY$3</f>
        <v>0.48358092260000002</v>
      </c>
      <c r="HF132" s="3">
        <f>$H132*factors!GZ$3</f>
        <v>0.4985719312006</v>
      </c>
      <c r="HG132" s="3">
        <f>$H132*factors!HA$3</f>
        <v>0.47922869429660003</v>
      </c>
      <c r="HH132" s="3">
        <f>$H132*factors!HB$3</f>
        <v>0.47294214230280002</v>
      </c>
      <c r="HI132" s="3">
        <f>$H132*factors!HC$3</f>
        <v>0.46713917123160004</v>
      </c>
      <c r="HJ132" s="3">
        <f>$H132*factors!HD$3</f>
        <v>0.46181978108300004</v>
      </c>
      <c r="HK132" s="3">
        <f>$H132*factors!HE$3</f>
        <v>0.48841673182599998</v>
      </c>
      <c r="HL132" s="3">
        <f>$H132*factors!HF$3</f>
        <v>0.46036903831519999</v>
      </c>
      <c r="HM132" s="3">
        <f>$H132*factors!HG$3</f>
        <v>0.46520484754120006</v>
      </c>
      <c r="HN132" s="3">
        <f>$H132*factors!HH$3</f>
        <v>0.49615402658760005</v>
      </c>
      <c r="HO132" s="3">
        <f>$H132*factors!HI$3</f>
        <v>0.47584362783840001</v>
      </c>
      <c r="HP132" s="3">
        <f>$H132*factors!HJ$3</f>
        <v>0.50775996873000007</v>
      </c>
      <c r="HQ132" s="3">
        <f>$H132*factors!HK$3</f>
        <v>0.46423768569600005</v>
      </c>
      <c r="HR132" s="3">
        <f>$H132*factors!HL$3</f>
        <v>0.4922853792068001</v>
      </c>
      <c r="HS132" s="3">
        <f>$H132*factors!HM$3</f>
        <v>0.50098983581360002</v>
      </c>
      <c r="HT132" s="3">
        <f>$H132*factors!HN$3</f>
        <v>0.46713917123160004</v>
      </c>
      <c r="HU132" s="3">
        <f>$H132*factors!HO$3</f>
        <v>0.4719749804576</v>
      </c>
      <c r="HV132" s="3">
        <f>$H132*factors!HP$3</f>
        <v>0.47777795152880004</v>
      </c>
      <c r="HW132" s="3">
        <f>$H132*factors!HQ$3</f>
        <v>0.48454808444520003</v>
      </c>
      <c r="HX132" s="3">
        <f>$H132*factors!HR$3</f>
        <v>0.50437490227179993</v>
      </c>
      <c r="HY132" s="3">
        <f>$H132*factors!HS$3</f>
        <v>0.47922869429660003</v>
      </c>
      <c r="HZ132" s="3">
        <f>$H132*factors!HT$3</f>
        <v>0.49760476935539999</v>
      </c>
      <c r="IA132" s="3">
        <f>$H132*factors!HU$3</f>
        <v>0.47342572322540005</v>
      </c>
      <c r="IB132" s="3">
        <f>$H132*factors!HV$3</f>
        <v>0.48986747459379998</v>
      </c>
      <c r="IC132" s="3">
        <f>$H132*factors!HW$3</f>
        <v>0.4947032838198</v>
      </c>
      <c r="ID132" s="3">
        <f>$H132*factors!HX$3</f>
        <v>0.45940187646999997</v>
      </c>
      <c r="IE132" s="3">
        <f>$H132*factors!HY$3</f>
        <v>0.48793315090339995</v>
      </c>
      <c r="IF132" s="3">
        <f>$H132*factors!HZ$3</f>
        <v>0.48503166536779996</v>
      </c>
      <c r="IG132" s="3">
        <f>$H132*factors!IA$3</f>
        <v>0.48067943706440003</v>
      </c>
      <c r="IH132" s="3">
        <f>$H132*factors!IB$3</f>
        <v>0.4985719312006</v>
      </c>
      <c r="II132" s="3">
        <f>$H132*factors!IC$3</f>
        <v>0.4772943706062</v>
      </c>
      <c r="IJ132" s="3">
        <f>$H132*factors!ID$3</f>
        <v>0.48164659890960004</v>
      </c>
      <c r="IK132" s="3">
        <f>$H132*factors!IE$3</f>
        <v>0.49905551212320004</v>
      </c>
      <c r="IL132" s="3">
        <f>$H132*factors!IF$3</f>
        <v>0.47777795152880004</v>
      </c>
      <c r="IM132" s="3">
        <f>$H132*factors!IG$3</f>
        <v>0.47342572322540005</v>
      </c>
      <c r="IN132" s="3">
        <f>$H132*factors!IH$3</f>
        <v>0.47632720876100004</v>
      </c>
      <c r="IO132" s="3">
        <f>$H132*factors!II$3</f>
        <v>0.48116301798700001</v>
      </c>
      <c r="IP132" s="3">
        <f>$H132*factors!IJ$3</f>
        <v>0.46520484754120006</v>
      </c>
      <c r="IQ132" s="3">
        <f>$H132*factors!IK$3</f>
        <v>0.46375410477340001</v>
      </c>
      <c r="IR132" s="3">
        <f>$H132*factors!IL$3</f>
        <v>0.4772943706062</v>
      </c>
      <c r="IS132" s="3">
        <f>$H132*factors!IM$3</f>
        <v>0.48116301798700001</v>
      </c>
      <c r="IT132" s="3">
        <f>$H132*factors!IN$3</f>
        <v>0.48454808444520003</v>
      </c>
      <c r="IU132" s="3">
        <f>$H132*factors!IO$3</f>
        <v>0.49518686474240003</v>
      </c>
      <c r="IV132" s="3">
        <f>$H132*factors!IP$3</f>
        <v>0.50147341673619994</v>
      </c>
      <c r="IW132" s="3">
        <f>$H132*factors!IQ$3</f>
        <v>0.47390930414799998</v>
      </c>
      <c r="IX132" s="3">
        <f>$H132*factors!IR$3</f>
        <v>0.49518686474240003</v>
      </c>
      <c r="IY132" s="3">
        <f>$H132*factors!IS$3</f>
        <v>0.48793315090339995</v>
      </c>
      <c r="IZ132" s="3">
        <f>$H132*factors!IT$3</f>
        <v>0.49615402658760005</v>
      </c>
      <c r="JA132" s="3">
        <f>$H132*factors!IU$3</f>
        <v>0.46858991399939998</v>
      </c>
      <c r="JB132" s="3">
        <f>$H132*factors!IV$3</f>
        <v>0.4772943706062</v>
      </c>
      <c r="JC132" s="3">
        <f>$H132*factors!IW$3</f>
        <v>0.46617200938640002</v>
      </c>
      <c r="JD132" s="3">
        <f>$H132*factors!IX$3</f>
        <v>0.50775996873000007</v>
      </c>
      <c r="JE132" s="3">
        <f>$H132*factors!IY$3</f>
        <v>0.46762275215420002</v>
      </c>
      <c r="JF132" s="3">
        <f>$H132*factors!IZ$3</f>
        <v>0.49083463643899994</v>
      </c>
      <c r="JG132" s="3">
        <f>$H132*factors!JA$3</f>
        <v>0.48213017983220002</v>
      </c>
      <c r="JH132" s="3">
        <f>$H132*factors!JB$3</f>
        <v>0.49131821736160008</v>
      </c>
      <c r="JI132" s="3">
        <f>$H132*factors!JC$3</f>
        <v>0.45988545739260001</v>
      </c>
      <c r="JJ132" s="3">
        <f>$H132*factors!JD$3</f>
        <v>0.49518686474240003</v>
      </c>
      <c r="JK132" s="3">
        <f>$H132*factors!JE$3</f>
        <v>0.47922869429660003</v>
      </c>
      <c r="JL132" s="3">
        <f>$H132*factors!JF$3</f>
        <v>0.4985719312006</v>
      </c>
      <c r="JM132" s="3">
        <f>$H132*factors!JG$3</f>
        <v>0.46520484754120006</v>
      </c>
      <c r="JN132" s="3">
        <f>$H132*factors!JH$3</f>
        <v>0.46520484754120006</v>
      </c>
      <c r="JO132" s="3">
        <f>$H132*factors!JI$3</f>
        <v>0.45940187646999997</v>
      </c>
      <c r="JP132" s="3">
        <f>$H132*factors!JJ$3</f>
        <v>0.49663760751020003</v>
      </c>
      <c r="JQ132" s="3">
        <f>$H132*factors!JK$3</f>
        <v>0.4840645035226</v>
      </c>
      <c r="JR132" s="3">
        <f>$H132*factors!JL$3</f>
        <v>0.50292415950400005</v>
      </c>
      <c r="JS132" s="3">
        <f>$H132*factors!JM$3</f>
        <v>0.45940187646999997</v>
      </c>
      <c r="JT132" s="3">
        <f>$H132*factors!JN$3</f>
        <v>0.48261376075480006</v>
      </c>
      <c r="JU132" s="3">
        <f>$H132*factors!JO$3</f>
        <v>0.466655590309</v>
      </c>
      <c r="JV132" s="3">
        <f>$H132*factors!JP$3</f>
        <v>0.47439288507060001</v>
      </c>
      <c r="JW132" s="3">
        <f>$H132*factors!JQ$3</f>
        <v>0.50679280688480011</v>
      </c>
      <c r="JX132" s="3">
        <f>$H132*factors!JR$3</f>
        <v>0.50195699765879997</v>
      </c>
      <c r="JY132" s="3">
        <f>$H132*factors!JS$3</f>
        <v>0.47245856138020004</v>
      </c>
      <c r="JZ132" s="3">
        <f>$H132*factors!JT$3</f>
        <v>0.47777795152880004</v>
      </c>
      <c r="KA132" s="3">
        <f>$H132*factors!JU$3</f>
        <v>0.47971227521920007</v>
      </c>
      <c r="KB132" s="3">
        <f>$H132*factors!JV$3</f>
        <v>0.46375410477340001</v>
      </c>
      <c r="KC132" s="3">
        <f>$H132*factors!JW$3</f>
        <v>0.46617200938640002</v>
      </c>
      <c r="KD132" s="3">
        <f>$H132*factors!JX$3</f>
        <v>0.466655590309</v>
      </c>
      <c r="KE132" s="3">
        <f>$H132*factors!JY$3</f>
        <v>0.49663760751020003</v>
      </c>
      <c r="KF132" s="3">
        <f>$H132*factors!JZ$3</f>
        <v>0.50244057858140001</v>
      </c>
      <c r="KG132" s="3">
        <f>$H132*factors!KA$3</f>
        <v>0.48454808444520003</v>
      </c>
      <c r="KH132" s="3">
        <f>$H132*factors!KB$3</f>
        <v>0.47390930414799998</v>
      </c>
      <c r="KI132" s="3">
        <f>$H132*factors!KC$3</f>
        <v>0.46955707584459999</v>
      </c>
    </row>
    <row r="133" spans="1:295" x14ac:dyDescent="0.55000000000000004">
      <c r="A133" t="s">
        <v>510</v>
      </c>
      <c r="B133">
        <v>132</v>
      </c>
      <c r="C133">
        <v>230</v>
      </c>
      <c r="D133" t="s">
        <v>377</v>
      </c>
      <c r="E133">
        <v>3.3409999999999998E-3</v>
      </c>
      <c r="F133">
        <v>132</v>
      </c>
      <c r="G133">
        <f>VLOOKUP(D133,demand_forecasted!$A$2:$G$11,2)</f>
        <v>11098</v>
      </c>
      <c r="H133" s="3">
        <f t="shared" si="2"/>
        <v>0.37078418000000002</v>
      </c>
      <c r="I133" s="3">
        <f>$H133*factors!C$3</f>
        <v>0.41045808725999999</v>
      </c>
      <c r="J133" s="3">
        <f>$H133*factors!D$3</f>
        <v>0.39564155142720003</v>
      </c>
      <c r="K133" s="3">
        <f>$H133*factors!E$3</f>
        <v>0.38883395388240005</v>
      </c>
      <c r="L133" s="3">
        <f>$H133*factors!F$3</f>
        <v>0.38763261313920006</v>
      </c>
      <c r="M133" s="3">
        <f>$H133*factors!G$3</f>
        <v>0.3872321662248</v>
      </c>
      <c r="N133" s="3">
        <f>$H133*factors!H$3</f>
        <v>0.39844467982800003</v>
      </c>
      <c r="O133" s="3">
        <f>$H133*factors!I$3</f>
        <v>0.4072545119448</v>
      </c>
      <c r="P133" s="3">
        <f>$H133*factors!J$3</f>
        <v>0.41205987491760004</v>
      </c>
      <c r="Q133" s="3">
        <f>$H133*factors!K$3</f>
        <v>0.3868317193104</v>
      </c>
      <c r="R133" s="3">
        <f>$H133*factors!L$3</f>
        <v>0.38042456868000002</v>
      </c>
      <c r="S133" s="3">
        <f>$H133*factors!M$3</f>
        <v>0.39604199834160003</v>
      </c>
      <c r="T133" s="3">
        <f>$H133*factors!N$3</f>
        <v>0.40965719343120005</v>
      </c>
      <c r="U133" s="3">
        <f>$H133*factors!O$3</f>
        <v>0.38803306005360005</v>
      </c>
      <c r="V133" s="3">
        <f>$H133*factors!P$3</f>
        <v>0.40365048971520007</v>
      </c>
      <c r="W133" s="3">
        <f>$H133*factors!Q$3</f>
        <v>0.4072545119448</v>
      </c>
      <c r="X133" s="3">
        <f>$H133*factors!R$3</f>
        <v>0.38963484771119999</v>
      </c>
      <c r="Y133" s="3">
        <f>$H133*factors!S$3</f>
        <v>0.38603082548160006</v>
      </c>
      <c r="Z133" s="3">
        <f>$H133*factors!T$3</f>
        <v>0.41646479097600009</v>
      </c>
      <c r="AA133" s="3">
        <f>$H133*factors!U$3</f>
        <v>0.39323886994079998</v>
      </c>
      <c r="AB133" s="3">
        <f>$H133*factors!V$3</f>
        <v>0.39363931685520009</v>
      </c>
      <c r="AC133" s="3">
        <f>$H133*factors!W$3</f>
        <v>0.39403976376960004</v>
      </c>
      <c r="AD133" s="3">
        <f>$H133*factors!X$3</f>
        <v>0.38563037856720006</v>
      </c>
      <c r="AE133" s="3">
        <f>$H133*factors!Y$3</f>
        <v>0.38883395388240005</v>
      </c>
      <c r="AF133" s="3">
        <f>$H133*factors!Z$3</f>
        <v>0.39684289217040009</v>
      </c>
      <c r="AG133" s="3">
        <f>$H133*factors!AA$3</f>
        <v>0.3868317193104</v>
      </c>
      <c r="AH133" s="3">
        <f>$H133*factors!AB$3</f>
        <v>0.38522993165280006</v>
      </c>
      <c r="AI133" s="3">
        <f>$H133*factors!AC$3</f>
        <v>0.39764378599920003</v>
      </c>
      <c r="AJ133" s="3">
        <f>$H133*factors!AD$3</f>
        <v>0.41286076874640004</v>
      </c>
      <c r="AK133" s="3">
        <f>$H133*factors!AE$3</f>
        <v>0.39724333908480003</v>
      </c>
      <c r="AL133" s="3">
        <f>$H133*factors!AF$3</f>
        <v>0.38162590942320002</v>
      </c>
      <c r="AM133" s="3">
        <f>$H133*factors!AG$3</f>
        <v>0.39243797611200004</v>
      </c>
      <c r="AN133" s="3">
        <f>$H133*factors!AH$3</f>
        <v>0.38603082548160006</v>
      </c>
      <c r="AO133" s="3">
        <f>$H133*factors!AI$3</f>
        <v>0.40445138354400001</v>
      </c>
      <c r="AP133" s="3">
        <f>$H133*factors!AJ$3</f>
        <v>0.38763261313920006</v>
      </c>
      <c r="AQ133" s="3">
        <f>$H133*factors!AK$3</f>
        <v>0.40004646748560008</v>
      </c>
      <c r="AR133" s="3">
        <f>$H133*factors!AL$3</f>
        <v>0.39123663536880005</v>
      </c>
      <c r="AS133" s="3">
        <f>$H133*factors!AM$3</f>
        <v>0.38162590942320002</v>
      </c>
      <c r="AT133" s="3">
        <f>$H133*factors!AN$3</f>
        <v>0.39363931685520009</v>
      </c>
      <c r="AU133" s="3">
        <f>$H133*factors!AO$3</f>
        <v>0.41686523789039998</v>
      </c>
      <c r="AV133" s="3">
        <f>$H133*factors!AP$3</f>
        <v>0.39403976376960004</v>
      </c>
      <c r="AW133" s="3">
        <f>$H133*factors!AQ$3</f>
        <v>0.39003529462559999</v>
      </c>
      <c r="AX133" s="3">
        <f>$H133*factors!AR$3</f>
        <v>0.41246032183200004</v>
      </c>
      <c r="AY133" s="3">
        <f>$H133*factors!AS$3</f>
        <v>0.38042456868000002</v>
      </c>
      <c r="AZ133" s="3">
        <f>$H133*factors!AT$3</f>
        <v>0.40765495885920011</v>
      </c>
      <c r="BA133" s="3">
        <f>$H133*factors!AU$3</f>
        <v>0.39884512674240002</v>
      </c>
      <c r="BB133" s="3">
        <f>$H133*factors!AV$3</f>
        <v>0.39363931685520009</v>
      </c>
      <c r="BC133" s="3">
        <f>$H133*factors!AW$3</f>
        <v>0.41646479097600009</v>
      </c>
      <c r="BD133" s="3">
        <f>$H133*factors!AX$3</f>
        <v>0.38442903782400001</v>
      </c>
      <c r="BE133" s="3">
        <f>$H133*factors!AY$3</f>
        <v>0.45196366836919999</v>
      </c>
      <c r="BF133" s="3">
        <f>$H133*factors!AZ$3</f>
        <v>0.42089936976879999</v>
      </c>
      <c r="BG133" s="3">
        <f>$H133*factors!BA$3</f>
        <v>0.42702472442239997</v>
      </c>
      <c r="BH133" s="3">
        <f>$H133*factors!BB$3</f>
        <v>0.43271255374360001</v>
      </c>
      <c r="BI133" s="3">
        <f>$H133*factors!BC$3</f>
        <v>0.44846346570999995</v>
      </c>
      <c r="BJ133" s="3">
        <f>$H133*factors!BD$3</f>
        <v>0.4283373004196</v>
      </c>
      <c r="BK133" s="3">
        <f>$H133*factors!BE$3</f>
        <v>0.42921235108439998</v>
      </c>
      <c r="BL133" s="3">
        <f>$H133*factors!BF$3</f>
        <v>0.42439957242799997</v>
      </c>
      <c r="BM133" s="3">
        <f>$H133*factors!BG$3</f>
        <v>0.45327624436640002</v>
      </c>
      <c r="BN133" s="3">
        <f>$H133*factors!BH$3</f>
        <v>0.44758841504519997</v>
      </c>
      <c r="BO133" s="3">
        <f>$H133*factors!BI$3</f>
        <v>0.42089936976879999</v>
      </c>
      <c r="BP133" s="3">
        <f>$H133*factors!BJ$3</f>
        <v>0.41958679377159996</v>
      </c>
      <c r="BQ133" s="3">
        <f>$H133*factors!BK$3</f>
        <v>0.42658719908999998</v>
      </c>
      <c r="BR133" s="3">
        <f>$H133*factors!BL$3</f>
        <v>0.44190058572400004</v>
      </c>
      <c r="BS133" s="3">
        <f>$H133*factors!BM$3</f>
        <v>0.4489009910424</v>
      </c>
      <c r="BT133" s="3">
        <f>$H133*factors!BN$3</f>
        <v>0.45021356703959997</v>
      </c>
      <c r="BU133" s="3">
        <f>$H133*factors!BO$3</f>
        <v>0.45765149769040003</v>
      </c>
      <c r="BV133" s="3">
        <f>$H133*factors!BP$3</f>
        <v>0.4257121484252</v>
      </c>
      <c r="BW133" s="3">
        <f>$H133*factors!BQ$3</f>
        <v>0.43533770573800001</v>
      </c>
      <c r="BX133" s="3">
        <f>$H133*factors!BR$3</f>
        <v>0.42702472442239997</v>
      </c>
      <c r="BY133" s="3">
        <f>$H133*factors!BS$3</f>
        <v>0.44671336438039994</v>
      </c>
      <c r="BZ133" s="3">
        <f>$H133*factors!BT$3</f>
        <v>0.43840038306479995</v>
      </c>
      <c r="CA133" s="3">
        <f>$H133*factors!BU$3</f>
        <v>0.43271255374360001</v>
      </c>
      <c r="CB133" s="3">
        <f>$H133*factors!BV$3</f>
        <v>0.41871174310679998</v>
      </c>
      <c r="CC133" s="3">
        <f>$H133*factors!BW$3</f>
        <v>0.430962452414</v>
      </c>
      <c r="CD133" s="3">
        <f>$H133*factors!BX$3</f>
        <v>0.43227502841120002</v>
      </c>
      <c r="CE133" s="3">
        <f>$H133*factors!BY$3</f>
        <v>0.43840038306479995</v>
      </c>
      <c r="CF133" s="3">
        <f>$H133*factors!BZ$3</f>
        <v>0.43183750307880003</v>
      </c>
      <c r="CG133" s="3">
        <f>$H133*factors!CA$3</f>
        <v>0.41739916710959996</v>
      </c>
      <c r="CH133" s="3">
        <f>$H133*factors!CB$3</f>
        <v>0.41783669244199995</v>
      </c>
      <c r="CI133" s="3">
        <f>$H133*factors!CC$3</f>
        <v>0.41564906577999999</v>
      </c>
      <c r="CJ133" s="3">
        <f>$H133*factors!CD$3</f>
        <v>0.43271255374360001</v>
      </c>
      <c r="CK133" s="3">
        <f>$H133*factors!CE$3</f>
        <v>0.45196366836919999</v>
      </c>
      <c r="CL133" s="3">
        <f>$H133*factors!CF$3</f>
        <v>0.42352452176319999</v>
      </c>
      <c r="CM133" s="3">
        <f>$H133*factors!CG$3</f>
        <v>0.4335876044084</v>
      </c>
      <c r="CN133" s="3">
        <f>$H133*factors!CH$3</f>
        <v>0.41914926843919997</v>
      </c>
      <c r="CO133" s="3">
        <f>$H133*factors!CI$3</f>
        <v>0.42221194576599996</v>
      </c>
      <c r="CP133" s="3">
        <f>$H133*factors!CJ$3</f>
        <v>0.44233811105639992</v>
      </c>
      <c r="CQ133" s="3">
        <f>$H133*factors!CK$3</f>
        <v>0.42921235108439998</v>
      </c>
      <c r="CR133" s="3">
        <f>$H133*factors!CL$3</f>
        <v>0.44277563638879996</v>
      </c>
      <c r="CS133" s="3">
        <f>$H133*factors!CM$3</f>
        <v>0.4567764470256</v>
      </c>
      <c r="CT133" s="3">
        <f>$H133*factors!CN$3</f>
        <v>0.4515261430368</v>
      </c>
      <c r="CU133" s="3">
        <f>$H133*factors!CO$3</f>
        <v>0.44146306039159994</v>
      </c>
      <c r="CV133" s="3">
        <f>$H133*factors!CP$3</f>
        <v>0.45940159902</v>
      </c>
      <c r="CW133" s="3">
        <f>$H133*factors!CQ$3</f>
        <v>0.43446265507320003</v>
      </c>
      <c r="CX133" s="3">
        <f>$H133*factors!CR$3</f>
        <v>0.42789977508720001</v>
      </c>
      <c r="CY133" s="3">
        <f>$H133*factors!CS$3</f>
        <v>0.42396204709559998</v>
      </c>
      <c r="CZ133" s="3">
        <f>$H133*factors!CT$3</f>
        <v>0.41783669244199995</v>
      </c>
      <c r="DA133" s="3">
        <f>$H133*factors!CU$3</f>
        <v>0.43381749060000002</v>
      </c>
      <c r="DB133" s="3">
        <f>$H133*factors!CV$3</f>
        <v>0.46184877460800006</v>
      </c>
      <c r="DC133" s="3">
        <f>$H133*factors!CW$3</f>
        <v>0.44227136990399996</v>
      </c>
      <c r="DD133" s="3">
        <f>$H133*factors!CX$3</f>
        <v>0.43915678279199999</v>
      </c>
      <c r="DE133" s="3">
        <f>$H133*factors!CY$3</f>
        <v>0.45206007225600003</v>
      </c>
      <c r="DF133" s="3">
        <f>$H133*factors!CZ$3</f>
        <v>0.45117019022399996</v>
      </c>
      <c r="DG133" s="3">
        <f>$H133*factors!DA$3</f>
        <v>0.44939042616000002</v>
      </c>
      <c r="DH133" s="3">
        <f>$H133*factors!DB$3</f>
        <v>0.44939042616000002</v>
      </c>
      <c r="DI133" s="3">
        <f>$H133*factors!DC$3</f>
        <v>0.43248266755199999</v>
      </c>
      <c r="DJ133" s="3">
        <f>$H133*factors!DD$3</f>
        <v>0.45828924648000002</v>
      </c>
      <c r="DK133" s="3">
        <f>$H133*factors!DE$3</f>
        <v>0.45828924648000002</v>
      </c>
      <c r="DL133" s="3">
        <f>$H133*factors!DF$3</f>
        <v>0.45294995428800006</v>
      </c>
      <c r="DM133" s="3">
        <f>$H133*factors!DG$3</f>
        <v>0.42669843434399995</v>
      </c>
      <c r="DN133" s="3">
        <f>$H133*factors!DH$3</f>
        <v>0.44761066209600003</v>
      </c>
      <c r="DO133" s="3">
        <f>$H133*factors!DI$3</f>
        <v>0.46229371562400001</v>
      </c>
      <c r="DP133" s="3">
        <f>$H133*factors!DJ$3</f>
        <v>0.45828924648000002</v>
      </c>
      <c r="DQ133" s="3">
        <f>$H133*factors!DK$3</f>
        <v>0.43693207771199999</v>
      </c>
      <c r="DR133" s="3">
        <f>$H133*factors!DL$3</f>
        <v>0.43203772653600003</v>
      </c>
      <c r="DS133" s="3">
        <f>$H133*factors!DM$3</f>
        <v>0.46674312578400001</v>
      </c>
      <c r="DT133" s="3">
        <f>$H133*factors!DN$3</f>
        <v>0.43871184177600003</v>
      </c>
      <c r="DU133" s="3">
        <f>$H133*factors!DO$3</f>
        <v>0.45917912851199999</v>
      </c>
      <c r="DV133" s="3">
        <f>$H133*factors!DP$3</f>
        <v>0.448500544128</v>
      </c>
      <c r="DW133" s="3">
        <f>$H133*factors!DQ$3</f>
        <v>0.42803325739199999</v>
      </c>
      <c r="DX133" s="3">
        <f>$H133*factors!DR$3</f>
        <v>0.45339489530399996</v>
      </c>
      <c r="DY133" s="3">
        <f>$H133*factors!DS$3</f>
        <v>0.43025796247199999</v>
      </c>
      <c r="DZ133" s="3">
        <f>$H133*factors!DT$3</f>
        <v>0.46006901054400001</v>
      </c>
      <c r="EA133" s="3">
        <f>$H133*factors!DU$3</f>
        <v>0.43337254958399996</v>
      </c>
      <c r="EB133" s="3">
        <f>$H133*factors!DV$3</f>
        <v>0.42269396519999997</v>
      </c>
      <c r="EC133" s="3">
        <f>$H133*factors!DW$3</f>
        <v>0.45472971835199999</v>
      </c>
      <c r="ED133" s="3">
        <f>$H133*factors!DX$3</f>
        <v>0.42669843434399995</v>
      </c>
      <c r="EE133" s="3">
        <f>$H133*factors!DY$3</f>
        <v>0.43025796247199999</v>
      </c>
      <c r="EF133" s="3">
        <f>$H133*factors!DZ$3</f>
        <v>0.46674312578400001</v>
      </c>
      <c r="EG133" s="3">
        <f>$H133*factors!EA$3</f>
        <v>0.43604219568000002</v>
      </c>
      <c r="EH133" s="3">
        <f>$H133*factors!EB$3</f>
        <v>0.437377018728</v>
      </c>
      <c r="EI133" s="3">
        <f>$H133*factors!EC$3</f>
        <v>0.43648713669600003</v>
      </c>
      <c r="EJ133" s="3">
        <f>$H133*factors!ED$3</f>
        <v>0.42536361129600003</v>
      </c>
      <c r="EK133" s="3">
        <f>$H133*factors!EE$3</f>
        <v>0.45472971835199999</v>
      </c>
      <c r="EL133" s="3">
        <f>$H133*factors!EF$3</f>
        <v>0.43248266755199999</v>
      </c>
      <c r="EM133" s="3">
        <f>$H133*factors!EG$3</f>
        <v>0.44983536717599998</v>
      </c>
      <c r="EN133" s="3">
        <f>$H133*factors!EH$3</f>
        <v>0.42269396519999997</v>
      </c>
      <c r="EO133" s="3">
        <f>$H133*factors!EI$3</f>
        <v>0.42892313942399996</v>
      </c>
      <c r="EP133" s="3">
        <f>$H133*factors!EJ$3</f>
        <v>0.45250501327199999</v>
      </c>
      <c r="EQ133" s="3">
        <f>$H133*factors!EK$3</f>
        <v>0.44004666482399996</v>
      </c>
      <c r="ER133" s="3">
        <f>$H133*factors!EL$3</f>
        <v>0.45828924648000002</v>
      </c>
      <c r="ES133" s="3">
        <f>$H133*factors!EM$3</f>
        <v>0.45250501327199999</v>
      </c>
      <c r="ET133" s="3">
        <f>$H133*factors!EN$3</f>
        <v>0.46273865664000002</v>
      </c>
      <c r="EU133" s="3">
        <f>$H133*factors!EO$3</f>
        <v>0.46718806680000002</v>
      </c>
      <c r="EV133" s="3">
        <f>$H133*factors!EP$3</f>
        <v>0.43782195974399996</v>
      </c>
      <c r="EW133" s="3">
        <f>$H133*factors!EQ$3</f>
        <v>0.48155595377499999</v>
      </c>
      <c r="EX133" s="3">
        <f>$H133*factors!ER$3</f>
        <v>0.47645767130000005</v>
      </c>
      <c r="EY133" s="3">
        <f>$H133*factors!ES$3</f>
        <v>0.48619075602499995</v>
      </c>
      <c r="EZ133" s="3">
        <f>$H133*factors!ET$3</f>
        <v>0.48155595377499999</v>
      </c>
      <c r="FA133" s="3">
        <f>$H133*factors!EU$3</f>
        <v>0.44262361487499996</v>
      </c>
      <c r="FB133" s="3">
        <f>$H133*factors!EV$3</f>
        <v>0.46255326455000007</v>
      </c>
      <c r="FC133" s="3">
        <f>$H133*factors!EW$3</f>
        <v>0.47553071085000004</v>
      </c>
      <c r="FD133" s="3">
        <f>$H133*factors!EX$3</f>
        <v>0.45884542275000006</v>
      </c>
      <c r="FE133" s="3">
        <f>$H133*factors!EY$3</f>
        <v>0.48340987467500002</v>
      </c>
      <c r="FF133" s="3">
        <f>$H133*factors!EZ$3</f>
        <v>0.48387335490000011</v>
      </c>
      <c r="FG133" s="3">
        <f>$H133*factors!FA$3</f>
        <v>0.44262361487499996</v>
      </c>
      <c r="FH133" s="3">
        <f>$H133*factors!FB$3</f>
        <v>0.46579762612499997</v>
      </c>
      <c r="FI133" s="3">
        <f>$H133*factors!FC$3</f>
        <v>0.48526379557499999</v>
      </c>
      <c r="FJ133" s="3">
        <f>$H133*factors!FD$3</f>
        <v>0.46579762612499997</v>
      </c>
      <c r="FK133" s="3">
        <f>$H133*factors!FE$3</f>
        <v>0.47367678995000007</v>
      </c>
      <c r="FL133" s="3">
        <f>$H133*factors!FF$3</f>
        <v>0.475067230625</v>
      </c>
      <c r="FM133" s="3">
        <f>$H133*factors!FG$3</f>
        <v>0.4801655131</v>
      </c>
      <c r="FN133" s="3">
        <f>$H133*factors!FH$3</f>
        <v>0.449112338025</v>
      </c>
      <c r="FO133" s="3">
        <f>$H133*factors!FI$3</f>
        <v>0.47692115152499998</v>
      </c>
      <c r="FP133" s="3">
        <f>$H133*factors!FJ$3</f>
        <v>0.46348022500000002</v>
      </c>
      <c r="FQ133" s="3">
        <f>$H133*factors!FK$3</f>
        <v>0.45884542275000006</v>
      </c>
      <c r="FR133" s="3">
        <f>$H133*factors!FL$3</f>
        <v>0.46811502724999998</v>
      </c>
      <c r="FS133" s="3">
        <f>$H133*factors!FM$3</f>
        <v>0.4653341459</v>
      </c>
      <c r="FT133" s="3">
        <f>$H133*factors!FN$3</f>
        <v>0.47553071085000004</v>
      </c>
      <c r="FU133" s="3">
        <f>$H133*factors!FO$3</f>
        <v>0.45699150184999998</v>
      </c>
      <c r="FV133" s="3">
        <f>$H133*factors!FP$3</f>
        <v>0.45328366004999998</v>
      </c>
      <c r="FW133" s="3">
        <f>$H133*factors!FQ$3</f>
        <v>0.48526379557499999</v>
      </c>
      <c r="FX133" s="3">
        <f>$H133*factors!FR$3</f>
        <v>0.47645767130000005</v>
      </c>
      <c r="FY133" s="3">
        <f>$H133*factors!FS$3</f>
        <v>0.46672458657499993</v>
      </c>
      <c r="FZ133" s="3">
        <f>$H133*factors!FT$3</f>
        <v>0.44355057532500003</v>
      </c>
      <c r="GA133" s="3">
        <f>$H133*factors!FU$3</f>
        <v>0.46672458657499993</v>
      </c>
      <c r="GB133" s="3">
        <f>$H133*factors!FV$3</f>
        <v>0.48387335490000011</v>
      </c>
      <c r="GC133" s="3">
        <f>$H133*factors!FW$3</f>
        <v>0.45328366004999998</v>
      </c>
      <c r="GD133" s="3">
        <f>$H133*factors!FX$3</f>
        <v>0.46116282387500002</v>
      </c>
      <c r="GE133" s="3">
        <f>$H133*factors!FY$3</f>
        <v>0.46116282387500002</v>
      </c>
      <c r="GF133" s="3">
        <f>$H133*factors!FZ$3</f>
        <v>0.45977238320000002</v>
      </c>
      <c r="GG133" s="3">
        <f>$H133*factors!GA$3</f>
        <v>0.441696654425</v>
      </c>
      <c r="GH133" s="3">
        <f>$H133*factors!GB$3</f>
        <v>0.46996894815000007</v>
      </c>
      <c r="GI133" s="3">
        <f>$H133*factors!GC$3</f>
        <v>0.44076969397499999</v>
      </c>
      <c r="GJ133" s="3">
        <f>$H133*factors!GD$3</f>
        <v>0.441696654425</v>
      </c>
      <c r="GK133" s="3">
        <f>$H133*factors!GE$3</f>
        <v>0.452820179825</v>
      </c>
      <c r="GL133" s="3">
        <f>$H133*factors!GF$3</f>
        <v>0.47970203287500002</v>
      </c>
      <c r="GM133" s="3">
        <f>$H133*factors!GG$3</f>
        <v>0.45467410072500003</v>
      </c>
      <c r="GN133" s="3">
        <f>$H133*factors!GH$3</f>
        <v>0.46904198770000005</v>
      </c>
      <c r="GO133" s="3">
        <f>$H133*factors!GI$3</f>
        <v>0.44308709509999994</v>
      </c>
      <c r="GP133" s="3">
        <f>$H133*factors!GJ$3</f>
        <v>0.475067230625</v>
      </c>
      <c r="GQ133" s="3">
        <f>$H133*factors!GK$3</f>
        <v>0.48480031535000007</v>
      </c>
      <c r="GR133" s="3">
        <f>$H133*factors!GL$3</f>
        <v>0.47553071085000004</v>
      </c>
      <c r="GS133" s="3">
        <f>$H133*factors!GM$3</f>
        <v>0.44970559271300004</v>
      </c>
      <c r="GT133" s="3">
        <f>$H133*factors!GN$3</f>
        <v>0.46006530270220003</v>
      </c>
      <c r="GU133" s="3">
        <f>$H133*factors!GO$3</f>
        <v>0.47089590860000002</v>
      </c>
      <c r="GV133" s="3">
        <f>$H133*factors!GP$3</f>
        <v>0.45206007225600003</v>
      </c>
      <c r="GW133" s="3">
        <f>$H133*factors!GQ$3</f>
        <v>0.46807053314840003</v>
      </c>
      <c r="GX133" s="3">
        <f>$H133*factors!GR$3</f>
        <v>0.46053619861080003</v>
      </c>
      <c r="GY133" s="3">
        <f>$H133*factors!GS$3</f>
        <v>0.45818171906780003</v>
      </c>
      <c r="GZ133" s="3">
        <f>$H133*factors!GT$3</f>
        <v>0.47513397177739997</v>
      </c>
      <c r="HA133" s="3">
        <f>$H133*factors!GU$3</f>
        <v>0.45959440679360003</v>
      </c>
      <c r="HB133" s="3">
        <f>$H133*factors!GV$3</f>
        <v>0.47513397177739997</v>
      </c>
      <c r="HC133" s="3">
        <f>$H133*factors!GW$3</f>
        <v>0.46336157406239997</v>
      </c>
      <c r="HD133" s="3">
        <f>$H133*factors!GX$3</f>
        <v>0.47701755541179997</v>
      </c>
      <c r="HE133" s="3">
        <f>$H133*factors!GY$3</f>
        <v>0.47089590860000002</v>
      </c>
      <c r="HF133" s="3">
        <f>$H133*factors!GZ$3</f>
        <v>0.48549368176660002</v>
      </c>
      <c r="HG133" s="3">
        <f>$H133*factors!HA$3</f>
        <v>0.46665784542260003</v>
      </c>
      <c r="HH133" s="3">
        <f>$H133*factors!HB$3</f>
        <v>0.46053619861080003</v>
      </c>
      <c r="HI133" s="3">
        <f>$H133*factors!HC$3</f>
        <v>0.45488544770760003</v>
      </c>
      <c r="HJ133" s="3">
        <f>$H133*factors!HD$3</f>
        <v>0.44970559271300004</v>
      </c>
      <c r="HK133" s="3">
        <f>$H133*factors!HE$3</f>
        <v>0.47560486768600002</v>
      </c>
      <c r="HL133" s="3">
        <f>$H133*factors!HF$3</f>
        <v>0.44829290498719998</v>
      </c>
      <c r="HM133" s="3">
        <f>$H133*factors!HG$3</f>
        <v>0.45300186407320003</v>
      </c>
      <c r="HN133" s="3">
        <f>$H133*factors!HH$3</f>
        <v>0.48313920222360007</v>
      </c>
      <c r="HO133" s="3">
        <f>$H133*factors!HI$3</f>
        <v>0.46336157406239997</v>
      </c>
      <c r="HP133" s="3">
        <f>$H133*factors!HJ$3</f>
        <v>0.49444070403000007</v>
      </c>
      <c r="HQ133" s="3">
        <f>$H133*factors!HK$3</f>
        <v>0.45206007225600003</v>
      </c>
      <c r="HR133" s="3">
        <f>$H133*factors!HL$3</f>
        <v>0.47937203495480007</v>
      </c>
      <c r="HS133" s="3">
        <f>$H133*factors!HM$3</f>
        <v>0.48784816130960001</v>
      </c>
      <c r="HT133" s="3">
        <f>$H133*factors!HN$3</f>
        <v>0.45488544770760003</v>
      </c>
      <c r="HU133" s="3">
        <f>$H133*factors!HO$3</f>
        <v>0.45959440679360003</v>
      </c>
      <c r="HV133" s="3">
        <f>$H133*factors!HP$3</f>
        <v>0.46524515769680008</v>
      </c>
      <c r="HW133" s="3">
        <f>$H133*factors!HQ$3</f>
        <v>0.47183770041720002</v>
      </c>
      <c r="HX133" s="3">
        <f>$H133*factors!HR$3</f>
        <v>0.49114443266979996</v>
      </c>
      <c r="HY133" s="3">
        <f>$H133*factors!HS$3</f>
        <v>0.46665784542260003</v>
      </c>
      <c r="HZ133" s="3">
        <f>$H133*factors!HT$3</f>
        <v>0.48455188994940002</v>
      </c>
      <c r="IA133" s="3">
        <f>$H133*factors!HU$3</f>
        <v>0.46100709451940003</v>
      </c>
      <c r="IB133" s="3">
        <f>$H133*factors!HV$3</f>
        <v>0.47701755541179997</v>
      </c>
      <c r="IC133" s="3">
        <f>$H133*factors!HW$3</f>
        <v>0.48172651449780002</v>
      </c>
      <c r="ID133" s="3">
        <f>$H133*factors!HX$3</f>
        <v>0.44735111316999998</v>
      </c>
      <c r="IE133" s="3">
        <f>$H133*factors!HY$3</f>
        <v>0.47513397177739997</v>
      </c>
      <c r="IF133" s="3">
        <f>$H133*factors!HZ$3</f>
        <v>0.47230859632579997</v>
      </c>
      <c r="IG133" s="3">
        <f>$H133*factors!IA$3</f>
        <v>0.46807053314840003</v>
      </c>
      <c r="IH133" s="3">
        <f>$H133*factors!IB$3</f>
        <v>0.48549368176660002</v>
      </c>
      <c r="II133" s="3">
        <f>$H133*factors!IC$3</f>
        <v>0.46477426178820003</v>
      </c>
      <c r="IJ133" s="3">
        <f>$H133*factors!ID$3</f>
        <v>0.46901232496560002</v>
      </c>
      <c r="IK133" s="3">
        <f>$H133*factors!IE$3</f>
        <v>0.48596457767520002</v>
      </c>
      <c r="IL133" s="3">
        <f>$H133*factors!IF$3</f>
        <v>0.46524515769680008</v>
      </c>
      <c r="IM133" s="3">
        <f>$H133*factors!IG$3</f>
        <v>0.46100709451940003</v>
      </c>
      <c r="IN133" s="3">
        <f>$H133*factors!IH$3</f>
        <v>0.46383246997100003</v>
      </c>
      <c r="IO133" s="3">
        <f>$H133*factors!II$3</f>
        <v>0.46854142905700003</v>
      </c>
      <c r="IP133" s="3">
        <f>$H133*factors!IJ$3</f>
        <v>0.45300186407320003</v>
      </c>
      <c r="IQ133" s="3">
        <f>$H133*factors!IK$3</f>
        <v>0.45158917634740003</v>
      </c>
      <c r="IR133" s="3">
        <f>$H133*factors!IL$3</f>
        <v>0.46477426178820003</v>
      </c>
      <c r="IS133" s="3">
        <f>$H133*factors!IM$3</f>
        <v>0.46854142905700003</v>
      </c>
      <c r="IT133" s="3">
        <f>$H133*factors!IN$3</f>
        <v>0.47183770041720002</v>
      </c>
      <c r="IU133" s="3">
        <f>$H133*factors!IO$3</f>
        <v>0.48219741040640007</v>
      </c>
      <c r="IV133" s="3">
        <f>$H133*factors!IP$3</f>
        <v>0.48831905721819996</v>
      </c>
      <c r="IW133" s="3">
        <f>$H133*factors!IQ$3</f>
        <v>0.46147799042799997</v>
      </c>
      <c r="IX133" s="3">
        <f>$H133*factors!IR$3</f>
        <v>0.48219741040640007</v>
      </c>
      <c r="IY133" s="3">
        <f>$H133*factors!IS$3</f>
        <v>0.47513397177739997</v>
      </c>
      <c r="IZ133" s="3">
        <f>$H133*factors!IT$3</f>
        <v>0.48313920222360007</v>
      </c>
      <c r="JA133" s="3">
        <f>$H133*factors!IU$3</f>
        <v>0.45629813543339998</v>
      </c>
      <c r="JB133" s="3">
        <f>$H133*factors!IV$3</f>
        <v>0.46477426178820003</v>
      </c>
      <c r="JC133" s="3">
        <f>$H133*factors!IW$3</f>
        <v>0.45394365589040003</v>
      </c>
      <c r="JD133" s="3">
        <f>$H133*factors!IX$3</f>
        <v>0.49444070403000007</v>
      </c>
      <c r="JE133" s="3">
        <f>$H133*factors!IY$3</f>
        <v>0.45535634361619998</v>
      </c>
      <c r="JF133" s="3">
        <f>$H133*factors!IZ$3</f>
        <v>0.47795934722899996</v>
      </c>
      <c r="JG133" s="3">
        <f>$H133*factors!JA$3</f>
        <v>0.46948322087419997</v>
      </c>
      <c r="JH133" s="3">
        <f>$H133*factors!JB$3</f>
        <v>0.47843024313760008</v>
      </c>
      <c r="JI133" s="3">
        <f>$H133*factors!JC$3</f>
        <v>0.44782200907860004</v>
      </c>
      <c r="JJ133" s="3">
        <f>$H133*factors!JD$3</f>
        <v>0.48219741040640007</v>
      </c>
      <c r="JK133" s="3">
        <f>$H133*factors!JE$3</f>
        <v>0.46665784542260003</v>
      </c>
      <c r="JL133" s="3">
        <f>$H133*factors!JF$3</f>
        <v>0.48549368176660002</v>
      </c>
      <c r="JM133" s="3">
        <f>$H133*factors!JG$3</f>
        <v>0.45300186407320003</v>
      </c>
      <c r="JN133" s="3">
        <f>$H133*factors!JH$3</f>
        <v>0.45300186407320003</v>
      </c>
      <c r="JO133" s="3">
        <f>$H133*factors!JI$3</f>
        <v>0.44735111316999998</v>
      </c>
      <c r="JP133" s="3">
        <f>$H133*factors!JJ$3</f>
        <v>0.48361009813220002</v>
      </c>
      <c r="JQ133" s="3">
        <f>$H133*factors!JK$3</f>
        <v>0.47136680450859997</v>
      </c>
      <c r="JR133" s="3">
        <f>$H133*factors!JL$3</f>
        <v>0.48973174494400001</v>
      </c>
      <c r="JS133" s="3">
        <f>$H133*factors!JM$3</f>
        <v>0.44735111316999998</v>
      </c>
      <c r="JT133" s="3">
        <f>$H133*factors!JN$3</f>
        <v>0.46995411678280002</v>
      </c>
      <c r="JU133" s="3">
        <f>$H133*factors!JO$3</f>
        <v>0.45441455179899998</v>
      </c>
      <c r="JV133" s="3">
        <f>$H133*factors!JP$3</f>
        <v>0.46194888633660003</v>
      </c>
      <c r="JW133" s="3">
        <f>$H133*factors!JQ$3</f>
        <v>0.49349891221280007</v>
      </c>
      <c r="JX133" s="3">
        <f>$H133*factors!JR$3</f>
        <v>0.48878995312680001</v>
      </c>
      <c r="JY133" s="3">
        <f>$H133*factors!JS$3</f>
        <v>0.46006530270220003</v>
      </c>
      <c r="JZ133" s="3">
        <f>$H133*factors!JT$3</f>
        <v>0.46524515769680008</v>
      </c>
      <c r="KA133" s="3">
        <f>$H133*factors!JU$3</f>
        <v>0.46712874133120003</v>
      </c>
      <c r="KB133" s="3">
        <f>$H133*factors!JV$3</f>
        <v>0.45158917634740003</v>
      </c>
      <c r="KC133" s="3">
        <f>$H133*factors!JW$3</f>
        <v>0.45394365589040003</v>
      </c>
      <c r="KD133" s="3">
        <f>$H133*factors!JX$3</f>
        <v>0.45441455179899998</v>
      </c>
      <c r="KE133" s="3">
        <f>$H133*factors!JY$3</f>
        <v>0.48361009813220002</v>
      </c>
      <c r="KF133" s="3">
        <f>$H133*factors!JZ$3</f>
        <v>0.48926084903539996</v>
      </c>
      <c r="KG133" s="3">
        <f>$H133*factors!KA$3</f>
        <v>0.47183770041720002</v>
      </c>
      <c r="KH133" s="3">
        <f>$H133*factors!KB$3</f>
        <v>0.46147799042799997</v>
      </c>
      <c r="KI133" s="3">
        <f>$H133*factors!KC$3</f>
        <v>0.45723992725059998</v>
      </c>
    </row>
    <row r="134" spans="1:295" x14ac:dyDescent="0.55000000000000004">
      <c r="A134" t="s">
        <v>511</v>
      </c>
      <c r="B134">
        <v>133</v>
      </c>
      <c r="C134">
        <v>230</v>
      </c>
      <c r="D134" t="s">
        <v>377</v>
      </c>
      <c r="E134">
        <v>3.3409999999999998E-3</v>
      </c>
      <c r="F134">
        <v>133</v>
      </c>
      <c r="G134">
        <f>VLOOKUP(D134,demand_forecasted!$A$2:$G$11,2)</f>
        <v>11098</v>
      </c>
      <c r="H134" s="3">
        <f t="shared" si="2"/>
        <v>0.37078418000000002</v>
      </c>
      <c r="I134" s="3">
        <f>$H134*factors!C$3</f>
        <v>0.41045808725999999</v>
      </c>
      <c r="J134" s="3">
        <f>$H134*factors!D$3</f>
        <v>0.39564155142720003</v>
      </c>
      <c r="K134" s="3">
        <f>$H134*factors!E$3</f>
        <v>0.38883395388240005</v>
      </c>
      <c r="L134" s="3">
        <f>$H134*factors!F$3</f>
        <v>0.38763261313920006</v>
      </c>
      <c r="M134" s="3">
        <f>$H134*factors!G$3</f>
        <v>0.3872321662248</v>
      </c>
      <c r="N134" s="3">
        <f>$H134*factors!H$3</f>
        <v>0.39844467982800003</v>
      </c>
      <c r="O134" s="3">
        <f>$H134*factors!I$3</f>
        <v>0.4072545119448</v>
      </c>
      <c r="P134" s="3">
        <f>$H134*factors!J$3</f>
        <v>0.41205987491760004</v>
      </c>
      <c r="Q134" s="3">
        <f>$H134*factors!K$3</f>
        <v>0.3868317193104</v>
      </c>
      <c r="R134" s="3">
        <f>$H134*factors!L$3</f>
        <v>0.38042456868000002</v>
      </c>
      <c r="S134" s="3">
        <f>$H134*factors!M$3</f>
        <v>0.39604199834160003</v>
      </c>
      <c r="T134" s="3">
        <f>$H134*factors!N$3</f>
        <v>0.40965719343120005</v>
      </c>
      <c r="U134" s="3">
        <f>$H134*factors!O$3</f>
        <v>0.38803306005360005</v>
      </c>
      <c r="V134" s="3">
        <f>$H134*factors!P$3</f>
        <v>0.40365048971520007</v>
      </c>
      <c r="W134" s="3">
        <f>$H134*factors!Q$3</f>
        <v>0.4072545119448</v>
      </c>
      <c r="X134" s="3">
        <f>$H134*factors!R$3</f>
        <v>0.38963484771119999</v>
      </c>
      <c r="Y134" s="3">
        <f>$H134*factors!S$3</f>
        <v>0.38603082548160006</v>
      </c>
      <c r="Z134" s="3">
        <f>$H134*factors!T$3</f>
        <v>0.41646479097600009</v>
      </c>
      <c r="AA134" s="3">
        <f>$H134*factors!U$3</f>
        <v>0.39323886994079998</v>
      </c>
      <c r="AB134" s="3">
        <f>$H134*factors!V$3</f>
        <v>0.39363931685520009</v>
      </c>
      <c r="AC134" s="3">
        <f>$H134*factors!W$3</f>
        <v>0.39403976376960004</v>
      </c>
      <c r="AD134" s="3">
        <f>$H134*factors!X$3</f>
        <v>0.38563037856720006</v>
      </c>
      <c r="AE134" s="3">
        <f>$H134*factors!Y$3</f>
        <v>0.38883395388240005</v>
      </c>
      <c r="AF134" s="3">
        <f>$H134*factors!Z$3</f>
        <v>0.39684289217040009</v>
      </c>
      <c r="AG134" s="3">
        <f>$H134*factors!AA$3</f>
        <v>0.3868317193104</v>
      </c>
      <c r="AH134" s="3">
        <f>$H134*factors!AB$3</f>
        <v>0.38522993165280006</v>
      </c>
      <c r="AI134" s="3">
        <f>$H134*factors!AC$3</f>
        <v>0.39764378599920003</v>
      </c>
      <c r="AJ134" s="3">
        <f>$H134*factors!AD$3</f>
        <v>0.41286076874640004</v>
      </c>
      <c r="AK134" s="3">
        <f>$H134*factors!AE$3</f>
        <v>0.39724333908480003</v>
      </c>
      <c r="AL134" s="3">
        <f>$H134*factors!AF$3</f>
        <v>0.38162590942320002</v>
      </c>
      <c r="AM134" s="3">
        <f>$H134*factors!AG$3</f>
        <v>0.39243797611200004</v>
      </c>
      <c r="AN134" s="3">
        <f>$H134*factors!AH$3</f>
        <v>0.38603082548160006</v>
      </c>
      <c r="AO134" s="3">
        <f>$H134*factors!AI$3</f>
        <v>0.40445138354400001</v>
      </c>
      <c r="AP134" s="3">
        <f>$H134*factors!AJ$3</f>
        <v>0.38763261313920006</v>
      </c>
      <c r="AQ134" s="3">
        <f>$H134*factors!AK$3</f>
        <v>0.40004646748560008</v>
      </c>
      <c r="AR134" s="3">
        <f>$H134*factors!AL$3</f>
        <v>0.39123663536880005</v>
      </c>
      <c r="AS134" s="3">
        <f>$H134*factors!AM$3</f>
        <v>0.38162590942320002</v>
      </c>
      <c r="AT134" s="3">
        <f>$H134*factors!AN$3</f>
        <v>0.39363931685520009</v>
      </c>
      <c r="AU134" s="3">
        <f>$H134*factors!AO$3</f>
        <v>0.41686523789039998</v>
      </c>
      <c r="AV134" s="3">
        <f>$H134*factors!AP$3</f>
        <v>0.39403976376960004</v>
      </c>
      <c r="AW134" s="3">
        <f>$H134*factors!AQ$3</f>
        <v>0.39003529462559999</v>
      </c>
      <c r="AX134" s="3">
        <f>$H134*factors!AR$3</f>
        <v>0.41246032183200004</v>
      </c>
      <c r="AY134" s="3">
        <f>$H134*factors!AS$3</f>
        <v>0.38042456868000002</v>
      </c>
      <c r="AZ134" s="3">
        <f>$H134*factors!AT$3</f>
        <v>0.40765495885920011</v>
      </c>
      <c r="BA134" s="3">
        <f>$H134*factors!AU$3</f>
        <v>0.39884512674240002</v>
      </c>
      <c r="BB134" s="3">
        <f>$H134*factors!AV$3</f>
        <v>0.39363931685520009</v>
      </c>
      <c r="BC134" s="3">
        <f>$H134*factors!AW$3</f>
        <v>0.41646479097600009</v>
      </c>
      <c r="BD134" s="3">
        <f>$H134*factors!AX$3</f>
        <v>0.38442903782400001</v>
      </c>
      <c r="BE134" s="3">
        <f>$H134*factors!AY$3</f>
        <v>0.45196366836919999</v>
      </c>
      <c r="BF134" s="3">
        <f>$H134*factors!AZ$3</f>
        <v>0.42089936976879999</v>
      </c>
      <c r="BG134" s="3">
        <f>$H134*factors!BA$3</f>
        <v>0.42702472442239997</v>
      </c>
      <c r="BH134" s="3">
        <f>$H134*factors!BB$3</f>
        <v>0.43271255374360001</v>
      </c>
      <c r="BI134" s="3">
        <f>$H134*factors!BC$3</f>
        <v>0.44846346570999995</v>
      </c>
      <c r="BJ134" s="3">
        <f>$H134*factors!BD$3</f>
        <v>0.4283373004196</v>
      </c>
      <c r="BK134" s="3">
        <f>$H134*factors!BE$3</f>
        <v>0.42921235108439998</v>
      </c>
      <c r="BL134" s="3">
        <f>$H134*factors!BF$3</f>
        <v>0.42439957242799997</v>
      </c>
      <c r="BM134" s="3">
        <f>$H134*factors!BG$3</f>
        <v>0.45327624436640002</v>
      </c>
      <c r="BN134" s="3">
        <f>$H134*factors!BH$3</f>
        <v>0.44758841504519997</v>
      </c>
      <c r="BO134" s="3">
        <f>$H134*factors!BI$3</f>
        <v>0.42089936976879999</v>
      </c>
      <c r="BP134" s="3">
        <f>$H134*factors!BJ$3</f>
        <v>0.41958679377159996</v>
      </c>
      <c r="BQ134" s="3">
        <f>$H134*factors!BK$3</f>
        <v>0.42658719908999998</v>
      </c>
      <c r="BR134" s="3">
        <f>$H134*factors!BL$3</f>
        <v>0.44190058572400004</v>
      </c>
      <c r="BS134" s="3">
        <f>$H134*factors!BM$3</f>
        <v>0.4489009910424</v>
      </c>
      <c r="BT134" s="3">
        <f>$H134*factors!BN$3</f>
        <v>0.45021356703959997</v>
      </c>
      <c r="BU134" s="3">
        <f>$H134*factors!BO$3</f>
        <v>0.45765149769040003</v>
      </c>
      <c r="BV134" s="3">
        <f>$H134*factors!BP$3</f>
        <v>0.4257121484252</v>
      </c>
      <c r="BW134" s="3">
        <f>$H134*factors!BQ$3</f>
        <v>0.43533770573800001</v>
      </c>
      <c r="BX134" s="3">
        <f>$H134*factors!BR$3</f>
        <v>0.42702472442239997</v>
      </c>
      <c r="BY134" s="3">
        <f>$H134*factors!BS$3</f>
        <v>0.44671336438039994</v>
      </c>
      <c r="BZ134" s="3">
        <f>$H134*factors!BT$3</f>
        <v>0.43840038306479995</v>
      </c>
      <c r="CA134" s="3">
        <f>$H134*factors!BU$3</f>
        <v>0.43271255374360001</v>
      </c>
      <c r="CB134" s="3">
        <f>$H134*factors!BV$3</f>
        <v>0.41871174310679998</v>
      </c>
      <c r="CC134" s="3">
        <f>$H134*factors!BW$3</f>
        <v>0.430962452414</v>
      </c>
      <c r="CD134" s="3">
        <f>$H134*factors!BX$3</f>
        <v>0.43227502841120002</v>
      </c>
      <c r="CE134" s="3">
        <f>$H134*factors!BY$3</f>
        <v>0.43840038306479995</v>
      </c>
      <c r="CF134" s="3">
        <f>$H134*factors!BZ$3</f>
        <v>0.43183750307880003</v>
      </c>
      <c r="CG134" s="3">
        <f>$H134*factors!CA$3</f>
        <v>0.41739916710959996</v>
      </c>
      <c r="CH134" s="3">
        <f>$H134*factors!CB$3</f>
        <v>0.41783669244199995</v>
      </c>
      <c r="CI134" s="3">
        <f>$H134*factors!CC$3</f>
        <v>0.41564906577999999</v>
      </c>
      <c r="CJ134" s="3">
        <f>$H134*factors!CD$3</f>
        <v>0.43271255374360001</v>
      </c>
      <c r="CK134" s="3">
        <f>$H134*factors!CE$3</f>
        <v>0.45196366836919999</v>
      </c>
      <c r="CL134" s="3">
        <f>$H134*factors!CF$3</f>
        <v>0.42352452176319999</v>
      </c>
      <c r="CM134" s="3">
        <f>$H134*factors!CG$3</f>
        <v>0.4335876044084</v>
      </c>
      <c r="CN134" s="3">
        <f>$H134*factors!CH$3</f>
        <v>0.41914926843919997</v>
      </c>
      <c r="CO134" s="3">
        <f>$H134*factors!CI$3</f>
        <v>0.42221194576599996</v>
      </c>
      <c r="CP134" s="3">
        <f>$H134*factors!CJ$3</f>
        <v>0.44233811105639992</v>
      </c>
      <c r="CQ134" s="3">
        <f>$H134*factors!CK$3</f>
        <v>0.42921235108439998</v>
      </c>
      <c r="CR134" s="3">
        <f>$H134*factors!CL$3</f>
        <v>0.44277563638879996</v>
      </c>
      <c r="CS134" s="3">
        <f>$H134*factors!CM$3</f>
        <v>0.4567764470256</v>
      </c>
      <c r="CT134" s="3">
        <f>$H134*factors!CN$3</f>
        <v>0.4515261430368</v>
      </c>
      <c r="CU134" s="3">
        <f>$H134*factors!CO$3</f>
        <v>0.44146306039159994</v>
      </c>
      <c r="CV134" s="3">
        <f>$H134*factors!CP$3</f>
        <v>0.45940159902</v>
      </c>
      <c r="CW134" s="3">
        <f>$H134*factors!CQ$3</f>
        <v>0.43446265507320003</v>
      </c>
      <c r="CX134" s="3">
        <f>$H134*factors!CR$3</f>
        <v>0.42789977508720001</v>
      </c>
      <c r="CY134" s="3">
        <f>$H134*factors!CS$3</f>
        <v>0.42396204709559998</v>
      </c>
      <c r="CZ134" s="3">
        <f>$H134*factors!CT$3</f>
        <v>0.41783669244199995</v>
      </c>
      <c r="DA134" s="3">
        <f>$H134*factors!CU$3</f>
        <v>0.43381749060000002</v>
      </c>
      <c r="DB134" s="3">
        <f>$H134*factors!CV$3</f>
        <v>0.46184877460800006</v>
      </c>
      <c r="DC134" s="3">
        <f>$H134*factors!CW$3</f>
        <v>0.44227136990399996</v>
      </c>
      <c r="DD134" s="3">
        <f>$H134*factors!CX$3</f>
        <v>0.43915678279199999</v>
      </c>
      <c r="DE134" s="3">
        <f>$H134*factors!CY$3</f>
        <v>0.45206007225600003</v>
      </c>
      <c r="DF134" s="3">
        <f>$H134*factors!CZ$3</f>
        <v>0.45117019022399996</v>
      </c>
      <c r="DG134" s="3">
        <f>$H134*factors!DA$3</f>
        <v>0.44939042616000002</v>
      </c>
      <c r="DH134" s="3">
        <f>$H134*factors!DB$3</f>
        <v>0.44939042616000002</v>
      </c>
      <c r="DI134" s="3">
        <f>$H134*factors!DC$3</f>
        <v>0.43248266755199999</v>
      </c>
      <c r="DJ134" s="3">
        <f>$H134*factors!DD$3</f>
        <v>0.45828924648000002</v>
      </c>
      <c r="DK134" s="3">
        <f>$H134*factors!DE$3</f>
        <v>0.45828924648000002</v>
      </c>
      <c r="DL134" s="3">
        <f>$H134*factors!DF$3</f>
        <v>0.45294995428800006</v>
      </c>
      <c r="DM134" s="3">
        <f>$H134*factors!DG$3</f>
        <v>0.42669843434399995</v>
      </c>
      <c r="DN134" s="3">
        <f>$H134*factors!DH$3</f>
        <v>0.44761066209600003</v>
      </c>
      <c r="DO134" s="3">
        <f>$H134*factors!DI$3</f>
        <v>0.46229371562400001</v>
      </c>
      <c r="DP134" s="3">
        <f>$H134*factors!DJ$3</f>
        <v>0.45828924648000002</v>
      </c>
      <c r="DQ134" s="3">
        <f>$H134*factors!DK$3</f>
        <v>0.43693207771199999</v>
      </c>
      <c r="DR134" s="3">
        <f>$H134*factors!DL$3</f>
        <v>0.43203772653600003</v>
      </c>
      <c r="DS134" s="3">
        <f>$H134*factors!DM$3</f>
        <v>0.46674312578400001</v>
      </c>
      <c r="DT134" s="3">
        <f>$H134*factors!DN$3</f>
        <v>0.43871184177600003</v>
      </c>
      <c r="DU134" s="3">
        <f>$H134*factors!DO$3</f>
        <v>0.45917912851199999</v>
      </c>
      <c r="DV134" s="3">
        <f>$H134*factors!DP$3</f>
        <v>0.448500544128</v>
      </c>
      <c r="DW134" s="3">
        <f>$H134*factors!DQ$3</f>
        <v>0.42803325739199999</v>
      </c>
      <c r="DX134" s="3">
        <f>$H134*factors!DR$3</f>
        <v>0.45339489530399996</v>
      </c>
      <c r="DY134" s="3">
        <f>$H134*factors!DS$3</f>
        <v>0.43025796247199999</v>
      </c>
      <c r="DZ134" s="3">
        <f>$H134*factors!DT$3</f>
        <v>0.46006901054400001</v>
      </c>
      <c r="EA134" s="3">
        <f>$H134*factors!DU$3</f>
        <v>0.43337254958399996</v>
      </c>
      <c r="EB134" s="3">
        <f>$H134*factors!DV$3</f>
        <v>0.42269396519999997</v>
      </c>
      <c r="EC134" s="3">
        <f>$H134*factors!DW$3</f>
        <v>0.45472971835199999</v>
      </c>
      <c r="ED134" s="3">
        <f>$H134*factors!DX$3</f>
        <v>0.42669843434399995</v>
      </c>
      <c r="EE134" s="3">
        <f>$H134*factors!DY$3</f>
        <v>0.43025796247199999</v>
      </c>
      <c r="EF134" s="3">
        <f>$H134*factors!DZ$3</f>
        <v>0.46674312578400001</v>
      </c>
      <c r="EG134" s="3">
        <f>$H134*factors!EA$3</f>
        <v>0.43604219568000002</v>
      </c>
      <c r="EH134" s="3">
        <f>$H134*factors!EB$3</f>
        <v>0.437377018728</v>
      </c>
      <c r="EI134" s="3">
        <f>$H134*factors!EC$3</f>
        <v>0.43648713669600003</v>
      </c>
      <c r="EJ134" s="3">
        <f>$H134*factors!ED$3</f>
        <v>0.42536361129600003</v>
      </c>
      <c r="EK134" s="3">
        <f>$H134*factors!EE$3</f>
        <v>0.45472971835199999</v>
      </c>
      <c r="EL134" s="3">
        <f>$H134*factors!EF$3</f>
        <v>0.43248266755199999</v>
      </c>
      <c r="EM134" s="3">
        <f>$H134*factors!EG$3</f>
        <v>0.44983536717599998</v>
      </c>
      <c r="EN134" s="3">
        <f>$H134*factors!EH$3</f>
        <v>0.42269396519999997</v>
      </c>
      <c r="EO134" s="3">
        <f>$H134*factors!EI$3</f>
        <v>0.42892313942399996</v>
      </c>
      <c r="EP134" s="3">
        <f>$H134*factors!EJ$3</f>
        <v>0.45250501327199999</v>
      </c>
      <c r="EQ134" s="3">
        <f>$H134*factors!EK$3</f>
        <v>0.44004666482399996</v>
      </c>
      <c r="ER134" s="3">
        <f>$H134*factors!EL$3</f>
        <v>0.45828924648000002</v>
      </c>
      <c r="ES134" s="3">
        <f>$H134*factors!EM$3</f>
        <v>0.45250501327199999</v>
      </c>
      <c r="ET134" s="3">
        <f>$H134*factors!EN$3</f>
        <v>0.46273865664000002</v>
      </c>
      <c r="EU134" s="3">
        <f>$H134*factors!EO$3</f>
        <v>0.46718806680000002</v>
      </c>
      <c r="EV134" s="3">
        <f>$H134*factors!EP$3</f>
        <v>0.43782195974399996</v>
      </c>
      <c r="EW134" s="3">
        <f>$H134*factors!EQ$3</f>
        <v>0.48155595377499999</v>
      </c>
      <c r="EX134" s="3">
        <f>$H134*factors!ER$3</f>
        <v>0.47645767130000005</v>
      </c>
      <c r="EY134" s="3">
        <f>$H134*factors!ES$3</f>
        <v>0.48619075602499995</v>
      </c>
      <c r="EZ134" s="3">
        <f>$H134*factors!ET$3</f>
        <v>0.48155595377499999</v>
      </c>
      <c r="FA134" s="3">
        <f>$H134*factors!EU$3</f>
        <v>0.44262361487499996</v>
      </c>
      <c r="FB134" s="3">
        <f>$H134*factors!EV$3</f>
        <v>0.46255326455000007</v>
      </c>
      <c r="FC134" s="3">
        <f>$H134*factors!EW$3</f>
        <v>0.47553071085000004</v>
      </c>
      <c r="FD134" s="3">
        <f>$H134*factors!EX$3</f>
        <v>0.45884542275000006</v>
      </c>
      <c r="FE134" s="3">
        <f>$H134*factors!EY$3</f>
        <v>0.48340987467500002</v>
      </c>
      <c r="FF134" s="3">
        <f>$H134*factors!EZ$3</f>
        <v>0.48387335490000011</v>
      </c>
      <c r="FG134" s="3">
        <f>$H134*factors!FA$3</f>
        <v>0.44262361487499996</v>
      </c>
      <c r="FH134" s="3">
        <f>$H134*factors!FB$3</f>
        <v>0.46579762612499997</v>
      </c>
      <c r="FI134" s="3">
        <f>$H134*factors!FC$3</f>
        <v>0.48526379557499999</v>
      </c>
      <c r="FJ134" s="3">
        <f>$H134*factors!FD$3</f>
        <v>0.46579762612499997</v>
      </c>
      <c r="FK134" s="3">
        <f>$H134*factors!FE$3</f>
        <v>0.47367678995000007</v>
      </c>
      <c r="FL134" s="3">
        <f>$H134*factors!FF$3</f>
        <v>0.475067230625</v>
      </c>
      <c r="FM134" s="3">
        <f>$H134*factors!FG$3</f>
        <v>0.4801655131</v>
      </c>
      <c r="FN134" s="3">
        <f>$H134*factors!FH$3</f>
        <v>0.449112338025</v>
      </c>
      <c r="FO134" s="3">
        <f>$H134*factors!FI$3</f>
        <v>0.47692115152499998</v>
      </c>
      <c r="FP134" s="3">
        <f>$H134*factors!FJ$3</f>
        <v>0.46348022500000002</v>
      </c>
      <c r="FQ134" s="3">
        <f>$H134*factors!FK$3</f>
        <v>0.45884542275000006</v>
      </c>
      <c r="FR134" s="3">
        <f>$H134*factors!FL$3</f>
        <v>0.46811502724999998</v>
      </c>
      <c r="FS134" s="3">
        <f>$H134*factors!FM$3</f>
        <v>0.4653341459</v>
      </c>
      <c r="FT134" s="3">
        <f>$H134*factors!FN$3</f>
        <v>0.47553071085000004</v>
      </c>
      <c r="FU134" s="3">
        <f>$H134*factors!FO$3</f>
        <v>0.45699150184999998</v>
      </c>
      <c r="FV134" s="3">
        <f>$H134*factors!FP$3</f>
        <v>0.45328366004999998</v>
      </c>
      <c r="FW134" s="3">
        <f>$H134*factors!FQ$3</f>
        <v>0.48526379557499999</v>
      </c>
      <c r="FX134" s="3">
        <f>$H134*factors!FR$3</f>
        <v>0.47645767130000005</v>
      </c>
      <c r="FY134" s="3">
        <f>$H134*factors!FS$3</f>
        <v>0.46672458657499993</v>
      </c>
      <c r="FZ134" s="3">
        <f>$H134*factors!FT$3</f>
        <v>0.44355057532500003</v>
      </c>
      <c r="GA134" s="3">
        <f>$H134*factors!FU$3</f>
        <v>0.46672458657499993</v>
      </c>
      <c r="GB134" s="3">
        <f>$H134*factors!FV$3</f>
        <v>0.48387335490000011</v>
      </c>
      <c r="GC134" s="3">
        <f>$H134*factors!FW$3</f>
        <v>0.45328366004999998</v>
      </c>
      <c r="GD134" s="3">
        <f>$H134*factors!FX$3</f>
        <v>0.46116282387500002</v>
      </c>
      <c r="GE134" s="3">
        <f>$H134*factors!FY$3</f>
        <v>0.46116282387500002</v>
      </c>
      <c r="GF134" s="3">
        <f>$H134*factors!FZ$3</f>
        <v>0.45977238320000002</v>
      </c>
      <c r="GG134" s="3">
        <f>$H134*factors!GA$3</f>
        <v>0.441696654425</v>
      </c>
      <c r="GH134" s="3">
        <f>$H134*factors!GB$3</f>
        <v>0.46996894815000007</v>
      </c>
      <c r="GI134" s="3">
        <f>$H134*factors!GC$3</f>
        <v>0.44076969397499999</v>
      </c>
      <c r="GJ134" s="3">
        <f>$H134*factors!GD$3</f>
        <v>0.441696654425</v>
      </c>
      <c r="GK134" s="3">
        <f>$H134*factors!GE$3</f>
        <v>0.452820179825</v>
      </c>
      <c r="GL134" s="3">
        <f>$H134*factors!GF$3</f>
        <v>0.47970203287500002</v>
      </c>
      <c r="GM134" s="3">
        <f>$H134*factors!GG$3</f>
        <v>0.45467410072500003</v>
      </c>
      <c r="GN134" s="3">
        <f>$H134*factors!GH$3</f>
        <v>0.46904198770000005</v>
      </c>
      <c r="GO134" s="3">
        <f>$H134*factors!GI$3</f>
        <v>0.44308709509999994</v>
      </c>
      <c r="GP134" s="3">
        <f>$H134*factors!GJ$3</f>
        <v>0.475067230625</v>
      </c>
      <c r="GQ134" s="3">
        <f>$H134*factors!GK$3</f>
        <v>0.48480031535000007</v>
      </c>
      <c r="GR134" s="3">
        <f>$H134*factors!GL$3</f>
        <v>0.47553071085000004</v>
      </c>
      <c r="GS134" s="3">
        <f>$H134*factors!GM$3</f>
        <v>0.44970559271300004</v>
      </c>
      <c r="GT134" s="3">
        <f>$H134*factors!GN$3</f>
        <v>0.46006530270220003</v>
      </c>
      <c r="GU134" s="3">
        <f>$H134*factors!GO$3</f>
        <v>0.47089590860000002</v>
      </c>
      <c r="GV134" s="3">
        <f>$H134*factors!GP$3</f>
        <v>0.45206007225600003</v>
      </c>
      <c r="GW134" s="3">
        <f>$H134*factors!GQ$3</f>
        <v>0.46807053314840003</v>
      </c>
      <c r="GX134" s="3">
        <f>$H134*factors!GR$3</f>
        <v>0.46053619861080003</v>
      </c>
      <c r="GY134" s="3">
        <f>$H134*factors!GS$3</f>
        <v>0.45818171906780003</v>
      </c>
      <c r="GZ134" s="3">
        <f>$H134*factors!GT$3</f>
        <v>0.47513397177739997</v>
      </c>
      <c r="HA134" s="3">
        <f>$H134*factors!GU$3</f>
        <v>0.45959440679360003</v>
      </c>
      <c r="HB134" s="3">
        <f>$H134*factors!GV$3</f>
        <v>0.47513397177739997</v>
      </c>
      <c r="HC134" s="3">
        <f>$H134*factors!GW$3</f>
        <v>0.46336157406239997</v>
      </c>
      <c r="HD134" s="3">
        <f>$H134*factors!GX$3</f>
        <v>0.47701755541179997</v>
      </c>
      <c r="HE134" s="3">
        <f>$H134*factors!GY$3</f>
        <v>0.47089590860000002</v>
      </c>
      <c r="HF134" s="3">
        <f>$H134*factors!GZ$3</f>
        <v>0.48549368176660002</v>
      </c>
      <c r="HG134" s="3">
        <f>$H134*factors!HA$3</f>
        <v>0.46665784542260003</v>
      </c>
      <c r="HH134" s="3">
        <f>$H134*factors!HB$3</f>
        <v>0.46053619861080003</v>
      </c>
      <c r="HI134" s="3">
        <f>$H134*factors!HC$3</f>
        <v>0.45488544770760003</v>
      </c>
      <c r="HJ134" s="3">
        <f>$H134*factors!HD$3</f>
        <v>0.44970559271300004</v>
      </c>
      <c r="HK134" s="3">
        <f>$H134*factors!HE$3</f>
        <v>0.47560486768600002</v>
      </c>
      <c r="HL134" s="3">
        <f>$H134*factors!HF$3</f>
        <v>0.44829290498719998</v>
      </c>
      <c r="HM134" s="3">
        <f>$H134*factors!HG$3</f>
        <v>0.45300186407320003</v>
      </c>
      <c r="HN134" s="3">
        <f>$H134*factors!HH$3</f>
        <v>0.48313920222360007</v>
      </c>
      <c r="HO134" s="3">
        <f>$H134*factors!HI$3</f>
        <v>0.46336157406239997</v>
      </c>
      <c r="HP134" s="3">
        <f>$H134*factors!HJ$3</f>
        <v>0.49444070403000007</v>
      </c>
      <c r="HQ134" s="3">
        <f>$H134*factors!HK$3</f>
        <v>0.45206007225600003</v>
      </c>
      <c r="HR134" s="3">
        <f>$H134*factors!HL$3</f>
        <v>0.47937203495480007</v>
      </c>
      <c r="HS134" s="3">
        <f>$H134*factors!HM$3</f>
        <v>0.48784816130960001</v>
      </c>
      <c r="HT134" s="3">
        <f>$H134*factors!HN$3</f>
        <v>0.45488544770760003</v>
      </c>
      <c r="HU134" s="3">
        <f>$H134*factors!HO$3</f>
        <v>0.45959440679360003</v>
      </c>
      <c r="HV134" s="3">
        <f>$H134*factors!HP$3</f>
        <v>0.46524515769680008</v>
      </c>
      <c r="HW134" s="3">
        <f>$H134*factors!HQ$3</f>
        <v>0.47183770041720002</v>
      </c>
      <c r="HX134" s="3">
        <f>$H134*factors!HR$3</f>
        <v>0.49114443266979996</v>
      </c>
      <c r="HY134" s="3">
        <f>$H134*factors!HS$3</f>
        <v>0.46665784542260003</v>
      </c>
      <c r="HZ134" s="3">
        <f>$H134*factors!HT$3</f>
        <v>0.48455188994940002</v>
      </c>
      <c r="IA134" s="3">
        <f>$H134*factors!HU$3</f>
        <v>0.46100709451940003</v>
      </c>
      <c r="IB134" s="3">
        <f>$H134*factors!HV$3</f>
        <v>0.47701755541179997</v>
      </c>
      <c r="IC134" s="3">
        <f>$H134*factors!HW$3</f>
        <v>0.48172651449780002</v>
      </c>
      <c r="ID134" s="3">
        <f>$H134*factors!HX$3</f>
        <v>0.44735111316999998</v>
      </c>
      <c r="IE134" s="3">
        <f>$H134*factors!HY$3</f>
        <v>0.47513397177739997</v>
      </c>
      <c r="IF134" s="3">
        <f>$H134*factors!HZ$3</f>
        <v>0.47230859632579997</v>
      </c>
      <c r="IG134" s="3">
        <f>$H134*factors!IA$3</f>
        <v>0.46807053314840003</v>
      </c>
      <c r="IH134" s="3">
        <f>$H134*factors!IB$3</f>
        <v>0.48549368176660002</v>
      </c>
      <c r="II134" s="3">
        <f>$H134*factors!IC$3</f>
        <v>0.46477426178820003</v>
      </c>
      <c r="IJ134" s="3">
        <f>$H134*factors!ID$3</f>
        <v>0.46901232496560002</v>
      </c>
      <c r="IK134" s="3">
        <f>$H134*factors!IE$3</f>
        <v>0.48596457767520002</v>
      </c>
      <c r="IL134" s="3">
        <f>$H134*factors!IF$3</f>
        <v>0.46524515769680008</v>
      </c>
      <c r="IM134" s="3">
        <f>$H134*factors!IG$3</f>
        <v>0.46100709451940003</v>
      </c>
      <c r="IN134" s="3">
        <f>$H134*factors!IH$3</f>
        <v>0.46383246997100003</v>
      </c>
      <c r="IO134" s="3">
        <f>$H134*factors!II$3</f>
        <v>0.46854142905700003</v>
      </c>
      <c r="IP134" s="3">
        <f>$H134*factors!IJ$3</f>
        <v>0.45300186407320003</v>
      </c>
      <c r="IQ134" s="3">
        <f>$H134*factors!IK$3</f>
        <v>0.45158917634740003</v>
      </c>
      <c r="IR134" s="3">
        <f>$H134*factors!IL$3</f>
        <v>0.46477426178820003</v>
      </c>
      <c r="IS134" s="3">
        <f>$H134*factors!IM$3</f>
        <v>0.46854142905700003</v>
      </c>
      <c r="IT134" s="3">
        <f>$H134*factors!IN$3</f>
        <v>0.47183770041720002</v>
      </c>
      <c r="IU134" s="3">
        <f>$H134*factors!IO$3</f>
        <v>0.48219741040640007</v>
      </c>
      <c r="IV134" s="3">
        <f>$H134*factors!IP$3</f>
        <v>0.48831905721819996</v>
      </c>
      <c r="IW134" s="3">
        <f>$H134*factors!IQ$3</f>
        <v>0.46147799042799997</v>
      </c>
      <c r="IX134" s="3">
        <f>$H134*factors!IR$3</f>
        <v>0.48219741040640007</v>
      </c>
      <c r="IY134" s="3">
        <f>$H134*factors!IS$3</f>
        <v>0.47513397177739997</v>
      </c>
      <c r="IZ134" s="3">
        <f>$H134*factors!IT$3</f>
        <v>0.48313920222360007</v>
      </c>
      <c r="JA134" s="3">
        <f>$H134*factors!IU$3</f>
        <v>0.45629813543339998</v>
      </c>
      <c r="JB134" s="3">
        <f>$H134*factors!IV$3</f>
        <v>0.46477426178820003</v>
      </c>
      <c r="JC134" s="3">
        <f>$H134*factors!IW$3</f>
        <v>0.45394365589040003</v>
      </c>
      <c r="JD134" s="3">
        <f>$H134*factors!IX$3</f>
        <v>0.49444070403000007</v>
      </c>
      <c r="JE134" s="3">
        <f>$H134*factors!IY$3</f>
        <v>0.45535634361619998</v>
      </c>
      <c r="JF134" s="3">
        <f>$H134*factors!IZ$3</f>
        <v>0.47795934722899996</v>
      </c>
      <c r="JG134" s="3">
        <f>$H134*factors!JA$3</f>
        <v>0.46948322087419997</v>
      </c>
      <c r="JH134" s="3">
        <f>$H134*factors!JB$3</f>
        <v>0.47843024313760008</v>
      </c>
      <c r="JI134" s="3">
        <f>$H134*factors!JC$3</f>
        <v>0.44782200907860004</v>
      </c>
      <c r="JJ134" s="3">
        <f>$H134*factors!JD$3</f>
        <v>0.48219741040640007</v>
      </c>
      <c r="JK134" s="3">
        <f>$H134*factors!JE$3</f>
        <v>0.46665784542260003</v>
      </c>
      <c r="JL134" s="3">
        <f>$H134*factors!JF$3</f>
        <v>0.48549368176660002</v>
      </c>
      <c r="JM134" s="3">
        <f>$H134*factors!JG$3</f>
        <v>0.45300186407320003</v>
      </c>
      <c r="JN134" s="3">
        <f>$H134*factors!JH$3</f>
        <v>0.45300186407320003</v>
      </c>
      <c r="JO134" s="3">
        <f>$H134*factors!JI$3</f>
        <v>0.44735111316999998</v>
      </c>
      <c r="JP134" s="3">
        <f>$H134*factors!JJ$3</f>
        <v>0.48361009813220002</v>
      </c>
      <c r="JQ134" s="3">
        <f>$H134*factors!JK$3</f>
        <v>0.47136680450859997</v>
      </c>
      <c r="JR134" s="3">
        <f>$H134*factors!JL$3</f>
        <v>0.48973174494400001</v>
      </c>
      <c r="JS134" s="3">
        <f>$H134*factors!JM$3</f>
        <v>0.44735111316999998</v>
      </c>
      <c r="JT134" s="3">
        <f>$H134*factors!JN$3</f>
        <v>0.46995411678280002</v>
      </c>
      <c r="JU134" s="3">
        <f>$H134*factors!JO$3</f>
        <v>0.45441455179899998</v>
      </c>
      <c r="JV134" s="3">
        <f>$H134*factors!JP$3</f>
        <v>0.46194888633660003</v>
      </c>
      <c r="JW134" s="3">
        <f>$H134*factors!JQ$3</f>
        <v>0.49349891221280007</v>
      </c>
      <c r="JX134" s="3">
        <f>$H134*factors!JR$3</f>
        <v>0.48878995312680001</v>
      </c>
      <c r="JY134" s="3">
        <f>$H134*factors!JS$3</f>
        <v>0.46006530270220003</v>
      </c>
      <c r="JZ134" s="3">
        <f>$H134*factors!JT$3</f>
        <v>0.46524515769680008</v>
      </c>
      <c r="KA134" s="3">
        <f>$H134*factors!JU$3</f>
        <v>0.46712874133120003</v>
      </c>
      <c r="KB134" s="3">
        <f>$H134*factors!JV$3</f>
        <v>0.45158917634740003</v>
      </c>
      <c r="KC134" s="3">
        <f>$H134*factors!JW$3</f>
        <v>0.45394365589040003</v>
      </c>
      <c r="KD134" s="3">
        <f>$H134*factors!JX$3</f>
        <v>0.45441455179899998</v>
      </c>
      <c r="KE134" s="3">
        <f>$H134*factors!JY$3</f>
        <v>0.48361009813220002</v>
      </c>
      <c r="KF134" s="3">
        <f>$H134*factors!JZ$3</f>
        <v>0.48926084903539996</v>
      </c>
      <c r="KG134" s="3">
        <f>$H134*factors!KA$3</f>
        <v>0.47183770041720002</v>
      </c>
      <c r="KH134" s="3">
        <f>$H134*factors!KB$3</f>
        <v>0.46147799042799997</v>
      </c>
      <c r="KI134" s="3">
        <f>$H134*factors!KC$3</f>
        <v>0.45723992725059998</v>
      </c>
    </row>
    <row r="135" spans="1:295" x14ac:dyDescent="0.55000000000000004">
      <c r="A135" t="s">
        <v>512</v>
      </c>
      <c r="B135">
        <v>134</v>
      </c>
      <c r="C135">
        <v>230</v>
      </c>
      <c r="D135" t="s">
        <v>377</v>
      </c>
      <c r="E135">
        <v>1.5035E-2</v>
      </c>
      <c r="F135">
        <v>134</v>
      </c>
      <c r="G135">
        <f>VLOOKUP(D135,demand_forecasted!$A$2:$G$11,2)</f>
        <v>11098</v>
      </c>
      <c r="H135" s="3">
        <f t="shared" si="2"/>
        <v>1.6685843</v>
      </c>
      <c r="I135" s="3">
        <f>$H135*factors!C$3</f>
        <v>1.8471228201000001</v>
      </c>
      <c r="J135" s="3">
        <f>$H135*factors!D$3</f>
        <v>1.780446191472</v>
      </c>
      <c r="K135" s="3">
        <f>$H135*factors!E$3</f>
        <v>1.7498109837240001</v>
      </c>
      <c r="L135" s="3">
        <f>$H135*factors!F$3</f>
        <v>1.7444047705920003</v>
      </c>
      <c r="M135" s="3">
        <f>$H135*factors!G$3</f>
        <v>1.742602699548</v>
      </c>
      <c r="N135" s="3">
        <f>$H135*factors!H$3</f>
        <v>1.79306068878</v>
      </c>
      <c r="O135" s="3">
        <f>$H135*factors!I$3</f>
        <v>1.8327062517479999</v>
      </c>
      <c r="P135" s="3">
        <f>$H135*factors!J$3</f>
        <v>1.8543311042760002</v>
      </c>
      <c r="Q135" s="3">
        <f>$H135*factors!K$3</f>
        <v>1.7408006285040001</v>
      </c>
      <c r="R135" s="3">
        <f>$H135*factors!L$3</f>
        <v>1.7119674918000001</v>
      </c>
      <c r="S135" s="3">
        <f>$H135*factors!M$3</f>
        <v>1.7822482625159999</v>
      </c>
      <c r="T135" s="3">
        <f>$H135*factors!N$3</f>
        <v>1.8435186780120001</v>
      </c>
      <c r="U135" s="3">
        <f>$H135*factors!O$3</f>
        <v>1.7462068416360002</v>
      </c>
      <c r="V135" s="3">
        <f>$H135*factors!P$3</f>
        <v>1.8164876123520002</v>
      </c>
      <c r="W135" s="3">
        <f>$H135*factors!Q$3</f>
        <v>1.8327062517479999</v>
      </c>
      <c r="X135" s="3">
        <f>$H135*factors!R$3</f>
        <v>1.7534151258120001</v>
      </c>
      <c r="Y135" s="3">
        <f>$H135*factors!S$3</f>
        <v>1.7371964864160001</v>
      </c>
      <c r="Z135" s="3">
        <f>$H135*factors!T$3</f>
        <v>1.8741538857600004</v>
      </c>
      <c r="AA135" s="3">
        <f>$H135*factors!U$3</f>
        <v>1.7696337652079999</v>
      </c>
      <c r="AB135" s="3">
        <f>$H135*factors!V$3</f>
        <v>1.7714358362520002</v>
      </c>
      <c r="AC135" s="3">
        <f>$H135*factors!W$3</f>
        <v>1.7732379072960003</v>
      </c>
      <c r="AD135" s="3">
        <f>$H135*factors!X$3</f>
        <v>1.7353944153720002</v>
      </c>
      <c r="AE135" s="3">
        <f>$H135*factors!Y$3</f>
        <v>1.7498109837240001</v>
      </c>
      <c r="AF135" s="3">
        <f>$H135*factors!Z$3</f>
        <v>1.7858524046040003</v>
      </c>
      <c r="AG135" s="3">
        <f>$H135*factors!AA$3</f>
        <v>1.7408006285040001</v>
      </c>
      <c r="AH135" s="3">
        <f>$H135*factors!AB$3</f>
        <v>1.7335923443280001</v>
      </c>
      <c r="AI135" s="3">
        <f>$H135*factors!AC$3</f>
        <v>1.789456546692</v>
      </c>
      <c r="AJ135" s="3">
        <f>$H135*factors!AD$3</f>
        <v>1.857935246364</v>
      </c>
      <c r="AK135" s="3">
        <f>$H135*factors!AE$3</f>
        <v>1.7876544756480002</v>
      </c>
      <c r="AL135" s="3">
        <f>$H135*factors!AF$3</f>
        <v>1.7173737049319999</v>
      </c>
      <c r="AM135" s="3">
        <f>$H135*factors!AG$3</f>
        <v>1.7660296231200001</v>
      </c>
      <c r="AN135" s="3">
        <f>$H135*factors!AH$3</f>
        <v>1.7371964864160001</v>
      </c>
      <c r="AO135" s="3">
        <f>$H135*factors!AI$3</f>
        <v>1.8200917544399999</v>
      </c>
      <c r="AP135" s="3">
        <f>$H135*factors!AJ$3</f>
        <v>1.7444047705920003</v>
      </c>
      <c r="AQ135" s="3">
        <f>$H135*factors!AK$3</f>
        <v>1.8002689729560002</v>
      </c>
      <c r="AR135" s="3">
        <f>$H135*factors!AL$3</f>
        <v>1.7606234099880003</v>
      </c>
      <c r="AS135" s="3">
        <f>$H135*factors!AM$3</f>
        <v>1.7173737049319999</v>
      </c>
      <c r="AT135" s="3">
        <f>$H135*factors!AN$3</f>
        <v>1.7714358362520002</v>
      </c>
      <c r="AU135" s="3">
        <f>$H135*factors!AO$3</f>
        <v>1.8759559568039998</v>
      </c>
      <c r="AV135" s="3">
        <f>$H135*factors!AP$3</f>
        <v>1.7732379072960003</v>
      </c>
      <c r="AW135" s="3">
        <f>$H135*factors!AQ$3</f>
        <v>1.755217196856</v>
      </c>
      <c r="AX135" s="3">
        <f>$H135*factors!AR$3</f>
        <v>1.8561331753200001</v>
      </c>
      <c r="AY135" s="3">
        <f>$H135*factors!AS$3</f>
        <v>1.7119674918000001</v>
      </c>
      <c r="AZ135" s="3">
        <f>$H135*factors!AT$3</f>
        <v>1.8345083227920003</v>
      </c>
      <c r="BA135" s="3">
        <f>$H135*factors!AU$3</f>
        <v>1.7948627598239999</v>
      </c>
      <c r="BB135" s="3">
        <f>$H135*factors!AV$3</f>
        <v>1.7714358362520002</v>
      </c>
      <c r="BC135" s="3">
        <f>$H135*factors!AW$3</f>
        <v>1.8741538857600004</v>
      </c>
      <c r="BD135" s="3">
        <f>$H135*factors!AX$3</f>
        <v>1.7299882022399999</v>
      </c>
      <c r="BE135" s="3">
        <f>$H135*factors!AY$3</f>
        <v>2.033904146642</v>
      </c>
      <c r="BF135" s="3">
        <f>$H135*factors!AZ$3</f>
        <v>1.8941101539879999</v>
      </c>
      <c r="BG135" s="3">
        <f>$H135*factors!BA$3</f>
        <v>1.9216751666239997</v>
      </c>
      <c r="BH135" s="3">
        <f>$H135*factors!BB$3</f>
        <v>1.9472712497859999</v>
      </c>
      <c r="BI135" s="3">
        <f>$H135*factors!BC$3</f>
        <v>2.0181527108499995</v>
      </c>
      <c r="BJ135" s="3">
        <f>$H135*factors!BD$3</f>
        <v>1.9275819550459998</v>
      </c>
      <c r="BK135" s="3">
        <f>$H135*factors!BE$3</f>
        <v>1.9315198139939997</v>
      </c>
      <c r="BL135" s="3">
        <f>$H135*factors!BF$3</f>
        <v>1.9098615897799998</v>
      </c>
      <c r="BM135" s="3">
        <f>$H135*factors!BG$3</f>
        <v>2.0398109350640001</v>
      </c>
      <c r="BN135" s="3">
        <f>$H135*factors!BH$3</f>
        <v>2.014214851902</v>
      </c>
      <c r="BO135" s="3">
        <f>$H135*factors!BI$3</f>
        <v>1.8941101539879999</v>
      </c>
      <c r="BP135" s="3">
        <f>$H135*factors!BJ$3</f>
        <v>1.8882033655659998</v>
      </c>
      <c r="BQ135" s="3">
        <f>$H135*factors!BK$3</f>
        <v>1.9197062371499998</v>
      </c>
      <c r="BR135" s="3">
        <f>$H135*factors!BL$3</f>
        <v>1.9886187687399999</v>
      </c>
      <c r="BS135" s="3">
        <f>$H135*factors!BM$3</f>
        <v>2.0201216403240001</v>
      </c>
      <c r="BT135" s="3">
        <f>$H135*factors!BN$3</f>
        <v>2.0260284287459998</v>
      </c>
      <c r="BU135" s="3">
        <f>$H135*factors!BO$3</f>
        <v>2.0595002298040002</v>
      </c>
      <c r="BV135" s="3">
        <f>$H135*factors!BP$3</f>
        <v>1.9157683782019999</v>
      </c>
      <c r="BW135" s="3">
        <f>$H135*factors!BQ$3</f>
        <v>1.9590848266299998</v>
      </c>
      <c r="BX135" s="3">
        <f>$H135*factors!BR$3</f>
        <v>1.9216751666239997</v>
      </c>
      <c r="BY135" s="3">
        <f>$H135*factors!BS$3</f>
        <v>2.0102769929539996</v>
      </c>
      <c r="BZ135" s="3">
        <f>$H135*factors!BT$3</f>
        <v>1.9728673329479998</v>
      </c>
      <c r="CA135" s="3">
        <f>$H135*factors!BU$3</f>
        <v>1.9472712497859999</v>
      </c>
      <c r="CB135" s="3">
        <f>$H135*factors!BV$3</f>
        <v>1.8842655066179999</v>
      </c>
      <c r="CC135" s="3">
        <f>$H135*factors!BW$3</f>
        <v>1.9393955318899998</v>
      </c>
      <c r="CD135" s="3">
        <f>$H135*factors!BX$3</f>
        <v>1.9453023203119999</v>
      </c>
      <c r="CE135" s="3">
        <f>$H135*factors!BY$3</f>
        <v>1.9728673329479998</v>
      </c>
      <c r="CF135" s="3">
        <f>$H135*factors!BZ$3</f>
        <v>1.9433333908380002</v>
      </c>
      <c r="CG135" s="3">
        <f>$H135*factors!CA$3</f>
        <v>1.8783587181959998</v>
      </c>
      <c r="CH135" s="3">
        <f>$H135*factors!CB$3</f>
        <v>1.8803276476699997</v>
      </c>
      <c r="CI135" s="3">
        <f>$H135*factors!CC$3</f>
        <v>1.8704830002999999</v>
      </c>
      <c r="CJ135" s="3">
        <f>$H135*factors!CD$3</f>
        <v>1.9472712497859999</v>
      </c>
      <c r="CK135" s="3">
        <f>$H135*factors!CE$3</f>
        <v>2.033904146642</v>
      </c>
      <c r="CL135" s="3">
        <f>$H135*factors!CF$3</f>
        <v>1.9059237308319998</v>
      </c>
      <c r="CM135" s="3">
        <f>$H135*factors!CG$3</f>
        <v>1.9512091087339998</v>
      </c>
      <c r="CN135" s="3">
        <f>$H135*factors!CH$3</f>
        <v>1.8862344360919998</v>
      </c>
      <c r="CO135" s="3">
        <f>$H135*factors!CI$3</f>
        <v>1.9000169424099997</v>
      </c>
      <c r="CP135" s="3">
        <f>$H135*factors!CJ$3</f>
        <v>1.9905876982139996</v>
      </c>
      <c r="CQ135" s="3">
        <f>$H135*factors!CK$3</f>
        <v>1.9315198139939997</v>
      </c>
      <c r="CR135" s="3">
        <f>$H135*factors!CL$3</f>
        <v>1.9925566276879998</v>
      </c>
      <c r="CS135" s="3">
        <f>$H135*factors!CM$3</f>
        <v>2.0555623708559998</v>
      </c>
      <c r="CT135" s="3">
        <f>$H135*factors!CN$3</f>
        <v>2.0319352171679999</v>
      </c>
      <c r="CU135" s="3">
        <f>$H135*factors!CO$3</f>
        <v>1.9866498392659997</v>
      </c>
      <c r="CV135" s="3">
        <f>$H135*factors!CP$3</f>
        <v>2.0673759477</v>
      </c>
      <c r="CW135" s="3">
        <f>$H135*factors!CQ$3</f>
        <v>1.9551469676820001</v>
      </c>
      <c r="CX135" s="3">
        <f>$H135*factors!CR$3</f>
        <v>1.9256130255719999</v>
      </c>
      <c r="CY135" s="3">
        <f>$H135*factors!CS$3</f>
        <v>1.9078926603059998</v>
      </c>
      <c r="CZ135" s="3">
        <f>$H135*factors!CT$3</f>
        <v>1.8803276476699997</v>
      </c>
      <c r="DA135" s="3">
        <f>$H135*factors!CU$3</f>
        <v>1.952243631</v>
      </c>
      <c r="DB135" s="3">
        <f>$H135*factors!CV$3</f>
        <v>2.0783886040800001</v>
      </c>
      <c r="DC135" s="3">
        <f>$H135*factors!CW$3</f>
        <v>1.9902873530399998</v>
      </c>
      <c r="DD135" s="3">
        <f>$H135*factors!CX$3</f>
        <v>1.9762712449199999</v>
      </c>
      <c r="DE135" s="3">
        <f>$H135*factors!CY$3</f>
        <v>2.03433797856</v>
      </c>
      <c r="DF135" s="3">
        <f>$H135*factors!CZ$3</f>
        <v>2.0303333762399998</v>
      </c>
      <c r="DG135" s="3">
        <f>$H135*factors!DA$3</f>
        <v>2.0223241715999998</v>
      </c>
      <c r="DH135" s="3">
        <f>$H135*factors!DB$3</f>
        <v>2.0223241715999998</v>
      </c>
      <c r="DI135" s="3">
        <f>$H135*factors!DC$3</f>
        <v>1.9462367275199999</v>
      </c>
      <c r="DJ135" s="3">
        <f>$H135*factors!DD$3</f>
        <v>2.0623701948000002</v>
      </c>
      <c r="DK135" s="3">
        <f>$H135*factors!DE$3</f>
        <v>2.0623701948000002</v>
      </c>
      <c r="DL135" s="3">
        <f>$H135*factors!DF$3</f>
        <v>2.0383425808800002</v>
      </c>
      <c r="DM135" s="3">
        <f>$H135*factors!DG$3</f>
        <v>1.9202068124399998</v>
      </c>
      <c r="DN135" s="3">
        <f>$H135*factors!DH$3</f>
        <v>2.0143149669600002</v>
      </c>
      <c r="DO135" s="3">
        <f>$H135*factors!DI$3</f>
        <v>2.0803909052399998</v>
      </c>
      <c r="DP135" s="3">
        <f>$H135*factors!DJ$3</f>
        <v>2.0623701948000002</v>
      </c>
      <c r="DQ135" s="3">
        <f>$H135*factors!DK$3</f>
        <v>1.9662597391199998</v>
      </c>
      <c r="DR135" s="3">
        <f>$H135*factors!DL$3</f>
        <v>1.94423442636</v>
      </c>
      <c r="DS135" s="3">
        <f>$H135*factors!DM$3</f>
        <v>2.10041391684</v>
      </c>
      <c r="DT135" s="3">
        <f>$H135*factors!DN$3</f>
        <v>1.9742689437600001</v>
      </c>
      <c r="DU135" s="3">
        <f>$H135*factors!DO$3</f>
        <v>2.0663747971199999</v>
      </c>
      <c r="DV135" s="3">
        <f>$H135*factors!DP$3</f>
        <v>2.01831956928</v>
      </c>
      <c r="DW135" s="3">
        <f>$H135*factors!DQ$3</f>
        <v>1.9262137159199999</v>
      </c>
      <c r="DX135" s="3">
        <f>$H135*factors!DR$3</f>
        <v>2.0403448820399999</v>
      </c>
      <c r="DY135" s="3">
        <f>$H135*factors!DS$3</f>
        <v>1.9362252217199998</v>
      </c>
      <c r="DZ135" s="3">
        <f>$H135*factors!DT$3</f>
        <v>2.0703793994399997</v>
      </c>
      <c r="EA135" s="3">
        <f>$H135*factors!DU$3</f>
        <v>1.9502413298399996</v>
      </c>
      <c r="EB135" s="3">
        <f>$H135*factors!DV$3</f>
        <v>1.9021861019999999</v>
      </c>
      <c r="EC135" s="3">
        <f>$H135*factors!DW$3</f>
        <v>2.0463517855199997</v>
      </c>
      <c r="ED135" s="3">
        <f>$H135*factors!DX$3</f>
        <v>1.9202068124399998</v>
      </c>
      <c r="EE135" s="3">
        <f>$H135*factors!DY$3</f>
        <v>1.9362252217199998</v>
      </c>
      <c r="EF135" s="3">
        <f>$H135*factors!DZ$3</f>
        <v>2.10041391684</v>
      </c>
      <c r="EG135" s="3">
        <f>$H135*factors!EA$3</f>
        <v>1.9622551367999999</v>
      </c>
      <c r="EH135" s="3">
        <f>$H135*factors!EB$3</f>
        <v>1.96826204028</v>
      </c>
      <c r="EI135" s="3">
        <f>$H135*factors!EC$3</f>
        <v>1.96425743796</v>
      </c>
      <c r="EJ135" s="3">
        <f>$H135*factors!ED$3</f>
        <v>1.9141999089599999</v>
      </c>
      <c r="EK135" s="3">
        <f>$H135*factors!EE$3</f>
        <v>2.0463517855199997</v>
      </c>
      <c r="EL135" s="3">
        <f>$H135*factors!EF$3</f>
        <v>1.9462367275199999</v>
      </c>
      <c r="EM135" s="3">
        <f>$H135*factors!EG$3</f>
        <v>2.0243264727599999</v>
      </c>
      <c r="EN135" s="3">
        <f>$H135*factors!EH$3</f>
        <v>1.9021861019999999</v>
      </c>
      <c r="EO135" s="3">
        <f>$H135*factors!EI$3</f>
        <v>1.9302183182399997</v>
      </c>
      <c r="EP135" s="3">
        <f>$H135*factors!EJ$3</f>
        <v>2.0363402797200001</v>
      </c>
      <c r="EQ135" s="3">
        <f>$H135*factors!EK$3</f>
        <v>1.9802758472399997</v>
      </c>
      <c r="ER135" s="3">
        <f>$H135*factors!EL$3</f>
        <v>2.0623701948000002</v>
      </c>
      <c r="ES135" s="3">
        <f>$H135*factors!EM$3</f>
        <v>2.0363402797200001</v>
      </c>
      <c r="ET135" s="3">
        <f>$H135*factors!EN$3</f>
        <v>2.0823932063999999</v>
      </c>
      <c r="EU135" s="3">
        <f>$H135*factors!EO$3</f>
        <v>2.1024162180000001</v>
      </c>
      <c r="EV135" s="3">
        <f>$H135*factors!EP$3</f>
        <v>1.9702643414399998</v>
      </c>
      <c r="EW135" s="3">
        <f>$H135*factors!EQ$3</f>
        <v>2.1670738596249999</v>
      </c>
      <c r="EX135" s="3">
        <f>$H135*factors!ER$3</f>
        <v>2.1441308255000004</v>
      </c>
      <c r="EY135" s="3">
        <f>$H135*factors!ES$3</f>
        <v>2.1879311633749996</v>
      </c>
      <c r="EZ135" s="3">
        <f>$H135*factors!ET$3</f>
        <v>2.1670738596249999</v>
      </c>
      <c r="FA135" s="3">
        <f>$H135*factors!EU$3</f>
        <v>1.9918725081249997</v>
      </c>
      <c r="FB135" s="3">
        <f>$H135*factors!EV$3</f>
        <v>2.0815589142499999</v>
      </c>
      <c r="FC135" s="3">
        <f>$H135*factors!EW$3</f>
        <v>2.1399593647500001</v>
      </c>
      <c r="FD135" s="3">
        <f>$H135*factors!EX$3</f>
        <v>2.0648730712500001</v>
      </c>
      <c r="FE135" s="3">
        <f>$H135*factors!EY$3</f>
        <v>2.175416781125</v>
      </c>
      <c r="FF135" s="3">
        <f>$H135*factors!EZ$3</f>
        <v>2.1775025115000002</v>
      </c>
      <c r="FG135" s="3">
        <f>$H135*factors!FA$3</f>
        <v>1.9918725081249997</v>
      </c>
      <c r="FH135" s="3">
        <f>$H135*factors!FB$3</f>
        <v>2.0961590268749997</v>
      </c>
      <c r="FI135" s="3">
        <f>$H135*factors!FC$3</f>
        <v>2.1837597026249997</v>
      </c>
      <c r="FJ135" s="3">
        <f>$H135*factors!FD$3</f>
        <v>2.0961590268749997</v>
      </c>
      <c r="FK135" s="3">
        <f>$H135*factors!FE$3</f>
        <v>2.13161644325</v>
      </c>
      <c r="FL135" s="3">
        <f>$H135*factors!FF$3</f>
        <v>2.137873634375</v>
      </c>
      <c r="FM135" s="3">
        <f>$H135*factors!FG$3</f>
        <v>2.1608166684999999</v>
      </c>
      <c r="FN135" s="3">
        <f>$H135*factors!FH$3</f>
        <v>2.021072733375</v>
      </c>
      <c r="FO135" s="3">
        <f>$H135*factors!FI$3</f>
        <v>2.1462165558749997</v>
      </c>
      <c r="FP135" s="3">
        <f>$H135*factors!FJ$3</f>
        <v>2.0857303749999998</v>
      </c>
      <c r="FQ135" s="3">
        <f>$H135*factors!FK$3</f>
        <v>2.0648730712500001</v>
      </c>
      <c r="FR135" s="3">
        <f>$H135*factors!FL$3</f>
        <v>2.10658767875</v>
      </c>
      <c r="FS135" s="3">
        <f>$H135*factors!FM$3</f>
        <v>2.0940732965</v>
      </c>
      <c r="FT135" s="3">
        <f>$H135*factors!FN$3</f>
        <v>2.1399593647500001</v>
      </c>
      <c r="FU135" s="3">
        <f>$H135*factors!FO$3</f>
        <v>2.0565301497499999</v>
      </c>
      <c r="FV135" s="3">
        <f>$H135*factors!FP$3</f>
        <v>2.0398443067500001</v>
      </c>
      <c r="FW135" s="3">
        <f>$H135*factors!FQ$3</f>
        <v>2.1837597026249997</v>
      </c>
      <c r="FX135" s="3">
        <f>$H135*factors!FR$3</f>
        <v>2.1441308255000004</v>
      </c>
      <c r="FY135" s="3">
        <f>$H135*factors!FS$3</f>
        <v>2.1003304876249995</v>
      </c>
      <c r="FZ135" s="3">
        <f>$H135*factors!FT$3</f>
        <v>1.996043968875</v>
      </c>
      <c r="GA135" s="3">
        <f>$H135*factors!FU$3</f>
        <v>2.1003304876249995</v>
      </c>
      <c r="GB135" s="3">
        <f>$H135*factors!FV$3</f>
        <v>2.1775025115000002</v>
      </c>
      <c r="GC135" s="3">
        <f>$H135*factors!FW$3</f>
        <v>2.0398443067500001</v>
      </c>
      <c r="GD135" s="3">
        <f>$H135*factors!FX$3</f>
        <v>2.0753017231249999</v>
      </c>
      <c r="GE135" s="3">
        <f>$H135*factors!FY$3</f>
        <v>2.0753017231249999</v>
      </c>
      <c r="GF135" s="3">
        <f>$H135*factors!FZ$3</f>
        <v>2.0690445319999999</v>
      </c>
      <c r="GG135" s="3">
        <f>$H135*factors!GA$3</f>
        <v>1.9877010473749999</v>
      </c>
      <c r="GH135" s="3">
        <f>$H135*factors!GB$3</f>
        <v>2.1149306002500001</v>
      </c>
      <c r="GI135" s="3">
        <f>$H135*factors!GC$3</f>
        <v>1.983529586625</v>
      </c>
      <c r="GJ135" s="3">
        <f>$H135*factors!GD$3</f>
        <v>1.9877010473749999</v>
      </c>
      <c r="GK135" s="3">
        <f>$H135*factors!GE$3</f>
        <v>2.0377585763749999</v>
      </c>
      <c r="GL135" s="3">
        <f>$H135*factors!GF$3</f>
        <v>2.1587309381250002</v>
      </c>
      <c r="GM135" s="3">
        <f>$H135*factors!GG$3</f>
        <v>2.0461014978750001</v>
      </c>
      <c r="GN135" s="3">
        <f>$H135*factors!GH$3</f>
        <v>2.1107591395000003</v>
      </c>
      <c r="GO135" s="3">
        <f>$H135*factors!GI$3</f>
        <v>1.9939582384999996</v>
      </c>
      <c r="GP135" s="3">
        <f>$H135*factors!GJ$3</f>
        <v>2.137873634375</v>
      </c>
      <c r="GQ135" s="3">
        <f>$H135*factors!GK$3</f>
        <v>2.18167397225</v>
      </c>
      <c r="GR135" s="3">
        <f>$H135*factors!GL$3</f>
        <v>2.1399593647500001</v>
      </c>
      <c r="GS135" s="3">
        <f>$H135*factors!GM$3</f>
        <v>2.023742468255</v>
      </c>
      <c r="GT135" s="3">
        <f>$H135*factors!GN$3</f>
        <v>2.070362713597</v>
      </c>
      <c r="GU135" s="3">
        <f>$H135*factors!GO$3</f>
        <v>2.119102061</v>
      </c>
      <c r="GV135" s="3">
        <f>$H135*factors!GP$3</f>
        <v>2.03433797856</v>
      </c>
      <c r="GW135" s="3">
        <f>$H135*factors!GQ$3</f>
        <v>2.106387448634</v>
      </c>
      <c r="GX135" s="3">
        <f>$H135*factors!GR$3</f>
        <v>2.072481815658</v>
      </c>
      <c r="GY135" s="3">
        <f>$H135*factors!GS$3</f>
        <v>2.0618863053530001</v>
      </c>
      <c r="GZ135" s="3">
        <f>$H135*factors!GT$3</f>
        <v>2.1381739795489998</v>
      </c>
      <c r="HA135" s="3">
        <f>$H135*factors!GU$3</f>
        <v>2.0682436115359999</v>
      </c>
      <c r="HB135" s="3">
        <f>$H135*factors!GV$3</f>
        <v>2.1381739795489998</v>
      </c>
      <c r="HC135" s="3">
        <f>$H135*factors!GW$3</f>
        <v>2.0851964280240001</v>
      </c>
      <c r="HD135" s="3">
        <f>$H135*factors!GX$3</f>
        <v>2.1466503877929997</v>
      </c>
      <c r="HE135" s="3">
        <f>$H135*factors!GY$3</f>
        <v>2.119102061</v>
      </c>
      <c r="HF135" s="3">
        <f>$H135*factors!GZ$3</f>
        <v>2.1847942248909997</v>
      </c>
      <c r="HG135" s="3">
        <f>$H135*factors!HA$3</f>
        <v>2.1000301424510002</v>
      </c>
      <c r="HH135" s="3">
        <f>$H135*factors!HB$3</f>
        <v>2.072481815658</v>
      </c>
      <c r="HI135" s="3">
        <f>$H135*factors!HC$3</f>
        <v>2.047052590926</v>
      </c>
      <c r="HJ135" s="3">
        <f>$H135*factors!HD$3</f>
        <v>2.023742468255</v>
      </c>
      <c r="HK135" s="3">
        <f>$H135*factors!HE$3</f>
        <v>2.1402930816099999</v>
      </c>
      <c r="HL135" s="3">
        <f>$H135*factors!HF$3</f>
        <v>2.0173851620719998</v>
      </c>
      <c r="HM135" s="3">
        <f>$H135*factors!HG$3</f>
        <v>2.0385761826820001</v>
      </c>
      <c r="HN135" s="3">
        <f>$H135*factors!HH$3</f>
        <v>2.1741987145860002</v>
      </c>
      <c r="HO135" s="3">
        <f>$H135*factors!HI$3</f>
        <v>2.0851964280240001</v>
      </c>
      <c r="HP135" s="3">
        <f>$H135*factors!HJ$3</f>
        <v>2.2250571640500003</v>
      </c>
      <c r="HQ135" s="3">
        <f>$H135*factors!HK$3</f>
        <v>2.03433797856</v>
      </c>
      <c r="HR135" s="3">
        <f>$H135*factors!HL$3</f>
        <v>2.157245898098</v>
      </c>
      <c r="HS135" s="3">
        <f>$H135*factors!HM$3</f>
        <v>2.1953897351960001</v>
      </c>
      <c r="HT135" s="3">
        <f>$H135*factors!HN$3</f>
        <v>2.047052590926</v>
      </c>
      <c r="HU135" s="3">
        <f>$H135*factors!HO$3</f>
        <v>2.0682436115359999</v>
      </c>
      <c r="HV135" s="3">
        <f>$H135*factors!HP$3</f>
        <v>2.0936728362680004</v>
      </c>
      <c r="HW135" s="3">
        <f>$H135*factors!HQ$3</f>
        <v>2.1233402651220001</v>
      </c>
      <c r="HX135" s="3">
        <f>$H135*factors!HR$3</f>
        <v>2.2102234496229998</v>
      </c>
      <c r="HY135" s="3">
        <f>$H135*factors!HS$3</f>
        <v>2.1000301424510002</v>
      </c>
      <c r="HZ135" s="3">
        <f>$H135*factors!HT$3</f>
        <v>2.180556020769</v>
      </c>
      <c r="IA135" s="3">
        <f>$H135*factors!HU$3</f>
        <v>2.0746009177190001</v>
      </c>
      <c r="IB135" s="3">
        <f>$H135*factors!HV$3</f>
        <v>2.1466503877929997</v>
      </c>
      <c r="IC135" s="3">
        <f>$H135*factors!HW$3</f>
        <v>2.167841408403</v>
      </c>
      <c r="ID135" s="3">
        <f>$H135*factors!HX$3</f>
        <v>2.0131469579499996</v>
      </c>
      <c r="IE135" s="3">
        <f>$H135*factors!HY$3</f>
        <v>2.1381739795489998</v>
      </c>
      <c r="IF135" s="3">
        <f>$H135*factors!HZ$3</f>
        <v>2.1254593671829998</v>
      </c>
      <c r="IG135" s="3">
        <f>$H135*factors!IA$3</f>
        <v>2.106387448634</v>
      </c>
      <c r="IH135" s="3">
        <f>$H135*factors!IB$3</f>
        <v>2.1847942248909997</v>
      </c>
      <c r="II135" s="3">
        <f>$H135*factors!IC$3</f>
        <v>2.0915537342069999</v>
      </c>
      <c r="IJ135" s="3">
        <f>$H135*factors!ID$3</f>
        <v>2.1106256527560001</v>
      </c>
      <c r="IK135" s="3">
        <f>$H135*factors!IE$3</f>
        <v>2.1869133269520002</v>
      </c>
      <c r="IL135" s="3">
        <f>$H135*factors!IF$3</f>
        <v>2.0936728362680004</v>
      </c>
      <c r="IM135" s="3">
        <f>$H135*factors!IG$3</f>
        <v>2.0746009177190001</v>
      </c>
      <c r="IN135" s="3">
        <f>$H135*factors!IH$3</f>
        <v>2.0873155300850001</v>
      </c>
      <c r="IO135" s="3">
        <f>$H135*factors!II$3</f>
        <v>2.108506550695</v>
      </c>
      <c r="IP135" s="3">
        <f>$H135*factors!IJ$3</f>
        <v>2.0385761826820001</v>
      </c>
      <c r="IQ135" s="3">
        <f>$H135*factors!IK$3</f>
        <v>2.0322188764989999</v>
      </c>
      <c r="IR135" s="3">
        <f>$H135*factors!IL$3</f>
        <v>2.0915537342069999</v>
      </c>
      <c r="IS135" s="3">
        <f>$H135*factors!IM$3</f>
        <v>2.108506550695</v>
      </c>
      <c r="IT135" s="3">
        <f>$H135*factors!IN$3</f>
        <v>2.1233402651220001</v>
      </c>
      <c r="IU135" s="3">
        <f>$H135*factors!IO$3</f>
        <v>2.1699605104640001</v>
      </c>
      <c r="IV135" s="3">
        <f>$H135*factors!IP$3</f>
        <v>2.1975088372569997</v>
      </c>
      <c r="IW135" s="3">
        <f>$H135*factors!IQ$3</f>
        <v>2.0767200197799998</v>
      </c>
      <c r="IX135" s="3">
        <f>$H135*factors!IR$3</f>
        <v>2.1699605104640001</v>
      </c>
      <c r="IY135" s="3">
        <f>$H135*factors!IS$3</f>
        <v>2.1381739795489998</v>
      </c>
      <c r="IZ135" s="3">
        <f>$H135*factors!IT$3</f>
        <v>2.1741987145860002</v>
      </c>
      <c r="JA135" s="3">
        <f>$H135*factors!IU$3</f>
        <v>2.0534098971089998</v>
      </c>
      <c r="JB135" s="3">
        <f>$H135*factors!IV$3</f>
        <v>2.0915537342069999</v>
      </c>
      <c r="JC135" s="3">
        <f>$H135*factors!IW$3</f>
        <v>2.0428143868040003</v>
      </c>
      <c r="JD135" s="3">
        <f>$H135*factors!IX$3</f>
        <v>2.2250571640500003</v>
      </c>
      <c r="JE135" s="3">
        <f>$H135*factors!IY$3</f>
        <v>2.0491716929870001</v>
      </c>
      <c r="JF135" s="3">
        <f>$H135*factors!IZ$3</f>
        <v>2.1508885919149998</v>
      </c>
      <c r="JG135" s="3">
        <f>$H135*factors!JA$3</f>
        <v>2.1127447548169997</v>
      </c>
      <c r="JH135" s="3">
        <f>$H135*factors!JB$3</f>
        <v>2.1530076939760003</v>
      </c>
      <c r="JI135" s="3">
        <f>$H135*factors!JC$3</f>
        <v>2.0152660600110002</v>
      </c>
      <c r="JJ135" s="3">
        <f>$H135*factors!JD$3</f>
        <v>2.1699605104640001</v>
      </c>
      <c r="JK135" s="3">
        <f>$H135*factors!JE$3</f>
        <v>2.1000301424510002</v>
      </c>
      <c r="JL135" s="3">
        <f>$H135*factors!JF$3</f>
        <v>2.1847942248909997</v>
      </c>
      <c r="JM135" s="3">
        <f>$H135*factors!JG$3</f>
        <v>2.0385761826820001</v>
      </c>
      <c r="JN135" s="3">
        <f>$H135*factors!JH$3</f>
        <v>2.0385761826820001</v>
      </c>
      <c r="JO135" s="3">
        <f>$H135*factors!JI$3</f>
        <v>2.0131469579499996</v>
      </c>
      <c r="JP135" s="3">
        <f>$H135*factors!JJ$3</f>
        <v>2.1763178166469999</v>
      </c>
      <c r="JQ135" s="3">
        <f>$H135*factors!JK$3</f>
        <v>2.1212211630610001</v>
      </c>
      <c r="JR135" s="3">
        <f>$H135*factors!JL$3</f>
        <v>2.20386614344</v>
      </c>
      <c r="JS135" s="3">
        <f>$H135*factors!JM$3</f>
        <v>2.0131469579499996</v>
      </c>
      <c r="JT135" s="3">
        <f>$H135*factors!JN$3</f>
        <v>2.1148638568780003</v>
      </c>
      <c r="JU135" s="3">
        <f>$H135*factors!JO$3</f>
        <v>2.0449334888649999</v>
      </c>
      <c r="JV135" s="3">
        <f>$H135*factors!JP$3</f>
        <v>2.0788391218410003</v>
      </c>
      <c r="JW135" s="3">
        <f>$H135*factors!JQ$3</f>
        <v>2.2208189599280002</v>
      </c>
      <c r="JX135" s="3">
        <f>$H135*factors!JR$3</f>
        <v>2.1996279393179998</v>
      </c>
      <c r="JY135" s="3">
        <f>$H135*factors!JS$3</f>
        <v>2.070362713597</v>
      </c>
      <c r="JZ135" s="3">
        <f>$H135*factors!JT$3</f>
        <v>2.0936728362680004</v>
      </c>
      <c r="KA135" s="3">
        <f>$H135*factors!JU$3</f>
        <v>2.1021492445120002</v>
      </c>
      <c r="KB135" s="3">
        <f>$H135*factors!JV$3</f>
        <v>2.0322188764989999</v>
      </c>
      <c r="KC135" s="3">
        <f>$H135*factors!JW$3</f>
        <v>2.0428143868040003</v>
      </c>
      <c r="KD135" s="3">
        <f>$H135*factors!JX$3</f>
        <v>2.0449334888649999</v>
      </c>
      <c r="KE135" s="3">
        <f>$H135*factors!JY$3</f>
        <v>2.1763178166469999</v>
      </c>
      <c r="KF135" s="3">
        <f>$H135*factors!JZ$3</f>
        <v>2.2017470413789999</v>
      </c>
      <c r="KG135" s="3">
        <f>$H135*factors!KA$3</f>
        <v>2.1233402651220001</v>
      </c>
      <c r="KH135" s="3">
        <f>$H135*factors!KB$3</f>
        <v>2.0767200197799998</v>
      </c>
      <c r="KI135" s="3">
        <f>$H135*factors!KC$3</f>
        <v>2.0576481012309999</v>
      </c>
    </row>
    <row r="136" spans="1:295" x14ac:dyDescent="0.55000000000000004">
      <c r="A136" t="s">
        <v>513</v>
      </c>
      <c r="B136">
        <v>135</v>
      </c>
      <c r="C136">
        <v>230</v>
      </c>
      <c r="D136" t="s">
        <v>377</v>
      </c>
      <c r="E136">
        <v>3.3409999999999998E-3</v>
      </c>
      <c r="F136">
        <v>135</v>
      </c>
      <c r="G136">
        <f>VLOOKUP(D136,demand_forecasted!$A$2:$G$11,2)</f>
        <v>11098</v>
      </c>
      <c r="H136" s="3">
        <f t="shared" si="2"/>
        <v>0.37078418000000002</v>
      </c>
      <c r="I136" s="3">
        <f>$H136*factors!C$3</f>
        <v>0.41045808725999999</v>
      </c>
      <c r="J136" s="3">
        <f>$H136*factors!D$3</f>
        <v>0.39564155142720003</v>
      </c>
      <c r="K136" s="3">
        <f>$H136*factors!E$3</f>
        <v>0.38883395388240005</v>
      </c>
      <c r="L136" s="3">
        <f>$H136*factors!F$3</f>
        <v>0.38763261313920006</v>
      </c>
      <c r="M136" s="3">
        <f>$H136*factors!G$3</f>
        <v>0.3872321662248</v>
      </c>
      <c r="N136" s="3">
        <f>$H136*factors!H$3</f>
        <v>0.39844467982800003</v>
      </c>
      <c r="O136" s="3">
        <f>$H136*factors!I$3</f>
        <v>0.4072545119448</v>
      </c>
      <c r="P136" s="3">
        <f>$H136*factors!J$3</f>
        <v>0.41205987491760004</v>
      </c>
      <c r="Q136" s="3">
        <f>$H136*factors!K$3</f>
        <v>0.3868317193104</v>
      </c>
      <c r="R136" s="3">
        <f>$H136*factors!L$3</f>
        <v>0.38042456868000002</v>
      </c>
      <c r="S136" s="3">
        <f>$H136*factors!M$3</f>
        <v>0.39604199834160003</v>
      </c>
      <c r="T136" s="3">
        <f>$H136*factors!N$3</f>
        <v>0.40965719343120005</v>
      </c>
      <c r="U136" s="3">
        <f>$H136*factors!O$3</f>
        <v>0.38803306005360005</v>
      </c>
      <c r="V136" s="3">
        <f>$H136*factors!P$3</f>
        <v>0.40365048971520007</v>
      </c>
      <c r="W136" s="3">
        <f>$H136*factors!Q$3</f>
        <v>0.4072545119448</v>
      </c>
      <c r="X136" s="3">
        <f>$H136*factors!R$3</f>
        <v>0.38963484771119999</v>
      </c>
      <c r="Y136" s="3">
        <f>$H136*factors!S$3</f>
        <v>0.38603082548160006</v>
      </c>
      <c r="Z136" s="3">
        <f>$H136*factors!T$3</f>
        <v>0.41646479097600009</v>
      </c>
      <c r="AA136" s="3">
        <f>$H136*factors!U$3</f>
        <v>0.39323886994079998</v>
      </c>
      <c r="AB136" s="3">
        <f>$H136*factors!V$3</f>
        <v>0.39363931685520009</v>
      </c>
      <c r="AC136" s="3">
        <f>$H136*factors!W$3</f>
        <v>0.39403976376960004</v>
      </c>
      <c r="AD136" s="3">
        <f>$H136*factors!X$3</f>
        <v>0.38563037856720006</v>
      </c>
      <c r="AE136" s="3">
        <f>$H136*factors!Y$3</f>
        <v>0.38883395388240005</v>
      </c>
      <c r="AF136" s="3">
        <f>$H136*factors!Z$3</f>
        <v>0.39684289217040009</v>
      </c>
      <c r="AG136" s="3">
        <f>$H136*factors!AA$3</f>
        <v>0.3868317193104</v>
      </c>
      <c r="AH136" s="3">
        <f>$H136*factors!AB$3</f>
        <v>0.38522993165280006</v>
      </c>
      <c r="AI136" s="3">
        <f>$H136*factors!AC$3</f>
        <v>0.39764378599920003</v>
      </c>
      <c r="AJ136" s="3">
        <f>$H136*factors!AD$3</f>
        <v>0.41286076874640004</v>
      </c>
      <c r="AK136" s="3">
        <f>$H136*factors!AE$3</f>
        <v>0.39724333908480003</v>
      </c>
      <c r="AL136" s="3">
        <f>$H136*factors!AF$3</f>
        <v>0.38162590942320002</v>
      </c>
      <c r="AM136" s="3">
        <f>$H136*factors!AG$3</f>
        <v>0.39243797611200004</v>
      </c>
      <c r="AN136" s="3">
        <f>$H136*factors!AH$3</f>
        <v>0.38603082548160006</v>
      </c>
      <c r="AO136" s="3">
        <f>$H136*factors!AI$3</f>
        <v>0.40445138354400001</v>
      </c>
      <c r="AP136" s="3">
        <f>$H136*factors!AJ$3</f>
        <v>0.38763261313920006</v>
      </c>
      <c r="AQ136" s="3">
        <f>$H136*factors!AK$3</f>
        <v>0.40004646748560008</v>
      </c>
      <c r="AR136" s="3">
        <f>$H136*factors!AL$3</f>
        <v>0.39123663536880005</v>
      </c>
      <c r="AS136" s="3">
        <f>$H136*factors!AM$3</f>
        <v>0.38162590942320002</v>
      </c>
      <c r="AT136" s="3">
        <f>$H136*factors!AN$3</f>
        <v>0.39363931685520009</v>
      </c>
      <c r="AU136" s="3">
        <f>$H136*factors!AO$3</f>
        <v>0.41686523789039998</v>
      </c>
      <c r="AV136" s="3">
        <f>$H136*factors!AP$3</f>
        <v>0.39403976376960004</v>
      </c>
      <c r="AW136" s="3">
        <f>$H136*factors!AQ$3</f>
        <v>0.39003529462559999</v>
      </c>
      <c r="AX136" s="3">
        <f>$H136*factors!AR$3</f>
        <v>0.41246032183200004</v>
      </c>
      <c r="AY136" s="3">
        <f>$H136*factors!AS$3</f>
        <v>0.38042456868000002</v>
      </c>
      <c r="AZ136" s="3">
        <f>$H136*factors!AT$3</f>
        <v>0.40765495885920011</v>
      </c>
      <c r="BA136" s="3">
        <f>$H136*factors!AU$3</f>
        <v>0.39884512674240002</v>
      </c>
      <c r="BB136" s="3">
        <f>$H136*factors!AV$3</f>
        <v>0.39363931685520009</v>
      </c>
      <c r="BC136" s="3">
        <f>$H136*factors!AW$3</f>
        <v>0.41646479097600009</v>
      </c>
      <c r="BD136" s="3">
        <f>$H136*factors!AX$3</f>
        <v>0.38442903782400001</v>
      </c>
      <c r="BE136" s="3">
        <f>$H136*factors!AY$3</f>
        <v>0.45196366836919999</v>
      </c>
      <c r="BF136" s="3">
        <f>$H136*factors!AZ$3</f>
        <v>0.42089936976879999</v>
      </c>
      <c r="BG136" s="3">
        <f>$H136*factors!BA$3</f>
        <v>0.42702472442239997</v>
      </c>
      <c r="BH136" s="3">
        <f>$H136*factors!BB$3</f>
        <v>0.43271255374360001</v>
      </c>
      <c r="BI136" s="3">
        <f>$H136*factors!BC$3</f>
        <v>0.44846346570999995</v>
      </c>
      <c r="BJ136" s="3">
        <f>$H136*factors!BD$3</f>
        <v>0.4283373004196</v>
      </c>
      <c r="BK136" s="3">
        <f>$H136*factors!BE$3</f>
        <v>0.42921235108439998</v>
      </c>
      <c r="BL136" s="3">
        <f>$H136*factors!BF$3</f>
        <v>0.42439957242799997</v>
      </c>
      <c r="BM136" s="3">
        <f>$H136*factors!BG$3</f>
        <v>0.45327624436640002</v>
      </c>
      <c r="BN136" s="3">
        <f>$H136*factors!BH$3</f>
        <v>0.44758841504519997</v>
      </c>
      <c r="BO136" s="3">
        <f>$H136*factors!BI$3</f>
        <v>0.42089936976879999</v>
      </c>
      <c r="BP136" s="3">
        <f>$H136*factors!BJ$3</f>
        <v>0.41958679377159996</v>
      </c>
      <c r="BQ136" s="3">
        <f>$H136*factors!BK$3</f>
        <v>0.42658719908999998</v>
      </c>
      <c r="BR136" s="3">
        <f>$H136*factors!BL$3</f>
        <v>0.44190058572400004</v>
      </c>
      <c r="BS136" s="3">
        <f>$H136*factors!BM$3</f>
        <v>0.4489009910424</v>
      </c>
      <c r="BT136" s="3">
        <f>$H136*factors!BN$3</f>
        <v>0.45021356703959997</v>
      </c>
      <c r="BU136" s="3">
        <f>$H136*factors!BO$3</f>
        <v>0.45765149769040003</v>
      </c>
      <c r="BV136" s="3">
        <f>$H136*factors!BP$3</f>
        <v>0.4257121484252</v>
      </c>
      <c r="BW136" s="3">
        <f>$H136*factors!BQ$3</f>
        <v>0.43533770573800001</v>
      </c>
      <c r="BX136" s="3">
        <f>$H136*factors!BR$3</f>
        <v>0.42702472442239997</v>
      </c>
      <c r="BY136" s="3">
        <f>$H136*factors!BS$3</f>
        <v>0.44671336438039994</v>
      </c>
      <c r="BZ136" s="3">
        <f>$H136*factors!BT$3</f>
        <v>0.43840038306479995</v>
      </c>
      <c r="CA136" s="3">
        <f>$H136*factors!BU$3</f>
        <v>0.43271255374360001</v>
      </c>
      <c r="CB136" s="3">
        <f>$H136*factors!BV$3</f>
        <v>0.41871174310679998</v>
      </c>
      <c r="CC136" s="3">
        <f>$H136*factors!BW$3</f>
        <v>0.430962452414</v>
      </c>
      <c r="CD136" s="3">
        <f>$H136*factors!BX$3</f>
        <v>0.43227502841120002</v>
      </c>
      <c r="CE136" s="3">
        <f>$H136*factors!BY$3</f>
        <v>0.43840038306479995</v>
      </c>
      <c r="CF136" s="3">
        <f>$H136*factors!BZ$3</f>
        <v>0.43183750307880003</v>
      </c>
      <c r="CG136" s="3">
        <f>$H136*factors!CA$3</f>
        <v>0.41739916710959996</v>
      </c>
      <c r="CH136" s="3">
        <f>$H136*factors!CB$3</f>
        <v>0.41783669244199995</v>
      </c>
      <c r="CI136" s="3">
        <f>$H136*factors!CC$3</f>
        <v>0.41564906577999999</v>
      </c>
      <c r="CJ136" s="3">
        <f>$H136*factors!CD$3</f>
        <v>0.43271255374360001</v>
      </c>
      <c r="CK136" s="3">
        <f>$H136*factors!CE$3</f>
        <v>0.45196366836919999</v>
      </c>
      <c r="CL136" s="3">
        <f>$H136*factors!CF$3</f>
        <v>0.42352452176319999</v>
      </c>
      <c r="CM136" s="3">
        <f>$H136*factors!CG$3</f>
        <v>0.4335876044084</v>
      </c>
      <c r="CN136" s="3">
        <f>$H136*factors!CH$3</f>
        <v>0.41914926843919997</v>
      </c>
      <c r="CO136" s="3">
        <f>$H136*factors!CI$3</f>
        <v>0.42221194576599996</v>
      </c>
      <c r="CP136" s="3">
        <f>$H136*factors!CJ$3</f>
        <v>0.44233811105639992</v>
      </c>
      <c r="CQ136" s="3">
        <f>$H136*factors!CK$3</f>
        <v>0.42921235108439998</v>
      </c>
      <c r="CR136" s="3">
        <f>$H136*factors!CL$3</f>
        <v>0.44277563638879996</v>
      </c>
      <c r="CS136" s="3">
        <f>$H136*factors!CM$3</f>
        <v>0.4567764470256</v>
      </c>
      <c r="CT136" s="3">
        <f>$H136*factors!CN$3</f>
        <v>0.4515261430368</v>
      </c>
      <c r="CU136" s="3">
        <f>$H136*factors!CO$3</f>
        <v>0.44146306039159994</v>
      </c>
      <c r="CV136" s="3">
        <f>$H136*factors!CP$3</f>
        <v>0.45940159902</v>
      </c>
      <c r="CW136" s="3">
        <f>$H136*factors!CQ$3</f>
        <v>0.43446265507320003</v>
      </c>
      <c r="CX136" s="3">
        <f>$H136*factors!CR$3</f>
        <v>0.42789977508720001</v>
      </c>
      <c r="CY136" s="3">
        <f>$H136*factors!CS$3</f>
        <v>0.42396204709559998</v>
      </c>
      <c r="CZ136" s="3">
        <f>$H136*factors!CT$3</f>
        <v>0.41783669244199995</v>
      </c>
      <c r="DA136" s="3">
        <f>$H136*factors!CU$3</f>
        <v>0.43381749060000002</v>
      </c>
      <c r="DB136" s="3">
        <f>$H136*factors!CV$3</f>
        <v>0.46184877460800006</v>
      </c>
      <c r="DC136" s="3">
        <f>$H136*factors!CW$3</f>
        <v>0.44227136990399996</v>
      </c>
      <c r="DD136" s="3">
        <f>$H136*factors!CX$3</f>
        <v>0.43915678279199999</v>
      </c>
      <c r="DE136" s="3">
        <f>$H136*factors!CY$3</f>
        <v>0.45206007225600003</v>
      </c>
      <c r="DF136" s="3">
        <f>$H136*factors!CZ$3</f>
        <v>0.45117019022399996</v>
      </c>
      <c r="DG136" s="3">
        <f>$H136*factors!DA$3</f>
        <v>0.44939042616000002</v>
      </c>
      <c r="DH136" s="3">
        <f>$H136*factors!DB$3</f>
        <v>0.44939042616000002</v>
      </c>
      <c r="DI136" s="3">
        <f>$H136*factors!DC$3</f>
        <v>0.43248266755199999</v>
      </c>
      <c r="DJ136" s="3">
        <f>$H136*factors!DD$3</f>
        <v>0.45828924648000002</v>
      </c>
      <c r="DK136" s="3">
        <f>$H136*factors!DE$3</f>
        <v>0.45828924648000002</v>
      </c>
      <c r="DL136" s="3">
        <f>$H136*factors!DF$3</f>
        <v>0.45294995428800006</v>
      </c>
      <c r="DM136" s="3">
        <f>$H136*factors!DG$3</f>
        <v>0.42669843434399995</v>
      </c>
      <c r="DN136" s="3">
        <f>$H136*factors!DH$3</f>
        <v>0.44761066209600003</v>
      </c>
      <c r="DO136" s="3">
        <f>$H136*factors!DI$3</f>
        <v>0.46229371562400001</v>
      </c>
      <c r="DP136" s="3">
        <f>$H136*factors!DJ$3</f>
        <v>0.45828924648000002</v>
      </c>
      <c r="DQ136" s="3">
        <f>$H136*factors!DK$3</f>
        <v>0.43693207771199999</v>
      </c>
      <c r="DR136" s="3">
        <f>$H136*factors!DL$3</f>
        <v>0.43203772653600003</v>
      </c>
      <c r="DS136" s="3">
        <f>$H136*factors!DM$3</f>
        <v>0.46674312578400001</v>
      </c>
      <c r="DT136" s="3">
        <f>$H136*factors!DN$3</f>
        <v>0.43871184177600003</v>
      </c>
      <c r="DU136" s="3">
        <f>$H136*factors!DO$3</f>
        <v>0.45917912851199999</v>
      </c>
      <c r="DV136" s="3">
        <f>$H136*factors!DP$3</f>
        <v>0.448500544128</v>
      </c>
      <c r="DW136" s="3">
        <f>$H136*factors!DQ$3</f>
        <v>0.42803325739199999</v>
      </c>
      <c r="DX136" s="3">
        <f>$H136*factors!DR$3</f>
        <v>0.45339489530399996</v>
      </c>
      <c r="DY136" s="3">
        <f>$H136*factors!DS$3</f>
        <v>0.43025796247199999</v>
      </c>
      <c r="DZ136" s="3">
        <f>$H136*factors!DT$3</f>
        <v>0.46006901054400001</v>
      </c>
      <c r="EA136" s="3">
        <f>$H136*factors!DU$3</f>
        <v>0.43337254958399996</v>
      </c>
      <c r="EB136" s="3">
        <f>$H136*factors!DV$3</f>
        <v>0.42269396519999997</v>
      </c>
      <c r="EC136" s="3">
        <f>$H136*factors!DW$3</f>
        <v>0.45472971835199999</v>
      </c>
      <c r="ED136" s="3">
        <f>$H136*factors!DX$3</f>
        <v>0.42669843434399995</v>
      </c>
      <c r="EE136" s="3">
        <f>$H136*factors!DY$3</f>
        <v>0.43025796247199999</v>
      </c>
      <c r="EF136" s="3">
        <f>$H136*factors!DZ$3</f>
        <v>0.46674312578400001</v>
      </c>
      <c r="EG136" s="3">
        <f>$H136*factors!EA$3</f>
        <v>0.43604219568000002</v>
      </c>
      <c r="EH136" s="3">
        <f>$H136*factors!EB$3</f>
        <v>0.437377018728</v>
      </c>
      <c r="EI136" s="3">
        <f>$H136*factors!EC$3</f>
        <v>0.43648713669600003</v>
      </c>
      <c r="EJ136" s="3">
        <f>$H136*factors!ED$3</f>
        <v>0.42536361129600003</v>
      </c>
      <c r="EK136" s="3">
        <f>$H136*factors!EE$3</f>
        <v>0.45472971835199999</v>
      </c>
      <c r="EL136" s="3">
        <f>$H136*factors!EF$3</f>
        <v>0.43248266755199999</v>
      </c>
      <c r="EM136" s="3">
        <f>$H136*factors!EG$3</f>
        <v>0.44983536717599998</v>
      </c>
      <c r="EN136" s="3">
        <f>$H136*factors!EH$3</f>
        <v>0.42269396519999997</v>
      </c>
      <c r="EO136" s="3">
        <f>$H136*factors!EI$3</f>
        <v>0.42892313942399996</v>
      </c>
      <c r="EP136" s="3">
        <f>$H136*factors!EJ$3</f>
        <v>0.45250501327199999</v>
      </c>
      <c r="EQ136" s="3">
        <f>$H136*factors!EK$3</f>
        <v>0.44004666482399996</v>
      </c>
      <c r="ER136" s="3">
        <f>$H136*factors!EL$3</f>
        <v>0.45828924648000002</v>
      </c>
      <c r="ES136" s="3">
        <f>$H136*factors!EM$3</f>
        <v>0.45250501327199999</v>
      </c>
      <c r="ET136" s="3">
        <f>$H136*factors!EN$3</f>
        <v>0.46273865664000002</v>
      </c>
      <c r="EU136" s="3">
        <f>$H136*factors!EO$3</f>
        <v>0.46718806680000002</v>
      </c>
      <c r="EV136" s="3">
        <f>$H136*factors!EP$3</f>
        <v>0.43782195974399996</v>
      </c>
      <c r="EW136" s="3">
        <f>$H136*factors!EQ$3</f>
        <v>0.48155595377499999</v>
      </c>
      <c r="EX136" s="3">
        <f>$H136*factors!ER$3</f>
        <v>0.47645767130000005</v>
      </c>
      <c r="EY136" s="3">
        <f>$H136*factors!ES$3</f>
        <v>0.48619075602499995</v>
      </c>
      <c r="EZ136" s="3">
        <f>$H136*factors!ET$3</f>
        <v>0.48155595377499999</v>
      </c>
      <c r="FA136" s="3">
        <f>$H136*factors!EU$3</f>
        <v>0.44262361487499996</v>
      </c>
      <c r="FB136" s="3">
        <f>$H136*factors!EV$3</f>
        <v>0.46255326455000007</v>
      </c>
      <c r="FC136" s="3">
        <f>$H136*factors!EW$3</f>
        <v>0.47553071085000004</v>
      </c>
      <c r="FD136" s="3">
        <f>$H136*factors!EX$3</f>
        <v>0.45884542275000006</v>
      </c>
      <c r="FE136" s="3">
        <f>$H136*factors!EY$3</f>
        <v>0.48340987467500002</v>
      </c>
      <c r="FF136" s="3">
        <f>$H136*factors!EZ$3</f>
        <v>0.48387335490000011</v>
      </c>
      <c r="FG136" s="3">
        <f>$H136*factors!FA$3</f>
        <v>0.44262361487499996</v>
      </c>
      <c r="FH136" s="3">
        <f>$H136*factors!FB$3</f>
        <v>0.46579762612499997</v>
      </c>
      <c r="FI136" s="3">
        <f>$H136*factors!FC$3</f>
        <v>0.48526379557499999</v>
      </c>
      <c r="FJ136" s="3">
        <f>$H136*factors!FD$3</f>
        <v>0.46579762612499997</v>
      </c>
      <c r="FK136" s="3">
        <f>$H136*factors!FE$3</f>
        <v>0.47367678995000007</v>
      </c>
      <c r="FL136" s="3">
        <f>$H136*factors!FF$3</f>
        <v>0.475067230625</v>
      </c>
      <c r="FM136" s="3">
        <f>$H136*factors!FG$3</f>
        <v>0.4801655131</v>
      </c>
      <c r="FN136" s="3">
        <f>$H136*factors!FH$3</f>
        <v>0.449112338025</v>
      </c>
      <c r="FO136" s="3">
        <f>$H136*factors!FI$3</f>
        <v>0.47692115152499998</v>
      </c>
      <c r="FP136" s="3">
        <f>$H136*factors!FJ$3</f>
        <v>0.46348022500000002</v>
      </c>
      <c r="FQ136" s="3">
        <f>$H136*factors!FK$3</f>
        <v>0.45884542275000006</v>
      </c>
      <c r="FR136" s="3">
        <f>$H136*factors!FL$3</f>
        <v>0.46811502724999998</v>
      </c>
      <c r="FS136" s="3">
        <f>$H136*factors!FM$3</f>
        <v>0.4653341459</v>
      </c>
      <c r="FT136" s="3">
        <f>$H136*factors!FN$3</f>
        <v>0.47553071085000004</v>
      </c>
      <c r="FU136" s="3">
        <f>$H136*factors!FO$3</f>
        <v>0.45699150184999998</v>
      </c>
      <c r="FV136" s="3">
        <f>$H136*factors!FP$3</f>
        <v>0.45328366004999998</v>
      </c>
      <c r="FW136" s="3">
        <f>$H136*factors!FQ$3</f>
        <v>0.48526379557499999</v>
      </c>
      <c r="FX136" s="3">
        <f>$H136*factors!FR$3</f>
        <v>0.47645767130000005</v>
      </c>
      <c r="FY136" s="3">
        <f>$H136*factors!FS$3</f>
        <v>0.46672458657499993</v>
      </c>
      <c r="FZ136" s="3">
        <f>$H136*factors!FT$3</f>
        <v>0.44355057532500003</v>
      </c>
      <c r="GA136" s="3">
        <f>$H136*factors!FU$3</f>
        <v>0.46672458657499993</v>
      </c>
      <c r="GB136" s="3">
        <f>$H136*factors!FV$3</f>
        <v>0.48387335490000011</v>
      </c>
      <c r="GC136" s="3">
        <f>$H136*factors!FW$3</f>
        <v>0.45328366004999998</v>
      </c>
      <c r="GD136" s="3">
        <f>$H136*factors!FX$3</f>
        <v>0.46116282387500002</v>
      </c>
      <c r="GE136" s="3">
        <f>$H136*factors!FY$3</f>
        <v>0.46116282387500002</v>
      </c>
      <c r="GF136" s="3">
        <f>$H136*factors!FZ$3</f>
        <v>0.45977238320000002</v>
      </c>
      <c r="GG136" s="3">
        <f>$H136*factors!GA$3</f>
        <v>0.441696654425</v>
      </c>
      <c r="GH136" s="3">
        <f>$H136*factors!GB$3</f>
        <v>0.46996894815000007</v>
      </c>
      <c r="GI136" s="3">
        <f>$H136*factors!GC$3</f>
        <v>0.44076969397499999</v>
      </c>
      <c r="GJ136" s="3">
        <f>$H136*factors!GD$3</f>
        <v>0.441696654425</v>
      </c>
      <c r="GK136" s="3">
        <f>$H136*factors!GE$3</f>
        <v>0.452820179825</v>
      </c>
      <c r="GL136" s="3">
        <f>$H136*factors!GF$3</f>
        <v>0.47970203287500002</v>
      </c>
      <c r="GM136" s="3">
        <f>$H136*factors!GG$3</f>
        <v>0.45467410072500003</v>
      </c>
      <c r="GN136" s="3">
        <f>$H136*factors!GH$3</f>
        <v>0.46904198770000005</v>
      </c>
      <c r="GO136" s="3">
        <f>$H136*factors!GI$3</f>
        <v>0.44308709509999994</v>
      </c>
      <c r="GP136" s="3">
        <f>$H136*factors!GJ$3</f>
        <v>0.475067230625</v>
      </c>
      <c r="GQ136" s="3">
        <f>$H136*factors!GK$3</f>
        <v>0.48480031535000007</v>
      </c>
      <c r="GR136" s="3">
        <f>$H136*factors!GL$3</f>
        <v>0.47553071085000004</v>
      </c>
      <c r="GS136" s="3">
        <f>$H136*factors!GM$3</f>
        <v>0.44970559271300004</v>
      </c>
      <c r="GT136" s="3">
        <f>$H136*factors!GN$3</f>
        <v>0.46006530270220003</v>
      </c>
      <c r="GU136" s="3">
        <f>$H136*factors!GO$3</f>
        <v>0.47089590860000002</v>
      </c>
      <c r="GV136" s="3">
        <f>$H136*factors!GP$3</f>
        <v>0.45206007225600003</v>
      </c>
      <c r="GW136" s="3">
        <f>$H136*factors!GQ$3</f>
        <v>0.46807053314840003</v>
      </c>
      <c r="GX136" s="3">
        <f>$H136*factors!GR$3</f>
        <v>0.46053619861080003</v>
      </c>
      <c r="GY136" s="3">
        <f>$H136*factors!GS$3</f>
        <v>0.45818171906780003</v>
      </c>
      <c r="GZ136" s="3">
        <f>$H136*factors!GT$3</f>
        <v>0.47513397177739997</v>
      </c>
      <c r="HA136" s="3">
        <f>$H136*factors!GU$3</f>
        <v>0.45959440679360003</v>
      </c>
      <c r="HB136" s="3">
        <f>$H136*factors!GV$3</f>
        <v>0.47513397177739997</v>
      </c>
      <c r="HC136" s="3">
        <f>$H136*factors!GW$3</f>
        <v>0.46336157406239997</v>
      </c>
      <c r="HD136" s="3">
        <f>$H136*factors!GX$3</f>
        <v>0.47701755541179997</v>
      </c>
      <c r="HE136" s="3">
        <f>$H136*factors!GY$3</f>
        <v>0.47089590860000002</v>
      </c>
      <c r="HF136" s="3">
        <f>$H136*factors!GZ$3</f>
        <v>0.48549368176660002</v>
      </c>
      <c r="HG136" s="3">
        <f>$H136*factors!HA$3</f>
        <v>0.46665784542260003</v>
      </c>
      <c r="HH136" s="3">
        <f>$H136*factors!HB$3</f>
        <v>0.46053619861080003</v>
      </c>
      <c r="HI136" s="3">
        <f>$H136*factors!HC$3</f>
        <v>0.45488544770760003</v>
      </c>
      <c r="HJ136" s="3">
        <f>$H136*factors!HD$3</f>
        <v>0.44970559271300004</v>
      </c>
      <c r="HK136" s="3">
        <f>$H136*factors!HE$3</f>
        <v>0.47560486768600002</v>
      </c>
      <c r="HL136" s="3">
        <f>$H136*factors!HF$3</f>
        <v>0.44829290498719998</v>
      </c>
      <c r="HM136" s="3">
        <f>$H136*factors!HG$3</f>
        <v>0.45300186407320003</v>
      </c>
      <c r="HN136" s="3">
        <f>$H136*factors!HH$3</f>
        <v>0.48313920222360007</v>
      </c>
      <c r="HO136" s="3">
        <f>$H136*factors!HI$3</f>
        <v>0.46336157406239997</v>
      </c>
      <c r="HP136" s="3">
        <f>$H136*factors!HJ$3</f>
        <v>0.49444070403000007</v>
      </c>
      <c r="HQ136" s="3">
        <f>$H136*factors!HK$3</f>
        <v>0.45206007225600003</v>
      </c>
      <c r="HR136" s="3">
        <f>$H136*factors!HL$3</f>
        <v>0.47937203495480007</v>
      </c>
      <c r="HS136" s="3">
        <f>$H136*factors!HM$3</f>
        <v>0.48784816130960001</v>
      </c>
      <c r="HT136" s="3">
        <f>$H136*factors!HN$3</f>
        <v>0.45488544770760003</v>
      </c>
      <c r="HU136" s="3">
        <f>$H136*factors!HO$3</f>
        <v>0.45959440679360003</v>
      </c>
      <c r="HV136" s="3">
        <f>$H136*factors!HP$3</f>
        <v>0.46524515769680008</v>
      </c>
      <c r="HW136" s="3">
        <f>$H136*factors!HQ$3</f>
        <v>0.47183770041720002</v>
      </c>
      <c r="HX136" s="3">
        <f>$H136*factors!HR$3</f>
        <v>0.49114443266979996</v>
      </c>
      <c r="HY136" s="3">
        <f>$H136*factors!HS$3</f>
        <v>0.46665784542260003</v>
      </c>
      <c r="HZ136" s="3">
        <f>$H136*factors!HT$3</f>
        <v>0.48455188994940002</v>
      </c>
      <c r="IA136" s="3">
        <f>$H136*factors!HU$3</f>
        <v>0.46100709451940003</v>
      </c>
      <c r="IB136" s="3">
        <f>$H136*factors!HV$3</f>
        <v>0.47701755541179997</v>
      </c>
      <c r="IC136" s="3">
        <f>$H136*factors!HW$3</f>
        <v>0.48172651449780002</v>
      </c>
      <c r="ID136" s="3">
        <f>$H136*factors!HX$3</f>
        <v>0.44735111316999998</v>
      </c>
      <c r="IE136" s="3">
        <f>$H136*factors!HY$3</f>
        <v>0.47513397177739997</v>
      </c>
      <c r="IF136" s="3">
        <f>$H136*factors!HZ$3</f>
        <v>0.47230859632579997</v>
      </c>
      <c r="IG136" s="3">
        <f>$H136*factors!IA$3</f>
        <v>0.46807053314840003</v>
      </c>
      <c r="IH136" s="3">
        <f>$H136*factors!IB$3</f>
        <v>0.48549368176660002</v>
      </c>
      <c r="II136" s="3">
        <f>$H136*factors!IC$3</f>
        <v>0.46477426178820003</v>
      </c>
      <c r="IJ136" s="3">
        <f>$H136*factors!ID$3</f>
        <v>0.46901232496560002</v>
      </c>
      <c r="IK136" s="3">
        <f>$H136*factors!IE$3</f>
        <v>0.48596457767520002</v>
      </c>
      <c r="IL136" s="3">
        <f>$H136*factors!IF$3</f>
        <v>0.46524515769680008</v>
      </c>
      <c r="IM136" s="3">
        <f>$H136*factors!IG$3</f>
        <v>0.46100709451940003</v>
      </c>
      <c r="IN136" s="3">
        <f>$H136*factors!IH$3</f>
        <v>0.46383246997100003</v>
      </c>
      <c r="IO136" s="3">
        <f>$H136*factors!II$3</f>
        <v>0.46854142905700003</v>
      </c>
      <c r="IP136" s="3">
        <f>$H136*factors!IJ$3</f>
        <v>0.45300186407320003</v>
      </c>
      <c r="IQ136" s="3">
        <f>$H136*factors!IK$3</f>
        <v>0.45158917634740003</v>
      </c>
      <c r="IR136" s="3">
        <f>$H136*factors!IL$3</f>
        <v>0.46477426178820003</v>
      </c>
      <c r="IS136" s="3">
        <f>$H136*factors!IM$3</f>
        <v>0.46854142905700003</v>
      </c>
      <c r="IT136" s="3">
        <f>$H136*factors!IN$3</f>
        <v>0.47183770041720002</v>
      </c>
      <c r="IU136" s="3">
        <f>$H136*factors!IO$3</f>
        <v>0.48219741040640007</v>
      </c>
      <c r="IV136" s="3">
        <f>$H136*factors!IP$3</f>
        <v>0.48831905721819996</v>
      </c>
      <c r="IW136" s="3">
        <f>$H136*factors!IQ$3</f>
        <v>0.46147799042799997</v>
      </c>
      <c r="IX136" s="3">
        <f>$H136*factors!IR$3</f>
        <v>0.48219741040640007</v>
      </c>
      <c r="IY136" s="3">
        <f>$H136*factors!IS$3</f>
        <v>0.47513397177739997</v>
      </c>
      <c r="IZ136" s="3">
        <f>$H136*factors!IT$3</f>
        <v>0.48313920222360007</v>
      </c>
      <c r="JA136" s="3">
        <f>$H136*factors!IU$3</f>
        <v>0.45629813543339998</v>
      </c>
      <c r="JB136" s="3">
        <f>$H136*factors!IV$3</f>
        <v>0.46477426178820003</v>
      </c>
      <c r="JC136" s="3">
        <f>$H136*factors!IW$3</f>
        <v>0.45394365589040003</v>
      </c>
      <c r="JD136" s="3">
        <f>$H136*factors!IX$3</f>
        <v>0.49444070403000007</v>
      </c>
      <c r="JE136" s="3">
        <f>$H136*factors!IY$3</f>
        <v>0.45535634361619998</v>
      </c>
      <c r="JF136" s="3">
        <f>$H136*factors!IZ$3</f>
        <v>0.47795934722899996</v>
      </c>
      <c r="JG136" s="3">
        <f>$H136*factors!JA$3</f>
        <v>0.46948322087419997</v>
      </c>
      <c r="JH136" s="3">
        <f>$H136*factors!JB$3</f>
        <v>0.47843024313760008</v>
      </c>
      <c r="JI136" s="3">
        <f>$H136*factors!JC$3</f>
        <v>0.44782200907860004</v>
      </c>
      <c r="JJ136" s="3">
        <f>$H136*factors!JD$3</f>
        <v>0.48219741040640007</v>
      </c>
      <c r="JK136" s="3">
        <f>$H136*factors!JE$3</f>
        <v>0.46665784542260003</v>
      </c>
      <c r="JL136" s="3">
        <f>$H136*factors!JF$3</f>
        <v>0.48549368176660002</v>
      </c>
      <c r="JM136" s="3">
        <f>$H136*factors!JG$3</f>
        <v>0.45300186407320003</v>
      </c>
      <c r="JN136" s="3">
        <f>$H136*factors!JH$3</f>
        <v>0.45300186407320003</v>
      </c>
      <c r="JO136" s="3">
        <f>$H136*factors!JI$3</f>
        <v>0.44735111316999998</v>
      </c>
      <c r="JP136" s="3">
        <f>$H136*factors!JJ$3</f>
        <v>0.48361009813220002</v>
      </c>
      <c r="JQ136" s="3">
        <f>$H136*factors!JK$3</f>
        <v>0.47136680450859997</v>
      </c>
      <c r="JR136" s="3">
        <f>$H136*factors!JL$3</f>
        <v>0.48973174494400001</v>
      </c>
      <c r="JS136" s="3">
        <f>$H136*factors!JM$3</f>
        <v>0.44735111316999998</v>
      </c>
      <c r="JT136" s="3">
        <f>$H136*factors!JN$3</f>
        <v>0.46995411678280002</v>
      </c>
      <c r="JU136" s="3">
        <f>$H136*factors!JO$3</f>
        <v>0.45441455179899998</v>
      </c>
      <c r="JV136" s="3">
        <f>$H136*factors!JP$3</f>
        <v>0.46194888633660003</v>
      </c>
      <c r="JW136" s="3">
        <f>$H136*factors!JQ$3</f>
        <v>0.49349891221280007</v>
      </c>
      <c r="JX136" s="3">
        <f>$H136*factors!JR$3</f>
        <v>0.48878995312680001</v>
      </c>
      <c r="JY136" s="3">
        <f>$H136*factors!JS$3</f>
        <v>0.46006530270220003</v>
      </c>
      <c r="JZ136" s="3">
        <f>$H136*factors!JT$3</f>
        <v>0.46524515769680008</v>
      </c>
      <c r="KA136" s="3">
        <f>$H136*factors!JU$3</f>
        <v>0.46712874133120003</v>
      </c>
      <c r="KB136" s="3">
        <f>$H136*factors!JV$3</f>
        <v>0.45158917634740003</v>
      </c>
      <c r="KC136" s="3">
        <f>$H136*factors!JW$3</f>
        <v>0.45394365589040003</v>
      </c>
      <c r="KD136" s="3">
        <f>$H136*factors!JX$3</f>
        <v>0.45441455179899998</v>
      </c>
      <c r="KE136" s="3">
        <f>$H136*factors!JY$3</f>
        <v>0.48361009813220002</v>
      </c>
      <c r="KF136" s="3">
        <f>$H136*factors!JZ$3</f>
        <v>0.48926084903539996</v>
      </c>
      <c r="KG136" s="3">
        <f>$H136*factors!KA$3</f>
        <v>0.47183770041720002</v>
      </c>
      <c r="KH136" s="3">
        <f>$H136*factors!KB$3</f>
        <v>0.46147799042799997</v>
      </c>
      <c r="KI136" s="3">
        <f>$H136*factors!KC$3</f>
        <v>0.45723992725059998</v>
      </c>
    </row>
    <row r="137" spans="1:295" x14ac:dyDescent="0.55000000000000004">
      <c r="A137" t="s">
        <v>514</v>
      </c>
      <c r="B137">
        <v>136</v>
      </c>
      <c r="C137">
        <v>230</v>
      </c>
      <c r="D137" t="s">
        <v>377</v>
      </c>
      <c r="E137">
        <v>3.3409999999999998E-3</v>
      </c>
      <c r="F137">
        <v>136</v>
      </c>
      <c r="G137">
        <f>VLOOKUP(D137,demand_forecasted!$A$2:$G$11,2)</f>
        <v>11098</v>
      </c>
      <c r="H137" s="3">
        <f t="shared" si="2"/>
        <v>0.37078418000000002</v>
      </c>
      <c r="I137" s="3">
        <f>$H137*factors!C$3</f>
        <v>0.41045808725999999</v>
      </c>
      <c r="J137" s="3">
        <f>$H137*factors!D$3</f>
        <v>0.39564155142720003</v>
      </c>
      <c r="K137" s="3">
        <f>$H137*factors!E$3</f>
        <v>0.38883395388240005</v>
      </c>
      <c r="L137" s="3">
        <f>$H137*factors!F$3</f>
        <v>0.38763261313920006</v>
      </c>
      <c r="M137" s="3">
        <f>$H137*factors!G$3</f>
        <v>0.3872321662248</v>
      </c>
      <c r="N137" s="3">
        <f>$H137*factors!H$3</f>
        <v>0.39844467982800003</v>
      </c>
      <c r="O137" s="3">
        <f>$H137*factors!I$3</f>
        <v>0.4072545119448</v>
      </c>
      <c r="P137" s="3">
        <f>$H137*factors!J$3</f>
        <v>0.41205987491760004</v>
      </c>
      <c r="Q137" s="3">
        <f>$H137*factors!K$3</f>
        <v>0.3868317193104</v>
      </c>
      <c r="R137" s="3">
        <f>$H137*factors!L$3</f>
        <v>0.38042456868000002</v>
      </c>
      <c r="S137" s="3">
        <f>$H137*factors!M$3</f>
        <v>0.39604199834160003</v>
      </c>
      <c r="T137" s="3">
        <f>$H137*factors!N$3</f>
        <v>0.40965719343120005</v>
      </c>
      <c r="U137" s="3">
        <f>$H137*factors!O$3</f>
        <v>0.38803306005360005</v>
      </c>
      <c r="V137" s="3">
        <f>$H137*factors!P$3</f>
        <v>0.40365048971520007</v>
      </c>
      <c r="W137" s="3">
        <f>$H137*factors!Q$3</f>
        <v>0.4072545119448</v>
      </c>
      <c r="X137" s="3">
        <f>$H137*factors!R$3</f>
        <v>0.38963484771119999</v>
      </c>
      <c r="Y137" s="3">
        <f>$H137*factors!S$3</f>
        <v>0.38603082548160006</v>
      </c>
      <c r="Z137" s="3">
        <f>$H137*factors!T$3</f>
        <v>0.41646479097600009</v>
      </c>
      <c r="AA137" s="3">
        <f>$H137*factors!U$3</f>
        <v>0.39323886994079998</v>
      </c>
      <c r="AB137" s="3">
        <f>$H137*factors!V$3</f>
        <v>0.39363931685520009</v>
      </c>
      <c r="AC137" s="3">
        <f>$H137*factors!W$3</f>
        <v>0.39403976376960004</v>
      </c>
      <c r="AD137" s="3">
        <f>$H137*factors!X$3</f>
        <v>0.38563037856720006</v>
      </c>
      <c r="AE137" s="3">
        <f>$H137*factors!Y$3</f>
        <v>0.38883395388240005</v>
      </c>
      <c r="AF137" s="3">
        <f>$H137*factors!Z$3</f>
        <v>0.39684289217040009</v>
      </c>
      <c r="AG137" s="3">
        <f>$H137*factors!AA$3</f>
        <v>0.3868317193104</v>
      </c>
      <c r="AH137" s="3">
        <f>$H137*factors!AB$3</f>
        <v>0.38522993165280006</v>
      </c>
      <c r="AI137" s="3">
        <f>$H137*factors!AC$3</f>
        <v>0.39764378599920003</v>
      </c>
      <c r="AJ137" s="3">
        <f>$H137*factors!AD$3</f>
        <v>0.41286076874640004</v>
      </c>
      <c r="AK137" s="3">
        <f>$H137*factors!AE$3</f>
        <v>0.39724333908480003</v>
      </c>
      <c r="AL137" s="3">
        <f>$H137*factors!AF$3</f>
        <v>0.38162590942320002</v>
      </c>
      <c r="AM137" s="3">
        <f>$H137*factors!AG$3</f>
        <v>0.39243797611200004</v>
      </c>
      <c r="AN137" s="3">
        <f>$H137*factors!AH$3</f>
        <v>0.38603082548160006</v>
      </c>
      <c r="AO137" s="3">
        <f>$H137*factors!AI$3</f>
        <v>0.40445138354400001</v>
      </c>
      <c r="AP137" s="3">
        <f>$H137*factors!AJ$3</f>
        <v>0.38763261313920006</v>
      </c>
      <c r="AQ137" s="3">
        <f>$H137*factors!AK$3</f>
        <v>0.40004646748560008</v>
      </c>
      <c r="AR137" s="3">
        <f>$H137*factors!AL$3</f>
        <v>0.39123663536880005</v>
      </c>
      <c r="AS137" s="3">
        <f>$H137*factors!AM$3</f>
        <v>0.38162590942320002</v>
      </c>
      <c r="AT137" s="3">
        <f>$H137*factors!AN$3</f>
        <v>0.39363931685520009</v>
      </c>
      <c r="AU137" s="3">
        <f>$H137*factors!AO$3</f>
        <v>0.41686523789039998</v>
      </c>
      <c r="AV137" s="3">
        <f>$H137*factors!AP$3</f>
        <v>0.39403976376960004</v>
      </c>
      <c r="AW137" s="3">
        <f>$H137*factors!AQ$3</f>
        <v>0.39003529462559999</v>
      </c>
      <c r="AX137" s="3">
        <f>$H137*factors!AR$3</f>
        <v>0.41246032183200004</v>
      </c>
      <c r="AY137" s="3">
        <f>$H137*factors!AS$3</f>
        <v>0.38042456868000002</v>
      </c>
      <c r="AZ137" s="3">
        <f>$H137*factors!AT$3</f>
        <v>0.40765495885920011</v>
      </c>
      <c r="BA137" s="3">
        <f>$H137*factors!AU$3</f>
        <v>0.39884512674240002</v>
      </c>
      <c r="BB137" s="3">
        <f>$H137*factors!AV$3</f>
        <v>0.39363931685520009</v>
      </c>
      <c r="BC137" s="3">
        <f>$H137*factors!AW$3</f>
        <v>0.41646479097600009</v>
      </c>
      <c r="BD137" s="3">
        <f>$H137*factors!AX$3</f>
        <v>0.38442903782400001</v>
      </c>
      <c r="BE137" s="3">
        <f>$H137*factors!AY$3</f>
        <v>0.45196366836919999</v>
      </c>
      <c r="BF137" s="3">
        <f>$H137*factors!AZ$3</f>
        <v>0.42089936976879999</v>
      </c>
      <c r="BG137" s="3">
        <f>$H137*factors!BA$3</f>
        <v>0.42702472442239997</v>
      </c>
      <c r="BH137" s="3">
        <f>$H137*factors!BB$3</f>
        <v>0.43271255374360001</v>
      </c>
      <c r="BI137" s="3">
        <f>$H137*factors!BC$3</f>
        <v>0.44846346570999995</v>
      </c>
      <c r="BJ137" s="3">
        <f>$H137*factors!BD$3</f>
        <v>0.4283373004196</v>
      </c>
      <c r="BK137" s="3">
        <f>$H137*factors!BE$3</f>
        <v>0.42921235108439998</v>
      </c>
      <c r="BL137" s="3">
        <f>$H137*factors!BF$3</f>
        <v>0.42439957242799997</v>
      </c>
      <c r="BM137" s="3">
        <f>$H137*factors!BG$3</f>
        <v>0.45327624436640002</v>
      </c>
      <c r="BN137" s="3">
        <f>$H137*factors!BH$3</f>
        <v>0.44758841504519997</v>
      </c>
      <c r="BO137" s="3">
        <f>$H137*factors!BI$3</f>
        <v>0.42089936976879999</v>
      </c>
      <c r="BP137" s="3">
        <f>$H137*factors!BJ$3</f>
        <v>0.41958679377159996</v>
      </c>
      <c r="BQ137" s="3">
        <f>$H137*factors!BK$3</f>
        <v>0.42658719908999998</v>
      </c>
      <c r="BR137" s="3">
        <f>$H137*factors!BL$3</f>
        <v>0.44190058572400004</v>
      </c>
      <c r="BS137" s="3">
        <f>$H137*factors!BM$3</f>
        <v>0.4489009910424</v>
      </c>
      <c r="BT137" s="3">
        <f>$H137*factors!BN$3</f>
        <v>0.45021356703959997</v>
      </c>
      <c r="BU137" s="3">
        <f>$H137*factors!BO$3</f>
        <v>0.45765149769040003</v>
      </c>
      <c r="BV137" s="3">
        <f>$H137*factors!BP$3</f>
        <v>0.4257121484252</v>
      </c>
      <c r="BW137" s="3">
        <f>$H137*factors!BQ$3</f>
        <v>0.43533770573800001</v>
      </c>
      <c r="BX137" s="3">
        <f>$H137*factors!BR$3</f>
        <v>0.42702472442239997</v>
      </c>
      <c r="BY137" s="3">
        <f>$H137*factors!BS$3</f>
        <v>0.44671336438039994</v>
      </c>
      <c r="BZ137" s="3">
        <f>$H137*factors!BT$3</f>
        <v>0.43840038306479995</v>
      </c>
      <c r="CA137" s="3">
        <f>$H137*factors!BU$3</f>
        <v>0.43271255374360001</v>
      </c>
      <c r="CB137" s="3">
        <f>$H137*factors!BV$3</f>
        <v>0.41871174310679998</v>
      </c>
      <c r="CC137" s="3">
        <f>$H137*factors!BW$3</f>
        <v>0.430962452414</v>
      </c>
      <c r="CD137" s="3">
        <f>$H137*factors!BX$3</f>
        <v>0.43227502841120002</v>
      </c>
      <c r="CE137" s="3">
        <f>$H137*factors!BY$3</f>
        <v>0.43840038306479995</v>
      </c>
      <c r="CF137" s="3">
        <f>$H137*factors!BZ$3</f>
        <v>0.43183750307880003</v>
      </c>
      <c r="CG137" s="3">
        <f>$H137*factors!CA$3</f>
        <v>0.41739916710959996</v>
      </c>
      <c r="CH137" s="3">
        <f>$H137*factors!CB$3</f>
        <v>0.41783669244199995</v>
      </c>
      <c r="CI137" s="3">
        <f>$H137*factors!CC$3</f>
        <v>0.41564906577999999</v>
      </c>
      <c r="CJ137" s="3">
        <f>$H137*factors!CD$3</f>
        <v>0.43271255374360001</v>
      </c>
      <c r="CK137" s="3">
        <f>$H137*factors!CE$3</f>
        <v>0.45196366836919999</v>
      </c>
      <c r="CL137" s="3">
        <f>$H137*factors!CF$3</f>
        <v>0.42352452176319999</v>
      </c>
      <c r="CM137" s="3">
        <f>$H137*factors!CG$3</f>
        <v>0.4335876044084</v>
      </c>
      <c r="CN137" s="3">
        <f>$H137*factors!CH$3</f>
        <v>0.41914926843919997</v>
      </c>
      <c r="CO137" s="3">
        <f>$H137*factors!CI$3</f>
        <v>0.42221194576599996</v>
      </c>
      <c r="CP137" s="3">
        <f>$H137*factors!CJ$3</f>
        <v>0.44233811105639992</v>
      </c>
      <c r="CQ137" s="3">
        <f>$H137*factors!CK$3</f>
        <v>0.42921235108439998</v>
      </c>
      <c r="CR137" s="3">
        <f>$H137*factors!CL$3</f>
        <v>0.44277563638879996</v>
      </c>
      <c r="CS137" s="3">
        <f>$H137*factors!CM$3</f>
        <v>0.4567764470256</v>
      </c>
      <c r="CT137" s="3">
        <f>$H137*factors!CN$3</f>
        <v>0.4515261430368</v>
      </c>
      <c r="CU137" s="3">
        <f>$H137*factors!CO$3</f>
        <v>0.44146306039159994</v>
      </c>
      <c r="CV137" s="3">
        <f>$H137*factors!CP$3</f>
        <v>0.45940159902</v>
      </c>
      <c r="CW137" s="3">
        <f>$H137*factors!CQ$3</f>
        <v>0.43446265507320003</v>
      </c>
      <c r="CX137" s="3">
        <f>$H137*factors!CR$3</f>
        <v>0.42789977508720001</v>
      </c>
      <c r="CY137" s="3">
        <f>$H137*factors!CS$3</f>
        <v>0.42396204709559998</v>
      </c>
      <c r="CZ137" s="3">
        <f>$H137*factors!CT$3</f>
        <v>0.41783669244199995</v>
      </c>
      <c r="DA137" s="3">
        <f>$H137*factors!CU$3</f>
        <v>0.43381749060000002</v>
      </c>
      <c r="DB137" s="3">
        <f>$H137*factors!CV$3</f>
        <v>0.46184877460800006</v>
      </c>
      <c r="DC137" s="3">
        <f>$H137*factors!CW$3</f>
        <v>0.44227136990399996</v>
      </c>
      <c r="DD137" s="3">
        <f>$H137*factors!CX$3</f>
        <v>0.43915678279199999</v>
      </c>
      <c r="DE137" s="3">
        <f>$H137*factors!CY$3</f>
        <v>0.45206007225600003</v>
      </c>
      <c r="DF137" s="3">
        <f>$H137*factors!CZ$3</f>
        <v>0.45117019022399996</v>
      </c>
      <c r="DG137" s="3">
        <f>$H137*factors!DA$3</f>
        <v>0.44939042616000002</v>
      </c>
      <c r="DH137" s="3">
        <f>$H137*factors!DB$3</f>
        <v>0.44939042616000002</v>
      </c>
      <c r="DI137" s="3">
        <f>$H137*factors!DC$3</f>
        <v>0.43248266755199999</v>
      </c>
      <c r="DJ137" s="3">
        <f>$H137*factors!DD$3</f>
        <v>0.45828924648000002</v>
      </c>
      <c r="DK137" s="3">
        <f>$H137*factors!DE$3</f>
        <v>0.45828924648000002</v>
      </c>
      <c r="DL137" s="3">
        <f>$H137*factors!DF$3</f>
        <v>0.45294995428800006</v>
      </c>
      <c r="DM137" s="3">
        <f>$H137*factors!DG$3</f>
        <v>0.42669843434399995</v>
      </c>
      <c r="DN137" s="3">
        <f>$H137*factors!DH$3</f>
        <v>0.44761066209600003</v>
      </c>
      <c r="DO137" s="3">
        <f>$H137*factors!DI$3</f>
        <v>0.46229371562400001</v>
      </c>
      <c r="DP137" s="3">
        <f>$H137*factors!DJ$3</f>
        <v>0.45828924648000002</v>
      </c>
      <c r="DQ137" s="3">
        <f>$H137*factors!DK$3</f>
        <v>0.43693207771199999</v>
      </c>
      <c r="DR137" s="3">
        <f>$H137*factors!DL$3</f>
        <v>0.43203772653600003</v>
      </c>
      <c r="DS137" s="3">
        <f>$H137*factors!DM$3</f>
        <v>0.46674312578400001</v>
      </c>
      <c r="DT137" s="3">
        <f>$H137*factors!DN$3</f>
        <v>0.43871184177600003</v>
      </c>
      <c r="DU137" s="3">
        <f>$H137*factors!DO$3</f>
        <v>0.45917912851199999</v>
      </c>
      <c r="DV137" s="3">
        <f>$H137*factors!DP$3</f>
        <v>0.448500544128</v>
      </c>
      <c r="DW137" s="3">
        <f>$H137*factors!DQ$3</f>
        <v>0.42803325739199999</v>
      </c>
      <c r="DX137" s="3">
        <f>$H137*factors!DR$3</f>
        <v>0.45339489530399996</v>
      </c>
      <c r="DY137" s="3">
        <f>$H137*factors!DS$3</f>
        <v>0.43025796247199999</v>
      </c>
      <c r="DZ137" s="3">
        <f>$H137*factors!DT$3</f>
        <v>0.46006901054400001</v>
      </c>
      <c r="EA137" s="3">
        <f>$H137*factors!DU$3</f>
        <v>0.43337254958399996</v>
      </c>
      <c r="EB137" s="3">
        <f>$H137*factors!DV$3</f>
        <v>0.42269396519999997</v>
      </c>
      <c r="EC137" s="3">
        <f>$H137*factors!DW$3</f>
        <v>0.45472971835199999</v>
      </c>
      <c r="ED137" s="3">
        <f>$H137*factors!DX$3</f>
        <v>0.42669843434399995</v>
      </c>
      <c r="EE137" s="3">
        <f>$H137*factors!DY$3</f>
        <v>0.43025796247199999</v>
      </c>
      <c r="EF137" s="3">
        <f>$H137*factors!DZ$3</f>
        <v>0.46674312578400001</v>
      </c>
      <c r="EG137" s="3">
        <f>$H137*factors!EA$3</f>
        <v>0.43604219568000002</v>
      </c>
      <c r="EH137" s="3">
        <f>$H137*factors!EB$3</f>
        <v>0.437377018728</v>
      </c>
      <c r="EI137" s="3">
        <f>$H137*factors!EC$3</f>
        <v>0.43648713669600003</v>
      </c>
      <c r="EJ137" s="3">
        <f>$H137*factors!ED$3</f>
        <v>0.42536361129600003</v>
      </c>
      <c r="EK137" s="3">
        <f>$H137*factors!EE$3</f>
        <v>0.45472971835199999</v>
      </c>
      <c r="EL137" s="3">
        <f>$H137*factors!EF$3</f>
        <v>0.43248266755199999</v>
      </c>
      <c r="EM137" s="3">
        <f>$H137*factors!EG$3</f>
        <v>0.44983536717599998</v>
      </c>
      <c r="EN137" s="3">
        <f>$H137*factors!EH$3</f>
        <v>0.42269396519999997</v>
      </c>
      <c r="EO137" s="3">
        <f>$H137*factors!EI$3</f>
        <v>0.42892313942399996</v>
      </c>
      <c r="EP137" s="3">
        <f>$H137*factors!EJ$3</f>
        <v>0.45250501327199999</v>
      </c>
      <c r="EQ137" s="3">
        <f>$H137*factors!EK$3</f>
        <v>0.44004666482399996</v>
      </c>
      <c r="ER137" s="3">
        <f>$H137*factors!EL$3</f>
        <v>0.45828924648000002</v>
      </c>
      <c r="ES137" s="3">
        <f>$H137*factors!EM$3</f>
        <v>0.45250501327199999</v>
      </c>
      <c r="ET137" s="3">
        <f>$H137*factors!EN$3</f>
        <v>0.46273865664000002</v>
      </c>
      <c r="EU137" s="3">
        <f>$H137*factors!EO$3</f>
        <v>0.46718806680000002</v>
      </c>
      <c r="EV137" s="3">
        <f>$H137*factors!EP$3</f>
        <v>0.43782195974399996</v>
      </c>
      <c r="EW137" s="3">
        <f>$H137*factors!EQ$3</f>
        <v>0.48155595377499999</v>
      </c>
      <c r="EX137" s="3">
        <f>$H137*factors!ER$3</f>
        <v>0.47645767130000005</v>
      </c>
      <c r="EY137" s="3">
        <f>$H137*factors!ES$3</f>
        <v>0.48619075602499995</v>
      </c>
      <c r="EZ137" s="3">
        <f>$H137*factors!ET$3</f>
        <v>0.48155595377499999</v>
      </c>
      <c r="FA137" s="3">
        <f>$H137*factors!EU$3</f>
        <v>0.44262361487499996</v>
      </c>
      <c r="FB137" s="3">
        <f>$H137*factors!EV$3</f>
        <v>0.46255326455000007</v>
      </c>
      <c r="FC137" s="3">
        <f>$H137*factors!EW$3</f>
        <v>0.47553071085000004</v>
      </c>
      <c r="FD137" s="3">
        <f>$H137*factors!EX$3</f>
        <v>0.45884542275000006</v>
      </c>
      <c r="FE137" s="3">
        <f>$H137*factors!EY$3</f>
        <v>0.48340987467500002</v>
      </c>
      <c r="FF137" s="3">
        <f>$H137*factors!EZ$3</f>
        <v>0.48387335490000011</v>
      </c>
      <c r="FG137" s="3">
        <f>$H137*factors!FA$3</f>
        <v>0.44262361487499996</v>
      </c>
      <c r="FH137" s="3">
        <f>$H137*factors!FB$3</f>
        <v>0.46579762612499997</v>
      </c>
      <c r="FI137" s="3">
        <f>$H137*factors!FC$3</f>
        <v>0.48526379557499999</v>
      </c>
      <c r="FJ137" s="3">
        <f>$H137*factors!FD$3</f>
        <v>0.46579762612499997</v>
      </c>
      <c r="FK137" s="3">
        <f>$H137*factors!FE$3</f>
        <v>0.47367678995000007</v>
      </c>
      <c r="FL137" s="3">
        <f>$H137*factors!FF$3</f>
        <v>0.475067230625</v>
      </c>
      <c r="FM137" s="3">
        <f>$H137*factors!FG$3</f>
        <v>0.4801655131</v>
      </c>
      <c r="FN137" s="3">
        <f>$H137*factors!FH$3</f>
        <v>0.449112338025</v>
      </c>
      <c r="FO137" s="3">
        <f>$H137*factors!FI$3</f>
        <v>0.47692115152499998</v>
      </c>
      <c r="FP137" s="3">
        <f>$H137*factors!FJ$3</f>
        <v>0.46348022500000002</v>
      </c>
      <c r="FQ137" s="3">
        <f>$H137*factors!FK$3</f>
        <v>0.45884542275000006</v>
      </c>
      <c r="FR137" s="3">
        <f>$H137*factors!FL$3</f>
        <v>0.46811502724999998</v>
      </c>
      <c r="FS137" s="3">
        <f>$H137*factors!FM$3</f>
        <v>0.4653341459</v>
      </c>
      <c r="FT137" s="3">
        <f>$H137*factors!FN$3</f>
        <v>0.47553071085000004</v>
      </c>
      <c r="FU137" s="3">
        <f>$H137*factors!FO$3</f>
        <v>0.45699150184999998</v>
      </c>
      <c r="FV137" s="3">
        <f>$H137*factors!FP$3</f>
        <v>0.45328366004999998</v>
      </c>
      <c r="FW137" s="3">
        <f>$H137*factors!FQ$3</f>
        <v>0.48526379557499999</v>
      </c>
      <c r="FX137" s="3">
        <f>$H137*factors!FR$3</f>
        <v>0.47645767130000005</v>
      </c>
      <c r="FY137" s="3">
        <f>$H137*factors!FS$3</f>
        <v>0.46672458657499993</v>
      </c>
      <c r="FZ137" s="3">
        <f>$H137*factors!FT$3</f>
        <v>0.44355057532500003</v>
      </c>
      <c r="GA137" s="3">
        <f>$H137*factors!FU$3</f>
        <v>0.46672458657499993</v>
      </c>
      <c r="GB137" s="3">
        <f>$H137*factors!FV$3</f>
        <v>0.48387335490000011</v>
      </c>
      <c r="GC137" s="3">
        <f>$H137*factors!FW$3</f>
        <v>0.45328366004999998</v>
      </c>
      <c r="GD137" s="3">
        <f>$H137*factors!FX$3</f>
        <v>0.46116282387500002</v>
      </c>
      <c r="GE137" s="3">
        <f>$H137*factors!FY$3</f>
        <v>0.46116282387500002</v>
      </c>
      <c r="GF137" s="3">
        <f>$H137*factors!FZ$3</f>
        <v>0.45977238320000002</v>
      </c>
      <c r="GG137" s="3">
        <f>$H137*factors!GA$3</f>
        <v>0.441696654425</v>
      </c>
      <c r="GH137" s="3">
        <f>$H137*factors!GB$3</f>
        <v>0.46996894815000007</v>
      </c>
      <c r="GI137" s="3">
        <f>$H137*factors!GC$3</f>
        <v>0.44076969397499999</v>
      </c>
      <c r="GJ137" s="3">
        <f>$H137*factors!GD$3</f>
        <v>0.441696654425</v>
      </c>
      <c r="GK137" s="3">
        <f>$H137*factors!GE$3</f>
        <v>0.452820179825</v>
      </c>
      <c r="GL137" s="3">
        <f>$H137*factors!GF$3</f>
        <v>0.47970203287500002</v>
      </c>
      <c r="GM137" s="3">
        <f>$H137*factors!GG$3</f>
        <v>0.45467410072500003</v>
      </c>
      <c r="GN137" s="3">
        <f>$H137*factors!GH$3</f>
        <v>0.46904198770000005</v>
      </c>
      <c r="GO137" s="3">
        <f>$H137*factors!GI$3</f>
        <v>0.44308709509999994</v>
      </c>
      <c r="GP137" s="3">
        <f>$H137*factors!GJ$3</f>
        <v>0.475067230625</v>
      </c>
      <c r="GQ137" s="3">
        <f>$H137*factors!GK$3</f>
        <v>0.48480031535000007</v>
      </c>
      <c r="GR137" s="3">
        <f>$H137*factors!GL$3</f>
        <v>0.47553071085000004</v>
      </c>
      <c r="GS137" s="3">
        <f>$H137*factors!GM$3</f>
        <v>0.44970559271300004</v>
      </c>
      <c r="GT137" s="3">
        <f>$H137*factors!GN$3</f>
        <v>0.46006530270220003</v>
      </c>
      <c r="GU137" s="3">
        <f>$H137*factors!GO$3</f>
        <v>0.47089590860000002</v>
      </c>
      <c r="GV137" s="3">
        <f>$H137*factors!GP$3</f>
        <v>0.45206007225600003</v>
      </c>
      <c r="GW137" s="3">
        <f>$H137*factors!GQ$3</f>
        <v>0.46807053314840003</v>
      </c>
      <c r="GX137" s="3">
        <f>$H137*factors!GR$3</f>
        <v>0.46053619861080003</v>
      </c>
      <c r="GY137" s="3">
        <f>$H137*factors!GS$3</f>
        <v>0.45818171906780003</v>
      </c>
      <c r="GZ137" s="3">
        <f>$H137*factors!GT$3</f>
        <v>0.47513397177739997</v>
      </c>
      <c r="HA137" s="3">
        <f>$H137*factors!GU$3</f>
        <v>0.45959440679360003</v>
      </c>
      <c r="HB137" s="3">
        <f>$H137*factors!GV$3</f>
        <v>0.47513397177739997</v>
      </c>
      <c r="HC137" s="3">
        <f>$H137*factors!GW$3</f>
        <v>0.46336157406239997</v>
      </c>
      <c r="HD137" s="3">
        <f>$H137*factors!GX$3</f>
        <v>0.47701755541179997</v>
      </c>
      <c r="HE137" s="3">
        <f>$H137*factors!GY$3</f>
        <v>0.47089590860000002</v>
      </c>
      <c r="HF137" s="3">
        <f>$H137*factors!GZ$3</f>
        <v>0.48549368176660002</v>
      </c>
      <c r="HG137" s="3">
        <f>$H137*factors!HA$3</f>
        <v>0.46665784542260003</v>
      </c>
      <c r="HH137" s="3">
        <f>$H137*factors!HB$3</f>
        <v>0.46053619861080003</v>
      </c>
      <c r="HI137" s="3">
        <f>$H137*factors!HC$3</f>
        <v>0.45488544770760003</v>
      </c>
      <c r="HJ137" s="3">
        <f>$H137*factors!HD$3</f>
        <v>0.44970559271300004</v>
      </c>
      <c r="HK137" s="3">
        <f>$H137*factors!HE$3</f>
        <v>0.47560486768600002</v>
      </c>
      <c r="HL137" s="3">
        <f>$H137*factors!HF$3</f>
        <v>0.44829290498719998</v>
      </c>
      <c r="HM137" s="3">
        <f>$H137*factors!HG$3</f>
        <v>0.45300186407320003</v>
      </c>
      <c r="HN137" s="3">
        <f>$H137*factors!HH$3</f>
        <v>0.48313920222360007</v>
      </c>
      <c r="HO137" s="3">
        <f>$H137*factors!HI$3</f>
        <v>0.46336157406239997</v>
      </c>
      <c r="HP137" s="3">
        <f>$H137*factors!HJ$3</f>
        <v>0.49444070403000007</v>
      </c>
      <c r="HQ137" s="3">
        <f>$H137*factors!HK$3</f>
        <v>0.45206007225600003</v>
      </c>
      <c r="HR137" s="3">
        <f>$H137*factors!HL$3</f>
        <v>0.47937203495480007</v>
      </c>
      <c r="HS137" s="3">
        <f>$H137*factors!HM$3</f>
        <v>0.48784816130960001</v>
      </c>
      <c r="HT137" s="3">
        <f>$H137*factors!HN$3</f>
        <v>0.45488544770760003</v>
      </c>
      <c r="HU137" s="3">
        <f>$H137*factors!HO$3</f>
        <v>0.45959440679360003</v>
      </c>
      <c r="HV137" s="3">
        <f>$H137*factors!HP$3</f>
        <v>0.46524515769680008</v>
      </c>
      <c r="HW137" s="3">
        <f>$H137*factors!HQ$3</f>
        <v>0.47183770041720002</v>
      </c>
      <c r="HX137" s="3">
        <f>$H137*factors!HR$3</f>
        <v>0.49114443266979996</v>
      </c>
      <c r="HY137" s="3">
        <f>$H137*factors!HS$3</f>
        <v>0.46665784542260003</v>
      </c>
      <c r="HZ137" s="3">
        <f>$H137*factors!HT$3</f>
        <v>0.48455188994940002</v>
      </c>
      <c r="IA137" s="3">
        <f>$H137*factors!HU$3</f>
        <v>0.46100709451940003</v>
      </c>
      <c r="IB137" s="3">
        <f>$H137*factors!HV$3</f>
        <v>0.47701755541179997</v>
      </c>
      <c r="IC137" s="3">
        <f>$H137*factors!HW$3</f>
        <v>0.48172651449780002</v>
      </c>
      <c r="ID137" s="3">
        <f>$H137*factors!HX$3</f>
        <v>0.44735111316999998</v>
      </c>
      <c r="IE137" s="3">
        <f>$H137*factors!HY$3</f>
        <v>0.47513397177739997</v>
      </c>
      <c r="IF137" s="3">
        <f>$H137*factors!HZ$3</f>
        <v>0.47230859632579997</v>
      </c>
      <c r="IG137" s="3">
        <f>$H137*factors!IA$3</f>
        <v>0.46807053314840003</v>
      </c>
      <c r="IH137" s="3">
        <f>$H137*factors!IB$3</f>
        <v>0.48549368176660002</v>
      </c>
      <c r="II137" s="3">
        <f>$H137*factors!IC$3</f>
        <v>0.46477426178820003</v>
      </c>
      <c r="IJ137" s="3">
        <f>$H137*factors!ID$3</f>
        <v>0.46901232496560002</v>
      </c>
      <c r="IK137" s="3">
        <f>$H137*factors!IE$3</f>
        <v>0.48596457767520002</v>
      </c>
      <c r="IL137" s="3">
        <f>$H137*factors!IF$3</f>
        <v>0.46524515769680008</v>
      </c>
      <c r="IM137" s="3">
        <f>$H137*factors!IG$3</f>
        <v>0.46100709451940003</v>
      </c>
      <c r="IN137" s="3">
        <f>$H137*factors!IH$3</f>
        <v>0.46383246997100003</v>
      </c>
      <c r="IO137" s="3">
        <f>$H137*factors!II$3</f>
        <v>0.46854142905700003</v>
      </c>
      <c r="IP137" s="3">
        <f>$H137*factors!IJ$3</f>
        <v>0.45300186407320003</v>
      </c>
      <c r="IQ137" s="3">
        <f>$H137*factors!IK$3</f>
        <v>0.45158917634740003</v>
      </c>
      <c r="IR137" s="3">
        <f>$H137*factors!IL$3</f>
        <v>0.46477426178820003</v>
      </c>
      <c r="IS137" s="3">
        <f>$H137*factors!IM$3</f>
        <v>0.46854142905700003</v>
      </c>
      <c r="IT137" s="3">
        <f>$H137*factors!IN$3</f>
        <v>0.47183770041720002</v>
      </c>
      <c r="IU137" s="3">
        <f>$H137*factors!IO$3</f>
        <v>0.48219741040640007</v>
      </c>
      <c r="IV137" s="3">
        <f>$H137*factors!IP$3</f>
        <v>0.48831905721819996</v>
      </c>
      <c r="IW137" s="3">
        <f>$H137*factors!IQ$3</f>
        <v>0.46147799042799997</v>
      </c>
      <c r="IX137" s="3">
        <f>$H137*factors!IR$3</f>
        <v>0.48219741040640007</v>
      </c>
      <c r="IY137" s="3">
        <f>$H137*factors!IS$3</f>
        <v>0.47513397177739997</v>
      </c>
      <c r="IZ137" s="3">
        <f>$H137*factors!IT$3</f>
        <v>0.48313920222360007</v>
      </c>
      <c r="JA137" s="3">
        <f>$H137*factors!IU$3</f>
        <v>0.45629813543339998</v>
      </c>
      <c r="JB137" s="3">
        <f>$H137*factors!IV$3</f>
        <v>0.46477426178820003</v>
      </c>
      <c r="JC137" s="3">
        <f>$H137*factors!IW$3</f>
        <v>0.45394365589040003</v>
      </c>
      <c r="JD137" s="3">
        <f>$H137*factors!IX$3</f>
        <v>0.49444070403000007</v>
      </c>
      <c r="JE137" s="3">
        <f>$H137*factors!IY$3</f>
        <v>0.45535634361619998</v>
      </c>
      <c r="JF137" s="3">
        <f>$H137*factors!IZ$3</f>
        <v>0.47795934722899996</v>
      </c>
      <c r="JG137" s="3">
        <f>$H137*factors!JA$3</f>
        <v>0.46948322087419997</v>
      </c>
      <c r="JH137" s="3">
        <f>$H137*factors!JB$3</f>
        <v>0.47843024313760008</v>
      </c>
      <c r="JI137" s="3">
        <f>$H137*factors!JC$3</f>
        <v>0.44782200907860004</v>
      </c>
      <c r="JJ137" s="3">
        <f>$H137*factors!JD$3</f>
        <v>0.48219741040640007</v>
      </c>
      <c r="JK137" s="3">
        <f>$H137*factors!JE$3</f>
        <v>0.46665784542260003</v>
      </c>
      <c r="JL137" s="3">
        <f>$H137*factors!JF$3</f>
        <v>0.48549368176660002</v>
      </c>
      <c r="JM137" s="3">
        <f>$H137*factors!JG$3</f>
        <v>0.45300186407320003</v>
      </c>
      <c r="JN137" s="3">
        <f>$H137*factors!JH$3</f>
        <v>0.45300186407320003</v>
      </c>
      <c r="JO137" s="3">
        <f>$H137*factors!JI$3</f>
        <v>0.44735111316999998</v>
      </c>
      <c r="JP137" s="3">
        <f>$H137*factors!JJ$3</f>
        <v>0.48361009813220002</v>
      </c>
      <c r="JQ137" s="3">
        <f>$H137*factors!JK$3</f>
        <v>0.47136680450859997</v>
      </c>
      <c r="JR137" s="3">
        <f>$H137*factors!JL$3</f>
        <v>0.48973174494400001</v>
      </c>
      <c r="JS137" s="3">
        <f>$H137*factors!JM$3</f>
        <v>0.44735111316999998</v>
      </c>
      <c r="JT137" s="3">
        <f>$H137*factors!JN$3</f>
        <v>0.46995411678280002</v>
      </c>
      <c r="JU137" s="3">
        <f>$H137*factors!JO$3</f>
        <v>0.45441455179899998</v>
      </c>
      <c r="JV137" s="3">
        <f>$H137*factors!JP$3</f>
        <v>0.46194888633660003</v>
      </c>
      <c r="JW137" s="3">
        <f>$H137*factors!JQ$3</f>
        <v>0.49349891221280007</v>
      </c>
      <c r="JX137" s="3">
        <f>$H137*factors!JR$3</f>
        <v>0.48878995312680001</v>
      </c>
      <c r="JY137" s="3">
        <f>$H137*factors!JS$3</f>
        <v>0.46006530270220003</v>
      </c>
      <c r="JZ137" s="3">
        <f>$H137*factors!JT$3</f>
        <v>0.46524515769680008</v>
      </c>
      <c r="KA137" s="3">
        <f>$H137*factors!JU$3</f>
        <v>0.46712874133120003</v>
      </c>
      <c r="KB137" s="3">
        <f>$H137*factors!JV$3</f>
        <v>0.45158917634740003</v>
      </c>
      <c r="KC137" s="3">
        <f>$H137*factors!JW$3</f>
        <v>0.45394365589040003</v>
      </c>
      <c r="KD137" s="3">
        <f>$H137*factors!JX$3</f>
        <v>0.45441455179899998</v>
      </c>
      <c r="KE137" s="3">
        <f>$H137*factors!JY$3</f>
        <v>0.48361009813220002</v>
      </c>
      <c r="KF137" s="3">
        <f>$H137*factors!JZ$3</f>
        <v>0.48926084903539996</v>
      </c>
      <c r="KG137" s="3">
        <f>$H137*factors!KA$3</f>
        <v>0.47183770041720002</v>
      </c>
      <c r="KH137" s="3">
        <f>$H137*factors!KB$3</f>
        <v>0.46147799042799997</v>
      </c>
      <c r="KI137" s="3">
        <f>$H137*factors!KC$3</f>
        <v>0.45723992725059998</v>
      </c>
    </row>
    <row r="138" spans="1:295" x14ac:dyDescent="0.55000000000000004">
      <c r="A138" t="s">
        <v>515</v>
      </c>
      <c r="B138">
        <v>137</v>
      </c>
      <c r="C138">
        <v>230</v>
      </c>
      <c r="D138" t="s">
        <v>377</v>
      </c>
      <c r="E138">
        <v>3.3409999999999998E-3</v>
      </c>
      <c r="F138">
        <v>137</v>
      </c>
      <c r="G138">
        <f>VLOOKUP(D138,demand_forecasted!$A$2:$G$11,2)</f>
        <v>11098</v>
      </c>
      <c r="H138" s="3">
        <f t="shared" si="2"/>
        <v>0.37078418000000002</v>
      </c>
      <c r="I138" s="3">
        <f>$H138*factors!C$3</f>
        <v>0.41045808725999999</v>
      </c>
      <c r="J138" s="3">
        <f>$H138*factors!D$3</f>
        <v>0.39564155142720003</v>
      </c>
      <c r="K138" s="3">
        <f>$H138*factors!E$3</f>
        <v>0.38883395388240005</v>
      </c>
      <c r="L138" s="3">
        <f>$H138*factors!F$3</f>
        <v>0.38763261313920006</v>
      </c>
      <c r="M138" s="3">
        <f>$H138*factors!G$3</f>
        <v>0.3872321662248</v>
      </c>
      <c r="N138" s="3">
        <f>$H138*factors!H$3</f>
        <v>0.39844467982800003</v>
      </c>
      <c r="O138" s="3">
        <f>$H138*factors!I$3</f>
        <v>0.4072545119448</v>
      </c>
      <c r="P138" s="3">
        <f>$H138*factors!J$3</f>
        <v>0.41205987491760004</v>
      </c>
      <c r="Q138" s="3">
        <f>$H138*factors!K$3</f>
        <v>0.3868317193104</v>
      </c>
      <c r="R138" s="3">
        <f>$H138*factors!L$3</f>
        <v>0.38042456868000002</v>
      </c>
      <c r="S138" s="3">
        <f>$H138*factors!M$3</f>
        <v>0.39604199834160003</v>
      </c>
      <c r="T138" s="3">
        <f>$H138*factors!N$3</f>
        <v>0.40965719343120005</v>
      </c>
      <c r="U138" s="3">
        <f>$H138*factors!O$3</f>
        <v>0.38803306005360005</v>
      </c>
      <c r="V138" s="3">
        <f>$H138*factors!P$3</f>
        <v>0.40365048971520007</v>
      </c>
      <c r="W138" s="3">
        <f>$H138*factors!Q$3</f>
        <v>0.4072545119448</v>
      </c>
      <c r="X138" s="3">
        <f>$H138*factors!R$3</f>
        <v>0.38963484771119999</v>
      </c>
      <c r="Y138" s="3">
        <f>$H138*factors!S$3</f>
        <v>0.38603082548160006</v>
      </c>
      <c r="Z138" s="3">
        <f>$H138*factors!T$3</f>
        <v>0.41646479097600009</v>
      </c>
      <c r="AA138" s="3">
        <f>$H138*factors!U$3</f>
        <v>0.39323886994079998</v>
      </c>
      <c r="AB138" s="3">
        <f>$H138*factors!V$3</f>
        <v>0.39363931685520009</v>
      </c>
      <c r="AC138" s="3">
        <f>$H138*factors!W$3</f>
        <v>0.39403976376960004</v>
      </c>
      <c r="AD138" s="3">
        <f>$H138*factors!X$3</f>
        <v>0.38563037856720006</v>
      </c>
      <c r="AE138" s="3">
        <f>$H138*factors!Y$3</f>
        <v>0.38883395388240005</v>
      </c>
      <c r="AF138" s="3">
        <f>$H138*factors!Z$3</f>
        <v>0.39684289217040009</v>
      </c>
      <c r="AG138" s="3">
        <f>$H138*factors!AA$3</f>
        <v>0.3868317193104</v>
      </c>
      <c r="AH138" s="3">
        <f>$H138*factors!AB$3</f>
        <v>0.38522993165280006</v>
      </c>
      <c r="AI138" s="3">
        <f>$H138*factors!AC$3</f>
        <v>0.39764378599920003</v>
      </c>
      <c r="AJ138" s="3">
        <f>$H138*factors!AD$3</f>
        <v>0.41286076874640004</v>
      </c>
      <c r="AK138" s="3">
        <f>$H138*factors!AE$3</f>
        <v>0.39724333908480003</v>
      </c>
      <c r="AL138" s="3">
        <f>$H138*factors!AF$3</f>
        <v>0.38162590942320002</v>
      </c>
      <c r="AM138" s="3">
        <f>$H138*factors!AG$3</f>
        <v>0.39243797611200004</v>
      </c>
      <c r="AN138" s="3">
        <f>$H138*factors!AH$3</f>
        <v>0.38603082548160006</v>
      </c>
      <c r="AO138" s="3">
        <f>$H138*factors!AI$3</f>
        <v>0.40445138354400001</v>
      </c>
      <c r="AP138" s="3">
        <f>$H138*factors!AJ$3</f>
        <v>0.38763261313920006</v>
      </c>
      <c r="AQ138" s="3">
        <f>$H138*factors!AK$3</f>
        <v>0.40004646748560008</v>
      </c>
      <c r="AR138" s="3">
        <f>$H138*factors!AL$3</f>
        <v>0.39123663536880005</v>
      </c>
      <c r="AS138" s="3">
        <f>$H138*factors!AM$3</f>
        <v>0.38162590942320002</v>
      </c>
      <c r="AT138" s="3">
        <f>$H138*factors!AN$3</f>
        <v>0.39363931685520009</v>
      </c>
      <c r="AU138" s="3">
        <f>$H138*factors!AO$3</f>
        <v>0.41686523789039998</v>
      </c>
      <c r="AV138" s="3">
        <f>$H138*factors!AP$3</f>
        <v>0.39403976376960004</v>
      </c>
      <c r="AW138" s="3">
        <f>$H138*factors!AQ$3</f>
        <v>0.39003529462559999</v>
      </c>
      <c r="AX138" s="3">
        <f>$H138*factors!AR$3</f>
        <v>0.41246032183200004</v>
      </c>
      <c r="AY138" s="3">
        <f>$H138*factors!AS$3</f>
        <v>0.38042456868000002</v>
      </c>
      <c r="AZ138" s="3">
        <f>$H138*factors!AT$3</f>
        <v>0.40765495885920011</v>
      </c>
      <c r="BA138" s="3">
        <f>$H138*factors!AU$3</f>
        <v>0.39884512674240002</v>
      </c>
      <c r="BB138" s="3">
        <f>$H138*factors!AV$3</f>
        <v>0.39363931685520009</v>
      </c>
      <c r="BC138" s="3">
        <f>$H138*factors!AW$3</f>
        <v>0.41646479097600009</v>
      </c>
      <c r="BD138" s="3">
        <f>$H138*factors!AX$3</f>
        <v>0.38442903782400001</v>
      </c>
      <c r="BE138" s="3">
        <f>$H138*factors!AY$3</f>
        <v>0.45196366836919999</v>
      </c>
      <c r="BF138" s="3">
        <f>$H138*factors!AZ$3</f>
        <v>0.42089936976879999</v>
      </c>
      <c r="BG138" s="3">
        <f>$H138*factors!BA$3</f>
        <v>0.42702472442239997</v>
      </c>
      <c r="BH138" s="3">
        <f>$H138*factors!BB$3</f>
        <v>0.43271255374360001</v>
      </c>
      <c r="BI138" s="3">
        <f>$H138*factors!BC$3</f>
        <v>0.44846346570999995</v>
      </c>
      <c r="BJ138" s="3">
        <f>$H138*factors!BD$3</f>
        <v>0.4283373004196</v>
      </c>
      <c r="BK138" s="3">
        <f>$H138*factors!BE$3</f>
        <v>0.42921235108439998</v>
      </c>
      <c r="BL138" s="3">
        <f>$H138*factors!BF$3</f>
        <v>0.42439957242799997</v>
      </c>
      <c r="BM138" s="3">
        <f>$H138*factors!BG$3</f>
        <v>0.45327624436640002</v>
      </c>
      <c r="BN138" s="3">
        <f>$H138*factors!BH$3</f>
        <v>0.44758841504519997</v>
      </c>
      <c r="BO138" s="3">
        <f>$H138*factors!BI$3</f>
        <v>0.42089936976879999</v>
      </c>
      <c r="BP138" s="3">
        <f>$H138*factors!BJ$3</f>
        <v>0.41958679377159996</v>
      </c>
      <c r="BQ138" s="3">
        <f>$H138*factors!BK$3</f>
        <v>0.42658719908999998</v>
      </c>
      <c r="BR138" s="3">
        <f>$H138*factors!BL$3</f>
        <v>0.44190058572400004</v>
      </c>
      <c r="BS138" s="3">
        <f>$H138*factors!BM$3</f>
        <v>0.4489009910424</v>
      </c>
      <c r="BT138" s="3">
        <f>$H138*factors!BN$3</f>
        <v>0.45021356703959997</v>
      </c>
      <c r="BU138" s="3">
        <f>$H138*factors!BO$3</f>
        <v>0.45765149769040003</v>
      </c>
      <c r="BV138" s="3">
        <f>$H138*factors!BP$3</f>
        <v>0.4257121484252</v>
      </c>
      <c r="BW138" s="3">
        <f>$H138*factors!BQ$3</f>
        <v>0.43533770573800001</v>
      </c>
      <c r="BX138" s="3">
        <f>$H138*factors!BR$3</f>
        <v>0.42702472442239997</v>
      </c>
      <c r="BY138" s="3">
        <f>$H138*factors!BS$3</f>
        <v>0.44671336438039994</v>
      </c>
      <c r="BZ138" s="3">
        <f>$H138*factors!BT$3</f>
        <v>0.43840038306479995</v>
      </c>
      <c r="CA138" s="3">
        <f>$H138*factors!BU$3</f>
        <v>0.43271255374360001</v>
      </c>
      <c r="CB138" s="3">
        <f>$H138*factors!BV$3</f>
        <v>0.41871174310679998</v>
      </c>
      <c r="CC138" s="3">
        <f>$H138*factors!BW$3</f>
        <v>0.430962452414</v>
      </c>
      <c r="CD138" s="3">
        <f>$H138*factors!BX$3</f>
        <v>0.43227502841120002</v>
      </c>
      <c r="CE138" s="3">
        <f>$H138*factors!BY$3</f>
        <v>0.43840038306479995</v>
      </c>
      <c r="CF138" s="3">
        <f>$H138*factors!BZ$3</f>
        <v>0.43183750307880003</v>
      </c>
      <c r="CG138" s="3">
        <f>$H138*factors!CA$3</f>
        <v>0.41739916710959996</v>
      </c>
      <c r="CH138" s="3">
        <f>$H138*factors!CB$3</f>
        <v>0.41783669244199995</v>
      </c>
      <c r="CI138" s="3">
        <f>$H138*factors!CC$3</f>
        <v>0.41564906577999999</v>
      </c>
      <c r="CJ138" s="3">
        <f>$H138*factors!CD$3</f>
        <v>0.43271255374360001</v>
      </c>
      <c r="CK138" s="3">
        <f>$H138*factors!CE$3</f>
        <v>0.45196366836919999</v>
      </c>
      <c r="CL138" s="3">
        <f>$H138*factors!CF$3</f>
        <v>0.42352452176319999</v>
      </c>
      <c r="CM138" s="3">
        <f>$H138*factors!CG$3</f>
        <v>0.4335876044084</v>
      </c>
      <c r="CN138" s="3">
        <f>$H138*factors!CH$3</f>
        <v>0.41914926843919997</v>
      </c>
      <c r="CO138" s="3">
        <f>$H138*factors!CI$3</f>
        <v>0.42221194576599996</v>
      </c>
      <c r="CP138" s="3">
        <f>$H138*factors!CJ$3</f>
        <v>0.44233811105639992</v>
      </c>
      <c r="CQ138" s="3">
        <f>$H138*factors!CK$3</f>
        <v>0.42921235108439998</v>
      </c>
      <c r="CR138" s="3">
        <f>$H138*factors!CL$3</f>
        <v>0.44277563638879996</v>
      </c>
      <c r="CS138" s="3">
        <f>$H138*factors!CM$3</f>
        <v>0.4567764470256</v>
      </c>
      <c r="CT138" s="3">
        <f>$H138*factors!CN$3</f>
        <v>0.4515261430368</v>
      </c>
      <c r="CU138" s="3">
        <f>$H138*factors!CO$3</f>
        <v>0.44146306039159994</v>
      </c>
      <c r="CV138" s="3">
        <f>$H138*factors!CP$3</f>
        <v>0.45940159902</v>
      </c>
      <c r="CW138" s="3">
        <f>$H138*factors!CQ$3</f>
        <v>0.43446265507320003</v>
      </c>
      <c r="CX138" s="3">
        <f>$H138*factors!CR$3</f>
        <v>0.42789977508720001</v>
      </c>
      <c r="CY138" s="3">
        <f>$H138*factors!CS$3</f>
        <v>0.42396204709559998</v>
      </c>
      <c r="CZ138" s="3">
        <f>$H138*factors!CT$3</f>
        <v>0.41783669244199995</v>
      </c>
      <c r="DA138" s="3">
        <f>$H138*factors!CU$3</f>
        <v>0.43381749060000002</v>
      </c>
      <c r="DB138" s="3">
        <f>$H138*factors!CV$3</f>
        <v>0.46184877460800006</v>
      </c>
      <c r="DC138" s="3">
        <f>$H138*factors!CW$3</f>
        <v>0.44227136990399996</v>
      </c>
      <c r="DD138" s="3">
        <f>$H138*factors!CX$3</f>
        <v>0.43915678279199999</v>
      </c>
      <c r="DE138" s="3">
        <f>$H138*factors!CY$3</f>
        <v>0.45206007225600003</v>
      </c>
      <c r="DF138" s="3">
        <f>$H138*factors!CZ$3</f>
        <v>0.45117019022399996</v>
      </c>
      <c r="DG138" s="3">
        <f>$H138*factors!DA$3</f>
        <v>0.44939042616000002</v>
      </c>
      <c r="DH138" s="3">
        <f>$H138*factors!DB$3</f>
        <v>0.44939042616000002</v>
      </c>
      <c r="DI138" s="3">
        <f>$H138*factors!DC$3</f>
        <v>0.43248266755199999</v>
      </c>
      <c r="DJ138" s="3">
        <f>$H138*factors!DD$3</f>
        <v>0.45828924648000002</v>
      </c>
      <c r="DK138" s="3">
        <f>$H138*factors!DE$3</f>
        <v>0.45828924648000002</v>
      </c>
      <c r="DL138" s="3">
        <f>$H138*factors!DF$3</f>
        <v>0.45294995428800006</v>
      </c>
      <c r="DM138" s="3">
        <f>$H138*factors!DG$3</f>
        <v>0.42669843434399995</v>
      </c>
      <c r="DN138" s="3">
        <f>$H138*factors!DH$3</f>
        <v>0.44761066209600003</v>
      </c>
      <c r="DO138" s="3">
        <f>$H138*factors!DI$3</f>
        <v>0.46229371562400001</v>
      </c>
      <c r="DP138" s="3">
        <f>$H138*factors!DJ$3</f>
        <v>0.45828924648000002</v>
      </c>
      <c r="DQ138" s="3">
        <f>$H138*factors!DK$3</f>
        <v>0.43693207771199999</v>
      </c>
      <c r="DR138" s="3">
        <f>$H138*factors!DL$3</f>
        <v>0.43203772653600003</v>
      </c>
      <c r="DS138" s="3">
        <f>$H138*factors!DM$3</f>
        <v>0.46674312578400001</v>
      </c>
      <c r="DT138" s="3">
        <f>$H138*factors!DN$3</f>
        <v>0.43871184177600003</v>
      </c>
      <c r="DU138" s="3">
        <f>$H138*factors!DO$3</f>
        <v>0.45917912851199999</v>
      </c>
      <c r="DV138" s="3">
        <f>$H138*factors!DP$3</f>
        <v>0.448500544128</v>
      </c>
      <c r="DW138" s="3">
        <f>$H138*factors!DQ$3</f>
        <v>0.42803325739199999</v>
      </c>
      <c r="DX138" s="3">
        <f>$H138*factors!DR$3</f>
        <v>0.45339489530399996</v>
      </c>
      <c r="DY138" s="3">
        <f>$H138*factors!DS$3</f>
        <v>0.43025796247199999</v>
      </c>
      <c r="DZ138" s="3">
        <f>$H138*factors!DT$3</f>
        <v>0.46006901054400001</v>
      </c>
      <c r="EA138" s="3">
        <f>$H138*factors!DU$3</f>
        <v>0.43337254958399996</v>
      </c>
      <c r="EB138" s="3">
        <f>$H138*factors!DV$3</f>
        <v>0.42269396519999997</v>
      </c>
      <c r="EC138" s="3">
        <f>$H138*factors!DW$3</f>
        <v>0.45472971835199999</v>
      </c>
      <c r="ED138" s="3">
        <f>$H138*factors!DX$3</f>
        <v>0.42669843434399995</v>
      </c>
      <c r="EE138" s="3">
        <f>$H138*factors!DY$3</f>
        <v>0.43025796247199999</v>
      </c>
      <c r="EF138" s="3">
        <f>$H138*factors!DZ$3</f>
        <v>0.46674312578400001</v>
      </c>
      <c r="EG138" s="3">
        <f>$H138*factors!EA$3</f>
        <v>0.43604219568000002</v>
      </c>
      <c r="EH138" s="3">
        <f>$H138*factors!EB$3</f>
        <v>0.437377018728</v>
      </c>
      <c r="EI138" s="3">
        <f>$H138*factors!EC$3</f>
        <v>0.43648713669600003</v>
      </c>
      <c r="EJ138" s="3">
        <f>$H138*factors!ED$3</f>
        <v>0.42536361129600003</v>
      </c>
      <c r="EK138" s="3">
        <f>$H138*factors!EE$3</f>
        <v>0.45472971835199999</v>
      </c>
      <c r="EL138" s="3">
        <f>$H138*factors!EF$3</f>
        <v>0.43248266755199999</v>
      </c>
      <c r="EM138" s="3">
        <f>$H138*factors!EG$3</f>
        <v>0.44983536717599998</v>
      </c>
      <c r="EN138" s="3">
        <f>$H138*factors!EH$3</f>
        <v>0.42269396519999997</v>
      </c>
      <c r="EO138" s="3">
        <f>$H138*factors!EI$3</f>
        <v>0.42892313942399996</v>
      </c>
      <c r="EP138" s="3">
        <f>$H138*factors!EJ$3</f>
        <v>0.45250501327199999</v>
      </c>
      <c r="EQ138" s="3">
        <f>$H138*factors!EK$3</f>
        <v>0.44004666482399996</v>
      </c>
      <c r="ER138" s="3">
        <f>$H138*factors!EL$3</f>
        <v>0.45828924648000002</v>
      </c>
      <c r="ES138" s="3">
        <f>$H138*factors!EM$3</f>
        <v>0.45250501327199999</v>
      </c>
      <c r="ET138" s="3">
        <f>$H138*factors!EN$3</f>
        <v>0.46273865664000002</v>
      </c>
      <c r="EU138" s="3">
        <f>$H138*factors!EO$3</f>
        <v>0.46718806680000002</v>
      </c>
      <c r="EV138" s="3">
        <f>$H138*factors!EP$3</f>
        <v>0.43782195974399996</v>
      </c>
      <c r="EW138" s="3">
        <f>$H138*factors!EQ$3</f>
        <v>0.48155595377499999</v>
      </c>
      <c r="EX138" s="3">
        <f>$H138*factors!ER$3</f>
        <v>0.47645767130000005</v>
      </c>
      <c r="EY138" s="3">
        <f>$H138*factors!ES$3</f>
        <v>0.48619075602499995</v>
      </c>
      <c r="EZ138" s="3">
        <f>$H138*factors!ET$3</f>
        <v>0.48155595377499999</v>
      </c>
      <c r="FA138" s="3">
        <f>$H138*factors!EU$3</f>
        <v>0.44262361487499996</v>
      </c>
      <c r="FB138" s="3">
        <f>$H138*factors!EV$3</f>
        <v>0.46255326455000007</v>
      </c>
      <c r="FC138" s="3">
        <f>$H138*factors!EW$3</f>
        <v>0.47553071085000004</v>
      </c>
      <c r="FD138" s="3">
        <f>$H138*factors!EX$3</f>
        <v>0.45884542275000006</v>
      </c>
      <c r="FE138" s="3">
        <f>$H138*factors!EY$3</f>
        <v>0.48340987467500002</v>
      </c>
      <c r="FF138" s="3">
        <f>$H138*factors!EZ$3</f>
        <v>0.48387335490000011</v>
      </c>
      <c r="FG138" s="3">
        <f>$H138*factors!FA$3</f>
        <v>0.44262361487499996</v>
      </c>
      <c r="FH138" s="3">
        <f>$H138*factors!FB$3</f>
        <v>0.46579762612499997</v>
      </c>
      <c r="FI138" s="3">
        <f>$H138*factors!FC$3</f>
        <v>0.48526379557499999</v>
      </c>
      <c r="FJ138" s="3">
        <f>$H138*factors!FD$3</f>
        <v>0.46579762612499997</v>
      </c>
      <c r="FK138" s="3">
        <f>$H138*factors!FE$3</f>
        <v>0.47367678995000007</v>
      </c>
      <c r="FL138" s="3">
        <f>$H138*factors!FF$3</f>
        <v>0.475067230625</v>
      </c>
      <c r="FM138" s="3">
        <f>$H138*factors!FG$3</f>
        <v>0.4801655131</v>
      </c>
      <c r="FN138" s="3">
        <f>$H138*factors!FH$3</f>
        <v>0.449112338025</v>
      </c>
      <c r="FO138" s="3">
        <f>$H138*factors!FI$3</f>
        <v>0.47692115152499998</v>
      </c>
      <c r="FP138" s="3">
        <f>$H138*factors!FJ$3</f>
        <v>0.46348022500000002</v>
      </c>
      <c r="FQ138" s="3">
        <f>$H138*factors!FK$3</f>
        <v>0.45884542275000006</v>
      </c>
      <c r="FR138" s="3">
        <f>$H138*factors!FL$3</f>
        <v>0.46811502724999998</v>
      </c>
      <c r="FS138" s="3">
        <f>$H138*factors!FM$3</f>
        <v>0.4653341459</v>
      </c>
      <c r="FT138" s="3">
        <f>$H138*factors!FN$3</f>
        <v>0.47553071085000004</v>
      </c>
      <c r="FU138" s="3">
        <f>$H138*factors!FO$3</f>
        <v>0.45699150184999998</v>
      </c>
      <c r="FV138" s="3">
        <f>$H138*factors!FP$3</f>
        <v>0.45328366004999998</v>
      </c>
      <c r="FW138" s="3">
        <f>$H138*factors!FQ$3</f>
        <v>0.48526379557499999</v>
      </c>
      <c r="FX138" s="3">
        <f>$H138*factors!FR$3</f>
        <v>0.47645767130000005</v>
      </c>
      <c r="FY138" s="3">
        <f>$H138*factors!FS$3</f>
        <v>0.46672458657499993</v>
      </c>
      <c r="FZ138" s="3">
        <f>$H138*factors!FT$3</f>
        <v>0.44355057532500003</v>
      </c>
      <c r="GA138" s="3">
        <f>$H138*factors!FU$3</f>
        <v>0.46672458657499993</v>
      </c>
      <c r="GB138" s="3">
        <f>$H138*factors!FV$3</f>
        <v>0.48387335490000011</v>
      </c>
      <c r="GC138" s="3">
        <f>$H138*factors!FW$3</f>
        <v>0.45328366004999998</v>
      </c>
      <c r="GD138" s="3">
        <f>$H138*factors!FX$3</f>
        <v>0.46116282387500002</v>
      </c>
      <c r="GE138" s="3">
        <f>$H138*factors!FY$3</f>
        <v>0.46116282387500002</v>
      </c>
      <c r="GF138" s="3">
        <f>$H138*factors!FZ$3</f>
        <v>0.45977238320000002</v>
      </c>
      <c r="GG138" s="3">
        <f>$H138*factors!GA$3</f>
        <v>0.441696654425</v>
      </c>
      <c r="GH138" s="3">
        <f>$H138*factors!GB$3</f>
        <v>0.46996894815000007</v>
      </c>
      <c r="GI138" s="3">
        <f>$H138*factors!GC$3</f>
        <v>0.44076969397499999</v>
      </c>
      <c r="GJ138" s="3">
        <f>$H138*factors!GD$3</f>
        <v>0.441696654425</v>
      </c>
      <c r="GK138" s="3">
        <f>$H138*factors!GE$3</f>
        <v>0.452820179825</v>
      </c>
      <c r="GL138" s="3">
        <f>$H138*factors!GF$3</f>
        <v>0.47970203287500002</v>
      </c>
      <c r="GM138" s="3">
        <f>$H138*factors!GG$3</f>
        <v>0.45467410072500003</v>
      </c>
      <c r="GN138" s="3">
        <f>$H138*factors!GH$3</f>
        <v>0.46904198770000005</v>
      </c>
      <c r="GO138" s="3">
        <f>$H138*factors!GI$3</f>
        <v>0.44308709509999994</v>
      </c>
      <c r="GP138" s="3">
        <f>$H138*factors!GJ$3</f>
        <v>0.475067230625</v>
      </c>
      <c r="GQ138" s="3">
        <f>$H138*factors!GK$3</f>
        <v>0.48480031535000007</v>
      </c>
      <c r="GR138" s="3">
        <f>$H138*factors!GL$3</f>
        <v>0.47553071085000004</v>
      </c>
      <c r="GS138" s="3">
        <f>$H138*factors!GM$3</f>
        <v>0.44970559271300004</v>
      </c>
      <c r="GT138" s="3">
        <f>$H138*factors!GN$3</f>
        <v>0.46006530270220003</v>
      </c>
      <c r="GU138" s="3">
        <f>$H138*factors!GO$3</f>
        <v>0.47089590860000002</v>
      </c>
      <c r="GV138" s="3">
        <f>$H138*factors!GP$3</f>
        <v>0.45206007225600003</v>
      </c>
      <c r="GW138" s="3">
        <f>$H138*factors!GQ$3</f>
        <v>0.46807053314840003</v>
      </c>
      <c r="GX138" s="3">
        <f>$H138*factors!GR$3</f>
        <v>0.46053619861080003</v>
      </c>
      <c r="GY138" s="3">
        <f>$H138*factors!GS$3</f>
        <v>0.45818171906780003</v>
      </c>
      <c r="GZ138" s="3">
        <f>$H138*factors!GT$3</f>
        <v>0.47513397177739997</v>
      </c>
      <c r="HA138" s="3">
        <f>$H138*factors!GU$3</f>
        <v>0.45959440679360003</v>
      </c>
      <c r="HB138" s="3">
        <f>$H138*factors!GV$3</f>
        <v>0.47513397177739997</v>
      </c>
      <c r="HC138" s="3">
        <f>$H138*factors!GW$3</f>
        <v>0.46336157406239997</v>
      </c>
      <c r="HD138" s="3">
        <f>$H138*factors!GX$3</f>
        <v>0.47701755541179997</v>
      </c>
      <c r="HE138" s="3">
        <f>$H138*factors!GY$3</f>
        <v>0.47089590860000002</v>
      </c>
      <c r="HF138" s="3">
        <f>$H138*factors!GZ$3</f>
        <v>0.48549368176660002</v>
      </c>
      <c r="HG138" s="3">
        <f>$H138*factors!HA$3</f>
        <v>0.46665784542260003</v>
      </c>
      <c r="HH138" s="3">
        <f>$H138*factors!HB$3</f>
        <v>0.46053619861080003</v>
      </c>
      <c r="HI138" s="3">
        <f>$H138*factors!HC$3</f>
        <v>0.45488544770760003</v>
      </c>
      <c r="HJ138" s="3">
        <f>$H138*factors!HD$3</f>
        <v>0.44970559271300004</v>
      </c>
      <c r="HK138" s="3">
        <f>$H138*factors!HE$3</f>
        <v>0.47560486768600002</v>
      </c>
      <c r="HL138" s="3">
        <f>$H138*factors!HF$3</f>
        <v>0.44829290498719998</v>
      </c>
      <c r="HM138" s="3">
        <f>$H138*factors!HG$3</f>
        <v>0.45300186407320003</v>
      </c>
      <c r="HN138" s="3">
        <f>$H138*factors!HH$3</f>
        <v>0.48313920222360007</v>
      </c>
      <c r="HO138" s="3">
        <f>$H138*factors!HI$3</f>
        <v>0.46336157406239997</v>
      </c>
      <c r="HP138" s="3">
        <f>$H138*factors!HJ$3</f>
        <v>0.49444070403000007</v>
      </c>
      <c r="HQ138" s="3">
        <f>$H138*factors!HK$3</f>
        <v>0.45206007225600003</v>
      </c>
      <c r="HR138" s="3">
        <f>$H138*factors!HL$3</f>
        <v>0.47937203495480007</v>
      </c>
      <c r="HS138" s="3">
        <f>$H138*factors!HM$3</f>
        <v>0.48784816130960001</v>
      </c>
      <c r="HT138" s="3">
        <f>$H138*factors!HN$3</f>
        <v>0.45488544770760003</v>
      </c>
      <c r="HU138" s="3">
        <f>$H138*factors!HO$3</f>
        <v>0.45959440679360003</v>
      </c>
      <c r="HV138" s="3">
        <f>$H138*factors!HP$3</f>
        <v>0.46524515769680008</v>
      </c>
      <c r="HW138" s="3">
        <f>$H138*factors!HQ$3</f>
        <v>0.47183770041720002</v>
      </c>
      <c r="HX138" s="3">
        <f>$H138*factors!HR$3</f>
        <v>0.49114443266979996</v>
      </c>
      <c r="HY138" s="3">
        <f>$H138*factors!HS$3</f>
        <v>0.46665784542260003</v>
      </c>
      <c r="HZ138" s="3">
        <f>$H138*factors!HT$3</f>
        <v>0.48455188994940002</v>
      </c>
      <c r="IA138" s="3">
        <f>$H138*factors!HU$3</f>
        <v>0.46100709451940003</v>
      </c>
      <c r="IB138" s="3">
        <f>$H138*factors!HV$3</f>
        <v>0.47701755541179997</v>
      </c>
      <c r="IC138" s="3">
        <f>$H138*factors!HW$3</f>
        <v>0.48172651449780002</v>
      </c>
      <c r="ID138" s="3">
        <f>$H138*factors!HX$3</f>
        <v>0.44735111316999998</v>
      </c>
      <c r="IE138" s="3">
        <f>$H138*factors!HY$3</f>
        <v>0.47513397177739997</v>
      </c>
      <c r="IF138" s="3">
        <f>$H138*factors!HZ$3</f>
        <v>0.47230859632579997</v>
      </c>
      <c r="IG138" s="3">
        <f>$H138*factors!IA$3</f>
        <v>0.46807053314840003</v>
      </c>
      <c r="IH138" s="3">
        <f>$H138*factors!IB$3</f>
        <v>0.48549368176660002</v>
      </c>
      <c r="II138" s="3">
        <f>$H138*factors!IC$3</f>
        <v>0.46477426178820003</v>
      </c>
      <c r="IJ138" s="3">
        <f>$H138*factors!ID$3</f>
        <v>0.46901232496560002</v>
      </c>
      <c r="IK138" s="3">
        <f>$H138*factors!IE$3</f>
        <v>0.48596457767520002</v>
      </c>
      <c r="IL138" s="3">
        <f>$H138*factors!IF$3</f>
        <v>0.46524515769680008</v>
      </c>
      <c r="IM138" s="3">
        <f>$H138*factors!IG$3</f>
        <v>0.46100709451940003</v>
      </c>
      <c r="IN138" s="3">
        <f>$H138*factors!IH$3</f>
        <v>0.46383246997100003</v>
      </c>
      <c r="IO138" s="3">
        <f>$H138*factors!II$3</f>
        <v>0.46854142905700003</v>
      </c>
      <c r="IP138" s="3">
        <f>$H138*factors!IJ$3</f>
        <v>0.45300186407320003</v>
      </c>
      <c r="IQ138" s="3">
        <f>$H138*factors!IK$3</f>
        <v>0.45158917634740003</v>
      </c>
      <c r="IR138" s="3">
        <f>$H138*factors!IL$3</f>
        <v>0.46477426178820003</v>
      </c>
      <c r="IS138" s="3">
        <f>$H138*factors!IM$3</f>
        <v>0.46854142905700003</v>
      </c>
      <c r="IT138" s="3">
        <f>$H138*factors!IN$3</f>
        <v>0.47183770041720002</v>
      </c>
      <c r="IU138" s="3">
        <f>$H138*factors!IO$3</f>
        <v>0.48219741040640007</v>
      </c>
      <c r="IV138" s="3">
        <f>$H138*factors!IP$3</f>
        <v>0.48831905721819996</v>
      </c>
      <c r="IW138" s="3">
        <f>$H138*factors!IQ$3</f>
        <v>0.46147799042799997</v>
      </c>
      <c r="IX138" s="3">
        <f>$H138*factors!IR$3</f>
        <v>0.48219741040640007</v>
      </c>
      <c r="IY138" s="3">
        <f>$H138*factors!IS$3</f>
        <v>0.47513397177739997</v>
      </c>
      <c r="IZ138" s="3">
        <f>$H138*factors!IT$3</f>
        <v>0.48313920222360007</v>
      </c>
      <c r="JA138" s="3">
        <f>$H138*factors!IU$3</f>
        <v>0.45629813543339998</v>
      </c>
      <c r="JB138" s="3">
        <f>$H138*factors!IV$3</f>
        <v>0.46477426178820003</v>
      </c>
      <c r="JC138" s="3">
        <f>$H138*factors!IW$3</f>
        <v>0.45394365589040003</v>
      </c>
      <c r="JD138" s="3">
        <f>$H138*factors!IX$3</f>
        <v>0.49444070403000007</v>
      </c>
      <c r="JE138" s="3">
        <f>$H138*factors!IY$3</f>
        <v>0.45535634361619998</v>
      </c>
      <c r="JF138" s="3">
        <f>$H138*factors!IZ$3</f>
        <v>0.47795934722899996</v>
      </c>
      <c r="JG138" s="3">
        <f>$H138*factors!JA$3</f>
        <v>0.46948322087419997</v>
      </c>
      <c r="JH138" s="3">
        <f>$H138*factors!JB$3</f>
        <v>0.47843024313760008</v>
      </c>
      <c r="JI138" s="3">
        <f>$H138*factors!JC$3</f>
        <v>0.44782200907860004</v>
      </c>
      <c r="JJ138" s="3">
        <f>$H138*factors!JD$3</f>
        <v>0.48219741040640007</v>
      </c>
      <c r="JK138" s="3">
        <f>$H138*factors!JE$3</f>
        <v>0.46665784542260003</v>
      </c>
      <c r="JL138" s="3">
        <f>$H138*factors!JF$3</f>
        <v>0.48549368176660002</v>
      </c>
      <c r="JM138" s="3">
        <f>$H138*factors!JG$3</f>
        <v>0.45300186407320003</v>
      </c>
      <c r="JN138" s="3">
        <f>$H138*factors!JH$3</f>
        <v>0.45300186407320003</v>
      </c>
      <c r="JO138" s="3">
        <f>$H138*factors!JI$3</f>
        <v>0.44735111316999998</v>
      </c>
      <c r="JP138" s="3">
        <f>$H138*factors!JJ$3</f>
        <v>0.48361009813220002</v>
      </c>
      <c r="JQ138" s="3">
        <f>$H138*factors!JK$3</f>
        <v>0.47136680450859997</v>
      </c>
      <c r="JR138" s="3">
        <f>$H138*factors!JL$3</f>
        <v>0.48973174494400001</v>
      </c>
      <c r="JS138" s="3">
        <f>$H138*factors!JM$3</f>
        <v>0.44735111316999998</v>
      </c>
      <c r="JT138" s="3">
        <f>$H138*factors!JN$3</f>
        <v>0.46995411678280002</v>
      </c>
      <c r="JU138" s="3">
        <f>$H138*factors!JO$3</f>
        <v>0.45441455179899998</v>
      </c>
      <c r="JV138" s="3">
        <f>$H138*factors!JP$3</f>
        <v>0.46194888633660003</v>
      </c>
      <c r="JW138" s="3">
        <f>$H138*factors!JQ$3</f>
        <v>0.49349891221280007</v>
      </c>
      <c r="JX138" s="3">
        <f>$H138*factors!JR$3</f>
        <v>0.48878995312680001</v>
      </c>
      <c r="JY138" s="3">
        <f>$H138*factors!JS$3</f>
        <v>0.46006530270220003</v>
      </c>
      <c r="JZ138" s="3">
        <f>$H138*factors!JT$3</f>
        <v>0.46524515769680008</v>
      </c>
      <c r="KA138" s="3">
        <f>$H138*factors!JU$3</f>
        <v>0.46712874133120003</v>
      </c>
      <c r="KB138" s="3">
        <f>$H138*factors!JV$3</f>
        <v>0.45158917634740003</v>
      </c>
      <c r="KC138" s="3">
        <f>$H138*factors!JW$3</f>
        <v>0.45394365589040003</v>
      </c>
      <c r="KD138" s="3">
        <f>$H138*factors!JX$3</f>
        <v>0.45441455179899998</v>
      </c>
      <c r="KE138" s="3">
        <f>$H138*factors!JY$3</f>
        <v>0.48361009813220002</v>
      </c>
      <c r="KF138" s="3">
        <f>$H138*factors!JZ$3</f>
        <v>0.48926084903539996</v>
      </c>
      <c r="KG138" s="3">
        <f>$H138*factors!KA$3</f>
        <v>0.47183770041720002</v>
      </c>
      <c r="KH138" s="3">
        <f>$H138*factors!KB$3</f>
        <v>0.46147799042799997</v>
      </c>
      <c r="KI138" s="3">
        <f>$H138*factors!KC$3</f>
        <v>0.45723992725059998</v>
      </c>
    </row>
    <row r="139" spans="1:295" x14ac:dyDescent="0.55000000000000004">
      <c r="A139" t="s">
        <v>516</v>
      </c>
      <c r="B139">
        <v>138</v>
      </c>
      <c r="C139">
        <v>230</v>
      </c>
      <c r="D139" t="s">
        <v>377</v>
      </c>
      <c r="E139">
        <v>1.5035E-2</v>
      </c>
      <c r="F139">
        <v>138</v>
      </c>
      <c r="G139">
        <f>VLOOKUP(D139,demand_forecasted!$A$2:$G$11,2)</f>
        <v>11098</v>
      </c>
      <c r="H139" s="3">
        <f t="shared" si="2"/>
        <v>1.6685843</v>
      </c>
      <c r="I139" s="3">
        <f>$H139*factors!C$3</f>
        <v>1.8471228201000001</v>
      </c>
      <c r="J139" s="3">
        <f>$H139*factors!D$3</f>
        <v>1.780446191472</v>
      </c>
      <c r="K139" s="3">
        <f>$H139*factors!E$3</f>
        <v>1.7498109837240001</v>
      </c>
      <c r="L139" s="3">
        <f>$H139*factors!F$3</f>
        <v>1.7444047705920003</v>
      </c>
      <c r="M139" s="3">
        <f>$H139*factors!G$3</f>
        <v>1.742602699548</v>
      </c>
      <c r="N139" s="3">
        <f>$H139*factors!H$3</f>
        <v>1.79306068878</v>
      </c>
      <c r="O139" s="3">
        <f>$H139*factors!I$3</f>
        <v>1.8327062517479999</v>
      </c>
      <c r="P139" s="3">
        <f>$H139*factors!J$3</f>
        <v>1.8543311042760002</v>
      </c>
      <c r="Q139" s="3">
        <f>$H139*factors!K$3</f>
        <v>1.7408006285040001</v>
      </c>
      <c r="R139" s="3">
        <f>$H139*factors!L$3</f>
        <v>1.7119674918000001</v>
      </c>
      <c r="S139" s="3">
        <f>$H139*factors!M$3</f>
        <v>1.7822482625159999</v>
      </c>
      <c r="T139" s="3">
        <f>$H139*factors!N$3</f>
        <v>1.8435186780120001</v>
      </c>
      <c r="U139" s="3">
        <f>$H139*factors!O$3</f>
        <v>1.7462068416360002</v>
      </c>
      <c r="V139" s="3">
        <f>$H139*factors!P$3</f>
        <v>1.8164876123520002</v>
      </c>
      <c r="W139" s="3">
        <f>$H139*factors!Q$3</f>
        <v>1.8327062517479999</v>
      </c>
      <c r="X139" s="3">
        <f>$H139*factors!R$3</f>
        <v>1.7534151258120001</v>
      </c>
      <c r="Y139" s="3">
        <f>$H139*factors!S$3</f>
        <v>1.7371964864160001</v>
      </c>
      <c r="Z139" s="3">
        <f>$H139*factors!T$3</f>
        <v>1.8741538857600004</v>
      </c>
      <c r="AA139" s="3">
        <f>$H139*factors!U$3</f>
        <v>1.7696337652079999</v>
      </c>
      <c r="AB139" s="3">
        <f>$H139*factors!V$3</f>
        <v>1.7714358362520002</v>
      </c>
      <c r="AC139" s="3">
        <f>$H139*factors!W$3</f>
        <v>1.7732379072960003</v>
      </c>
      <c r="AD139" s="3">
        <f>$H139*factors!X$3</f>
        <v>1.7353944153720002</v>
      </c>
      <c r="AE139" s="3">
        <f>$H139*factors!Y$3</f>
        <v>1.7498109837240001</v>
      </c>
      <c r="AF139" s="3">
        <f>$H139*factors!Z$3</f>
        <v>1.7858524046040003</v>
      </c>
      <c r="AG139" s="3">
        <f>$H139*factors!AA$3</f>
        <v>1.7408006285040001</v>
      </c>
      <c r="AH139" s="3">
        <f>$H139*factors!AB$3</f>
        <v>1.7335923443280001</v>
      </c>
      <c r="AI139" s="3">
        <f>$H139*factors!AC$3</f>
        <v>1.789456546692</v>
      </c>
      <c r="AJ139" s="3">
        <f>$H139*factors!AD$3</f>
        <v>1.857935246364</v>
      </c>
      <c r="AK139" s="3">
        <f>$H139*factors!AE$3</f>
        <v>1.7876544756480002</v>
      </c>
      <c r="AL139" s="3">
        <f>$H139*factors!AF$3</f>
        <v>1.7173737049319999</v>
      </c>
      <c r="AM139" s="3">
        <f>$H139*factors!AG$3</f>
        <v>1.7660296231200001</v>
      </c>
      <c r="AN139" s="3">
        <f>$H139*factors!AH$3</f>
        <v>1.7371964864160001</v>
      </c>
      <c r="AO139" s="3">
        <f>$H139*factors!AI$3</f>
        <v>1.8200917544399999</v>
      </c>
      <c r="AP139" s="3">
        <f>$H139*factors!AJ$3</f>
        <v>1.7444047705920003</v>
      </c>
      <c r="AQ139" s="3">
        <f>$H139*factors!AK$3</f>
        <v>1.8002689729560002</v>
      </c>
      <c r="AR139" s="3">
        <f>$H139*factors!AL$3</f>
        <v>1.7606234099880003</v>
      </c>
      <c r="AS139" s="3">
        <f>$H139*factors!AM$3</f>
        <v>1.7173737049319999</v>
      </c>
      <c r="AT139" s="3">
        <f>$H139*factors!AN$3</f>
        <v>1.7714358362520002</v>
      </c>
      <c r="AU139" s="3">
        <f>$H139*factors!AO$3</f>
        <v>1.8759559568039998</v>
      </c>
      <c r="AV139" s="3">
        <f>$H139*factors!AP$3</f>
        <v>1.7732379072960003</v>
      </c>
      <c r="AW139" s="3">
        <f>$H139*factors!AQ$3</f>
        <v>1.755217196856</v>
      </c>
      <c r="AX139" s="3">
        <f>$H139*factors!AR$3</f>
        <v>1.8561331753200001</v>
      </c>
      <c r="AY139" s="3">
        <f>$H139*factors!AS$3</f>
        <v>1.7119674918000001</v>
      </c>
      <c r="AZ139" s="3">
        <f>$H139*factors!AT$3</f>
        <v>1.8345083227920003</v>
      </c>
      <c r="BA139" s="3">
        <f>$H139*factors!AU$3</f>
        <v>1.7948627598239999</v>
      </c>
      <c r="BB139" s="3">
        <f>$H139*factors!AV$3</f>
        <v>1.7714358362520002</v>
      </c>
      <c r="BC139" s="3">
        <f>$H139*factors!AW$3</f>
        <v>1.8741538857600004</v>
      </c>
      <c r="BD139" s="3">
        <f>$H139*factors!AX$3</f>
        <v>1.7299882022399999</v>
      </c>
      <c r="BE139" s="3">
        <f>$H139*factors!AY$3</f>
        <v>2.033904146642</v>
      </c>
      <c r="BF139" s="3">
        <f>$H139*factors!AZ$3</f>
        <v>1.8941101539879999</v>
      </c>
      <c r="BG139" s="3">
        <f>$H139*factors!BA$3</f>
        <v>1.9216751666239997</v>
      </c>
      <c r="BH139" s="3">
        <f>$H139*factors!BB$3</f>
        <v>1.9472712497859999</v>
      </c>
      <c r="BI139" s="3">
        <f>$H139*factors!BC$3</f>
        <v>2.0181527108499995</v>
      </c>
      <c r="BJ139" s="3">
        <f>$H139*factors!BD$3</f>
        <v>1.9275819550459998</v>
      </c>
      <c r="BK139" s="3">
        <f>$H139*factors!BE$3</f>
        <v>1.9315198139939997</v>
      </c>
      <c r="BL139" s="3">
        <f>$H139*factors!BF$3</f>
        <v>1.9098615897799998</v>
      </c>
      <c r="BM139" s="3">
        <f>$H139*factors!BG$3</f>
        <v>2.0398109350640001</v>
      </c>
      <c r="BN139" s="3">
        <f>$H139*factors!BH$3</f>
        <v>2.014214851902</v>
      </c>
      <c r="BO139" s="3">
        <f>$H139*factors!BI$3</f>
        <v>1.8941101539879999</v>
      </c>
      <c r="BP139" s="3">
        <f>$H139*factors!BJ$3</f>
        <v>1.8882033655659998</v>
      </c>
      <c r="BQ139" s="3">
        <f>$H139*factors!BK$3</f>
        <v>1.9197062371499998</v>
      </c>
      <c r="BR139" s="3">
        <f>$H139*factors!BL$3</f>
        <v>1.9886187687399999</v>
      </c>
      <c r="BS139" s="3">
        <f>$H139*factors!BM$3</f>
        <v>2.0201216403240001</v>
      </c>
      <c r="BT139" s="3">
        <f>$H139*factors!BN$3</f>
        <v>2.0260284287459998</v>
      </c>
      <c r="BU139" s="3">
        <f>$H139*factors!BO$3</f>
        <v>2.0595002298040002</v>
      </c>
      <c r="BV139" s="3">
        <f>$H139*factors!BP$3</f>
        <v>1.9157683782019999</v>
      </c>
      <c r="BW139" s="3">
        <f>$H139*factors!BQ$3</f>
        <v>1.9590848266299998</v>
      </c>
      <c r="BX139" s="3">
        <f>$H139*factors!BR$3</f>
        <v>1.9216751666239997</v>
      </c>
      <c r="BY139" s="3">
        <f>$H139*factors!BS$3</f>
        <v>2.0102769929539996</v>
      </c>
      <c r="BZ139" s="3">
        <f>$H139*factors!BT$3</f>
        <v>1.9728673329479998</v>
      </c>
      <c r="CA139" s="3">
        <f>$H139*factors!BU$3</f>
        <v>1.9472712497859999</v>
      </c>
      <c r="CB139" s="3">
        <f>$H139*factors!BV$3</f>
        <v>1.8842655066179999</v>
      </c>
      <c r="CC139" s="3">
        <f>$H139*factors!BW$3</f>
        <v>1.9393955318899998</v>
      </c>
      <c r="CD139" s="3">
        <f>$H139*factors!BX$3</f>
        <v>1.9453023203119999</v>
      </c>
      <c r="CE139" s="3">
        <f>$H139*factors!BY$3</f>
        <v>1.9728673329479998</v>
      </c>
      <c r="CF139" s="3">
        <f>$H139*factors!BZ$3</f>
        <v>1.9433333908380002</v>
      </c>
      <c r="CG139" s="3">
        <f>$H139*factors!CA$3</f>
        <v>1.8783587181959998</v>
      </c>
      <c r="CH139" s="3">
        <f>$H139*factors!CB$3</f>
        <v>1.8803276476699997</v>
      </c>
      <c r="CI139" s="3">
        <f>$H139*factors!CC$3</f>
        <v>1.8704830002999999</v>
      </c>
      <c r="CJ139" s="3">
        <f>$H139*factors!CD$3</f>
        <v>1.9472712497859999</v>
      </c>
      <c r="CK139" s="3">
        <f>$H139*factors!CE$3</f>
        <v>2.033904146642</v>
      </c>
      <c r="CL139" s="3">
        <f>$H139*factors!CF$3</f>
        <v>1.9059237308319998</v>
      </c>
      <c r="CM139" s="3">
        <f>$H139*factors!CG$3</f>
        <v>1.9512091087339998</v>
      </c>
      <c r="CN139" s="3">
        <f>$H139*factors!CH$3</f>
        <v>1.8862344360919998</v>
      </c>
      <c r="CO139" s="3">
        <f>$H139*factors!CI$3</f>
        <v>1.9000169424099997</v>
      </c>
      <c r="CP139" s="3">
        <f>$H139*factors!CJ$3</f>
        <v>1.9905876982139996</v>
      </c>
      <c r="CQ139" s="3">
        <f>$H139*factors!CK$3</f>
        <v>1.9315198139939997</v>
      </c>
      <c r="CR139" s="3">
        <f>$H139*factors!CL$3</f>
        <v>1.9925566276879998</v>
      </c>
      <c r="CS139" s="3">
        <f>$H139*factors!CM$3</f>
        <v>2.0555623708559998</v>
      </c>
      <c r="CT139" s="3">
        <f>$H139*factors!CN$3</f>
        <v>2.0319352171679999</v>
      </c>
      <c r="CU139" s="3">
        <f>$H139*factors!CO$3</f>
        <v>1.9866498392659997</v>
      </c>
      <c r="CV139" s="3">
        <f>$H139*factors!CP$3</f>
        <v>2.0673759477</v>
      </c>
      <c r="CW139" s="3">
        <f>$H139*factors!CQ$3</f>
        <v>1.9551469676820001</v>
      </c>
      <c r="CX139" s="3">
        <f>$H139*factors!CR$3</f>
        <v>1.9256130255719999</v>
      </c>
      <c r="CY139" s="3">
        <f>$H139*factors!CS$3</f>
        <v>1.9078926603059998</v>
      </c>
      <c r="CZ139" s="3">
        <f>$H139*factors!CT$3</f>
        <v>1.8803276476699997</v>
      </c>
      <c r="DA139" s="3">
        <f>$H139*factors!CU$3</f>
        <v>1.952243631</v>
      </c>
      <c r="DB139" s="3">
        <f>$H139*factors!CV$3</f>
        <v>2.0783886040800001</v>
      </c>
      <c r="DC139" s="3">
        <f>$H139*factors!CW$3</f>
        <v>1.9902873530399998</v>
      </c>
      <c r="DD139" s="3">
        <f>$H139*factors!CX$3</f>
        <v>1.9762712449199999</v>
      </c>
      <c r="DE139" s="3">
        <f>$H139*factors!CY$3</f>
        <v>2.03433797856</v>
      </c>
      <c r="DF139" s="3">
        <f>$H139*factors!CZ$3</f>
        <v>2.0303333762399998</v>
      </c>
      <c r="DG139" s="3">
        <f>$H139*factors!DA$3</f>
        <v>2.0223241715999998</v>
      </c>
      <c r="DH139" s="3">
        <f>$H139*factors!DB$3</f>
        <v>2.0223241715999998</v>
      </c>
      <c r="DI139" s="3">
        <f>$H139*factors!DC$3</f>
        <v>1.9462367275199999</v>
      </c>
      <c r="DJ139" s="3">
        <f>$H139*factors!DD$3</f>
        <v>2.0623701948000002</v>
      </c>
      <c r="DK139" s="3">
        <f>$H139*factors!DE$3</f>
        <v>2.0623701948000002</v>
      </c>
      <c r="DL139" s="3">
        <f>$H139*factors!DF$3</f>
        <v>2.0383425808800002</v>
      </c>
      <c r="DM139" s="3">
        <f>$H139*factors!DG$3</f>
        <v>1.9202068124399998</v>
      </c>
      <c r="DN139" s="3">
        <f>$H139*factors!DH$3</f>
        <v>2.0143149669600002</v>
      </c>
      <c r="DO139" s="3">
        <f>$H139*factors!DI$3</f>
        <v>2.0803909052399998</v>
      </c>
      <c r="DP139" s="3">
        <f>$H139*factors!DJ$3</f>
        <v>2.0623701948000002</v>
      </c>
      <c r="DQ139" s="3">
        <f>$H139*factors!DK$3</f>
        <v>1.9662597391199998</v>
      </c>
      <c r="DR139" s="3">
        <f>$H139*factors!DL$3</f>
        <v>1.94423442636</v>
      </c>
      <c r="DS139" s="3">
        <f>$H139*factors!DM$3</f>
        <v>2.10041391684</v>
      </c>
      <c r="DT139" s="3">
        <f>$H139*factors!DN$3</f>
        <v>1.9742689437600001</v>
      </c>
      <c r="DU139" s="3">
        <f>$H139*factors!DO$3</f>
        <v>2.0663747971199999</v>
      </c>
      <c r="DV139" s="3">
        <f>$H139*factors!DP$3</f>
        <v>2.01831956928</v>
      </c>
      <c r="DW139" s="3">
        <f>$H139*factors!DQ$3</f>
        <v>1.9262137159199999</v>
      </c>
      <c r="DX139" s="3">
        <f>$H139*factors!DR$3</f>
        <v>2.0403448820399999</v>
      </c>
      <c r="DY139" s="3">
        <f>$H139*factors!DS$3</f>
        <v>1.9362252217199998</v>
      </c>
      <c r="DZ139" s="3">
        <f>$H139*factors!DT$3</f>
        <v>2.0703793994399997</v>
      </c>
      <c r="EA139" s="3">
        <f>$H139*factors!DU$3</f>
        <v>1.9502413298399996</v>
      </c>
      <c r="EB139" s="3">
        <f>$H139*factors!DV$3</f>
        <v>1.9021861019999999</v>
      </c>
      <c r="EC139" s="3">
        <f>$H139*factors!DW$3</f>
        <v>2.0463517855199997</v>
      </c>
      <c r="ED139" s="3">
        <f>$H139*factors!DX$3</f>
        <v>1.9202068124399998</v>
      </c>
      <c r="EE139" s="3">
        <f>$H139*factors!DY$3</f>
        <v>1.9362252217199998</v>
      </c>
      <c r="EF139" s="3">
        <f>$H139*factors!DZ$3</f>
        <v>2.10041391684</v>
      </c>
      <c r="EG139" s="3">
        <f>$H139*factors!EA$3</f>
        <v>1.9622551367999999</v>
      </c>
      <c r="EH139" s="3">
        <f>$H139*factors!EB$3</f>
        <v>1.96826204028</v>
      </c>
      <c r="EI139" s="3">
        <f>$H139*factors!EC$3</f>
        <v>1.96425743796</v>
      </c>
      <c r="EJ139" s="3">
        <f>$H139*factors!ED$3</f>
        <v>1.9141999089599999</v>
      </c>
      <c r="EK139" s="3">
        <f>$H139*factors!EE$3</f>
        <v>2.0463517855199997</v>
      </c>
      <c r="EL139" s="3">
        <f>$H139*factors!EF$3</f>
        <v>1.9462367275199999</v>
      </c>
      <c r="EM139" s="3">
        <f>$H139*factors!EG$3</f>
        <v>2.0243264727599999</v>
      </c>
      <c r="EN139" s="3">
        <f>$H139*factors!EH$3</f>
        <v>1.9021861019999999</v>
      </c>
      <c r="EO139" s="3">
        <f>$H139*factors!EI$3</f>
        <v>1.9302183182399997</v>
      </c>
      <c r="EP139" s="3">
        <f>$H139*factors!EJ$3</f>
        <v>2.0363402797200001</v>
      </c>
      <c r="EQ139" s="3">
        <f>$H139*factors!EK$3</f>
        <v>1.9802758472399997</v>
      </c>
      <c r="ER139" s="3">
        <f>$H139*factors!EL$3</f>
        <v>2.0623701948000002</v>
      </c>
      <c r="ES139" s="3">
        <f>$H139*factors!EM$3</f>
        <v>2.0363402797200001</v>
      </c>
      <c r="ET139" s="3">
        <f>$H139*factors!EN$3</f>
        <v>2.0823932063999999</v>
      </c>
      <c r="EU139" s="3">
        <f>$H139*factors!EO$3</f>
        <v>2.1024162180000001</v>
      </c>
      <c r="EV139" s="3">
        <f>$H139*factors!EP$3</f>
        <v>1.9702643414399998</v>
      </c>
      <c r="EW139" s="3">
        <f>$H139*factors!EQ$3</f>
        <v>2.1670738596249999</v>
      </c>
      <c r="EX139" s="3">
        <f>$H139*factors!ER$3</f>
        <v>2.1441308255000004</v>
      </c>
      <c r="EY139" s="3">
        <f>$H139*factors!ES$3</f>
        <v>2.1879311633749996</v>
      </c>
      <c r="EZ139" s="3">
        <f>$H139*factors!ET$3</f>
        <v>2.1670738596249999</v>
      </c>
      <c r="FA139" s="3">
        <f>$H139*factors!EU$3</f>
        <v>1.9918725081249997</v>
      </c>
      <c r="FB139" s="3">
        <f>$H139*factors!EV$3</f>
        <v>2.0815589142499999</v>
      </c>
      <c r="FC139" s="3">
        <f>$H139*factors!EW$3</f>
        <v>2.1399593647500001</v>
      </c>
      <c r="FD139" s="3">
        <f>$H139*factors!EX$3</f>
        <v>2.0648730712500001</v>
      </c>
      <c r="FE139" s="3">
        <f>$H139*factors!EY$3</f>
        <v>2.175416781125</v>
      </c>
      <c r="FF139" s="3">
        <f>$H139*factors!EZ$3</f>
        <v>2.1775025115000002</v>
      </c>
      <c r="FG139" s="3">
        <f>$H139*factors!FA$3</f>
        <v>1.9918725081249997</v>
      </c>
      <c r="FH139" s="3">
        <f>$H139*factors!FB$3</f>
        <v>2.0961590268749997</v>
      </c>
      <c r="FI139" s="3">
        <f>$H139*factors!FC$3</f>
        <v>2.1837597026249997</v>
      </c>
      <c r="FJ139" s="3">
        <f>$H139*factors!FD$3</f>
        <v>2.0961590268749997</v>
      </c>
      <c r="FK139" s="3">
        <f>$H139*factors!FE$3</f>
        <v>2.13161644325</v>
      </c>
      <c r="FL139" s="3">
        <f>$H139*factors!FF$3</f>
        <v>2.137873634375</v>
      </c>
      <c r="FM139" s="3">
        <f>$H139*factors!FG$3</f>
        <v>2.1608166684999999</v>
      </c>
      <c r="FN139" s="3">
        <f>$H139*factors!FH$3</f>
        <v>2.021072733375</v>
      </c>
      <c r="FO139" s="3">
        <f>$H139*factors!FI$3</f>
        <v>2.1462165558749997</v>
      </c>
      <c r="FP139" s="3">
        <f>$H139*factors!FJ$3</f>
        <v>2.0857303749999998</v>
      </c>
      <c r="FQ139" s="3">
        <f>$H139*factors!FK$3</f>
        <v>2.0648730712500001</v>
      </c>
      <c r="FR139" s="3">
        <f>$H139*factors!FL$3</f>
        <v>2.10658767875</v>
      </c>
      <c r="FS139" s="3">
        <f>$H139*factors!FM$3</f>
        <v>2.0940732965</v>
      </c>
      <c r="FT139" s="3">
        <f>$H139*factors!FN$3</f>
        <v>2.1399593647500001</v>
      </c>
      <c r="FU139" s="3">
        <f>$H139*factors!FO$3</f>
        <v>2.0565301497499999</v>
      </c>
      <c r="FV139" s="3">
        <f>$H139*factors!FP$3</f>
        <v>2.0398443067500001</v>
      </c>
      <c r="FW139" s="3">
        <f>$H139*factors!FQ$3</f>
        <v>2.1837597026249997</v>
      </c>
      <c r="FX139" s="3">
        <f>$H139*factors!FR$3</f>
        <v>2.1441308255000004</v>
      </c>
      <c r="FY139" s="3">
        <f>$H139*factors!FS$3</f>
        <v>2.1003304876249995</v>
      </c>
      <c r="FZ139" s="3">
        <f>$H139*factors!FT$3</f>
        <v>1.996043968875</v>
      </c>
      <c r="GA139" s="3">
        <f>$H139*factors!FU$3</f>
        <v>2.1003304876249995</v>
      </c>
      <c r="GB139" s="3">
        <f>$H139*factors!FV$3</f>
        <v>2.1775025115000002</v>
      </c>
      <c r="GC139" s="3">
        <f>$H139*factors!FW$3</f>
        <v>2.0398443067500001</v>
      </c>
      <c r="GD139" s="3">
        <f>$H139*factors!FX$3</f>
        <v>2.0753017231249999</v>
      </c>
      <c r="GE139" s="3">
        <f>$H139*factors!FY$3</f>
        <v>2.0753017231249999</v>
      </c>
      <c r="GF139" s="3">
        <f>$H139*factors!FZ$3</f>
        <v>2.0690445319999999</v>
      </c>
      <c r="GG139" s="3">
        <f>$H139*factors!GA$3</f>
        <v>1.9877010473749999</v>
      </c>
      <c r="GH139" s="3">
        <f>$H139*factors!GB$3</f>
        <v>2.1149306002500001</v>
      </c>
      <c r="GI139" s="3">
        <f>$H139*factors!GC$3</f>
        <v>1.983529586625</v>
      </c>
      <c r="GJ139" s="3">
        <f>$H139*factors!GD$3</f>
        <v>1.9877010473749999</v>
      </c>
      <c r="GK139" s="3">
        <f>$H139*factors!GE$3</f>
        <v>2.0377585763749999</v>
      </c>
      <c r="GL139" s="3">
        <f>$H139*factors!GF$3</f>
        <v>2.1587309381250002</v>
      </c>
      <c r="GM139" s="3">
        <f>$H139*factors!GG$3</f>
        <v>2.0461014978750001</v>
      </c>
      <c r="GN139" s="3">
        <f>$H139*factors!GH$3</f>
        <v>2.1107591395000003</v>
      </c>
      <c r="GO139" s="3">
        <f>$H139*factors!GI$3</f>
        <v>1.9939582384999996</v>
      </c>
      <c r="GP139" s="3">
        <f>$H139*factors!GJ$3</f>
        <v>2.137873634375</v>
      </c>
      <c r="GQ139" s="3">
        <f>$H139*factors!GK$3</f>
        <v>2.18167397225</v>
      </c>
      <c r="GR139" s="3">
        <f>$H139*factors!GL$3</f>
        <v>2.1399593647500001</v>
      </c>
      <c r="GS139" s="3">
        <f>$H139*factors!GM$3</f>
        <v>2.023742468255</v>
      </c>
      <c r="GT139" s="3">
        <f>$H139*factors!GN$3</f>
        <v>2.070362713597</v>
      </c>
      <c r="GU139" s="3">
        <f>$H139*factors!GO$3</f>
        <v>2.119102061</v>
      </c>
      <c r="GV139" s="3">
        <f>$H139*factors!GP$3</f>
        <v>2.03433797856</v>
      </c>
      <c r="GW139" s="3">
        <f>$H139*factors!GQ$3</f>
        <v>2.106387448634</v>
      </c>
      <c r="GX139" s="3">
        <f>$H139*factors!GR$3</f>
        <v>2.072481815658</v>
      </c>
      <c r="GY139" s="3">
        <f>$H139*factors!GS$3</f>
        <v>2.0618863053530001</v>
      </c>
      <c r="GZ139" s="3">
        <f>$H139*factors!GT$3</f>
        <v>2.1381739795489998</v>
      </c>
      <c r="HA139" s="3">
        <f>$H139*factors!GU$3</f>
        <v>2.0682436115359999</v>
      </c>
      <c r="HB139" s="3">
        <f>$H139*factors!GV$3</f>
        <v>2.1381739795489998</v>
      </c>
      <c r="HC139" s="3">
        <f>$H139*factors!GW$3</f>
        <v>2.0851964280240001</v>
      </c>
      <c r="HD139" s="3">
        <f>$H139*factors!GX$3</f>
        <v>2.1466503877929997</v>
      </c>
      <c r="HE139" s="3">
        <f>$H139*factors!GY$3</f>
        <v>2.119102061</v>
      </c>
      <c r="HF139" s="3">
        <f>$H139*factors!GZ$3</f>
        <v>2.1847942248909997</v>
      </c>
      <c r="HG139" s="3">
        <f>$H139*factors!HA$3</f>
        <v>2.1000301424510002</v>
      </c>
      <c r="HH139" s="3">
        <f>$H139*factors!HB$3</f>
        <v>2.072481815658</v>
      </c>
      <c r="HI139" s="3">
        <f>$H139*factors!HC$3</f>
        <v>2.047052590926</v>
      </c>
      <c r="HJ139" s="3">
        <f>$H139*factors!HD$3</f>
        <v>2.023742468255</v>
      </c>
      <c r="HK139" s="3">
        <f>$H139*factors!HE$3</f>
        <v>2.1402930816099999</v>
      </c>
      <c r="HL139" s="3">
        <f>$H139*factors!HF$3</f>
        <v>2.0173851620719998</v>
      </c>
      <c r="HM139" s="3">
        <f>$H139*factors!HG$3</f>
        <v>2.0385761826820001</v>
      </c>
      <c r="HN139" s="3">
        <f>$H139*factors!HH$3</f>
        <v>2.1741987145860002</v>
      </c>
      <c r="HO139" s="3">
        <f>$H139*factors!HI$3</f>
        <v>2.0851964280240001</v>
      </c>
      <c r="HP139" s="3">
        <f>$H139*factors!HJ$3</f>
        <v>2.2250571640500003</v>
      </c>
      <c r="HQ139" s="3">
        <f>$H139*factors!HK$3</f>
        <v>2.03433797856</v>
      </c>
      <c r="HR139" s="3">
        <f>$H139*factors!HL$3</f>
        <v>2.157245898098</v>
      </c>
      <c r="HS139" s="3">
        <f>$H139*factors!HM$3</f>
        <v>2.1953897351960001</v>
      </c>
      <c r="HT139" s="3">
        <f>$H139*factors!HN$3</f>
        <v>2.047052590926</v>
      </c>
      <c r="HU139" s="3">
        <f>$H139*factors!HO$3</f>
        <v>2.0682436115359999</v>
      </c>
      <c r="HV139" s="3">
        <f>$H139*factors!HP$3</f>
        <v>2.0936728362680004</v>
      </c>
      <c r="HW139" s="3">
        <f>$H139*factors!HQ$3</f>
        <v>2.1233402651220001</v>
      </c>
      <c r="HX139" s="3">
        <f>$H139*factors!HR$3</f>
        <v>2.2102234496229998</v>
      </c>
      <c r="HY139" s="3">
        <f>$H139*factors!HS$3</f>
        <v>2.1000301424510002</v>
      </c>
      <c r="HZ139" s="3">
        <f>$H139*factors!HT$3</f>
        <v>2.180556020769</v>
      </c>
      <c r="IA139" s="3">
        <f>$H139*factors!HU$3</f>
        <v>2.0746009177190001</v>
      </c>
      <c r="IB139" s="3">
        <f>$H139*factors!HV$3</f>
        <v>2.1466503877929997</v>
      </c>
      <c r="IC139" s="3">
        <f>$H139*factors!HW$3</f>
        <v>2.167841408403</v>
      </c>
      <c r="ID139" s="3">
        <f>$H139*factors!HX$3</f>
        <v>2.0131469579499996</v>
      </c>
      <c r="IE139" s="3">
        <f>$H139*factors!HY$3</f>
        <v>2.1381739795489998</v>
      </c>
      <c r="IF139" s="3">
        <f>$H139*factors!HZ$3</f>
        <v>2.1254593671829998</v>
      </c>
      <c r="IG139" s="3">
        <f>$H139*factors!IA$3</f>
        <v>2.106387448634</v>
      </c>
      <c r="IH139" s="3">
        <f>$H139*factors!IB$3</f>
        <v>2.1847942248909997</v>
      </c>
      <c r="II139" s="3">
        <f>$H139*factors!IC$3</f>
        <v>2.0915537342069999</v>
      </c>
      <c r="IJ139" s="3">
        <f>$H139*factors!ID$3</f>
        <v>2.1106256527560001</v>
      </c>
      <c r="IK139" s="3">
        <f>$H139*factors!IE$3</f>
        <v>2.1869133269520002</v>
      </c>
      <c r="IL139" s="3">
        <f>$H139*factors!IF$3</f>
        <v>2.0936728362680004</v>
      </c>
      <c r="IM139" s="3">
        <f>$H139*factors!IG$3</f>
        <v>2.0746009177190001</v>
      </c>
      <c r="IN139" s="3">
        <f>$H139*factors!IH$3</f>
        <v>2.0873155300850001</v>
      </c>
      <c r="IO139" s="3">
        <f>$H139*factors!II$3</f>
        <v>2.108506550695</v>
      </c>
      <c r="IP139" s="3">
        <f>$H139*factors!IJ$3</f>
        <v>2.0385761826820001</v>
      </c>
      <c r="IQ139" s="3">
        <f>$H139*factors!IK$3</f>
        <v>2.0322188764989999</v>
      </c>
      <c r="IR139" s="3">
        <f>$H139*factors!IL$3</f>
        <v>2.0915537342069999</v>
      </c>
      <c r="IS139" s="3">
        <f>$H139*factors!IM$3</f>
        <v>2.108506550695</v>
      </c>
      <c r="IT139" s="3">
        <f>$H139*factors!IN$3</f>
        <v>2.1233402651220001</v>
      </c>
      <c r="IU139" s="3">
        <f>$H139*factors!IO$3</f>
        <v>2.1699605104640001</v>
      </c>
      <c r="IV139" s="3">
        <f>$H139*factors!IP$3</f>
        <v>2.1975088372569997</v>
      </c>
      <c r="IW139" s="3">
        <f>$H139*factors!IQ$3</f>
        <v>2.0767200197799998</v>
      </c>
      <c r="IX139" s="3">
        <f>$H139*factors!IR$3</f>
        <v>2.1699605104640001</v>
      </c>
      <c r="IY139" s="3">
        <f>$H139*factors!IS$3</f>
        <v>2.1381739795489998</v>
      </c>
      <c r="IZ139" s="3">
        <f>$H139*factors!IT$3</f>
        <v>2.1741987145860002</v>
      </c>
      <c r="JA139" s="3">
        <f>$H139*factors!IU$3</f>
        <v>2.0534098971089998</v>
      </c>
      <c r="JB139" s="3">
        <f>$H139*factors!IV$3</f>
        <v>2.0915537342069999</v>
      </c>
      <c r="JC139" s="3">
        <f>$H139*factors!IW$3</f>
        <v>2.0428143868040003</v>
      </c>
      <c r="JD139" s="3">
        <f>$H139*factors!IX$3</f>
        <v>2.2250571640500003</v>
      </c>
      <c r="JE139" s="3">
        <f>$H139*factors!IY$3</f>
        <v>2.0491716929870001</v>
      </c>
      <c r="JF139" s="3">
        <f>$H139*factors!IZ$3</f>
        <v>2.1508885919149998</v>
      </c>
      <c r="JG139" s="3">
        <f>$H139*factors!JA$3</f>
        <v>2.1127447548169997</v>
      </c>
      <c r="JH139" s="3">
        <f>$H139*factors!JB$3</f>
        <v>2.1530076939760003</v>
      </c>
      <c r="JI139" s="3">
        <f>$H139*factors!JC$3</f>
        <v>2.0152660600110002</v>
      </c>
      <c r="JJ139" s="3">
        <f>$H139*factors!JD$3</f>
        <v>2.1699605104640001</v>
      </c>
      <c r="JK139" s="3">
        <f>$H139*factors!JE$3</f>
        <v>2.1000301424510002</v>
      </c>
      <c r="JL139" s="3">
        <f>$H139*factors!JF$3</f>
        <v>2.1847942248909997</v>
      </c>
      <c r="JM139" s="3">
        <f>$H139*factors!JG$3</f>
        <v>2.0385761826820001</v>
      </c>
      <c r="JN139" s="3">
        <f>$H139*factors!JH$3</f>
        <v>2.0385761826820001</v>
      </c>
      <c r="JO139" s="3">
        <f>$H139*factors!JI$3</f>
        <v>2.0131469579499996</v>
      </c>
      <c r="JP139" s="3">
        <f>$H139*factors!JJ$3</f>
        <v>2.1763178166469999</v>
      </c>
      <c r="JQ139" s="3">
        <f>$H139*factors!JK$3</f>
        <v>2.1212211630610001</v>
      </c>
      <c r="JR139" s="3">
        <f>$H139*factors!JL$3</f>
        <v>2.20386614344</v>
      </c>
      <c r="JS139" s="3">
        <f>$H139*factors!JM$3</f>
        <v>2.0131469579499996</v>
      </c>
      <c r="JT139" s="3">
        <f>$H139*factors!JN$3</f>
        <v>2.1148638568780003</v>
      </c>
      <c r="JU139" s="3">
        <f>$H139*factors!JO$3</f>
        <v>2.0449334888649999</v>
      </c>
      <c r="JV139" s="3">
        <f>$H139*factors!JP$3</f>
        <v>2.0788391218410003</v>
      </c>
      <c r="JW139" s="3">
        <f>$H139*factors!JQ$3</f>
        <v>2.2208189599280002</v>
      </c>
      <c r="JX139" s="3">
        <f>$H139*factors!JR$3</f>
        <v>2.1996279393179998</v>
      </c>
      <c r="JY139" s="3">
        <f>$H139*factors!JS$3</f>
        <v>2.070362713597</v>
      </c>
      <c r="JZ139" s="3">
        <f>$H139*factors!JT$3</f>
        <v>2.0936728362680004</v>
      </c>
      <c r="KA139" s="3">
        <f>$H139*factors!JU$3</f>
        <v>2.1021492445120002</v>
      </c>
      <c r="KB139" s="3">
        <f>$H139*factors!JV$3</f>
        <v>2.0322188764989999</v>
      </c>
      <c r="KC139" s="3">
        <f>$H139*factors!JW$3</f>
        <v>2.0428143868040003</v>
      </c>
      <c r="KD139" s="3">
        <f>$H139*factors!JX$3</f>
        <v>2.0449334888649999</v>
      </c>
      <c r="KE139" s="3">
        <f>$H139*factors!JY$3</f>
        <v>2.1763178166469999</v>
      </c>
      <c r="KF139" s="3">
        <f>$H139*factors!JZ$3</f>
        <v>2.2017470413789999</v>
      </c>
      <c r="KG139" s="3">
        <f>$H139*factors!KA$3</f>
        <v>2.1233402651220001</v>
      </c>
      <c r="KH139" s="3">
        <f>$H139*factors!KB$3</f>
        <v>2.0767200197799998</v>
      </c>
      <c r="KI139" s="3">
        <f>$H139*factors!KC$3</f>
        <v>2.0576481012309999</v>
      </c>
    </row>
    <row r="140" spans="1:295" x14ac:dyDescent="0.55000000000000004">
      <c r="A140" t="s">
        <v>517</v>
      </c>
      <c r="B140">
        <v>139</v>
      </c>
      <c r="C140">
        <v>230</v>
      </c>
      <c r="D140" t="s">
        <v>377</v>
      </c>
      <c r="E140">
        <v>4.6909999999999999E-3</v>
      </c>
      <c r="F140">
        <v>139</v>
      </c>
      <c r="G140">
        <f>VLOOKUP(D140,demand_forecasted!$A$2:$G$11,2)</f>
        <v>11098</v>
      </c>
      <c r="H140" s="3">
        <f t="shared" si="2"/>
        <v>0.52060718000000006</v>
      </c>
      <c r="I140" s="3">
        <f>$H140*factors!C$3</f>
        <v>0.5763121482600001</v>
      </c>
      <c r="J140" s="3">
        <f>$H140*factors!D$3</f>
        <v>0.5555086853472001</v>
      </c>
      <c r="K140" s="3">
        <f>$H140*factors!E$3</f>
        <v>0.54595033752240008</v>
      </c>
      <c r="L140" s="3">
        <f>$H140*factors!F$3</f>
        <v>0.54426357025920014</v>
      </c>
      <c r="M140" s="3">
        <f>$H140*factors!G$3</f>
        <v>0.54370131450480008</v>
      </c>
      <c r="N140" s="3">
        <f>$H140*factors!H$3</f>
        <v>0.55944447562800004</v>
      </c>
      <c r="O140" s="3">
        <f>$H140*factors!I$3</f>
        <v>0.57181410222480011</v>
      </c>
      <c r="P140" s="3">
        <f>$H140*factors!J$3</f>
        <v>0.57856117127760009</v>
      </c>
      <c r="Q140" s="3">
        <f>$H140*factors!K$3</f>
        <v>0.54313905875040003</v>
      </c>
      <c r="R140" s="3">
        <f>$H140*factors!L$3</f>
        <v>0.53414296668000005</v>
      </c>
      <c r="S140" s="3">
        <f>$H140*factors!M$3</f>
        <v>0.55607094110160005</v>
      </c>
      <c r="T140" s="3">
        <f>$H140*factors!N$3</f>
        <v>0.5751876367512001</v>
      </c>
      <c r="U140" s="3">
        <f>$H140*factors!O$3</f>
        <v>0.54482582601360008</v>
      </c>
      <c r="V140" s="3">
        <f>$H140*factors!P$3</f>
        <v>0.56675380043520007</v>
      </c>
      <c r="W140" s="3">
        <f>$H140*factors!Q$3</f>
        <v>0.57181410222480011</v>
      </c>
      <c r="X140" s="3">
        <f>$H140*factors!R$3</f>
        <v>0.54707484903120007</v>
      </c>
      <c r="Y140" s="3">
        <f>$H140*factors!S$3</f>
        <v>0.54201454724160003</v>
      </c>
      <c r="Z140" s="3">
        <f>$H140*factors!T$3</f>
        <v>0.58474598457600013</v>
      </c>
      <c r="AA140" s="3">
        <f>$H140*factors!U$3</f>
        <v>0.5521351508208</v>
      </c>
      <c r="AB140" s="3">
        <f>$H140*factors!V$3</f>
        <v>0.55269740657520017</v>
      </c>
      <c r="AC140" s="3">
        <f>$H140*factors!W$3</f>
        <v>0.55325966232960011</v>
      </c>
      <c r="AD140" s="3">
        <f>$H140*factors!X$3</f>
        <v>0.54145229148720009</v>
      </c>
      <c r="AE140" s="3">
        <f>$H140*factors!Y$3</f>
        <v>0.54595033752240008</v>
      </c>
      <c r="AF140" s="3">
        <f>$H140*factors!Z$3</f>
        <v>0.55719545261040015</v>
      </c>
      <c r="AG140" s="3">
        <f>$H140*factors!AA$3</f>
        <v>0.54313905875040003</v>
      </c>
      <c r="AH140" s="3">
        <f>$H140*factors!AB$3</f>
        <v>0.54089003573280015</v>
      </c>
      <c r="AI140" s="3">
        <f>$H140*factors!AC$3</f>
        <v>0.55831996411920004</v>
      </c>
      <c r="AJ140" s="3">
        <f>$H140*factors!AD$3</f>
        <v>0.57968568278640009</v>
      </c>
      <c r="AK140" s="3">
        <f>$H140*factors!AE$3</f>
        <v>0.5577577083648001</v>
      </c>
      <c r="AL140" s="3">
        <f>$H140*factors!AF$3</f>
        <v>0.53582973394319999</v>
      </c>
      <c r="AM140" s="3">
        <f>$H140*factors!AG$3</f>
        <v>0.55101063931200012</v>
      </c>
      <c r="AN140" s="3">
        <f>$H140*factors!AH$3</f>
        <v>0.54201454724160003</v>
      </c>
      <c r="AO140" s="3">
        <f>$H140*factors!AI$3</f>
        <v>0.56787831194400007</v>
      </c>
      <c r="AP140" s="3">
        <f>$H140*factors!AJ$3</f>
        <v>0.54426357025920014</v>
      </c>
      <c r="AQ140" s="3">
        <f>$H140*factors!AK$3</f>
        <v>0.56169349864560014</v>
      </c>
      <c r="AR140" s="3">
        <f>$H140*factors!AL$3</f>
        <v>0.54932387204880007</v>
      </c>
      <c r="AS140" s="3">
        <f>$H140*factors!AM$3</f>
        <v>0.53582973394319999</v>
      </c>
      <c r="AT140" s="3">
        <f>$H140*factors!AN$3</f>
        <v>0.55269740657520017</v>
      </c>
      <c r="AU140" s="3">
        <f>$H140*factors!AO$3</f>
        <v>0.58530824033040008</v>
      </c>
      <c r="AV140" s="3">
        <f>$H140*factors!AP$3</f>
        <v>0.55325966232960011</v>
      </c>
      <c r="AW140" s="3">
        <f>$H140*factors!AQ$3</f>
        <v>0.54763710478560002</v>
      </c>
      <c r="AX140" s="3">
        <f>$H140*factors!AR$3</f>
        <v>0.57912342703200015</v>
      </c>
      <c r="AY140" s="3">
        <f>$H140*factors!AS$3</f>
        <v>0.53414296668000005</v>
      </c>
      <c r="AZ140" s="3">
        <f>$H140*factors!AT$3</f>
        <v>0.57237635797920017</v>
      </c>
      <c r="BA140" s="3">
        <f>$H140*factors!AU$3</f>
        <v>0.56000673138240009</v>
      </c>
      <c r="BB140" s="3">
        <f>$H140*factors!AV$3</f>
        <v>0.55269740657520017</v>
      </c>
      <c r="BC140" s="3">
        <f>$H140*factors!AW$3</f>
        <v>0.58474598457600013</v>
      </c>
      <c r="BD140" s="3">
        <f>$H140*factors!AX$3</f>
        <v>0.53976552422400004</v>
      </c>
      <c r="BE140" s="3">
        <f>$H140*factors!AY$3</f>
        <v>0.63458891598919998</v>
      </c>
      <c r="BF140" s="3">
        <f>$H140*factors!AZ$3</f>
        <v>0.59097244644880009</v>
      </c>
      <c r="BG140" s="3">
        <f>$H140*factors!BA$3</f>
        <v>0.59957287706239992</v>
      </c>
      <c r="BH140" s="3">
        <f>$H140*factors!BB$3</f>
        <v>0.60755899120360002</v>
      </c>
      <c r="BI140" s="3">
        <f>$H140*factors!BC$3</f>
        <v>0.62967438420999999</v>
      </c>
      <c r="BJ140" s="3">
        <f>$H140*factors!BD$3</f>
        <v>0.60141582647960001</v>
      </c>
      <c r="BK140" s="3">
        <f>$H140*factors!BE$3</f>
        <v>0.60264445942439993</v>
      </c>
      <c r="BL140" s="3">
        <f>$H140*factors!BF$3</f>
        <v>0.59588697822799996</v>
      </c>
      <c r="BM140" s="3">
        <f>$H140*factors!BG$3</f>
        <v>0.63643186540640007</v>
      </c>
      <c r="BN140" s="3">
        <f>$H140*factors!BH$3</f>
        <v>0.62844575126519997</v>
      </c>
      <c r="BO140" s="3">
        <f>$H140*factors!BI$3</f>
        <v>0.59097244644880009</v>
      </c>
      <c r="BP140" s="3">
        <f>$H140*factors!BJ$3</f>
        <v>0.5891294970316</v>
      </c>
      <c r="BQ140" s="3">
        <f>$H140*factors!BK$3</f>
        <v>0.59895856058999997</v>
      </c>
      <c r="BR140" s="3">
        <f>$H140*factors!BL$3</f>
        <v>0.6204596371240001</v>
      </c>
      <c r="BS140" s="3">
        <f>$H140*factors!BM$3</f>
        <v>0.63028870068240006</v>
      </c>
      <c r="BT140" s="3">
        <f>$H140*factors!BN$3</f>
        <v>0.63213165009960004</v>
      </c>
      <c r="BU140" s="3">
        <f>$H140*factors!BO$3</f>
        <v>0.64257503013040007</v>
      </c>
      <c r="BV140" s="3">
        <f>$H140*factors!BP$3</f>
        <v>0.59772992764520005</v>
      </c>
      <c r="BW140" s="3">
        <f>$H140*factors!BQ$3</f>
        <v>0.61124489003799998</v>
      </c>
      <c r="BX140" s="3">
        <f>$H140*factors!BR$3</f>
        <v>0.59957287706239992</v>
      </c>
      <c r="BY140" s="3">
        <f>$H140*factors!BS$3</f>
        <v>0.62721711832039995</v>
      </c>
      <c r="BZ140" s="3">
        <f>$H140*factors!BT$3</f>
        <v>0.6155451053448</v>
      </c>
      <c r="CA140" s="3">
        <f>$H140*factors!BU$3</f>
        <v>0.60755899120360002</v>
      </c>
      <c r="CB140" s="3">
        <f>$H140*factors!BV$3</f>
        <v>0.58790086408679998</v>
      </c>
      <c r="CC140" s="3">
        <f>$H140*factors!BW$3</f>
        <v>0.60510172531399997</v>
      </c>
      <c r="CD140" s="3">
        <f>$H140*factors!BX$3</f>
        <v>0.60694467473120006</v>
      </c>
      <c r="CE140" s="3">
        <f>$H140*factors!BY$3</f>
        <v>0.6155451053448</v>
      </c>
      <c r="CF140" s="3">
        <f>$H140*factors!BZ$3</f>
        <v>0.60633035825880011</v>
      </c>
      <c r="CG140" s="3">
        <f>$H140*factors!CA$3</f>
        <v>0.5860579146696</v>
      </c>
      <c r="CH140" s="3">
        <f>$H140*factors!CB$3</f>
        <v>0.58667223114199996</v>
      </c>
      <c r="CI140" s="3">
        <f>$H140*factors!CC$3</f>
        <v>0.58360064878000006</v>
      </c>
      <c r="CJ140" s="3">
        <f>$H140*factors!CD$3</f>
        <v>0.60755899120360002</v>
      </c>
      <c r="CK140" s="3">
        <f>$H140*factors!CE$3</f>
        <v>0.63458891598919998</v>
      </c>
      <c r="CL140" s="3">
        <f>$H140*factors!CF$3</f>
        <v>0.59465834528320005</v>
      </c>
      <c r="CM140" s="3">
        <f>$H140*factors!CG$3</f>
        <v>0.60878762414840004</v>
      </c>
      <c r="CN140" s="3">
        <f>$H140*factors!CH$3</f>
        <v>0.58851518055920005</v>
      </c>
      <c r="CO140" s="3">
        <f>$H140*factors!CI$3</f>
        <v>0.59281539586599996</v>
      </c>
      <c r="CP140" s="3">
        <f>$H140*factors!CJ$3</f>
        <v>0.62107395359639994</v>
      </c>
      <c r="CQ140" s="3">
        <f>$H140*factors!CK$3</f>
        <v>0.60264445942439993</v>
      </c>
      <c r="CR140" s="3">
        <f>$H140*factors!CL$3</f>
        <v>0.62168827006880001</v>
      </c>
      <c r="CS140" s="3">
        <f>$H140*factors!CM$3</f>
        <v>0.64134639718560005</v>
      </c>
      <c r="CT140" s="3">
        <f>$H140*factors!CN$3</f>
        <v>0.63397459951680002</v>
      </c>
      <c r="CU140" s="3">
        <f>$H140*factors!CO$3</f>
        <v>0.61984532065159992</v>
      </c>
      <c r="CV140" s="3">
        <f>$H140*factors!CP$3</f>
        <v>0.64503229602000001</v>
      </c>
      <c r="CW140" s="3">
        <f>$H140*factors!CQ$3</f>
        <v>0.61001625709320006</v>
      </c>
      <c r="CX140" s="3">
        <f>$H140*factors!CR$3</f>
        <v>0.60080151000720006</v>
      </c>
      <c r="CY140" s="3">
        <f>$H140*factors!CS$3</f>
        <v>0.59527266175560001</v>
      </c>
      <c r="CZ140" s="3">
        <f>$H140*factors!CT$3</f>
        <v>0.58667223114199996</v>
      </c>
      <c r="DA140" s="3">
        <f>$H140*factors!CU$3</f>
        <v>0.60911040059999999</v>
      </c>
      <c r="DB140" s="3">
        <f>$H140*factors!CV$3</f>
        <v>0.6484683034080001</v>
      </c>
      <c r="DC140" s="3">
        <f>$H140*factors!CW$3</f>
        <v>0.62098024430400001</v>
      </c>
      <c r="DD140" s="3">
        <f>$H140*factors!CX$3</f>
        <v>0.61660714399200001</v>
      </c>
      <c r="DE140" s="3">
        <f>$H140*factors!CY$3</f>
        <v>0.63472427385600005</v>
      </c>
      <c r="DF140" s="3">
        <f>$H140*factors!CZ$3</f>
        <v>0.63347481662399996</v>
      </c>
      <c r="DG140" s="3">
        <f>$H140*factors!DA$3</f>
        <v>0.6309759021600001</v>
      </c>
      <c r="DH140" s="3">
        <f>$H140*factors!DB$3</f>
        <v>0.6309759021600001</v>
      </c>
      <c r="DI140" s="3">
        <f>$H140*factors!DC$3</f>
        <v>0.60723621475199996</v>
      </c>
      <c r="DJ140" s="3">
        <f>$H140*factors!DD$3</f>
        <v>0.64347047448000005</v>
      </c>
      <c r="DK140" s="3">
        <f>$H140*factors!DE$3</f>
        <v>0.64347047448000005</v>
      </c>
      <c r="DL140" s="3">
        <f>$H140*factors!DF$3</f>
        <v>0.63597373108800004</v>
      </c>
      <c r="DM140" s="3">
        <f>$H140*factors!DG$3</f>
        <v>0.59911474274400001</v>
      </c>
      <c r="DN140" s="3">
        <f>$H140*factors!DH$3</f>
        <v>0.62847698769600013</v>
      </c>
      <c r="DO140" s="3">
        <f>$H140*factors!DI$3</f>
        <v>0.64909303202400004</v>
      </c>
      <c r="DP140" s="3">
        <f>$H140*factors!DJ$3</f>
        <v>0.64347047448000005</v>
      </c>
      <c r="DQ140" s="3">
        <f>$H140*factors!DK$3</f>
        <v>0.61348350091199999</v>
      </c>
      <c r="DR140" s="3">
        <f>$H140*factors!DL$3</f>
        <v>0.60661148613600002</v>
      </c>
      <c r="DS140" s="3">
        <f>$H140*factors!DM$3</f>
        <v>0.65534031818400007</v>
      </c>
      <c r="DT140" s="3">
        <f>$H140*factors!DN$3</f>
        <v>0.61598241537600007</v>
      </c>
      <c r="DU140" s="3">
        <f>$H140*factors!DO$3</f>
        <v>0.64471993171200004</v>
      </c>
      <c r="DV140" s="3">
        <f>$H140*factors!DP$3</f>
        <v>0.62972644492800012</v>
      </c>
      <c r="DW140" s="3">
        <f>$H140*factors!DQ$3</f>
        <v>0.60098892859200004</v>
      </c>
      <c r="DX140" s="3">
        <f>$H140*factors!DR$3</f>
        <v>0.63659845970399997</v>
      </c>
      <c r="DY140" s="3">
        <f>$H140*factors!DS$3</f>
        <v>0.60411257167200005</v>
      </c>
      <c r="DZ140" s="3">
        <f>$H140*factors!DT$3</f>
        <v>0.64596938894400002</v>
      </c>
      <c r="EA140" s="3">
        <f>$H140*factors!DU$3</f>
        <v>0.60848567198399994</v>
      </c>
      <c r="EB140" s="3">
        <f>$H140*factors!DV$3</f>
        <v>0.59349218520000002</v>
      </c>
      <c r="EC140" s="3">
        <f>$H140*factors!DW$3</f>
        <v>0.63847264555200001</v>
      </c>
      <c r="ED140" s="3">
        <f>$H140*factors!DX$3</f>
        <v>0.59911474274400001</v>
      </c>
      <c r="EE140" s="3">
        <f>$H140*factors!DY$3</f>
        <v>0.60411257167200005</v>
      </c>
      <c r="EF140" s="3">
        <f>$H140*factors!DZ$3</f>
        <v>0.65534031818400007</v>
      </c>
      <c r="EG140" s="3">
        <f>$H140*factors!EA$3</f>
        <v>0.61223404368000001</v>
      </c>
      <c r="EH140" s="3">
        <f>$H140*factors!EB$3</f>
        <v>0.61410822952800004</v>
      </c>
      <c r="EI140" s="3">
        <f>$H140*factors!EC$3</f>
        <v>0.61285877229600005</v>
      </c>
      <c r="EJ140" s="3">
        <f>$H140*factors!ED$3</f>
        <v>0.59724055689600009</v>
      </c>
      <c r="EK140" s="3">
        <f>$H140*factors!EE$3</f>
        <v>0.63847264555200001</v>
      </c>
      <c r="EL140" s="3">
        <f>$H140*factors!EF$3</f>
        <v>0.60723621475199996</v>
      </c>
      <c r="EM140" s="3">
        <f>$H140*factors!EG$3</f>
        <v>0.63160063077600004</v>
      </c>
      <c r="EN140" s="3">
        <f>$H140*factors!EH$3</f>
        <v>0.59349218520000002</v>
      </c>
      <c r="EO140" s="3">
        <f>$H140*factors!EI$3</f>
        <v>0.60223838582400002</v>
      </c>
      <c r="EP140" s="3">
        <f>$H140*factors!EJ$3</f>
        <v>0.63534900247199999</v>
      </c>
      <c r="EQ140" s="3">
        <f>$H140*factors!EK$3</f>
        <v>0.61785660122399999</v>
      </c>
      <c r="ER140" s="3">
        <f>$H140*factors!EL$3</f>
        <v>0.64347047448000005</v>
      </c>
      <c r="ES140" s="3">
        <f>$H140*factors!EM$3</f>
        <v>0.63534900247199999</v>
      </c>
      <c r="ET140" s="3">
        <f>$H140*factors!EN$3</f>
        <v>0.64971776064000009</v>
      </c>
      <c r="EU140" s="3">
        <f>$H140*factors!EO$3</f>
        <v>0.65596504680000012</v>
      </c>
      <c r="EV140" s="3">
        <f>$H140*factors!EP$3</f>
        <v>0.61473295814399997</v>
      </c>
      <c r="EW140" s="3">
        <f>$H140*factors!EQ$3</f>
        <v>0.67613857502499997</v>
      </c>
      <c r="EX140" s="3">
        <f>$H140*factors!ER$3</f>
        <v>0.6689802263000002</v>
      </c>
      <c r="EY140" s="3">
        <f>$H140*factors!ES$3</f>
        <v>0.68264616477499995</v>
      </c>
      <c r="EZ140" s="3">
        <f>$H140*factors!ET$3</f>
        <v>0.67613857502499997</v>
      </c>
      <c r="FA140" s="3">
        <f>$H140*factors!EU$3</f>
        <v>0.62147482112499997</v>
      </c>
      <c r="FB140" s="3">
        <f>$H140*factors!EV$3</f>
        <v>0.64945745705000013</v>
      </c>
      <c r="FC140" s="3">
        <f>$H140*factors!EW$3</f>
        <v>0.66767870835000009</v>
      </c>
      <c r="FD140" s="3">
        <f>$H140*factors!EX$3</f>
        <v>0.64425138525000014</v>
      </c>
      <c r="FE140" s="3">
        <f>$H140*factors!EY$3</f>
        <v>0.67874161092500007</v>
      </c>
      <c r="FF140" s="3">
        <f>$H140*factors!EZ$3</f>
        <v>0.67939236990000018</v>
      </c>
      <c r="FG140" s="3">
        <f>$H140*factors!FA$3</f>
        <v>0.62147482112499997</v>
      </c>
      <c r="FH140" s="3">
        <f>$H140*factors!FB$3</f>
        <v>0.65401276987500001</v>
      </c>
      <c r="FI140" s="3">
        <f>$H140*factors!FC$3</f>
        <v>0.68134464682499996</v>
      </c>
      <c r="FJ140" s="3">
        <f>$H140*factors!FD$3</f>
        <v>0.65401276987500001</v>
      </c>
      <c r="FK140" s="3">
        <f>$H140*factors!FE$3</f>
        <v>0.6650756724500001</v>
      </c>
      <c r="FL140" s="3">
        <f>$H140*factors!FF$3</f>
        <v>0.6670279493750001</v>
      </c>
      <c r="FM140" s="3">
        <f>$H140*factors!FG$3</f>
        <v>0.67418629810000008</v>
      </c>
      <c r="FN140" s="3">
        <f>$H140*factors!FH$3</f>
        <v>0.63058544677500006</v>
      </c>
      <c r="FO140" s="3">
        <f>$H140*factors!FI$3</f>
        <v>0.66963098527499998</v>
      </c>
      <c r="FP140" s="3">
        <f>$H140*factors!FJ$3</f>
        <v>0.65075897500000002</v>
      </c>
      <c r="FQ140" s="3">
        <f>$H140*factors!FK$3</f>
        <v>0.64425138525000014</v>
      </c>
      <c r="FR140" s="3">
        <f>$H140*factors!FL$3</f>
        <v>0.65726656475</v>
      </c>
      <c r="FS140" s="3">
        <f>$H140*factors!FM$3</f>
        <v>0.65336201090000001</v>
      </c>
      <c r="FT140" s="3">
        <f>$H140*factors!FN$3</f>
        <v>0.66767870835000009</v>
      </c>
      <c r="FU140" s="3">
        <f>$H140*factors!FO$3</f>
        <v>0.64164834935000004</v>
      </c>
      <c r="FV140" s="3">
        <f>$H140*factors!FP$3</f>
        <v>0.63644227755000005</v>
      </c>
      <c r="FW140" s="3">
        <f>$H140*factors!FQ$3</f>
        <v>0.68134464682499996</v>
      </c>
      <c r="FX140" s="3">
        <f>$H140*factors!FR$3</f>
        <v>0.6689802263000002</v>
      </c>
      <c r="FY140" s="3">
        <f>$H140*factors!FS$3</f>
        <v>0.65531428782500001</v>
      </c>
      <c r="FZ140" s="3">
        <f>$H140*factors!FT$3</f>
        <v>0.62277633907500007</v>
      </c>
      <c r="GA140" s="3">
        <f>$H140*factors!FU$3</f>
        <v>0.65531428782500001</v>
      </c>
      <c r="GB140" s="3">
        <f>$H140*factors!FV$3</f>
        <v>0.67939236990000018</v>
      </c>
      <c r="GC140" s="3">
        <f>$H140*factors!FW$3</f>
        <v>0.63644227755000005</v>
      </c>
      <c r="GD140" s="3">
        <f>$H140*factors!FX$3</f>
        <v>0.64750518012500002</v>
      </c>
      <c r="GE140" s="3">
        <f>$H140*factors!FY$3</f>
        <v>0.64750518012500002</v>
      </c>
      <c r="GF140" s="3">
        <f>$H140*factors!FZ$3</f>
        <v>0.64555290320000003</v>
      </c>
      <c r="GG140" s="3">
        <f>$H140*factors!GA$3</f>
        <v>0.62017330317500008</v>
      </c>
      <c r="GH140" s="3">
        <f>$H140*factors!GB$3</f>
        <v>0.65986960065000011</v>
      </c>
      <c r="GI140" s="3">
        <f>$H140*factors!GC$3</f>
        <v>0.61887178522500008</v>
      </c>
      <c r="GJ140" s="3">
        <f>$H140*factors!GD$3</f>
        <v>0.62017330317500008</v>
      </c>
      <c r="GK140" s="3">
        <f>$H140*factors!GE$3</f>
        <v>0.63579151857500005</v>
      </c>
      <c r="GL140" s="3">
        <f>$H140*factors!GF$3</f>
        <v>0.67353553912500008</v>
      </c>
      <c r="GM140" s="3">
        <f>$H140*factors!GG$3</f>
        <v>0.63839455447500015</v>
      </c>
      <c r="GN140" s="3">
        <f>$H140*factors!GH$3</f>
        <v>0.65856808270000011</v>
      </c>
      <c r="GO140" s="3">
        <f>$H140*factors!GI$3</f>
        <v>0.62212558009999996</v>
      </c>
      <c r="GP140" s="3">
        <f>$H140*factors!GJ$3</f>
        <v>0.6670279493750001</v>
      </c>
      <c r="GQ140" s="3">
        <f>$H140*factors!GK$3</f>
        <v>0.68069388785000018</v>
      </c>
      <c r="GR140" s="3">
        <f>$H140*factors!GL$3</f>
        <v>0.66767870835000009</v>
      </c>
      <c r="GS140" s="3">
        <f>$H140*factors!GM$3</f>
        <v>0.63141841826300005</v>
      </c>
      <c r="GT140" s="3">
        <f>$H140*factors!GN$3</f>
        <v>0.64596418287220014</v>
      </c>
      <c r="GU140" s="3">
        <f>$H140*factors!GO$3</f>
        <v>0.66117111860000011</v>
      </c>
      <c r="GV140" s="3">
        <f>$H140*factors!GP$3</f>
        <v>0.63472427385600005</v>
      </c>
      <c r="GW140" s="3">
        <f>$H140*factors!GQ$3</f>
        <v>0.65720409188840012</v>
      </c>
      <c r="GX140" s="3">
        <f>$H140*factors!GR$3</f>
        <v>0.64662535399080001</v>
      </c>
      <c r="GY140" s="3">
        <f>$H140*factors!GS$3</f>
        <v>0.64331949839780012</v>
      </c>
      <c r="GZ140" s="3">
        <f>$H140*factors!GT$3</f>
        <v>0.66712165866740003</v>
      </c>
      <c r="HA140" s="3">
        <f>$H140*factors!GU$3</f>
        <v>0.64530301175360005</v>
      </c>
      <c r="HB140" s="3">
        <f>$H140*factors!GV$3</f>
        <v>0.66712165866740003</v>
      </c>
      <c r="HC140" s="3">
        <f>$H140*factors!GW$3</f>
        <v>0.6505923807024</v>
      </c>
      <c r="HD140" s="3">
        <f>$H140*factors!GX$3</f>
        <v>0.66976634314179995</v>
      </c>
      <c r="HE140" s="3">
        <f>$H140*factors!GY$3</f>
        <v>0.66117111860000011</v>
      </c>
      <c r="HF140" s="3">
        <f>$H140*factors!GZ$3</f>
        <v>0.68166742327660002</v>
      </c>
      <c r="HG140" s="3">
        <f>$H140*factors!HA$3</f>
        <v>0.65522057853260007</v>
      </c>
      <c r="HH140" s="3">
        <f>$H140*factors!HB$3</f>
        <v>0.64662535399080001</v>
      </c>
      <c r="HI140" s="3">
        <f>$H140*factors!HC$3</f>
        <v>0.63869130056760004</v>
      </c>
      <c r="HJ140" s="3">
        <f>$H140*factors!HD$3</f>
        <v>0.63141841826300005</v>
      </c>
      <c r="HK140" s="3">
        <f>$H140*factors!HE$3</f>
        <v>0.66778282978600001</v>
      </c>
      <c r="HL140" s="3">
        <f>$H140*factors!HF$3</f>
        <v>0.6294349049072</v>
      </c>
      <c r="HM140" s="3">
        <f>$H140*factors!HG$3</f>
        <v>0.63604661609320012</v>
      </c>
      <c r="HN140" s="3">
        <f>$H140*factors!HH$3</f>
        <v>0.67836156768360012</v>
      </c>
      <c r="HO140" s="3">
        <f>$H140*factors!HI$3</f>
        <v>0.6505923807024</v>
      </c>
      <c r="HP140" s="3">
        <f>$H140*factors!HJ$3</f>
        <v>0.69422967453000017</v>
      </c>
      <c r="HQ140" s="3">
        <f>$H140*factors!HK$3</f>
        <v>0.63472427385600005</v>
      </c>
      <c r="HR140" s="3">
        <f>$H140*factors!HL$3</f>
        <v>0.67307219873480018</v>
      </c>
      <c r="HS140" s="3">
        <f>$H140*factors!HM$3</f>
        <v>0.68497327886960002</v>
      </c>
      <c r="HT140" s="3">
        <f>$H140*factors!HN$3</f>
        <v>0.63869130056760004</v>
      </c>
      <c r="HU140" s="3">
        <f>$H140*factors!HO$3</f>
        <v>0.64530301175360005</v>
      </c>
      <c r="HV140" s="3">
        <f>$H140*factors!HP$3</f>
        <v>0.65323706517680014</v>
      </c>
      <c r="HW140" s="3">
        <f>$H140*factors!HQ$3</f>
        <v>0.66249346083720007</v>
      </c>
      <c r="HX140" s="3">
        <f>$H140*factors!HR$3</f>
        <v>0.68960147669979999</v>
      </c>
      <c r="HY140" s="3">
        <f>$H140*factors!HS$3</f>
        <v>0.65522057853260007</v>
      </c>
      <c r="HZ140" s="3">
        <f>$H140*factors!HT$3</f>
        <v>0.68034508103940006</v>
      </c>
      <c r="IA140" s="3">
        <f>$H140*factors!HU$3</f>
        <v>0.6472865251094001</v>
      </c>
      <c r="IB140" s="3">
        <f>$H140*factors!HV$3</f>
        <v>0.66976634314179995</v>
      </c>
      <c r="IC140" s="3">
        <f>$H140*factors!HW$3</f>
        <v>0.67637805432780007</v>
      </c>
      <c r="ID140" s="3">
        <f>$H140*factors!HX$3</f>
        <v>0.62811256267000004</v>
      </c>
      <c r="IE140" s="3">
        <f>$H140*factors!HY$3</f>
        <v>0.66712165866740003</v>
      </c>
      <c r="IF140" s="3">
        <f>$H140*factors!HZ$3</f>
        <v>0.66315463195580004</v>
      </c>
      <c r="IG140" s="3">
        <f>$H140*factors!IA$3</f>
        <v>0.65720409188840012</v>
      </c>
      <c r="IH140" s="3">
        <f>$H140*factors!IB$3</f>
        <v>0.68166742327660002</v>
      </c>
      <c r="II140" s="3">
        <f>$H140*factors!IC$3</f>
        <v>0.65257589405820005</v>
      </c>
      <c r="IJ140" s="3">
        <f>$H140*factors!ID$3</f>
        <v>0.65852643412560008</v>
      </c>
      <c r="IK140" s="3">
        <f>$H140*factors!IE$3</f>
        <v>0.68232859439520011</v>
      </c>
      <c r="IL140" s="3">
        <f>$H140*factors!IF$3</f>
        <v>0.65323706517680014</v>
      </c>
      <c r="IM140" s="3">
        <f>$H140*factors!IG$3</f>
        <v>0.6472865251094001</v>
      </c>
      <c r="IN140" s="3">
        <f>$H140*factors!IH$3</f>
        <v>0.65125355182100009</v>
      </c>
      <c r="IO140" s="3">
        <f>$H140*factors!II$3</f>
        <v>0.65786526300699999</v>
      </c>
      <c r="IP140" s="3">
        <f>$H140*factors!IJ$3</f>
        <v>0.63604661609320012</v>
      </c>
      <c r="IQ140" s="3">
        <f>$H140*factors!IK$3</f>
        <v>0.63406310273740007</v>
      </c>
      <c r="IR140" s="3">
        <f>$H140*factors!IL$3</f>
        <v>0.65257589405820005</v>
      </c>
      <c r="IS140" s="3">
        <f>$H140*factors!IM$3</f>
        <v>0.65786526300699999</v>
      </c>
      <c r="IT140" s="3">
        <f>$H140*factors!IN$3</f>
        <v>0.66249346083720007</v>
      </c>
      <c r="IU140" s="3">
        <f>$H140*factors!IO$3</f>
        <v>0.67703922544640016</v>
      </c>
      <c r="IV140" s="3">
        <f>$H140*factors!IP$3</f>
        <v>0.6856344499882</v>
      </c>
      <c r="IW140" s="3">
        <f>$H140*factors!IQ$3</f>
        <v>0.64794769622800008</v>
      </c>
      <c r="IX140" s="3">
        <f>$H140*factors!IR$3</f>
        <v>0.67703922544640016</v>
      </c>
      <c r="IY140" s="3">
        <f>$H140*factors!IS$3</f>
        <v>0.66712165866740003</v>
      </c>
      <c r="IZ140" s="3">
        <f>$H140*factors!IT$3</f>
        <v>0.67836156768360012</v>
      </c>
      <c r="JA140" s="3">
        <f>$H140*factors!IU$3</f>
        <v>0.64067481392339998</v>
      </c>
      <c r="JB140" s="3">
        <f>$H140*factors!IV$3</f>
        <v>0.65257589405820005</v>
      </c>
      <c r="JC140" s="3">
        <f>$H140*factors!IW$3</f>
        <v>0.63736895833040008</v>
      </c>
      <c r="JD140" s="3">
        <f>$H140*factors!IX$3</f>
        <v>0.69422967453000017</v>
      </c>
      <c r="JE140" s="3">
        <f>$H140*factors!IY$3</f>
        <v>0.63935247168620002</v>
      </c>
      <c r="JF140" s="3">
        <f>$H140*factors!IZ$3</f>
        <v>0.67108868537900002</v>
      </c>
      <c r="JG140" s="3">
        <f>$H140*factors!JA$3</f>
        <v>0.65918760524420006</v>
      </c>
      <c r="JH140" s="3">
        <f>$H140*factors!JB$3</f>
        <v>0.67174985649760011</v>
      </c>
      <c r="JI140" s="3">
        <f>$H140*factors!JC$3</f>
        <v>0.62877373378860013</v>
      </c>
      <c r="JJ140" s="3">
        <f>$H140*factors!JD$3</f>
        <v>0.67703922544640016</v>
      </c>
      <c r="JK140" s="3">
        <f>$H140*factors!JE$3</f>
        <v>0.65522057853260007</v>
      </c>
      <c r="JL140" s="3">
        <f>$H140*factors!JF$3</f>
        <v>0.68166742327660002</v>
      </c>
      <c r="JM140" s="3">
        <f>$H140*factors!JG$3</f>
        <v>0.63604661609320012</v>
      </c>
      <c r="JN140" s="3">
        <f>$H140*factors!JH$3</f>
        <v>0.63604661609320012</v>
      </c>
      <c r="JO140" s="3">
        <f>$H140*factors!JI$3</f>
        <v>0.62811256267000004</v>
      </c>
      <c r="JP140" s="3">
        <f>$H140*factors!JJ$3</f>
        <v>0.6790227388022001</v>
      </c>
      <c r="JQ140" s="3">
        <f>$H140*factors!JK$3</f>
        <v>0.66183228971859998</v>
      </c>
      <c r="JR140" s="3">
        <f>$H140*factors!JL$3</f>
        <v>0.68761796334400005</v>
      </c>
      <c r="JS140" s="3">
        <f>$H140*factors!JM$3</f>
        <v>0.62811256267000004</v>
      </c>
      <c r="JT140" s="3">
        <f>$H140*factors!JN$3</f>
        <v>0.65984877636280004</v>
      </c>
      <c r="JU140" s="3">
        <f>$H140*factors!JO$3</f>
        <v>0.63803012944900006</v>
      </c>
      <c r="JV140" s="3">
        <f>$H140*factors!JP$3</f>
        <v>0.64860886734660006</v>
      </c>
      <c r="JW140" s="3">
        <f>$H140*factors!JQ$3</f>
        <v>0.6929073322928001</v>
      </c>
      <c r="JX140" s="3">
        <f>$H140*factors!JR$3</f>
        <v>0.68629562110680009</v>
      </c>
      <c r="JY140" s="3">
        <f>$H140*factors!JS$3</f>
        <v>0.64596418287220014</v>
      </c>
      <c r="JZ140" s="3">
        <f>$H140*factors!JT$3</f>
        <v>0.65323706517680014</v>
      </c>
      <c r="KA140" s="3">
        <f>$H140*factors!JU$3</f>
        <v>0.65588174965120016</v>
      </c>
      <c r="KB140" s="3">
        <f>$H140*factors!JV$3</f>
        <v>0.63406310273740007</v>
      </c>
      <c r="KC140" s="3">
        <f>$H140*factors!JW$3</f>
        <v>0.63736895833040008</v>
      </c>
      <c r="KD140" s="3">
        <f>$H140*factors!JX$3</f>
        <v>0.63803012944900006</v>
      </c>
      <c r="KE140" s="3">
        <f>$H140*factors!JY$3</f>
        <v>0.6790227388022001</v>
      </c>
      <c r="KF140" s="3">
        <f>$H140*factors!JZ$3</f>
        <v>0.68695679222539996</v>
      </c>
      <c r="KG140" s="3">
        <f>$H140*factors!KA$3</f>
        <v>0.66249346083720007</v>
      </c>
      <c r="KH140" s="3">
        <f>$H140*factors!KB$3</f>
        <v>0.64794769622800008</v>
      </c>
      <c r="KI140" s="3">
        <f>$H140*factors!KC$3</f>
        <v>0.64199715616060005</v>
      </c>
    </row>
    <row r="141" spans="1:295" x14ac:dyDescent="0.55000000000000004">
      <c r="A141" t="s">
        <v>518</v>
      </c>
      <c r="B141">
        <v>140</v>
      </c>
      <c r="C141">
        <v>230</v>
      </c>
      <c r="D141" t="s">
        <v>377</v>
      </c>
      <c r="E141">
        <v>4.0080000000000003E-3</v>
      </c>
      <c r="F141">
        <v>140</v>
      </c>
      <c r="G141">
        <f>VLOOKUP(D141,demand_forecasted!$A$2:$G$11,2)</f>
        <v>11098</v>
      </c>
      <c r="H141" s="3">
        <f t="shared" si="2"/>
        <v>0.44480784000000001</v>
      </c>
      <c r="I141" s="3">
        <f>$H141*factors!C$3</f>
        <v>0.49240227887999999</v>
      </c>
      <c r="J141" s="3">
        <f>$H141*factors!D$3</f>
        <v>0.47462775759359999</v>
      </c>
      <c r="K141" s="3">
        <f>$H141*factors!E$3</f>
        <v>0.46646108565120004</v>
      </c>
      <c r="L141" s="3">
        <f>$H141*factors!F$3</f>
        <v>0.4650199082496001</v>
      </c>
      <c r="M141" s="3">
        <f>$H141*factors!G$3</f>
        <v>0.46453951578239999</v>
      </c>
      <c r="N141" s="3">
        <f>$H141*factors!H$3</f>
        <v>0.47799050486400002</v>
      </c>
      <c r="O141" s="3">
        <f>$H141*factors!I$3</f>
        <v>0.48855913914240001</v>
      </c>
      <c r="P141" s="3">
        <f>$H141*factors!J$3</f>
        <v>0.49432384874880003</v>
      </c>
      <c r="Q141" s="3">
        <f>$H141*factors!K$3</f>
        <v>0.4640591233152</v>
      </c>
      <c r="R141" s="3">
        <f>$H141*factors!L$3</f>
        <v>0.45637284384000004</v>
      </c>
      <c r="S141" s="3">
        <f>$H141*factors!M$3</f>
        <v>0.47510815006079998</v>
      </c>
      <c r="T141" s="3">
        <f>$H141*factors!N$3</f>
        <v>0.49144149394560005</v>
      </c>
      <c r="U141" s="3">
        <f>$H141*factors!O$3</f>
        <v>0.46550030071680004</v>
      </c>
      <c r="V141" s="3">
        <f>$H141*factors!P$3</f>
        <v>0.48423560693760004</v>
      </c>
      <c r="W141" s="3">
        <f>$H141*factors!Q$3</f>
        <v>0.48855913914240001</v>
      </c>
      <c r="X141" s="3">
        <f>$H141*factors!R$3</f>
        <v>0.46742187058560003</v>
      </c>
      <c r="Y141" s="3">
        <f>$H141*factors!S$3</f>
        <v>0.46309833838080006</v>
      </c>
      <c r="Z141" s="3">
        <f>$H141*factors!T$3</f>
        <v>0.49960816588800011</v>
      </c>
      <c r="AA141" s="3">
        <f>$H141*factors!U$3</f>
        <v>0.4717454027904</v>
      </c>
      <c r="AB141" s="3">
        <f>$H141*factors!V$3</f>
        <v>0.47222579525760006</v>
      </c>
      <c r="AC141" s="3">
        <f>$H141*factors!W$3</f>
        <v>0.47270618772480005</v>
      </c>
      <c r="AD141" s="3">
        <f>$H141*factors!X$3</f>
        <v>0.46261794591360006</v>
      </c>
      <c r="AE141" s="3">
        <f>$H141*factors!Y$3</f>
        <v>0.46646108565120004</v>
      </c>
      <c r="AF141" s="3">
        <f>$H141*factors!Z$3</f>
        <v>0.47606893499520009</v>
      </c>
      <c r="AG141" s="3">
        <f>$H141*factors!AA$3</f>
        <v>0.4640591233152</v>
      </c>
      <c r="AH141" s="3">
        <f>$H141*factors!AB$3</f>
        <v>0.46213755344640006</v>
      </c>
      <c r="AI141" s="3">
        <f>$H141*factors!AC$3</f>
        <v>0.47702971992960003</v>
      </c>
      <c r="AJ141" s="3">
        <f>$H141*factors!AD$3</f>
        <v>0.49528463368320003</v>
      </c>
      <c r="AK141" s="3">
        <f>$H141*factors!AE$3</f>
        <v>0.47654932746240003</v>
      </c>
      <c r="AL141" s="3">
        <f>$H141*factors!AF$3</f>
        <v>0.45781402124159998</v>
      </c>
      <c r="AM141" s="3">
        <f>$H141*factors!AG$3</f>
        <v>0.47078461785600001</v>
      </c>
      <c r="AN141" s="3">
        <f>$H141*factors!AH$3</f>
        <v>0.46309833838080006</v>
      </c>
      <c r="AO141" s="3">
        <f>$H141*factors!AI$3</f>
        <v>0.48519639187200003</v>
      </c>
      <c r="AP141" s="3">
        <f>$H141*factors!AJ$3</f>
        <v>0.4650199082496001</v>
      </c>
      <c r="AQ141" s="3">
        <f>$H141*factors!AK$3</f>
        <v>0.47991207473280006</v>
      </c>
      <c r="AR141" s="3">
        <f>$H141*factors!AL$3</f>
        <v>0.46934344045440007</v>
      </c>
      <c r="AS141" s="3">
        <f>$H141*factors!AM$3</f>
        <v>0.45781402124159998</v>
      </c>
      <c r="AT141" s="3">
        <f>$H141*factors!AN$3</f>
        <v>0.47222579525760006</v>
      </c>
      <c r="AU141" s="3">
        <f>$H141*factors!AO$3</f>
        <v>0.50008855835519994</v>
      </c>
      <c r="AV141" s="3">
        <f>$H141*factors!AP$3</f>
        <v>0.47270618772480005</v>
      </c>
      <c r="AW141" s="3">
        <f>$H141*factors!AQ$3</f>
        <v>0.46790226305279997</v>
      </c>
      <c r="AX141" s="3">
        <f>$H141*factors!AR$3</f>
        <v>0.49480424121600003</v>
      </c>
      <c r="AY141" s="3">
        <f>$H141*factors!AS$3</f>
        <v>0.45637284384000004</v>
      </c>
      <c r="AZ141" s="3">
        <f>$H141*factors!AT$3</f>
        <v>0.48903953160960012</v>
      </c>
      <c r="BA141" s="3">
        <f>$H141*factors!AU$3</f>
        <v>0.47847089733120002</v>
      </c>
      <c r="BB141" s="3">
        <f>$H141*factors!AV$3</f>
        <v>0.47222579525760006</v>
      </c>
      <c r="BC141" s="3">
        <f>$H141*factors!AW$3</f>
        <v>0.49960816588800011</v>
      </c>
      <c r="BD141" s="3">
        <f>$H141*factors!AX$3</f>
        <v>0.46117676851200001</v>
      </c>
      <c r="BE141" s="3">
        <f>$H141*factors!AY$3</f>
        <v>0.54219406848959995</v>
      </c>
      <c r="BF141" s="3">
        <f>$H141*factors!AZ$3</f>
        <v>0.50492806765440001</v>
      </c>
      <c r="BG141" s="3">
        <f>$H141*factors!BA$3</f>
        <v>0.51227629317119994</v>
      </c>
      <c r="BH141" s="3">
        <f>$H141*factors!BB$3</f>
        <v>0.51909964543679998</v>
      </c>
      <c r="BI141" s="3">
        <f>$H141*factors!BC$3</f>
        <v>0.53799508247999994</v>
      </c>
      <c r="BJ141" s="3">
        <f>$H141*factors!BD$3</f>
        <v>0.51385091292480001</v>
      </c>
      <c r="BK141" s="3">
        <f>$H141*factors!BE$3</f>
        <v>0.51490065942719998</v>
      </c>
      <c r="BL141" s="3">
        <f>$H141*factors!BF$3</f>
        <v>0.50912705366399991</v>
      </c>
      <c r="BM141" s="3">
        <f>$H141*factors!BG$3</f>
        <v>0.54376868824320002</v>
      </c>
      <c r="BN141" s="3">
        <f>$H141*factors!BH$3</f>
        <v>0.53694533597759997</v>
      </c>
      <c r="BO141" s="3">
        <f>$H141*factors!BI$3</f>
        <v>0.50492806765440001</v>
      </c>
      <c r="BP141" s="3">
        <f>$H141*factors!BJ$3</f>
        <v>0.50335344790079994</v>
      </c>
      <c r="BQ141" s="3">
        <f>$H141*factors!BK$3</f>
        <v>0.51175141991999995</v>
      </c>
      <c r="BR141" s="3">
        <f>$H141*factors!BL$3</f>
        <v>0.53012198371200003</v>
      </c>
      <c r="BS141" s="3">
        <f>$H141*factors!BM$3</f>
        <v>0.53851995573120004</v>
      </c>
      <c r="BT141" s="3">
        <f>$H141*factors!BN$3</f>
        <v>0.5400945754848</v>
      </c>
      <c r="BU141" s="3">
        <f>$H141*factors!BO$3</f>
        <v>0.54901742075519999</v>
      </c>
      <c r="BV141" s="3">
        <f>$H141*factors!BP$3</f>
        <v>0.51070167341759998</v>
      </c>
      <c r="BW141" s="3">
        <f>$H141*factors!BQ$3</f>
        <v>0.52224888494400001</v>
      </c>
      <c r="BX141" s="3">
        <f>$H141*factors!BR$3</f>
        <v>0.51227629317119994</v>
      </c>
      <c r="BY141" s="3">
        <f>$H141*factors!BS$3</f>
        <v>0.53589558947519988</v>
      </c>
      <c r="BZ141" s="3">
        <f>$H141*factors!BT$3</f>
        <v>0.52592299770239992</v>
      </c>
      <c r="CA141" s="3">
        <f>$H141*factors!BU$3</f>
        <v>0.51909964543679998</v>
      </c>
      <c r="CB141" s="3">
        <f>$H141*factors!BV$3</f>
        <v>0.50230370139839997</v>
      </c>
      <c r="CC141" s="3">
        <f>$H141*factors!BW$3</f>
        <v>0.51700015243199993</v>
      </c>
      <c r="CD141" s="3">
        <f>$H141*factors!BX$3</f>
        <v>0.5185747721856</v>
      </c>
      <c r="CE141" s="3">
        <f>$H141*factors!BY$3</f>
        <v>0.52592299770239992</v>
      </c>
      <c r="CF141" s="3">
        <f>$H141*factors!BZ$3</f>
        <v>0.51804989893440001</v>
      </c>
      <c r="CG141" s="3">
        <f>$H141*factors!CA$3</f>
        <v>0.5007290816447999</v>
      </c>
      <c r="CH141" s="3">
        <f>$H141*factors!CB$3</f>
        <v>0.50125395489599989</v>
      </c>
      <c r="CI141" s="3">
        <f>$H141*factors!CC$3</f>
        <v>0.49862958864000001</v>
      </c>
      <c r="CJ141" s="3">
        <f>$H141*factors!CD$3</f>
        <v>0.51909964543679998</v>
      </c>
      <c r="CK141" s="3">
        <f>$H141*factors!CE$3</f>
        <v>0.54219406848959995</v>
      </c>
      <c r="CL141" s="3">
        <f>$H141*factors!CF$3</f>
        <v>0.50807730716159993</v>
      </c>
      <c r="CM141" s="3">
        <f>$H141*factors!CG$3</f>
        <v>0.52014939193919996</v>
      </c>
      <c r="CN141" s="3">
        <f>$H141*factors!CH$3</f>
        <v>0.50282857464959996</v>
      </c>
      <c r="CO141" s="3">
        <f>$H141*factors!CI$3</f>
        <v>0.50650268740799997</v>
      </c>
      <c r="CP141" s="3">
        <f>$H141*factors!CJ$3</f>
        <v>0.53064685696319991</v>
      </c>
      <c r="CQ141" s="3">
        <f>$H141*factors!CK$3</f>
        <v>0.51490065942719998</v>
      </c>
      <c r="CR141" s="3">
        <f>$H141*factors!CL$3</f>
        <v>0.53117173021440001</v>
      </c>
      <c r="CS141" s="3">
        <f>$H141*factors!CM$3</f>
        <v>0.54796767425280002</v>
      </c>
      <c r="CT141" s="3">
        <f>$H141*factors!CN$3</f>
        <v>0.54166919523839996</v>
      </c>
      <c r="CU141" s="3">
        <f>$H141*factors!CO$3</f>
        <v>0.52959711046079994</v>
      </c>
      <c r="CV141" s="3">
        <f>$H141*factors!CP$3</f>
        <v>0.55111691375999994</v>
      </c>
      <c r="CW141" s="3">
        <f>$H141*factors!CQ$3</f>
        <v>0.52119913844160004</v>
      </c>
      <c r="CX141" s="3">
        <f>$H141*factors!CR$3</f>
        <v>0.51332603967360002</v>
      </c>
      <c r="CY141" s="3">
        <f>$H141*factors!CS$3</f>
        <v>0.50860218041279992</v>
      </c>
      <c r="CZ141" s="3">
        <f>$H141*factors!CT$3</f>
        <v>0.50125395489599989</v>
      </c>
      <c r="DA141" s="3">
        <f>$H141*factors!CU$3</f>
        <v>0.5204251728</v>
      </c>
      <c r="DB141" s="3">
        <f>$H141*factors!CV$3</f>
        <v>0.55405264550400002</v>
      </c>
      <c r="DC141" s="3">
        <f>$H141*factors!CW$3</f>
        <v>0.53056679155199993</v>
      </c>
      <c r="DD141" s="3">
        <f>$H141*factors!CX$3</f>
        <v>0.52683040569599993</v>
      </c>
      <c r="DE141" s="3">
        <f>$H141*factors!CY$3</f>
        <v>0.54230971852800003</v>
      </c>
      <c r="DF141" s="3">
        <f>$H141*factors!CZ$3</f>
        <v>0.54124217971199995</v>
      </c>
      <c r="DG141" s="3">
        <f>$H141*factors!DA$3</f>
        <v>0.53910710208000001</v>
      </c>
      <c r="DH141" s="3">
        <f>$H141*factors!DB$3</f>
        <v>0.53910710208000001</v>
      </c>
      <c r="DI141" s="3">
        <f>$H141*factors!DC$3</f>
        <v>0.51882386457599994</v>
      </c>
      <c r="DJ141" s="3">
        <f>$H141*factors!DD$3</f>
        <v>0.54978249024000003</v>
      </c>
      <c r="DK141" s="3">
        <f>$H141*factors!DE$3</f>
        <v>0.54978249024000003</v>
      </c>
      <c r="DL141" s="3">
        <f>$H141*factors!DF$3</f>
        <v>0.543377257344</v>
      </c>
      <c r="DM141" s="3">
        <f>$H141*factors!DG$3</f>
        <v>0.51188486227199992</v>
      </c>
      <c r="DN141" s="3">
        <f>$H141*factors!DH$3</f>
        <v>0.53697202444800007</v>
      </c>
      <c r="DO141" s="3">
        <f>$H141*factors!DI$3</f>
        <v>0.554586414912</v>
      </c>
      <c r="DP141" s="3">
        <f>$H141*factors!DJ$3</f>
        <v>0.54978249024000003</v>
      </c>
      <c r="DQ141" s="3">
        <f>$H141*factors!DK$3</f>
        <v>0.524161558656</v>
      </c>
      <c r="DR141" s="3">
        <f>$H141*factors!DL$3</f>
        <v>0.51829009516800006</v>
      </c>
      <c r="DS141" s="3">
        <f>$H141*factors!DM$3</f>
        <v>0.55992410899199996</v>
      </c>
      <c r="DT141" s="3">
        <f>$H141*factors!DN$3</f>
        <v>0.52629663628800005</v>
      </c>
      <c r="DU141" s="3">
        <f>$H141*factors!DO$3</f>
        <v>0.550850029056</v>
      </c>
      <c r="DV141" s="3">
        <f>$H141*factors!DP$3</f>
        <v>0.53803956326400004</v>
      </c>
      <c r="DW141" s="3">
        <f>$H141*factors!DQ$3</f>
        <v>0.51348617049599998</v>
      </c>
      <c r="DX141" s="3">
        <f>$H141*factors!DR$3</f>
        <v>0.54391102675199998</v>
      </c>
      <c r="DY141" s="3">
        <f>$H141*factors!DS$3</f>
        <v>0.5161550175359999</v>
      </c>
      <c r="DZ141" s="3">
        <f>$H141*factors!DT$3</f>
        <v>0.55191756787199997</v>
      </c>
      <c r="EA141" s="3">
        <f>$H141*factors!DU$3</f>
        <v>0.51989140339199991</v>
      </c>
      <c r="EB141" s="3">
        <f>$H141*factors!DV$3</f>
        <v>0.50708093759999995</v>
      </c>
      <c r="EC141" s="3">
        <f>$H141*factors!DW$3</f>
        <v>0.54551233497599994</v>
      </c>
      <c r="ED141" s="3">
        <f>$H141*factors!DX$3</f>
        <v>0.51188486227199992</v>
      </c>
      <c r="EE141" s="3">
        <f>$H141*factors!DY$3</f>
        <v>0.5161550175359999</v>
      </c>
      <c r="EF141" s="3">
        <f>$H141*factors!DZ$3</f>
        <v>0.55992410899199996</v>
      </c>
      <c r="EG141" s="3">
        <f>$H141*factors!EA$3</f>
        <v>0.52309401984000004</v>
      </c>
      <c r="EH141" s="3">
        <f>$H141*factors!EB$3</f>
        <v>0.52469532806399999</v>
      </c>
      <c r="EI141" s="3">
        <f>$H141*factors!EC$3</f>
        <v>0.52362778924800002</v>
      </c>
      <c r="EJ141" s="3">
        <f>$H141*factors!ED$3</f>
        <v>0.51028355404799997</v>
      </c>
      <c r="EK141" s="3">
        <f>$H141*factors!EE$3</f>
        <v>0.54551233497599994</v>
      </c>
      <c r="EL141" s="3">
        <f>$H141*factors!EF$3</f>
        <v>0.51882386457599994</v>
      </c>
      <c r="EM141" s="3">
        <f>$H141*factors!EG$3</f>
        <v>0.53964087148799988</v>
      </c>
      <c r="EN141" s="3">
        <f>$H141*factors!EH$3</f>
        <v>0.50708093759999995</v>
      </c>
      <c r="EO141" s="3">
        <f>$H141*factors!EI$3</f>
        <v>0.51455370931199995</v>
      </c>
      <c r="EP141" s="3">
        <f>$H141*factors!EJ$3</f>
        <v>0.54284348793600001</v>
      </c>
      <c r="EQ141" s="3">
        <f>$H141*factors!EK$3</f>
        <v>0.52789794451199989</v>
      </c>
      <c r="ER141" s="3">
        <f>$H141*factors!EL$3</f>
        <v>0.54978249024000003</v>
      </c>
      <c r="ES141" s="3">
        <f>$H141*factors!EM$3</f>
        <v>0.54284348793600001</v>
      </c>
      <c r="ET141" s="3">
        <f>$H141*factors!EN$3</f>
        <v>0.55512018431999999</v>
      </c>
      <c r="EU141" s="3">
        <f>$H141*factors!EO$3</f>
        <v>0.56045787840000005</v>
      </c>
      <c r="EV141" s="3">
        <f>$H141*factors!EP$3</f>
        <v>0.52522909747199997</v>
      </c>
      <c r="EW141" s="3">
        <f>$H141*factors!EQ$3</f>
        <v>0.57769418219999991</v>
      </c>
      <c r="EX141" s="3">
        <f>$H141*factors!ER$3</f>
        <v>0.57157807440000008</v>
      </c>
      <c r="EY141" s="3">
        <f>$H141*factors!ES$3</f>
        <v>0.58325428019999992</v>
      </c>
      <c r="EZ141" s="3">
        <f>$H141*factors!ET$3</f>
        <v>0.57769418219999991</v>
      </c>
      <c r="FA141" s="3">
        <f>$H141*factors!EU$3</f>
        <v>0.53098935899999999</v>
      </c>
      <c r="FB141" s="3">
        <f>$H141*factors!EV$3</f>
        <v>0.55489778040000004</v>
      </c>
      <c r="FC141" s="3">
        <f>$H141*factors!EW$3</f>
        <v>0.57046605480000001</v>
      </c>
      <c r="FD141" s="3">
        <f>$H141*factors!EX$3</f>
        <v>0.55044970199999999</v>
      </c>
      <c r="FE141" s="3">
        <f>$H141*factors!EY$3</f>
        <v>0.57991822140000004</v>
      </c>
      <c r="FF141" s="3">
        <f>$H141*factors!EZ$3</f>
        <v>0.58047423120000008</v>
      </c>
      <c r="FG141" s="3">
        <f>$H141*factors!FA$3</f>
        <v>0.53098935899999999</v>
      </c>
      <c r="FH141" s="3">
        <f>$H141*factors!FB$3</f>
        <v>0.55878984899999995</v>
      </c>
      <c r="FI141" s="3">
        <f>$H141*factors!FC$3</f>
        <v>0.58214226059999996</v>
      </c>
      <c r="FJ141" s="3">
        <f>$H141*factors!FD$3</f>
        <v>0.55878984899999995</v>
      </c>
      <c r="FK141" s="3">
        <f>$H141*factors!FE$3</f>
        <v>0.56824201560000009</v>
      </c>
      <c r="FL141" s="3">
        <f>$H141*factors!FF$3</f>
        <v>0.56991004499999998</v>
      </c>
      <c r="FM141" s="3">
        <f>$H141*factors!FG$3</f>
        <v>0.57602615280000002</v>
      </c>
      <c r="FN141" s="3">
        <f>$H141*factors!FH$3</f>
        <v>0.53877349620000003</v>
      </c>
      <c r="FO141" s="3">
        <f>$H141*factors!FI$3</f>
        <v>0.5721340842</v>
      </c>
      <c r="FP141" s="3">
        <f>$H141*factors!FJ$3</f>
        <v>0.5560098</v>
      </c>
      <c r="FQ141" s="3">
        <f>$H141*factors!FK$3</f>
        <v>0.55044970199999999</v>
      </c>
      <c r="FR141" s="3">
        <f>$H141*factors!FL$3</f>
        <v>0.56156989800000001</v>
      </c>
      <c r="FS141" s="3">
        <f>$H141*factors!FM$3</f>
        <v>0.55823383919999991</v>
      </c>
      <c r="FT141" s="3">
        <f>$H141*factors!FN$3</f>
        <v>0.57046605480000001</v>
      </c>
      <c r="FU141" s="3">
        <f>$H141*factors!FO$3</f>
        <v>0.54822566279999996</v>
      </c>
      <c r="FV141" s="3">
        <f>$H141*factors!FP$3</f>
        <v>0.54377758440000001</v>
      </c>
      <c r="FW141" s="3">
        <f>$H141*factors!FQ$3</f>
        <v>0.58214226059999996</v>
      </c>
      <c r="FX141" s="3">
        <f>$H141*factors!FR$3</f>
        <v>0.57157807440000008</v>
      </c>
      <c r="FY141" s="3">
        <f>$H141*factors!FS$3</f>
        <v>0.55990186859999991</v>
      </c>
      <c r="FZ141" s="3">
        <f>$H141*factors!FT$3</f>
        <v>0.53210137860000006</v>
      </c>
      <c r="GA141" s="3">
        <f>$H141*factors!FU$3</f>
        <v>0.55990186859999991</v>
      </c>
      <c r="GB141" s="3">
        <f>$H141*factors!FV$3</f>
        <v>0.58047423120000008</v>
      </c>
      <c r="GC141" s="3">
        <f>$H141*factors!FW$3</f>
        <v>0.54377758440000001</v>
      </c>
      <c r="GD141" s="3">
        <f>$H141*factors!FX$3</f>
        <v>0.55322975099999994</v>
      </c>
      <c r="GE141" s="3">
        <f>$H141*factors!FY$3</f>
        <v>0.55322975099999994</v>
      </c>
      <c r="GF141" s="3">
        <f>$H141*factors!FZ$3</f>
        <v>0.55156172160000005</v>
      </c>
      <c r="GG141" s="3">
        <f>$H141*factors!GA$3</f>
        <v>0.52987733939999992</v>
      </c>
      <c r="GH141" s="3">
        <f>$H141*factors!GB$3</f>
        <v>0.56379393720000004</v>
      </c>
      <c r="GI141" s="3">
        <f>$H141*factors!GC$3</f>
        <v>0.52876531979999997</v>
      </c>
      <c r="GJ141" s="3">
        <f>$H141*factors!GD$3</f>
        <v>0.52987733939999992</v>
      </c>
      <c r="GK141" s="3">
        <f>$H141*factors!GE$3</f>
        <v>0.54322157459999998</v>
      </c>
      <c r="GL141" s="3">
        <f>$H141*factors!GF$3</f>
        <v>0.57547014299999999</v>
      </c>
      <c r="GM141" s="3">
        <f>$H141*factors!GG$3</f>
        <v>0.54544561380000001</v>
      </c>
      <c r="GN141" s="3">
        <f>$H141*factors!GH$3</f>
        <v>0.56268191760000008</v>
      </c>
      <c r="GO141" s="3">
        <f>$H141*factors!GI$3</f>
        <v>0.53154536879999992</v>
      </c>
      <c r="GP141" s="3">
        <f>$H141*factors!GJ$3</f>
        <v>0.56991004499999998</v>
      </c>
      <c r="GQ141" s="3">
        <f>$H141*factors!GK$3</f>
        <v>0.58158625080000004</v>
      </c>
      <c r="GR141" s="3">
        <f>$H141*factors!GL$3</f>
        <v>0.57046605480000001</v>
      </c>
      <c r="GS141" s="3">
        <f>$H141*factors!GM$3</f>
        <v>0.53948518874399998</v>
      </c>
      <c r="GT141" s="3">
        <f>$H141*factors!GN$3</f>
        <v>0.55191311979360003</v>
      </c>
      <c r="GU141" s="3">
        <f>$H141*factors!GO$3</f>
        <v>0.5649059568</v>
      </c>
      <c r="GV141" s="3">
        <f>$H141*factors!GP$3</f>
        <v>0.54230971852800003</v>
      </c>
      <c r="GW141" s="3">
        <f>$H141*factors!GQ$3</f>
        <v>0.56151652105920002</v>
      </c>
      <c r="GX141" s="3">
        <f>$H141*factors!GR$3</f>
        <v>0.55247802575039995</v>
      </c>
      <c r="GY141" s="3">
        <f>$H141*factors!GS$3</f>
        <v>0.54965349596640001</v>
      </c>
      <c r="GZ141" s="3">
        <f>$H141*factors!GT$3</f>
        <v>0.56999011041119996</v>
      </c>
      <c r="HA141" s="3">
        <f>$H141*factors!GU$3</f>
        <v>0.55134821383679999</v>
      </c>
      <c r="HB141" s="3">
        <f>$H141*factors!GV$3</f>
        <v>0.56999011041119996</v>
      </c>
      <c r="HC141" s="3">
        <f>$H141*factors!GW$3</f>
        <v>0.55586746149119992</v>
      </c>
      <c r="HD141" s="3">
        <f>$H141*factors!GX$3</f>
        <v>0.57224973423839998</v>
      </c>
      <c r="HE141" s="3">
        <f>$H141*factors!GY$3</f>
        <v>0.5649059568</v>
      </c>
      <c r="HF141" s="3">
        <f>$H141*factors!GZ$3</f>
        <v>0.58241804146080001</v>
      </c>
      <c r="HG141" s="3">
        <f>$H141*factors!HA$3</f>
        <v>0.55982180318880004</v>
      </c>
      <c r="HH141" s="3">
        <f>$H141*factors!HB$3</f>
        <v>0.55247802575039995</v>
      </c>
      <c r="HI141" s="3">
        <f>$H141*factors!HC$3</f>
        <v>0.5456991542688</v>
      </c>
      <c r="HJ141" s="3">
        <f>$H141*factors!HD$3</f>
        <v>0.53948518874399998</v>
      </c>
      <c r="HK141" s="3">
        <f>$H141*factors!HE$3</f>
        <v>0.57055501636799999</v>
      </c>
      <c r="HL141" s="3">
        <f>$H141*factors!HF$3</f>
        <v>0.53779047087359999</v>
      </c>
      <c r="HM141" s="3">
        <f>$H141*factors!HG$3</f>
        <v>0.54343953044159998</v>
      </c>
      <c r="HN141" s="3">
        <f>$H141*factors!HH$3</f>
        <v>0.57959351167680007</v>
      </c>
      <c r="HO141" s="3">
        <f>$H141*factors!HI$3</f>
        <v>0.55586746149119992</v>
      </c>
      <c r="HP141" s="3">
        <f>$H141*factors!HJ$3</f>
        <v>0.59315125464000007</v>
      </c>
      <c r="HQ141" s="3">
        <f>$H141*factors!HK$3</f>
        <v>0.54230971852800003</v>
      </c>
      <c r="HR141" s="3">
        <f>$H141*factors!HL$3</f>
        <v>0.57507426402240003</v>
      </c>
      <c r="HS141" s="3">
        <f>$H141*factors!HM$3</f>
        <v>0.58524257124480006</v>
      </c>
      <c r="HT141" s="3">
        <f>$H141*factors!HN$3</f>
        <v>0.5456991542688</v>
      </c>
      <c r="HU141" s="3">
        <f>$H141*factors!HO$3</f>
        <v>0.55134821383679999</v>
      </c>
      <c r="HV141" s="3">
        <f>$H141*factors!HP$3</f>
        <v>0.55812708531840005</v>
      </c>
      <c r="HW141" s="3">
        <f>$H141*factors!HQ$3</f>
        <v>0.56603576871360006</v>
      </c>
      <c r="HX141" s="3">
        <f>$H141*factors!HR$3</f>
        <v>0.58919691294239995</v>
      </c>
      <c r="HY141" s="3">
        <f>$H141*factors!HS$3</f>
        <v>0.55982180318880004</v>
      </c>
      <c r="HZ141" s="3">
        <f>$H141*factors!HT$3</f>
        <v>0.58128822954719994</v>
      </c>
      <c r="IA141" s="3">
        <f>$H141*factors!HU$3</f>
        <v>0.55304293170719998</v>
      </c>
      <c r="IB141" s="3">
        <f>$H141*factors!HV$3</f>
        <v>0.57224973423839998</v>
      </c>
      <c r="IC141" s="3">
        <f>$H141*factors!HW$3</f>
        <v>0.57789879380639997</v>
      </c>
      <c r="ID141" s="3">
        <f>$H141*factors!HX$3</f>
        <v>0.53666065895999993</v>
      </c>
      <c r="IE141" s="3">
        <f>$H141*factors!HY$3</f>
        <v>0.56999011041119996</v>
      </c>
      <c r="IF141" s="3">
        <f>$H141*factors!HZ$3</f>
        <v>0.56660067467039998</v>
      </c>
      <c r="IG141" s="3">
        <f>$H141*factors!IA$3</f>
        <v>0.56151652105920002</v>
      </c>
      <c r="IH141" s="3">
        <f>$H141*factors!IB$3</f>
        <v>0.58241804146080001</v>
      </c>
      <c r="II141" s="3">
        <f>$H141*factors!IC$3</f>
        <v>0.55756217936160002</v>
      </c>
      <c r="IJ141" s="3">
        <f>$H141*factors!ID$3</f>
        <v>0.56264633297279998</v>
      </c>
      <c r="IK141" s="3">
        <f>$H141*factors!IE$3</f>
        <v>0.58298294741760004</v>
      </c>
      <c r="IL141" s="3">
        <f>$H141*factors!IF$3</f>
        <v>0.55812708531840005</v>
      </c>
      <c r="IM141" s="3">
        <f>$H141*factors!IG$3</f>
        <v>0.55304293170719998</v>
      </c>
      <c r="IN141" s="3">
        <f>$H141*factors!IH$3</f>
        <v>0.55643236744800006</v>
      </c>
      <c r="IO141" s="3">
        <f>$H141*factors!II$3</f>
        <v>0.56208142701599995</v>
      </c>
      <c r="IP141" s="3">
        <f>$H141*factors!IJ$3</f>
        <v>0.54343953044159998</v>
      </c>
      <c r="IQ141" s="3">
        <f>$H141*factors!IK$3</f>
        <v>0.5417448125712</v>
      </c>
      <c r="IR141" s="3">
        <f>$H141*factors!IL$3</f>
        <v>0.55756217936160002</v>
      </c>
      <c r="IS141" s="3">
        <f>$H141*factors!IM$3</f>
        <v>0.56208142701599995</v>
      </c>
      <c r="IT141" s="3">
        <f>$H141*factors!IN$3</f>
        <v>0.56603576871360006</v>
      </c>
      <c r="IU141" s="3">
        <f>$H141*factors!IO$3</f>
        <v>0.5784636997632</v>
      </c>
      <c r="IV141" s="3">
        <f>$H141*factors!IP$3</f>
        <v>0.58580747720159998</v>
      </c>
      <c r="IW141" s="3">
        <f>$H141*factors!IQ$3</f>
        <v>0.55360783766400001</v>
      </c>
      <c r="IX141" s="3">
        <f>$H141*factors!IR$3</f>
        <v>0.5784636997632</v>
      </c>
      <c r="IY141" s="3">
        <f>$H141*factors!IS$3</f>
        <v>0.56999011041119996</v>
      </c>
      <c r="IZ141" s="3">
        <f>$H141*factors!IT$3</f>
        <v>0.57959351167680007</v>
      </c>
      <c r="JA141" s="3">
        <f>$H141*factors!IU$3</f>
        <v>0.54739387213919999</v>
      </c>
      <c r="JB141" s="3">
        <f>$H141*factors!IV$3</f>
        <v>0.55756217936160002</v>
      </c>
      <c r="JC141" s="3">
        <f>$H141*factors!IW$3</f>
        <v>0.54456934235520005</v>
      </c>
      <c r="JD141" s="3">
        <f>$H141*factors!IX$3</f>
        <v>0.59315125464000007</v>
      </c>
      <c r="JE141" s="3">
        <f>$H141*factors!IY$3</f>
        <v>0.54626406022559992</v>
      </c>
      <c r="JF141" s="3">
        <f>$H141*factors!IZ$3</f>
        <v>0.57337954615199993</v>
      </c>
      <c r="JG141" s="3">
        <f>$H141*factors!JA$3</f>
        <v>0.56321123892960001</v>
      </c>
      <c r="JH141" s="3">
        <f>$H141*factors!JB$3</f>
        <v>0.57394445210880007</v>
      </c>
      <c r="JI141" s="3">
        <f>$H141*factors!JC$3</f>
        <v>0.53722556491680007</v>
      </c>
      <c r="JJ141" s="3">
        <f>$H141*factors!JD$3</f>
        <v>0.5784636997632</v>
      </c>
      <c r="JK141" s="3">
        <f>$H141*factors!JE$3</f>
        <v>0.55982180318880004</v>
      </c>
      <c r="JL141" s="3">
        <f>$H141*factors!JF$3</f>
        <v>0.58241804146080001</v>
      </c>
      <c r="JM141" s="3">
        <f>$H141*factors!JG$3</f>
        <v>0.54343953044159998</v>
      </c>
      <c r="JN141" s="3">
        <f>$H141*factors!JH$3</f>
        <v>0.54343953044159998</v>
      </c>
      <c r="JO141" s="3">
        <f>$H141*factors!JI$3</f>
        <v>0.53666065895999993</v>
      </c>
      <c r="JP141" s="3">
        <f>$H141*factors!JJ$3</f>
        <v>0.58015841763359999</v>
      </c>
      <c r="JQ141" s="3">
        <f>$H141*factors!JK$3</f>
        <v>0.56547086275679992</v>
      </c>
      <c r="JR141" s="3">
        <f>$H141*factors!JL$3</f>
        <v>0.58750219507199997</v>
      </c>
      <c r="JS141" s="3">
        <f>$H141*factors!JM$3</f>
        <v>0.53666065895999993</v>
      </c>
      <c r="JT141" s="3">
        <f>$H141*factors!JN$3</f>
        <v>0.56377614488640004</v>
      </c>
      <c r="JU141" s="3">
        <f>$H141*factors!JO$3</f>
        <v>0.54513424831199997</v>
      </c>
      <c r="JV141" s="3">
        <f>$H141*factors!JP$3</f>
        <v>0.55417274362080005</v>
      </c>
      <c r="JW141" s="3">
        <f>$H141*factors!JQ$3</f>
        <v>0.59202144272640012</v>
      </c>
      <c r="JX141" s="3">
        <f>$H141*factors!JR$3</f>
        <v>0.58637238315840001</v>
      </c>
      <c r="JY141" s="3">
        <f>$H141*factors!JS$3</f>
        <v>0.55191311979360003</v>
      </c>
      <c r="JZ141" s="3">
        <f>$H141*factors!JT$3</f>
        <v>0.55812708531840005</v>
      </c>
      <c r="KA141" s="3">
        <f>$H141*factors!JU$3</f>
        <v>0.56038670914560007</v>
      </c>
      <c r="KB141" s="3">
        <f>$H141*factors!JV$3</f>
        <v>0.5417448125712</v>
      </c>
      <c r="KC141" s="3">
        <f>$H141*factors!JW$3</f>
        <v>0.54456934235520005</v>
      </c>
      <c r="KD141" s="3">
        <f>$H141*factors!JX$3</f>
        <v>0.54513424831199997</v>
      </c>
      <c r="KE141" s="3">
        <f>$H141*factors!JY$3</f>
        <v>0.58015841763359999</v>
      </c>
      <c r="KF141" s="3">
        <f>$H141*factors!JZ$3</f>
        <v>0.58693728911519993</v>
      </c>
      <c r="KG141" s="3">
        <f>$H141*factors!KA$3</f>
        <v>0.56603576871360006</v>
      </c>
      <c r="KH141" s="3">
        <f>$H141*factors!KB$3</f>
        <v>0.55360783766400001</v>
      </c>
      <c r="KI141" s="3">
        <f>$H141*factors!KC$3</f>
        <v>0.54852368405279994</v>
      </c>
    </row>
    <row r="142" spans="1:295" x14ac:dyDescent="0.55000000000000004">
      <c r="A142" t="s">
        <v>519</v>
      </c>
      <c r="B142">
        <v>141</v>
      </c>
      <c r="C142">
        <v>230</v>
      </c>
      <c r="D142" t="s">
        <v>377</v>
      </c>
      <c r="E142">
        <v>1.5035E-2</v>
      </c>
      <c r="F142">
        <v>141</v>
      </c>
      <c r="G142">
        <f>VLOOKUP(D142,demand_forecasted!$A$2:$G$11,2)</f>
        <v>11098</v>
      </c>
      <c r="H142" s="3">
        <f t="shared" si="2"/>
        <v>1.6685843</v>
      </c>
      <c r="I142" s="3">
        <f>$H142*factors!C$3</f>
        <v>1.8471228201000001</v>
      </c>
      <c r="J142" s="3">
        <f>$H142*factors!D$3</f>
        <v>1.780446191472</v>
      </c>
      <c r="K142" s="3">
        <f>$H142*factors!E$3</f>
        <v>1.7498109837240001</v>
      </c>
      <c r="L142" s="3">
        <f>$H142*factors!F$3</f>
        <v>1.7444047705920003</v>
      </c>
      <c r="M142" s="3">
        <f>$H142*factors!G$3</f>
        <v>1.742602699548</v>
      </c>
      <c r="N142" s="3">
        <f>$H142*factors!H$3</f>
        <v>1.79306068878</v>
      </c>
      <c r="O142" s="3">
        <f>$H142*factors!I$3</f>
        <v>1.8327062517479999</v>
      </c>
      <c r="P142" s="3">
        <f>$H142*factors!J$3</f>
        <v>1.8543311042760002</v>
      </c>
      <c r="Q142" s="3">
        <f>$H142*factors!K$3</f>
        <v>1.7408006285040001</v>
      </c>
      <c r="R142" s="3">
        <f>$H142*factors!L$3</f>
        <v>1.7119674918000001</v>
      </c>
      <c r="S142" s="3">
        <f>$H142*factors!M$3</f>
        <v>1.7822482625159999</v>
      </c>
      <c r="T142" s="3">
        <f>$H142*factors!N$3</f>
        <v>1.8435186780120001</v>
      </c>
      <c r="U142" s="3">
        <f>$H142*factors!O$3</f>
        <v>1.7462068416360002</v>
      </c>
      <c r="V142" s="3">
        <f>$H142*factors!P$3</f>
        <v>1.8164876123520002</v>
      </c>
      <c r="W142" s="3">
        <f>$H142*factors!Q$3</f>
        <v>1.8327062517479999</v>
      </c>
      <c r="X142" s="3">
        <f>$H142*factors!R$3</f>
        <v>1.7534151258120001</v>
      </c>
      <c r="Y142" s="3">
        <f>$H142*factors!S$3</f>
        <v>1.7371964864160001</v>
      </c>
      <c r="Z142" s="3">
        <f>$H142*factors!T$3</f>
        <v>1.8741538857600004</v>
      </c>
      <c r="AA142" s="3">
        <f>$H142*factors!U$3</f>
        <v>1.7696337652079999</v>
      </c>
      <c r="AB142" s="3">
        <f>$H142*factors!V$3</f>
        <v>1.7714358362520002</v>
      </c>
      <c r="AC142" s="3">
        <f>$H142*factors!W$3</f>
        <v>1.7732379072960003</v>
      </c>
      <c r="AD142" s="3">
        <f>$H142*factors!X$3</f>
        <v>1.7353944153720002</v>
      </c>
      <c r="AE142" s="3">
        <f>$H142*factors!Y$3</f>
        <v>1.7498109837240001</v>
      </c>
      <c r="AF142" s="3">
        <f>$H142*factors!Z$3</f>
        <v>1.7858524046040003</v>
      </c>
      <c r="AG142" s="3">
        <f>$H142*factors!AA$3</f>
        <v>1.7408006285040001</v>
      </c>
      <c r="AH142" s="3">
        <f>$H142*factors!AB$3</f>
        <v>1.7335923443280001</v>
      </c>
      <c r="AI142" s="3">
        <f>$H142*factors!AC$3</f>
        <v>1.789456546692</v>
      </c>
      <c r="AJ142" s="3">
        <f>$H142*factors!AD$3</f>
        <v>1.857935246364</v>
      </c>
      <c r="AK142" s="3">
        <f>$H142*factors!AE$3</f>
        <v>1.7876544756480002</v>
      </c>
      <c r="AL142" s="3">
        <f>$H142*factors!AF$3</f>
        <v>1.7173737049319999</v>
      </c>
      <c r="AM142" s="3">
        <f>$H142*factors!AG$3</f>
        <v>1.7660296231200001</v>
      </c>
      <c r="AN142" s="3">
        <f>$H142*factors!AH$3</f>
        <v>1.7371964864160001</v>
      </c>
      <c r="AO142" s="3">
        <f>$H142*factors!AI$3</f>
        <v>1.8200917544399999</v>
      </c>
      <c r="AP142" s="3">
        <f>$H142*factors!AJ$3</f>
        <v>1.7444047705920003</v>
      </c>
      <c r="AQ142" s="3">
        <f>$H142*factors!AK$3</f>
        <v>1.8002689729560002</v>
      </c>
      <c r="AR142" s="3">
        <f>$H142*factors!AL$3</f>
        <v>1.7606234099880003</v>
      </c>
      <c r="AS142" s="3">
        <f>$H142*factors!AM$3</f>
        <v>1.7173737049319999</v>
      </c>
      <c r="AT142" s="3">
        <f>$H142*factors!AN$3</f>
        <v>1.7714358362520002</v>
      </c>
      <c r="AU142" s="3">
        <f>$H142*factors!AO$3</f>
        <v>1.8759559568039998</v>
      </c>
      <c r="AV142" s="3">
        <f>$H142*factors!AP$3</f>
        <v>1.7732379072960003</v>
      </c>
      <c r="AW142" s="3">
        <f>$H142*factors!AQ$3</f>
        <v>1.755217196856</v>
      </c>
      <c r="AX142" s="3">
        <f>$H142*factors!AR$3</f>
        <v>1.8561331753200001</v>
      </c>
      <c r="AY142" s="3">
        <f>$H142*factors!AS$3</f>
        <v>1.7119674918000001</v>
      </c>
      <c r="AZ142" s="3">
        <f>$H142*factors!AT$3</f>
        <v>1.8345083227920003</v>
      </c>
      <c r="BA142" s="3">
        <f>$H142*factors!AU$3</f>
        <v>1.7948627598239999</v>
      </c>
      <c r="BB142" s="3">
        <f>$H142*factors!AV$3</f>
        <v>1.7714358362520002</v>
      </c>
      <c r="BC142" s="3">
        <f>$H142*factors!AW$3</f>
        <v>1.8741538857600004</v>
      </c>
      <c r="BD142" s="3">
        <f>$H142*factors!AX$3</f>
        <v>1.7299882022399999</v>
      </c>
      <c r="BE142" s="3">
        <f>$H142*factors!AY$3</f>
        <v>2.033904146642</v>
      </c>
      <c r="BF142" s="3">
        <f>$H142*factors!AZ$3</f>
        <v>1.8941101539879999</v>
      </c>
      <c r="BG142" s="3">
        <f>$H142*factors!BA$3</f>
        <v>1.9216751666239997</v>
      </c>
      <c r="BH142" s="3">
        <f>$H142*factors!BB$3</f>
        <v>1.9472712497859999</v>
      </c>
      <c r="BI142" s="3">
        <f>$H142*factors!BC$3</f>
        <v>2.0181527108499995</v>
      </c>
      <c r="BJ142" s="3">
        <f>$H142*factors!BD$3</f>
        <v>1.9275819550459998</v>
      </c>
      <c r="BK142" s="3">
        <f>$H142*factors!BE$3</f>
        <v>1.9315198139939997</v>
      </c>
      <c r="BL142" s="3">
        <f>$H142*factors!BF$3</f>
        <v>1.9098615897799998</v>
      </c>
      <c r="BM142" s="3">
        <f>$H142*factors!BG$3</f>
        <v>2.0398109350640001</v>
      </c>
      <c r="BN142" s="3">
        <f>$H142*factors!BH$3</f>
        <v>2.014214851902</v>
      </c>
      <c r="BO142" s="3">
        <f>$H142*factors!BI$3</f>
        <v>1.8941101539879999</v>
      </c>
      <c r="BP142" s="3">
        <f>$H142*factors!BJ$3</f>
        <v>1.8882033655659998</v>
      </c>
      <c r="BQ142" s="3">
        <f>$H142*factors!BK$3</f>
        <v>1.9197062371499998</v>
      </c>
      <c r="BR142" s="3">
        <f>$H142*factors!BL$3</f>
        <v>1.9886187687399999</v>
      </c>
      <c r="BS142" s="3">
        <f>$H142*factors!BM$3</f>
        <v>2.0201216403240001</v>
      </c>
      <c r="BT142" s="3">
        <f>$H142*factors!BN$3</f>
        <v>2.0260284287459998</v>
      </c>
      <c r="BU142" s="3">
        <f>$H142*factors!BO$3</f>
        <v>2.0595002298040002</v>
      </c>
      <c r="BV142" s="3">
        <f>$H142*factors!BP$3</f>
        <v>1.9157683782019999</v>
      </c>
      <c r="BW142" s="3">
        <f>$H142*factors!BQ$3</f>
        <v>1.9590848266299998</v>
      </c>
      <c r="BX142" s="3">
        <f>$H142*factors!BR$3</f>
        <v>1.9216751666239997</v>
      </c>
      <c r="BY142" s="3">
        <f>$H142*factors!BS$3</f>
        <v>2.0102769929539996</v>
      </c>
      <c r="BZ142" s="3">
        <f>$H142*factors!BT$3</f>
        <v>1.9728673329479998</v>
      </c>
      <c r="CA142" s="3">
        <f>$H142*factors!BU$3</f>
        <v>1.9472712497859999</v>
      </c>
      <c r="CB142" s="3">
        <f>$H142*factors!BV$3</f>
        <v>1.8842655066179999</v>
      </c>
      <c r="CC142" s="3">
        <f>$H142*factors!BW$3</f>
        <v>1.9393955318899998</v>
      </c>
      <c r="CD142" s="3">
        <f>$H142*factors!BX$3</f>
        <v>1.9453023203119999</v>
      </c>
      <c r="CE142" s="3">
        <f>$H142*factors!BY$3</f>
        <v>1.9728673329479998</v>
      </c>
      <c r="CF142" s="3">
        <f>$H142*factors!BZ$3</f>
        <v>1.9433333908380002</v>
      </c>
      <c r="CG142" s="3">
        <f>$H142*factors!CA$3</f>
        <v>1.8783587181959998</v>
      </c>
      <c r="CH142" s="3">
        <f>$H142*factors!CB$3</f>
        <v>1.8803276476699997</v>
      </c>
      <c r="CI142" s="3">
        <f>$H142*factors!CC$3</f>
        <v>1.8704830002999999</v>
      </c>
      <c r="CJ142" s="3">
        <f>$H142*factors!CD$3</f>
        <v>1.9472712497859999</v>
      </c>
      <c r="CK142" s="3">
        <f>$H142*factors!CE$3</f>
        <v>2.033904146642</v>
      </c>
      <c r="CL142" s="3">
        <f>$H142*factors!CF$3</f>
        <v>1.9059237308319998</v>
      </c>
      <c r="CM142" s="3">
        <f>$H142*factors!CG$3</f>
        <v>1.9512091087339998</v>
      </c>
      <c r="CN142" s="3">
        <f>$H142*factors!CH$3</f>
        <v>1.8862344360919998</v>
      </c>
      <c r="CO142" s="3">
        <f>$H142*factors!CI$3</f>
        <v>1.9000169424099997</v>
      </c>
      <c r="CP142" s="3">
        <f>$H142*factors!CJ$3</f>
        <v>1.9905876982139996</v>
      </c>
      <c r="CQ142" s="3">
        <f>$H142*factors!CK$3</f>
        <v>1.9315198139939997</v>
      </c>
      <c r="CR142" s="3">
        <f>$H142*factors!CL$3</f>
        <v>1.9925566276879998</v>
      </c>
      <c r="CS142" s="3">
        <f>$H142*factors!CM$3</f>
        <v>2.0555623708559998</v>
      </c>
      <c r="CT142" s="3">
        <f>$H142*factors!CN$3</f>
        <v>2.0319352171679999</v>
      </c>
      <c r="CU142" s="3">
        <f>$H142*factors!CO$3</f>
        <v>1.9866498392659997</v>
      </c>
      <c r="CV142" s="3">
        <f>$H142*factors!CP$3</f>
        <v>2.0673759477</v>
      </c>
      <c r="CW142" s="3">
        <f>$H142*factors!CQ$3</f>
        <v>1.9551469676820001</v>
      </c>
      <c r="CX142" s="3">
        <f>$H142*factors!CR$3</f>
        <v>1.9256130255719999</v>
      </c>
      <c r="CY142" s="3">
        <f>$H142*factors!CS$3</f>
        <v>1.9078926603059998</v>
      </c>
      <c r="CZ142" s="3">
        <f>$H142*factors!CT$3</f>
        <v>1.8803276476699997</v>
      </c>
      <c r="DA142" s="3">
        <f>$H142*factors!CU$3</f>
        <v>1.952243631</v>
      </c>
      <c r="DB142" s="3">
        <f>$H142*factors!CV$3</f>
        <v>2.0783886040800001</v>
      </c>
      <c r="DC142" s="3">
        <f>$H142*factors!CW$3</f>
        <v>1.9902873530399998</v>
      </c>
      <c r="DD142" s="3">
        <f>$H142*factors!CX$3</f>
        <v>1.9762712449199999</v>
      </c>
      <c r="DE142" s="3">
        <f>$H142*factors!CY$3</f>
        <v>2.03433797856</v>
      </c>
      <c r="DF142" s="3">
        <f>$H142*factors!CZ$3</f>
        <v>2.0303333762399998</v>
      </c>
      <c r="DG142" s="3">
        <f>$H142*factors!DA$3</f>
        <v>2.0223241715999998</v>
      </c>
      <c r="DH142" s="3">
        <f>$H142*factors!DB$3</f>
        <v>2.0223241715999998</v>
      </c>
      <c r="DI142" s="3">
        <f>$H142*factors!DC$3</f>
        <v>1.9462367275199999</v>
      </c>
      <c r="DJ142" s="3">
        <f>$H142*factors!DD$3</f>
        <v>2.0623701948000002</v>
      </c>
      <c r="DK142" s="3">
        <f>$H142*factors!DE$3</f>
        <v>2.0623701948000002</v>
      </c>
      <c r="DL142" s="3">
        <f>$H142*factors!DF$3</f>
        <v>2.0383425808800002</v>
      </c>
      <c r="DM142" s="3">
        <f>$H142*factors!DG$3</f>
        <v>1.9202068124399998</v>
      </c>
      <c r="DN142" s="3">
        <f>$H142*factors!DH$3</f>
        <v>2.0143149669600002</v>
      </c>
      <c r="DO142" s="3">
        <f>$H142*factors!DI$3</f>
        <v>2.0803909052399998</v>
      </c>
      <c r="DP142" s="3">
        <f>$H142*factors!DJ$3</f>
        <v>2.0623701948000002</v>
      </c>
      <c r="DQ142" s="3">
        <f>$H142*factors!DK$3</f>
        <v>1.9662597391199998</v>
      </c>
      <c r="DR142" s="3">
        <f>$H142*factors!DL$3</f>
        <v>1.94423442636</v>
      </c>
      <c r="DS142" s="3">
        <f>$H142*factors!DM$3</f>
        <v>2.10041391684</v>
      </c>
      <c r="DT142" s="3">
        <f>$H142*factors!DN$3</f>
        <v>1.9742689437600001</v>
      </c>
      <c r="DU142" s="3">
        <f>$H142*factors!DO$3</f>
        <v>2.0663747971199999</v>
      </c>
      <c r="DV142" s="3">
        <f>$H142*factors!DP$3</f>
        <v>2.01831956928</v>
      </c>
      <c r="DW142" s="3">
        <f>$H142*factors!DQ$3</f>
        <v>1.9262137159199999</v>
      </c>
      <c r="DX142" s="3">
        <f>$H142*factors!DR$3</f>
        <v>2.0403448820399999</v>
      </c>
      <c r="DY142" s="3">
        <f>$H142*factors!DS$3</f>
        <v>1.9362252217199998</v>
      </c>
      <c r="DZ142" s="3">
        <f>$H142*factors!DT$3</f>
        <v>2.0703793994399997</v>
      </c>
      <c r="EA142" s="3">
        <f>$H142*factors!DU$3</f>
        <v>1.9502413298399996</v>
      </c>
      <c r="EB142" s="3">
        <f>$H142*factors!DV$3</f>
        <v>1.9021861019999999</v>
      </c>
      <c r="EC142" s="3">
        <f>$H142*factors!DW$3</f>
        <v>2.0463517855199997</v>
      </c>
      <c r="ED142" s="3">
        <f>$H142*factors!DX$3</f>
        <v>1.9202068124399998</v>
      </c>
      <c r="EE142" s="3">
        <f>$H142*factors!DY$3</f>
        <v>1.9362252217199998</v>
      </c>
      <c r="EF142" s="3">
        <f>$H142*factors!DZ$3</f>
        <v>2.10041391684</v>
      </c>
      <c r="EG142" s="3">
        <f>$H142*factors!EA$3</f>
        <v>1.9622551367999999</v>
      </c>
      <c r="EH142" s="3">
        <f>$H142*factors!EB$3</f>
        <v>1.96826204028</v>
      </c>
      <c r="EI142" s="3">
        <f>$H142*factors!EC$3</f>
        <v>1.96425743796</v>
      </c>
      <c r="EJ142" s="3">
        <f>$H142*factors!ED$3</f>
        <v>1.9141999089599999</v>
      </c>
      <c r="EK142" s="3">
        <f>$H142*factors!EE$3</f>
        <v>2.0463517855199997</v>
      </c>
      <c r="EL142" s="3">
        <f>$H142*factors!EF$3</f>
        <v>1.9462367275199999</v>
      </c>
      <c r="EM142" s="3">
        <f>$H142*factors!EG$3</f>
        <v>2.0243264727599999</v>
      </c>
      <c r="EN142" s="3">
        <f>$H142*factors!EH$3</f>
        <v>1.9021861019999999</v>
      </c>
      <c r="EO142" s="3">
        <f>$H142*factors!EI$3</f>
        <v>1.9302183182399997</v>
      </c>
      <c r="EP142" s="3">
        <f>$H142*factors!EJ$3</f>
        <v>2.0363402797200001</v>
      </c>
      <c r="EQ142" s="3">
        <f>$H142*factors!EK$3</f>
        <v>1.9802758472399997</v>
      </c>
      <c r="ER142" s="3">
        <f>$H142*factors!EL$3</f>
        <v>2.0623701948000002</v>
      </c>
      <c r="ES142" s="3">
        <f>$H142*factors!EM$3</f>
        <v>2.0363402797200001</v>
      </c>
      <c r="ET142" s="3">
        <f>$H142*factors!EN$3</f>
        <v>2.0823932063999999</v>
      </c>
      <c r="EU142" s="3">
        <f>$H142*factors!EO$3</f>
        <v>2.1024162180000001</v>
      </c>
      <c r="EV142" s="3">
        <f>$H142*factors!EP$3</f>
        <v>1.9702643414399998</v>
      </c>
      <c r="EW142" s="3">
        <f>$H142*factors!EQ$3</f>
        <v>2.1670738596249999</v>
      </c>
      <c r="EX142" s="3">
        <f>$H142*factors!ER$3</f>
        <v>2.1441308255000004</v>
      </c>
      <c r="EY142" s="3">
        <f>$H142*factors!ES$3</f>
        <v>2.1879311633749996</v>
      </c>
      <c r="EZ142" s="3">
        <f>$H142*factors!ET$3</f>
        <v>2.1670738596249999</v>
      </c>
      <c r="FA142" s="3">
        <f>$H142*factors!EU$3</f>
        <v>1.9918725081249997</v>
      </c>
      <c r="FB142" s="3">
        <f>$H142*factors!EV$3</f>
        <v>2.0815589142499999</v>
      </c>
      <c r="FC142" s="3">
        <f>$H142*factors!EW$3</f>
        <v>2.1399593647500001</v>
      </c>
      <c r="FD142" s="3">
        <f>$H142*factors!EX$3</f>
        <v>2.0648730712500001</v>
      </c>
      <c r="FE142" s="3">
        <f>$H142*factors!EY$3</f>
        <v>2.175416781125</v>
      </c>
      <c r="FF142" s="3">
        <f>$H142*factors!EZ$3</f>
        <v>2.1775025115000002</v>
      </c>
      <c r="FG142" s="3">
        <f>$H142*factors!FA$3</f>
        <v>1.9918725081249997</v>
      </c>
      <c r="FH142" s="3">
        <f>$H142*factors!FB$3</f>
        <v>2.0961590268749997</v>
      </c>
      <c r="FI142" s="3">
        <f>$H142*factors!FC$3</f>
        <v>2.1837597026249997</v>
      </c>
      <c r="FJ142" s="3">
        <f>$H142*factors!FD$3</f>
        <v>2.0961590268749997</v>
      </c>
      <c r="FK142" s="3">
        <f>$H142*factors!FE$3</f>
        <v>2.13161644325</v>
      </c>
      <c r="FL142" s="3">
        <f>$H142*factors!FF$3</f>
        <v>2.137873634375</v>
      </c>
      <c r="FM142" s="3">
        <f>$H142*factors!FG$3</f>
        <v>2.1608166684999999</v>
      </c>
      <c r="FN142" s="3">
        <f>$H142*factors!FH$3</f>
        <v>2.021072733375</v>
      </c>
      <c r="FO142" s="3">
        <f>$H142*factors!FI$3</f>
        <v>2.1462165558749997</v>
      </c>
      <c r="FP142" s="3">
        <f>$H142*factors!FJ$3</f>
        <v>2.0857303749999998</v>
      </c>
      <c r="FQ142" s="3">
        <f>$H142*factors!FK$3</f>
        <v>2.0648730712500001</v>
      </c>
      <c r="FR142" s="3">
        <f>$H142*factors!FL$3</f>
        <v>2.10658767875</v>
      </c>
      <c r="FS142" s="3">
        <f>$H142*factors!FM$3</f>
        <v>2.0940732965</v>
      </c>
      <c r="FT142" s="3">
        <f>$H142*factors!FN$3</f>
        <v>2.1399593647500001</v>
      </c>
      <c r="FU142" s="3">
        <f>$H142*factors!FO$3</f>
        <v>2.0565301497499999</v>
      </c>
      <c r="FV142" s="3">
        <f>$H142*factors!FP$3</f>
        <v>2.0398443067500001</v>
      </c>
      <c r="FW142" s="3">
        <f>$H142*factors!FQ$3</f>
        <v>2.1837597026249997</v>
      </c>
      <c r="FX142" s="3">
        <f>$H142*factors!FR$3</f>
        <v>2.1441308255000004</v>
      </c>
      <c r="FY142" s="3">
        <f>$H142*factors!FS$3</f>
        <v>2.1003304876249995</v>
      </c>
      <c r="FZ142" s="3">
        <f>$H142*factors!FT$3</f>
        <v>1.996043968875</v>
      </c>
      <c r="GA142" s="3">
        <f>$H142*factors!FU$3</f>
        <v>2.1003304876249995</v>
      </c>
      <c r="GB142" s="3">
        <f>$H142*factors!FV$3</f>
        <v>2.1775025115000002</v>
      </c>
      <c r="GC142" s="3">
        <f>$H142*factors!FW$3</f>
        <v>2.0398443067500001</v>
      </c>
      <c r="GD142" s="3">
        <f>$H142*factors!FX$3</f>
        <v>2.0753017231249999</v>
      </c>
      <c r="GE142" s="3">
        <f>$H142*factors!FY$3</f>
        <v>2.0753017231249999</v>
      </c>
      <c r="GF142" s="3">
        <f>$H142*factors!FZ$3</f>
        <v>2.0690445319999999</v>
      </c>
      <c r="GG142" s="3">
        <f>$H142*factors!GA$3</f>
        <v>1.9877010473749999</v>
      </c>
      <c r="GH142" s="3">
        <f>$H142*factors!GB$3</f>
        <v>2.1149306002500001</v>
      </c>
      <c r="GI142" s="3">
        <f>$H142*factors!GC$3</f>
        <v>1.983529586625</v>
      </c>
      <c r="GJ142" s="3">
        <f>$H142*factors!GD$3</f>
        <v>1.9877010473749999</v>
      </c>
      <c r="GK142" s="3">
        <f>$H142*factors!GE$3</f>
        <v>2.0377585763749999</v>
      </c>
      <c r="GL142" s="3">
        <f>$H142*factors!GF$3</f>
        <v>2.1587309381250002</v>
      </c>
      <c r="GM142" s="3">
        <f>$H142*factors!GG$3</f>
        <v>2.0461014978750001</v>
      </c>
      <c r="GN142" s="3">
        <f>$H142*factors!GH$3</f>
        <v>2.1107591395000003</v>
      </c>
      <c r="GO142" s="3">
        <f>$H142*factors!GI$3</f>
        <v>1.9939582384999996</v>
      </c>
      <c r="GP142" s="3">
        <f>$H142*factors!GJ$3</f>
        <v>2.137873634375</v>
      </c>
      <c r="GQ142" s="3">
        <f>$H142*factors!GK$3</f>
        <v>2.18167397225</v>
      </c>
      <c r="GR142" s="3">
        <f>$H142*factors!GL$3</f>
        <v>2.1399593647500001</v>
      </c>
      <c r="GS142" s="3">
        <f>$H142*factors!GM$3</f>
        <v>2.023742468255</v>
      </c>
      <c r="GT142" s="3">
        <f>$H142*factors!GN$3</f>
        <v>2.070362713597</v>
      </c>
      <c r="GU142" s="3">
        <f>$H142*factors!GO$3</f>
        <v>2.119102061</v>
      </c>
      <c r="GV142" s="3">
        <f>$H142*factors!GP$3</f>
        <v>2.03433797856</v>
      </c>
      <c r="GW142" s="3">
        <f>$H142*factors!GQ$3</f>
        <v>2.106387448634</v>
      </c>
      <c r="GX142" s="3">
        <f>$H142*factors!GR$3</f>
        <v>2.072481815658</v>
      </c>
      <c r="GY142" s="3">
        <f>$H142*factors!GS$3</f>
        <v>2.0618863053530001</v>
      </c>
      <c r="GZ142" s="3">
        <f>$H142*factors!GT$3</f>
        <v>2.1381739795489998</v>
      </c>
      <c r="HA142" s="3">
        <f>$H142*factors!GU$3</f>
        <v>2.0682436115359999</v>
      </c>
      <c r="HB142" s="3">
        <f>$H142*factors!GV$3</f>
        <v>2.1381739795489998</v>
      </c>
      <c r="HC142" s="3">
        <f>$H142*factors!GW$3</f>
        <v>2.0851964280240001</v>
      </c>
      <c r="HD142" s="3">
        <f>$H142*factors!GX$3</f>
        <v>2.1466503877929997</v>
      </c>
      <c r="HE142" s="3">
        <f>$H142*factors!GY$3</f>
        <v>2.119102061</v>
      </c>
      <c r="HF142" s="3">
        <f>$H142*factors!GZ$3</f>
        <v>2.1847942248909997</v>
      </c>
      <c r="HG142" s="3">
        <f>$H142*factors!HA$3</f>
        <v>2.1000301424510002</v>
      </c>
      <c r="HH142" s="3">
        <f>$H142*factors!HB$3</f>
        <v>2.072481815658</v>
      </c>
      <c r="HI142" s="3">
        <f>$H142*factors!HC$3</f>
        <v>2.047052590926</v>
      </c>
      <c r="HJ142" s="3">
        <f>$H142*factors!HD$3</f>
        <v>2.023742468255</v>
      </c>
      <c r="HK142" s="3">
        <f>$H142*factors!HE$3</f>
        <v>2.1402930816099999</v>
      </c>
      <c r="HL142" s="3">
        <f>$H142*factors!HF$3</f>
        <v>2.0173851620719998</v>
      </c>
      <c r="HM142" s="3">
        <f>$H142*factors!HG$3</f>
        <v>2.0385761826820001</v>
      </c>
      <c r="HN142" s="3">
        <f>$H142*factors!HH$3</f>
        <v>2.1741987145860002</v>
      </c>
      <c r="HO142" s="3">
        <f>$H142*factors!HI$3</f>
        <v>2.0851964280240001</v>
      </c>
      <c r="HP142" s="3">
        <f>$H142*factors!HJ$3</f>
        <v>2.2250571640500003</v>
      </c>
      <c r="HQ142" s="3">
        <f>$H142*factors!HK$3</f>
        <v>2.03433797856</v>
      </c>
      <c r="HR142" s="3">
        <f>$H142*factors!HL$3</f>
        <v>2.157245898098</v>
      </c>
      <c r="HS142" s="3">
        <f>$H142*factors!HM$3</f>
        <v>2.1953897351960001</v>
      </c>
      <c r="HT142" s="3">
        <f>$H142*factors!HN$3</f>
        <v>2.047052590926</v>
      </c>
      <c r="HU142" s="3">
        <f>$H142*factors!HO$3</f>
        <v>2.0682436115359999</v>
      </c>
      <c r="HV142" s="3">
        <f>$H142*factors!HP$3</f>
        <v>2.0936728362680004</v>
      </c>
      <c r="HW142" s="3">
        <f>$H142*factors!HQ$3</f>
        <v>2.1233402651220001</v>
      </c>
      <c r="HX142" s="3">
        <f>$H142*factors!HR$3</f>
        <v>2.2102234496229998</v>
      </c>
      <c r="HY142" s="3">
        <f>$H142*factors!HS$3</f>
        <v>2.1000301424510002</v>
      </c>
      <c r="HZ142" s="3">
        <f>$H142*factors!HT$3</f>
        <v>2.180556020769</v>
      </c>
      <c r="IA142" s="3">
        <f>$H142*factors!HU$3</f>
        <v>2.0746009177190001</v>
      </c>
      <c r="IB142" s="3">
        <f>$H142*factors!HV$3</f>
        <v>2.1466503877929997</v>
      </c>
      <c r="IC142" s="3">
        <f>$H142*factors!HW$3</f>
        <v>2.167841408403</v>
      </c>
      <c r="ID142" s="3">
        <f>$H142*factors!HX$3</f>
        <v>2.0131469579499996</v>
      </c>
      <c r="IE142" s="3">
        <f>$H142*factors!HY$3</f>
        <v>2.1381739795489998</v>
      </c>
      <c r="IF142" s="3">
        <f>$H142*factors!HZ$3</f>
        <v>2.1254593671829998</v>
      </c>
      <c r="IG142" s="3">
        <f>$H142*factors!IA$3</f>
        <v>2.106387448634</v>
      </c>
      <c r="IH142" s="3">
        <f>$H142*factors!IB$3</f>
        <v>2.1847942248909997</v>
      </c>
      <c r="II142" s="3">
        <f>$H142*factors!IC$3</f>
        <v>2.0915537342069999</v>
      </c>
      <c r="IJ142" s="3">
        <f>$H142*factors!ID$3</f>
        <v>2.1106256527560001</v>
      </c>
      <c r="IK142" s="3">
        <f>$H142*factors!IE$3</f>
        <v>2.1869133269520002</v>
      </c>
      <c r="IL142" s="3">
        <f>$H142*factors!IF$3</f>
        <v>2.0936728362680004</v>
      </c>
      <c r="IM142" s="3">
        <f>$H142*factors!IG$3</f>
        <v>2.0746009177190001</v>
      </c>
      <c r="IN142" s="3">
        <f>$H142*factors!IH$3</f>
        <v>2.0873155300850001</v>
      </c>
      <c r="IO142" s="3">
        <f>$H142*factors!II$3</f>
        <v>2.108506550695</v>
      </c>
      <c r="IP142" s="3">
        <f>$H142*factors!IJ$3</f>
        <v>2.0385761826820001</v>
      </c>
      <c r="IQ142" s="3">
        <f>$H142*factors!IK$3</f>
        <v>2.0322188764989999</v>
      </c>
      <c r="IR142" s="3">
        <f>$H142*factors!IL$3</f>
        <v>2.0915537342069999</v>
      </c>
      <c r="IS142" s="3">
        <f>$H142*factors!IM$3</f>
        <v>2.108506550695</v>
      </c>
      <c r="IT142" s="3">
        <f>$H142*factors!IN$3</f>
        <v>2.1233402651220001</v>
      </c>
      <c r="IU142" s="3">
        <f>$H142*factors!IO$3</f>
        <v>2.1699605104640001</v>
      </c>
      <c r="IV142" s="3">
        <f>$H142*factors!IP$3</f>
        <v>2.1975088372569997</v>
      </c>
      <c r="IW142" s="3">
        <f>$H142*factors!IQ$3</f>
        <v>2.0767200197799998</v>
      </c>
      <c r="IX142" s="3">
        <f>$H142*factors!IR$3</f>
        <v>2.1699605104640001</v>
      </c>
      <c r="IY142" s="3">
        <f>$H142*factors!IS$3</f>
        <v>2.1381739795489998</v>
      </c>
      <c r="IZ142" s="3">
        <f>$H142*factors!IT$3</f>
        <v>2.1741987145860002</v>
      </c>
      <c r="JA142" s="3">
        <f>$H142*factors!IU$3</f>
        <v>2.0534098971089998</v>
      </c>
      <c r="JB142" s="3">
        <f>$H142*factors!IV$3</f>
        <v>2.0915537342069999</v>
      </c>
      <c r="JC142" s="3">
        <f>$H142*factors!IW$3</f>
        <v>2.0428143868040003</v>
      </c>
      <c r="JD142" s="3">
        <f>$H142*factors!IX$3</f>
        <v>2.2250571640500003</v>
      </c>
      <c r="JE142" s="3">
        <f>$H142*factors!IY$3</f>
        <v>2.0491716929870001</v>
      </c>
      <c r="JF142" s="3">
        <f>$H142*factors!IZ$3</f>
        <v>2.1508885919149998</v>
      </c>
      <c r="JG142" s="3">
        <f>$H142*factors!JA$3</f>
        <v>2.1127447548169997</v>
      </c>
      <c r="JH142" s="3">
        <f>$H142*factors!JB$3</f>
        <v>2.1530076939760003</v>
      </c>
      <c r="JI142" s="3">
        <f>$H142*factors!JC$3</f>
        <v>2.0152660600110002</v>
      </c>
      <c r="JJ142" s="3">
        <f>$H142*factors!JD$3</f>
        <v>2.1699605104640001</v>
      </c>
      <c r="JK142" s="3">
        <f>$H142*factors!JE$3</f>
        <v>2.1000301424510002</v>
      </c>
      <c r="JL142" s="3">
        <f>$H142*factors!JF$3</f>
        <v>2.1847942248909997</v>
      </c>
      <c r="JM142" s="3">
        <f>$H142*factors!JG$3</f>
        <v>2.0385761826820001</v>
      </c>
      <c r="JN142" s="3">
        <f>$H142*factors!JH$3</f>
        <v>2.0385761826820001</v>
      </c>
      <c r="JO142" s="3">
        <f>$H142*factors!JI$3</f>
        <v>2.0131469579499996</v>
      </c>
      <c r="JP142" s="3">
        <f>$H142*factors!JJ$3</f>
        <v>2.1763178166469999</v>
      </c>
      <c r="JQ142" s="3">
        <f>$H142*factors!JK$3</f>
        <v>2.1212211630610001</v>
      </c>
      <c r="JR142" s="3">
        <f>$H142*factors!JL$3</f>
        <v>2.20386614344</v>
      </c>
      <c r="JS142" s="3">
        <f>$H142*factors!JM$3</f>
        <v>2.0131469579499996</v>
      </c>
      <c r="JT142" s="3">
        <f>$H142*factors!JN$3</f>
        <v>2.1148638568780003</v>
      </c>
      <c r="JU142" s="3">
        <f>$H142*factors!JO$3</f>
        <v>2.0449334888649999</v>
      </c>
      <c r="JV142" s="3">
        <f>$H142*factors!JP$3</f>
        <v>2.0788391218410003</v>
      </c>
      <c r="JW142" s="3">
        <f>$H142*factors!JQ$3</f>
        <v>2.2208189599280002</v>
      </c>
      <c r="JX142" s="3">
        <f>$H142*factors!JR$3</f>
        <v>2.1996279393179998</v>
      </c>
      <c r="JY142" s="3">
        <f>$H142*factors!JS$3</f>
        <v>2.070362713597</v>
      </c>
      <c r="JZ142" s="3">
        <f>$H142*factors!JT$3</f>
        <v>2.0936728362680004</v>
      </c>
      <c r="KA142" s="3">
        <f>$H142*factors!JU$3</f>
        <v>2.1021492445120002</v>
      </c>
      <c r="KB142" s="3">
        <f>$H142*factors!JV$3</f>
        <v>2.0322188764989999</v>
      </c>
      <c r="KC142" s="3">
        <f>$H142*factors!JW$3</f>
        <v>2.0428143868040003</v>
      </c>
      <c r="KD142" s="3">
        <f>$H142*factors!JX$3</f>
        <v>2.0449334888649999</v>
      </c>
      <c r="KE142" s="3">
        <f>$H142*factors!JY$3</f>
        <v>2.1763178166469999</v>
      </c>
      <c r="KF142" s="3">
        <f>$H142*factors!JZ$3</f>
        <v>2.2017470413789999</v>
      </c>
      <c r="KG142" s="3">
        <f>$H142*factors!KA$3</f>
        <v>2.1233402651220001</v>
      </c>
      <c r="KH142" s="3">
        <f>$H142*factors!KB$3</f>
        <v>2.0767200197799998</v>
      </c>
      <c r="KI142" s="3">
        <f>$H142*factors!KC$3</f>
        <v>2.0576481012309999</v>
      </c>
    </row>
    <row r="143" spans="1:295" x14ac:dyDescent="0.55000000000000004">
      <c r="A143" t="s">
        <v>520</v>
      </c>
      <c r="B143">
        <v>142</v>
      </c>
      <c r="C143">
        <v>230</v>
      </c>
      <c r="D143" t="s">
        <v>377</v>
      </c>
      <c r="E143">
        <v>1.5035E-2</v>
      </c>
      <c r="F143">
        <v>142</v>
      </c>
      <c r="G143">
        <f>VLOOKUP(D143,demand_forecasted!$A$2:$G$11,2)</f>
        <v>11098</v>
      </c>
      <c r="H143" s="3">
        <f t="shared" si="2"/>
        <v>1.6685843</v>
      </c>
      <c r="I143" s="3">
        <f>$H143*factors!C$3</f>
        <v>1.8471228201000001</v>
      </c>
      <c r="J143" s="3">
        <f>$H143*factors!D$3</f>
        <v>1.780446191472</v>
      </c>
      <c r="K143" s="3">
        <f>$H143*factors!E$3</f>
        <v>1.7498109837240001</v>
      </c>
      <c r="L143" s="3">
        <f>$H143*factors!F$3</f>
        <v>1.7444047705920003</v>
      </c>
      <c r="M143" s="3">
        <f>$H143*factors!G$3</f>
        <v>1.742602699548</v>
      </c>
      <c r="N143" s="3">
        <f>$H143*factors!H$3</f>
        <v>1.79306068878</v>
      </c>
      <c r="O143" s="3">
        <f>$H143*factors!I$3</f>
        <v>1.8327062517479999</v>
      </c>
      <c r="P143" s="3">
        <f>$H143*factors!J$3</f>
        <v>1.8543311042760002</v>
      </c>
      <c r="Q143" s="3">
        <f>$H143*factors!K$3</f>
        <v>1.7408006285040001</v>
      </c>
      <c r="R143" s="3">
        <f>$H143*factors!L$3</f>
        <v>1.7119674918000001</v>
      </c>
      <c r="S143" s="3">
        <f>$H143*factors!M$3</f>
        <v>1.7822482625159999</v>
      </c>
      <c r="T143" s="3">
        <f>$H143*factors!N$3</f>
        <v>1.8435186780120001</v>
      </c>
      <c r="U143" s="3">
        <f>$H143*factors!O$3</f>
        <v>1.7462068416360002</v>
      </c>
      <c r="V143" s="3">
        <f>$H143*factors!P$3</f>
        <v>1.8164876123520002</v>
      </c>
      <c r="W143" s="3">
        <f>$H143*factors!Q$3</f>
        <v>1.8327062517479999</v>
      </c>
      <c r="X143" s="3">
        <f>$H143*factors!R$3</f>
        <v>1.7534151258120001</v>
      </c>
      <c r="Y143" s="3">
        <f>$H143*factors!S$3</f>
        <v>1.7371964864160001</v>
      </c>
      <c r="Z143" s="3">
        <f>$H143*factors!T$3</f>
        <v>1.8741538857600004</v>
      </c>
      <c r="AA143" s="3">
        <f>$H143*factors!U$3</f>
        <v>1.7696337652079999</v>
      </c>
      <c r="AB143" s="3">
        <f>$H143*factors!V$3</f>
        <v>1.7714358362520002</v>
      </c>
      <c r="AC143" s="3">
        <f>$H143*factors!W$3</f>
        <v>1.7732379072960003</v>
      </c>
      <c r="AD143" s="3">
        <f>$H143*factors!X$3</f>
        <v>1.7353944153720002</v>
      </c>
      <c r="AE143" s="3">
        <f>$H143*factors!Y$3</f>
        <v>1.7498109837240001</v>
      </c>
      <c r="AF143" s="3">
        <f>$H143*factors!Z$3</f>
        <v>1.7858524046040003</v>
      </c>
      <c r="AG143" s="3">
        <f>$H143*factors!AA$3</f>
        <v>1.7408006285040001</v>
      </c>
      <c r="AH143" s="3">
        <f>$H143*factors!AB$3</f>
        <v>1.7335923443280001</v>
      </c>
      <c r="AI143" s="3">
        <f>$H143*factors!AC$3</f>
        <v>1.789456546692</v>
      </c>
      <c r="AJ143" s="3">
        <f>$H143*factors!AD$3</f>
        <v>1.857935246364</v>
      </c>
      <c r="AK143" s="3">
        <f>$H143*factors!AE$3</f>
        <v>1.7876544756480002</v>
      </c>
      <c r="AL143" s="3">
        <f>$H143*factors!AF$3</f>
        <v>1.7173737049319999</v>
      </c>
      <c r="AM143" s="3">
        <f>$H143*factors!AG$3</f>
        <v>1.7660296231200001</v>
      </c>
      <c r="AN143" s="3">
        <f>$H143*factors!AH$3</f>
        <v>1.7371964864160001</v>
      </c>
      <c r="AO143" s="3">
        <f>$H143*factors!AI$3</f>
        <v>1.8200917544399999</v>
      </c>
      <c r="AP143" s="3">
        <f>$H143*factors!AJ$3</f>
        <v>1.7444047705920003</v>
      </c>
      <c r="AQ143" s="3">
        <f>$H143*factors!AK$3</f>
        <v>1.8002689729560002</v>
      </c>
      <c r="AR143" s="3">
        <f>$H143*factors!AL$3</f>
        <v>1.7606234099880003</v>
      </c>
      <c r="AS143" s="3">
        <f>$H143*factors!AM$3</f>
        <v>1.7173737049319999</v>
      </c>
      <c r="AT143" s="3">
        <f>$H143*factors!AN$3</f>
        <v>1.7714358362520002</v>
      </c>
      <c r="AU143" s="3">
        <f>$H143*factors!AO$3</f>
        <v>1.8759559568039998</v>
      </c>
      <c r="AV143" s="3">
        <f>$H143*factors!AP$3</f>
        <v>1.7732379072960003</v>
      </c>
      <c r="AW143" s="3">
        <f>$H143*factors!AQ$3</f>
        <v>1.755217196856</v>
      </c>
      <c r="AX143" s="3">
        <f>$H143*factors!AR$3</f>
        <v>1.8561331753200001</v>
      </c>
      <c r="AY143" s="3">
        <f>$H143*factors!AS$3</f>
        <v>1.7119674918000001</v>
      </c>
      <c r="AZ143" s="3">
        <f>$H143*factors!AT$3</f>
        <v>1.8345083227920003</v>
      </c>
      <c r="BA143" s="3">
        <f>$H143*factors!AU$3</f>
        <v>1.7948627598239999</v>
      </c>
      <c r="BB143" s="3">
        <f>$H143*factors!AV$3</f>
        <v>1.7714358362520002</v>
      </c>
      <c r="BC143" s="3">
        <f>$H143*factors!AW$3</f>
        <v>1.8741538857600004</v>
      </c>
      <c r="BD143" s="3">
        <f>$H143*factors!AX$3</f>
        <v>1.7299882022399999</v>
      </c>
      <c r="BE143" s="3">
        <f>$H143*factors!AY$3</f>
        <v>2.033904146642</v>
      </c>
      <c r="BF143" s="3">
        <f>$H143*factors!AZ$3</f>
        <v>1.8941101539879999</v>
      </c>
      <c r="BG143" s="3">
        <f>$H143*factors!BA$3</f>
        <v>1.9216751666239997</v>
      </c>
      <c r="BH143" s="3">
        <f>$H143*factors!BB$3</f>
        <v>1.9472712497859999</v>
      </c>
      <c r="BI143" s="3">
        <f>$H143*factors!BC$3</f>
        <v>2.0181527108499995</v>
      </c>
      <c r="BJ143" s="3">
        <f>$H143*factors!BD$3</f>
        <v>1.9275819550459998</v>
      </c>
      <c r="BK143" s="3">
        <f>$H143*factors!BE$3</f>
        <v>1.9315198139939997</v>
      </c>
      <c r="BL143" s="3">
        <f>$H143*factors!BF$3</f>
        <v>1.9098615897799998</v>
      </c>
      <c r="BM143" s="3">
        <f>$H143*factors!BG$3</f>
        <v>2.0398109350640001</v>
      </c>
      <c r="BN143" s="3">
        <f>$H143*factors!BH$3</f>
        <v>2.014214851902</v>
      </c>
      <c r="BO143" s="3">
        <f>$H143*factors!BI$3</f>
        <v>1.8941101539879999</v>
      </c>
      <c r="BP143" s="3">
        <f>$H143*factors!BJ$3</f>
        <v>1.8882033655659998</v>
      </c>
      <c r="BQ143" s="3">
        <f>$H143*factors!BK$3</f>
        <v>1.9197062371499998</v>
      </c>
      <c r="BR143" s="3">
        <f>$H143*factors!BL$3</f>
        <v>1.9886187687399999</v>
      </c>
      <c r="BS143" s="3">
        <f>$H143*factors!BM$3</f>
        <v>2.0201216403240001</v>
      </c>
      <c r="BT143" s="3">
        <f>$H143*factors!BN$3</f>
        <v>2.0260284287459998</v>
      </c>
      <c r="BU143" s="3">
        <f>$H143*factors!BO$3</f>
        <v>2.0595002298040002</v>
      </c>
      <c r="BV143" s="3">
        <f>$H143*factors!BP$3</f>
        <v>1.9157683782019999</v>
      </c>
      <c r="BW143" s="3">
        <f>$H143*factors!BQ$3</f>
        <v>1.9590848266299998</v>
      </c>
      <c r="BX143" s="3">
        <f>$H143*factors!BR$3</f>
        <v>1.9216751666239997</v>
      </c>
      <c r="BY143" s="3">
        <f>$H143*factors!BS$3</f>
        <v>2.0102769929539996</v>
      </c>
      <c r="BZ143" s="3">
        <f>$H143*factors!BT$3</f>
        <v>1.9728673329479998</v>
      </c>
      <c r="CA143" s="3">
        <f>$H143*factors!BU$3</f>
        <v>1.9472712497859999</v>
      </c>
      <c r="CB143" s="3">
        <f>$H143*factors!BV$3</f>
        <v>1.8842655066179999</v>
      </c>
      <c r="CC143" s="3">
        <f>$H143*factors!BW$3</f>
        <v>1.9393955318899998</v>
      </c>
      <c r="CD143" s="3">
        <f>$H143*factors!BX$3</f>
        <v>1.9453023203119999</v>
      </c>
      <c r="CE143" s="3">
        <f>$H143*factors!BY$3</f>
        <v>1.9728673329479998</v>
      </c>
      <c r="CF143" s="3">
        <f>$H143*factors!BZ$3</f>
        <v>1.9433333908380002</v>
      </c>
      <c r="CG143" s="3">
        <f>$H143*factors!CA$3</f>
        <v>1.8783587181959998</v>
      </c>
      <c r="CH143" s="3">
        <f>$H143*factors!CB$3</f>
        <v>1.8803276476699997</v>
      </c>
      <c r="CI143" s="3">
        <f>$H143*factors!CC$3</f>
        <v>1.8704830002999999</v>
      </c>
      <c r="CJ143" s="3">
        <f>$H143*factors!CD$3</f>
        <v>1.9472712497859999</v>
      </c>
      <c r="CK143" s="3">
        <f>$H143*factors!CE$3</f>
        <v>2.033904146642</v>
      </c>
      <c r="CL143" s="3">
        <f>$H143*factors!CF$3</f>
        <v>1.9059237308319998</v>
      </c>
      <c r="CM143" s="3">
        <f>$H143*factors!CG$3</f>
        <v>1.9512091087339998</v>
      </c>
      <c r="CN143" s="3">
        <f>$H143*factors!CH$3</f>
        <v>1.8862344360919998</v>
      </c>
      <c r="CO143" s="3">
        <f>$H143*factors!CI$3</f>
        <v>1.9000169424099997</v>
      </c>
      <c r="CP143" s="3">
        <f>$H143*factors!CJ$3</f>
        <v>1.9905876982139996</v>
      </c>
      <c r="CQ143" s="3">
        <f>$H143*factors!CK$3</f>
        <v>1.9315198139939997</v>
      </c>
      <c r="CR143" s="3">
        <f>$H143*factors!CL$3</f>
        <v>1.9925566276879998</v>
      </c>
      <c r="CS143" s="3">
        <f>$H143*factors!CM$3</f>
        <v>2.0555623708559998</v>
      </c>
      <c r="CT143" s="3">
        <f>$H143*factors!CN$3</f>
        <v>2.0319352171679999</v>
      </c>
      <c r="CU143" s="3">
        <f>$H143*factors!CO$3</f>
        <v>1.9866498392659997</v>
      </c>
      <c r="CV143" s="3">
        <f>$H143*factors!CP$3</f>
        <v>2.0673759477</v>
      </c>
      <c r="CW143" s="3">
        <f>$H143*factors!CQ$3</f>
        <v>1.9551469676820001</v>
      </c>
      <c r="CX143" s="3">
        <f>$H143*factors!CR$3</f>
        <v>1.9256130255719999</v>
      </c>
      <c r="CY143" s="3">
        <f>$H143*factors!CS$3</f>
        <v>1.9078926603059998</v>
      </c>
      <c r="CZ143" s="3">
        <f>$H143*factors!CT$3</f>
        <v>1.8803276476699997</v>
      </c>
      <c r="DA143" s="3">
        <f>$H143*factors!CU$3</f>
        <v>1.952243631</v>
      </c>
      <c r="DB143" s="3">
        <f>$H143*factors!CV$3</f>
        <v>2.0783886040800001</v>
      </c>
      <c r="DC143" s="3">
        <f>$H143*factors!CW$3</f>
        <v>1.9902873530399998</v>
      </c>
      <c r="DD143" s="3">
        <f>$H143*factors!CX$3</f>
        <v>1.9762712449199999</v>
      </c>
      <c r="DE143" s="3">
        <f>$H143*factors!CY$3</f>
        <v>2.03433797856</v>
      </c>
      <c r="DF143" s="3">
        <f>$H143*factors!CZ$3</f>
        <v>2.0303333762399998</v>
      </c>
      <c r="DG143" s="3">
        <f>$H143*factors!DA$3</f>
        <v>2.0223241715999998</v>
      </c>
      <c r="DH143" s="3">
        <f>$H143*factors!DB$3</f>
        <v>2.0223241715999998</v>
      </c>
      <c r="DI143" s="3">
        <f>$H143*factors!DC$3</f>
        <v>1.9462367275199999</v>
      </c>
      <c r="DJ143" s="3">
        <f>$H143*factors!DD$3</f>
        <v>2.0623701948000002</v>
      </c>
      <c r="DK143" s="3">
        <f>$H143*factors!DE$3</f>
        <v>2.0623701948000002</v>
      </c>
      <c r="DL143" s="3">
        <f>$H143*factors!DF$3</f>
        <v>2.0383425808800002</v>
      </c>
      <c r="DM143" s="3">
        <f>$H143*factors!DG$3</f>
        <v>1.9202068124399998</v>
      </c>
      <c r="DN143" s="3">
        <f>$H143*factors!DH$3</f>
        <v>2.0143149669600002</v>
      </c>
      <c r="DO143" s="3">
        <f>$H143*factors!DI$3</f>
        <v>2.0803909052399998</v>
      </c>
      <c r="DP143" s="3">
        <f>$H143*factors!DJ$3</f>
        <v>2.0623701948000002</v>
      </c>
      <c r="DQ143" s="3">
        <f>$H143*factors!DK$3</f>
        <v>1.9662597391199998</v>
      </c>
      <c r="DR143" s="3">
        <f>$H143*factors!DL$3</f>
        <v>1.94423442636</v>
      </c>
      <c r="DS143" s="3">
        <f>$H143*factors!DM$3</f>
        <v>2.10041391684</v>
      </c>
      <c r="DT143" s="3">
        <f>$H143*factors!DN$3</f>
        <v>1.9742689437600001</v>
      </c>
      <c r="DU143" s="3">
        <f>$H143*factors!DO$3</f>
        <v>2.0663747971199999</v>
      </c>
      <c r="DV143" s="3">
        <f>$H143*factors!DP$3</f>
        <v>2.01831956928</v>
      </c>
      <c r="DW143" s="3">
        <f>$H143*factors!DQ$3</f>
        <v>1.9262137159199999</v>
      </c>
      <c r="DX143" s="3">
        <f>$H143*factors!DR$3</f>
        <v>2.0403448820399999</v>
      </c>
      <c r="DY143" s="3">
        <f>$H143*factors!DS$3</f>
        <v>1.9362252217199998</v>
      </c>
      <c r="DZ143" s="3">
        <f>$H143*factors!DT$3</f>
        <v>2.0703793994399997</v>
      </c>
      <c r="EA143" s="3">
        <f>$H143*factors!DU$3</f>
        <v>1.9502413298399996</v>
      </c>
      <c r="EB143" s="3">
        <f>$H143*factors!DV$3</f>
        <v>1.9021861019999999</v>
      </c>
      <c r="EC143" s="3">
        <f>$H143*factors!DW$3</f>
        <v>2.0463517855199997</v>
      </c>
      <c r="ED143" s="3">
        <f>$H143*factors!DX$3</f>
        <v>1.9202068124399998</v>
      </c>
      <c r="EE143" s="3">
        <f>$H143*factors!DY$3</f>
        <v>1.9362252217199998</v>
      </c>
      <c r="EF143" s="3">
        <f>$H143*factors!DZ$3</f>
        <v>2.10041391684</v>
      </c>
      <c r="EG143" s="3">
        <f>$H143*factors!EA$3</f>
        <v>1.9622551367999999</v>
      </c>
      <c r="EH143" s="3">
        <f>$H143*factors!EB$3</f>
        <v>1.96826204028</v>
      </c>
      <c r="EI143" s="3">
        <f>$H143*factors!EC$3</f>
        <v>1.96425743796</v>
      </c>
      <c r="EJ143" s="3">
        <f>$H143*factors!ED$3</f>
        <v>1.9141999089599999</v>
      </c>
      <c r="EK143" s="3">
        <f>$H143*factors!EE$3</f>
        <v>2.0463517855199997</v>
      </c>
      <c r="EL143" s="3">
        <f>$H143*factors!EF$3</f>
        <v>1.9462367275199999</v>
      </c>
      <c r="EM143" s="3">
        <f>$H143*factors!EG$3</f>
        <v>2.0243264727599999</v>
      </c>
      <c r="EN143" s="3">
        <f>$H143*factors!EH$3</f>
        <v>1.9021861019999999</v>
      </c>
      <c r="EO143" s="3">
        <f>$H143*factors!EI$3</f>
        <v>1.9302183182399997</v>
      </c>
      <c r="EP143" s="3">
        <f>$H143*factors!EJ$3</f>
        <v>2.0363402797200001</v>
      </c>
      <c r="EQ143" s="3">
        <f>$H143*factors!EK$3</f>
        <v>1.9802758472399997</v>
      </c>
      <c r="ER143" s="3">
        <f>$H143*factors!EL$3</f>
        <v>2.0623701948000002</v>
      </c>
      <c r="ES143" s="3">
        <f>$H143*factors!EM$3</f>
        <v>2.0363402797200001</v>
      </c>
      <c r="ET143" s="3">
        <f>$H143*factors!EN$3</f>
        <v>2.0823932063999999</v>
      </c>
      <c r="EU143" s="3">
        <f>$H143*factors!EO$3</f>
        <v>2.1024162180000001</v>
      </c>
      <c r="EV143" s="3">
        <f>$H143*factors!EP$3</f>
        <v>1.9702643414399998</v>
      </c>
      <c r="EW143" s="3">
        <f>$H143*factors!EQ$3</f>
        <v>2.1670738596249999</v>
      </c>
      <c r="EX143" s="3">
        <f>$H143*factors!ER$3</f>
        <v>2.1441308255000004</v>
      </c>
      <c r="EY143" s="3">
        <f>$H143*factors!ES$3</f>
        <v>2.1879311633749996</v>
      </c>
      <c r="EZ143" s="3">
        <f>$H143*factors!ET$3</f>
        <v>2.1670738596249999</v>
      </c>
      <c r="FA143" s="3">
        <f>$H143*factors!EU$3</f>
        <v>1.9918725081249997</v>
      </c>
      <c r="FB143" s="3">
        <f>$H143*factors!EV$3</f>
        <v>2.0815589142499999</v>
      </c>
      <c r="FC143" s="3">
        <f>$H143*factors!EW$3</f>
        <v>2.1399593647500001</v>
      </c>
      <c r="FD143" s="3">
        <f>$H143*factors!EX$3</f>
        <v>2.0648730712500001</v>
      </c>
      <c r="FE143" s="3">
        <f>$H143*factors!EY$3</f>
        <v>2.175416781125</v>
      </c>
      <c r="FF143" s="3">
        <f>$H143*factors!EZ$3</f>
        <v>2.1775025115000002</v>
      </c>
      <c r="FG143" s="3">
        <f>$H143*factors!FA$3</f>
        <v>1.9918725081249997</v>
      </c>
      <c r="FH143" s="3">
        <f>$H143*factors!FB$3</f>
        <v>2.0961590268749997</v>
      </c>
      <c r="FI143" s="3">
        <f>$H143*factors!FC$3</f>
        <v>2.1837597026249997</v>
      </c>
      <c r="FJ143" s="3">
        <f>$H143*factors!FD$3</f>
        <v>2.0961590268749997</v>
      </c>
      <c r="FK143" s="3">
        <f>$H143*factors!FE$3</f>
        <v>2.13161644325</v>
      </c>
      <c r="FL143" s="3">
        <f>$H143*factors!FF$3</f>
        <v>2.137873634375</v>
      </c>
      <c r="FM143" s="3">
        <f>$H143*factors!FG$3</f>
        <v>2.1608166684999999</v>
      </c>
      <c r="FN143" s="3">
        <f>$H143*factors!FH$3</f>
        <v>2.021072733375</v>
      </c>
      <c r="FO143" s="3">
        <f>$H143*factors!FI$3</f>
        <v>2.1462165558749997</v>
      </c>
      <c r="FP143" s="3">
        <f>$H143*factors!FJ$3</f>
        <v>2.0857303749999998</v>
      </c>
      <c r="FQ143" s="3">
        <f>$H143*factors!FK$3</f>
        <v>2.0648730712500001</v>
      </c>
      <c r="FR143" s="3">
        <f>$H143*factors!FL$3</f>
        <v>2.10658767875</v>
      </c>
      <c r="FS143" s="3">
        <f>$H143*factors!FM$3</f>
        <v>2.0940732965</v>
      </c>
      <c r="FT143" s="3">
        <f>$H143*factors!FN$3</f>
        <v>2.1399593647500001</v>
      </c>
      <c r="FU143" s="3">
        <f>$H143*factors!FO$3</f>
        <v>2.0565301497499999</v>
      </c>
      <c r="FV143" s="3">
        <f>$H143*factors!FP$3</f>
        <v>2.0398443067500001</v>
      </c>
      <c r="FW143" s="3">
        <f>$H143*factors!FQ$3</f>
        <v>2.1837597026249997</v>
      </c>
      <c r="FX143" s="3">
        <f>$H143*factors!FR$3</f>
        <v>2.1441308255000004</v>
      </c>
      <c r="FY143" s="3">
        <f>$H143*factors!FS$3</f>
        <v>2.1003304876249995</v>
      </c>
      <c r="FZ143" s="3">
        <f>$H143*factors!FT$3</f>
        <v>1.996043968875</v>
      </c>
      <c r="GA143" s="3">
        <f>$H143*factors!FU$3</f>
        <v>2.1003304876249995</v>
      </c>
      <c r="GB143" s="3">
        <f>$H143*factors!FV$3</f>
        <v>2.1775025115000002</v>
      </c>
      <c r="GC143" s="3">
        <f>$H143*factors!FW$3</f>
        <v>2.0398443067500001</v>
      </c>
      <c r="GD143" s="3">
        <f>$H143*factors!FX$3</f>
        <v>2.0753017231249999</v>
      </c>
      <c r="GE143" s="3">
        <f>$H143*factors!FY$3</f>
        <v>2.0753017231249999</v>
      </c>
      <c r="GF143" s="3">
        <f>$H143*factors!FZ$3</f>
        <v>2.0690445319999999</v>
      </c>
      <c r="GG143" s="3">
        <f>$H143*factors!GA$3</f>
        <v>1.9877010473749999</v>
      </c>
      <c r="GH143" s="3">
        <f>$H143*factors!GB$3</f>
        <v>2.1149306002500001</v>
      </c>
      <c r="GI143" s="3">
        <f>$H143*factors!GC$3</f>
        <v>1.983529586625</v>
      </c>
      <c r="GJ143" s="3">
        <f>$H143*factors!GD$3</f>
        <v>1.9877010473749999</v>
      </c>
      <c r="GK143" s="3">
        <f>$H143*factors!GE$3</f>
        <v>2.0377585763749999</v>
      </c>
      <c r="GL143" s="3">
        <f>$H143*factors!GF$3</f>
        <v>2.1587309381250002</v>
      </c>
      <c r="GM143" s="3">
        <f>$H143*factors!GG$3</f>
        <v>2.0461014978750001</v>
      </c>
      <c r="GN143" s="3">
        <f>$H143*factors!GH$3</f>
        <v>2.1107591395000003</v>
      </c>
      <c r="GO143" s="3">
        <f>$H143*factors!GI$3</f>
        <v>1.9939582384999996</v>
      </c>
      <c r="GP143" s="3">
        <f>$H143*factors!GJ$3</f>
        <v>2.137873634375</v>
      </c>
      <c r="GQ143" s="3">
        <f>$H143*factors!GK$3</f>
        <v>2.18167397225</v>
      </c>
      <c r="GR143" s="3">
        <f>$H143*factors!GL$3</f>
        <v>2.1399593647500001</v>
      </c>
      <c r="GS143" s="3">
        <f>$H143*factors!GM$3</f>
        <v>2.023742468255</v>
      </c>
      <c r="GT143" s="3">
        <f>$H143*factors!GN$3</f>
        <v>2.070362713597</v>
      </c>
      <c r="GU143" s="3">
        <f>$H143*factors!GO$3</f>
        <v>2.119102061</v>
      </c>
      <c r="GV143" s="3">
        <f>$H143*factors!GP$3</f>
        <v>2.03433797856</v>
      </c>
      <c r="GW143" s="3">
        <f>$H143*factors!GQ$3</f>
        <v>2.106387448634</v>
      </c>
      <c r="GX143" s="3">
        <f>$H143*factors!GR$3</f>
        <v>2.072481815658</v>
      </c>
      <c r="GY143" s="3">
        <f>$H143*factors!GS$3</f>
        <v>2.0618863053530001</v>
      </c>
      <c r="GZ143" s="3">
        <f>$H143*factors!GT$3</f>
        <v>2.1381739795489998</v>
      </c>
      <c r="HA143" s="3">
        <f>$H143*factors!GU$3</f>
        <v>2.0682436115359999</v>
      </c>
      <c r="HB143" s="3">
        <f>$H143*factors!GV$3</f>
        <v>2.1381739795489998</v>
      </c>
      <c r="HC143" s="3">
        <f>$H143*factors!GW$3</f>
        <v>2.0851964280240001</v>
      </c>
      <c r="HD143" s="3">
        <f>$H143*factors!GX$3</f>
        <v>2.1466503877929997</v>
      </c>
      <c r="HE143" s="3">
        <f>$H143*factors!GY$3</f>
        <v>2.119102061</v>
      </c>
      <c r="HF143" s="3">
        <f>$H143*factors!GZ$3</f>
        <v>2.1847942248909997</v>
      </c>
      <c r="HG143" s="3">
        <f>$H143*factors!HA$3</f>
        <v>2.1000301424510002</v>
      </c>
      <c r="HH143" s="3">
        <f>$H143*factors!HB$3</f>
        <v>2.072481815658</v>
      </c>
      <c r="HI143" s="3">
        <f>$H143*factors!HC$3</f>
        <v>2.047052590926</v>
      </c>
      <c r="HJ143" s="3">
        <f>$H143*factors!HD$3</f>
        <v>2.023742468255</v>
      </c>
      <c r="HK143" s="3">
        <f>$H143*factors!HE$3</f>
        <v>2.1402930816099999</v>
      </c>
      <c r="HL143" s="3">
        <f>$H143*factors!HF$3</f>
        <v>2.0173851620719998</v>
      </c>
      <c r="HM143" s="3">
        <f>$H143*factors!HG$3</f>
        <v>2.0385761826820001</v>
      </c>
      <c r="HN143" s="3">
        <f>$H143*factors!HH$3</f>
        <v>2.1741987145860002</v>
      </c>
      <c r="HO143" s="3">
        <f>$H143*factors!HI$3</f>
        <v>2.0851964280240001</v>
      </c>
      <c r="HP143" s="3">
        <f>$H143*factors!HJ$3</f>
        <v>2.2250571640500003</v>
      </c>
      <c r="HQ143" s="3">
        <f>$H143*factors!HK$3</f>
        <v>2.03433797856</v>
      </c>
      <c r="HR143" s="3">
        <f>$H143*factors!HL$3</f>
        <v>2.157245898098</v>
      </c>
      <c r="HS143" s="3">
        <f>$H143*factors!HM$3</f>
        <v>2.1953897351960001</v>
      </c>
      <c r="HT143" s="3">
        <f>$H143*factors!HN$3</f>
        <v>2.047052590926</v>
      </c>
      <c r="HU143" s="3">
        <f>$H143*factors!HO$3</f>
        <v>2.0682436115359999</v>
      </c>
      <c r="HV143" s="3">
        <f>$H143*factors!HP$3</f>
        <v>2.0936728362680004</v>
      </c>
      <c r="HW143" s="3">
        <f>$H143*factors!HQ$3</f>
        <v>2.1233402651220001</v>
      </c>
      <c r="HX143" s="3">
        <f>$H143*factors!HR$3</f>
        <v>2.2102234496229998</v>
      </c>
      <c r="HY143" s="3">
        <f>$H143*factors!HS$3</f>
        <v>2.1000301424510002</v>
      </c>
      <c r="HZ143" s="3">
        <f>$H143*factors!HT$3</f>
        <v>2.180556020769</v>
      </c>
      <c r="IA143" s="3">
        <f>$H143*factors!HU$3</f>
        <v>2.0746009177190001</v>
      </c>
      <c r="IB143" s="3">
        <f>$H143*factors!HV$3</f>
        <v>2.1466503877929997</v>
      </c>
      <c r="IC143" s="3">
        <f>$H143*factors!HW$3</f>
        <v>2.167841408403</v>
      </c>
      <c r="ID143" s="3">
        <f>$H143*factors!HX$3</f>
        <v>2.0131469579499996</v>
      </c>
      <c r="IE143" s="3">
        <f>$H143*factors!HY$3</f>
        <v>2.1381739795489998</v>
      </c>
      <c r="IF143" s="3">
        <f>$H143*factors!HZ$3</f>
        <v>2.1254593671829998</v>
      </c>
      <c r="IG143" s="3">
        <f>$H143*factors!IA$3</f>
        <v>2.106387448634</v>
      </c>
      <c r="IH143" s="3">
        <f>$H143*factors!IB$3</f>
        <v>2.1847942248909997</v>
      </c>
      <c r="II143" s="3">
        <f>$H143*factors!IC$3</f>
        <v>2.0915537342069999</v>
      </c>
      <c r="IJ143" s="3">
        <f>$H143*factors!ID$3</f>
        <v>2.1106256527560001</v>
      </c>
      <c r="IK143" s="3">
        <f>$H143*factors!IE$3</f>
        <v>2.1869133269520002</v>
      </c>
      <c r="IL143" s="3">
        <f>$H143*factors!IF$3</f>
        <v>2.0936728362680004</v>
      </c>
      <c r="IM143" s="3">
        <f>$H143*factors!IG$3</f>
        <v>2.0746009177190001</v>
      </c>
      <c r="IN143" s="3">
        <f>$H143*factors!IH$3</f>
        <v>2.0873155300850001</v>
      </c>
      <c r="IO143" s="3">
        <f>$H143*factors!II$3</f>
        <v>2.108506550695</v>
      </c>
      <c r="IP143" s="3">
        <f>$H143*factors!IJ$3</f>
        <v>2.0385761826820001</v>
      </c>
      <c r="IQ143" s="3">
        <f>$H143*factors!IK$3</f>
        <v>2.0322188764989999</v>
      </c>
      <c r="IR143" s="3">
        <f>$H143*factors!IL$3</f>
        <v>2.0915537342069999</v>
      </c>
      <c r="IS143" s="3">
        <f>$H143*factors!IM$3</f>
        <v>2.108506550695</v>
      </c>
      <c r="IT143" s="3">
        <f>$H143*factors!IN$3</f>
        <v>2.1233402651220001</v>
      </c>
      <c r="IU143" s="3">
        <f>$H143*factors!IO$3</f>
        <v>2.1699605104640001</v>
      </c>
      <c r="IV143" s="3">
        <f>$H143*factors!IP$3</f>
        <v>2.1975088372569997</v>
      </c>
      <c r="IW143" s="3">
        <f>$H143*factors!IQ$3</f>
        <v>2.0767200197799998</v>
      </c>
      <c r="IX143" s="3">
        <f>$H143*factors!IR$3</f>
        <v>2.1699605104640001</v>
      </c>
      <c r="IY143" s="3">
        <f>$H143*factors!IS$3</f>
        <v>2.1381739795489998</v>
      </c>
      <c r="IZ143" s="3">
        <f>$H143*factors!IT$3</f>
        <v>2.1741987145860002</v>
      </c>
      <c r="JA143" s="3">
        <f>$H143*factors!IU$3</f>
        <v>2.0534098971089998</v>
      </c>
      <c r="JB143" s="3">
        <f>$H143*factors!IV$3</f>
        <v>2.0915537342069999</v>
      </c>
      <c r="JC143" s="3">
        <f>$H143*factors!IW$3</f>
        <v>2.0428143868040003</v>
      </c>
      <c r="JD143" s="3">
        <f>$H143*factors!IX$3</f>
        <v>2.2250571640500003</v>
      </c>
      <c r="JE143" s="3">
        <f>$H143*factors!IY$3</f>
        <v>2.0491716929870001</v>
      </c>
      <c r="JF143" s="3">
        <f>$H143*factors!IZ$3</f>
        <v>2.1508885919149998</v>
      </c>
      <c r="JG143" s="3">
        <f>$H143*factors!JA$3</f>
        <v>2.1127447548169997</v>
      </c>
      <c r="JH143" s="3">
        <f>$H143*factors!JB$3</f>
        <v>2.1530076939760003</v>
      </c>
      <c r="JI143" s="3">
        <f>$H143*factors!JC$3</f>
        <v>2.0152660600110002</v>
      </c>
      <c r="JJ143" s="3">
        <f>$H143*factors!JD$3</f>
        <v>2.1699605104640001</v>
      </c>
      <c r="JK143" s="3">
        <f>$H143*factors!JE$3</f>
        <v>2.1000301424510002</v>
      </c>
      <c r="JL143" s="3">
        <f>$H143*factors!JF$3</f>
        <v>2.1847942248909997</v>
      </c>
      <c r="JM143" s="3">
        <f>$H143*factors!JG$3</f>
        <v>2.0385761826820001</v>
      </c>
      <c r="JN143" s="3">
        <f>$H143*factors!JH$3</f>
        <v>2.0385761826820001</v>
      </c>
      <c r="JO143" s="3">
        <f>$H143*factors!JI$3</f>
        <v>2.0131469579499996</v>
      </c>
      <c r="JP143" s="3">
        <f>$H143*factors!JJ$3</f>
        <v>2.1763178166469999</v>
      </c>
      <c r="JQ143" s="3">
        <f>$H143*factors!JK$3</f>
        <v>2.1212211630610001</v>
      </c>
      <c r="JR143" s="3">
        <f>$H143*factors!JL$3</f>
        <v>2.20386614344</v>
      </c>
      <c r="JS143" s="3">
        <f>$H143*factors!JM$3</f>
        <v>2.0131469579499996</v>
      </c>
      <c r="JT143" s="3">
        <f>$H143*factors!JN$3</f>
        <v>2.1148638568780003</v>
      </c>
      <c r="JU143" s="3">
        <f>$H143*factors!JO$3</f>
        <v>2.0449334888649999</v>
      </c>
      <c r="JV143" s="3">
        <f>$H143*factors!JP$3</f>
        <v>2.0788391218410003</v>
      </c>
      <c r="JW143" s="3">
        <f>$H143*factors!JQ$3</f>
        <v>2.2208189599280002</v>
      </c>
      <c r="JX143" s="3">
        <f>$H143*factors!JR$3</f>
        <v>2.1996279393179998</v>
      </c>
      <c r="JY143" s="3">
        <f>$H143*factors!JS$3</f>
        <v>2.070362713597</v>
      </c>
      <c r="JZ143" s="3">
        <f>$H143*factors!JT$3</f>
        <v>2.0936728362680004</v>
      </c>
      <c r="KA143" s="3">
        <f>$H143*factors!JU$3</f>
        <v>2.1021492445120002</v>
      </c>
      <c r="KB143" s="3">
        <f>$H143*factors!JV$3</f>
        <v>2.0322188764989999</v>
      </c>
      <c r="KC143" s="3">
        <f>$H143*factors!JW$3</f>
        <v>2.0428143868040003</v>
      </c>
      <c r="KD143" s="3">
        <f>$H143*factors!JX$3</f>
        <v>2.0449334888649999</v>
      </c>
      <c r="KE143" s="3">
        <f>$H143*factors!JY$3</f>
        <v>2.1763178166469999</v>
      </c>
      <c r="KF143" s="3">
        <f>$H143*factors!JZ$3</f>
        <v>2.2017470413789999</v>
      </c>
      <c r="KG143" s="3">
        <f>$H143*factors!KA$3</f>
        <v>2.1233402651220001</v>
      </c>
      <c r="KH143" s="3">
        <f>$H143*factors!KB$3</f>
        <v>2.0767200197799998</v>
      </c>
      <c r="KI143" s="3">
        <f>$H143*factors!KC$3</f>
        <v>2.0576481012309999</v>
      </c>
    </row>
    <row r="144" spans="1:295" x14ac:dyDescent="0.55000000000000004">
      <c r="A144" t="s">
        <v>521</v>
      </c>
      <c r="B144">
        <v>143</v>
      </c>
      <c r="C144">
        <v>230</v>
      </c>
      <c r="D144" t="s">
        <v>377</v>
      </c>
      <c r="E144">
        <v>2.748E-3</v>
      </c>
      <c r="F144">
        <v>143</v>
      </c>
      <c r="G144">
        <f>VLOOKUP(D144,demand_forecasted!$A$2:$G$11,2)</f>
        <v>11098</v>
      </c>
      <c r="H144" s="3">
        <f t="shared" si="2"/>
        <v>0.30497303999999997</v>
      </c>
      <c r="I144" s="3">
        <f>$H144*factors!C$3</f>
        <v>0.33760515527999996</v>
      </c>
      <c r="J144" s="3">
        <f>$H144*factors!D$3</f>
        <v>0.32541843260159997</v>
      </c>
      <c r="K144" s="3">
        <f>$H144*factors!E$3</f>
        <v>0.31981912758719999</v>
      </c>
      <c r="L144" s="3">
        <f>$H144*factors!F$3</f>
        <v>0.31883101493760002</v>
      </c>
      <c r="M144" s="3">
        <f>$H144*factors!G$3</f>
        <v>0.31850164405439996</v>
      </c>
      <c r="N144" s="3">
        <f>$H144*factors!H$3</f>
        <v>0.32772402878399998</v>
      </c>
      <c r="O144" s="3">
        <f>$H144*factors!I$3</f>
        <v>0.33497018821439994</v>
      </c>
      <c r="P144" s="3">
        <f>$H144*factors!J$3</f>
        <v>0.33892263881279999</v>
      </c>
      <c r="Q144" s="3">
        <f>$H144*factors!K$3</f>
        <v>0.31817227317119995</v>
      </c>
      <c r="R144" s="3">
        <f>$H144*factors!L$3</f>
        <v>0.31290233903999998</v>
      </c>
      <c r="S144" s="3">
        <f>$H144*factors!M$3</f>
        <v>0.32574780348479998</v>
      </c>
      <c r="T144" s="3">
        <f>$H144*factors!N$3</f>
        <v>0.3369464135136</v>
      </c>
      <c r="U144" s="3">
        <f>$H144*factors!O$3</f>
        <v>0.31916038582080003</v>
      </c>
      <c r="V144" s="3">
        <f>$H144*factors!P$3</f>
        <v>0.33200585026559998</v>
      </c>
      <c r="W144" s="3">
        <f>$H144*factors!Q$3</f>
        <v>0.33497018821439994</v>
      </c>
      <c r="X144" s="3">
        <f>$H144*factors!R$3</f>
        <v>0.32047786935359995</v>
      </c>
      <c r="Y144" s="3">
        <f>$H144*factors!S$3</f>
        <v>0.31751353140479999</v>
      </c>
      <c r="Z144" s="3">
        <f>$H144*factors!T$3</f>
        <v>0.34254571852800003</v>
      </c>
      <c r="AA144" s="3">
        <f>$H144*factors!U$3</f>
        <v>0.32344220730239998</v>
      </c>
      <c r="AB144" s="3">
        <f>$H144*factors!V$3</f>
        <v>0.32377157818560004</v>
      </c>
      <c r="AC144" s="3">
        <f>$H144*factors!W$3</f>
        <v>0.32410094906879999</v>
      </c>
      <c r="AD144" s="3">
        <f>$H144*factors!X$3</f>
        <v>0.31718416052159998</v>
      </c>
      <c r="AE144" s="3">
        <f>$H144*factors!Y$3</f>
        <v>0.31981912758719999</v>
      </c>
      <c r="AF144" s="3">
        <f>$H144*factors!Z$3</f>
        <v>0.3264065452512</v>
      </c>
      <c r="AG144" s="3">
        <f>$H144*factors!AA$3</f>
        <v>0.31817227317119995</v>
      </c>
      <c r="AH144" s="3">
        <f>$H144*factors!AB$3</f>
        <v>0.31685478963840003</v>
      </c>
      <c r="AI144" s="3">
        <f>$H144*factors!AC$3</f>
        <v>0.32706528701760001</v>
      </c>
      <c r="AJ144" s="3">
        <f>$H144*factors!AD$3</f>
        <v>0.33958138057919995</v>
      </c>
      <c r="AK144" s="3">
        <f>$H144*factors!AE$3</f>
        <v>0.32673591613440001</v>
      </c>
      <c r="AL144" s="3">
        <f>$H144*factors!AF$3</f>
        <v>0.31389045168959995</v>
      </c>
      <c r="AM144" s="3">
        <f>$H144*factors!AG$3</f>
        <v>0.32278346553599996</v>
      </c>
      <c r="AN144" s="3">
        <f>$H144*factors!AH$3</f>
        <v>0.31751353140479999</v>
      </c>
      <c r="AO144" s="3">
        <f>$H144*factors!AI$3</f>
        <v>0.33266459203199999</v>
      </c>
      <c r="AP144" s="3">
        <f>$H144*factors!AJ$3</f>
        <v>0.31883101493760002</v>
      </c>
      <c r="AQ144" s="3">
        <f>$H144*factors!AK$3</f>
        <v>0.32904151231680001</v>
      </c>
      <c r="AR144" s="3">
        <f>$H144*factors!AL$3</f>
        <v>0.32179535288639999</v>
      </c>
      <c r="AS144" s="3">
        <f>$H144*factors!AM$3</f>
        <v>0.31389045168959995</v>
      </c>
      <c r="AT144" s="3">
        <f>$H144*factors!AN$3</f>
        <v>0.32377157818560004</v>
      </c>
      <c r="AU144" s="3">
        <f>$H144*factors!AO$3</f>
        <v>0.34287508941119993</v>
      </c>
      <c r="AV144" s="3">
        <f>$H144*factors!AP$3</f>
        <v>0.32410094906879999</v>
      </c>
      <c r="AW144" s="3">
        <f>$H144*factors!AQ$3</f>
        <v>0.32080724023679996</v>
      </c>
      <c r="AX144" s="3">
        <f>$H144*factors!AR$3</f>
        <v>0.339252009696</v>
      </c>
      <c r="AY144" s="3">
        <f>$H144*factors!AS$3</f>
        <v>0.31290233903999998</v>
      </c>
      <c r="AZ144" s="3">
        <f>$H144*factors!AT$3</f>
        <v>0.33529955909760001</v>
      </c>
      <c r="BA144" s="3">
        <f>$H144*factors!AU$3</f>
        <v>0.32805339966719999</v>
      </c>
      <c r="BB144" s="3">
        <f>$H144*factors!AV$3</f>
        <v>0.32377157818560004</v>
      </c>
      <c r="BC144" s="3">
        <f>$H144*factors!AW$3</f>
        <v>0.34254571852800003</v>
      </c>
      <c r="BD144" s="3">
        <f>$H144*factors!AX$3</f>
        <v>0.31619604787199995</v>
      </c>
      <c r="BE144" s="3">
        <f>$H144*factors!AY$3</f>
        <v>0.37174383737759992</v>
      </c>
      <c r="BF144" s="3">
        <f>$H144*factors!AZ$3</f>
        <v>0.34619319608639998</v>
      </c>
      <c r="BG144" s="3">
        <f>$H144*factors!BA$3</f>
        <v>0.35123135070719991</v>
      </c>
      <c r="BH144" s="3">
        <f>$H144*factors!BB$3</f>
        <v>0.35590963714079993</v>
      </c>
      <c r="BI144" s="3">
        <f>$H144*factors!BC$3</f>
        <v>0.36886489187999988</v>
      </c>
      <c r="BJ144" s="3">
        <f>$H144*factors!BD$3</f>
        <v>0.35231095526879996</v>
      </c>
      <c r="BK144" s="3">
        <f>$H144*factors!BE$3</f>
        <v>0.35303069164319989</v>
      </c>
      <c r="BL144" s="3">
        <f>$H144*factors!BF$3</f>
        <v>0.34907214158399991</v>
      </c>
      <c r="BM144" s="3">
        <f>$H144*factors!BG$3</f>
        <v>0.37282344193919997</v>
      </c>
      <c r="BN144" s="3">
        <f>$H144*factors!BH$3</f>
        <v>0.36814515550559995</v>
      </c>
      <c r="BO144" s="3">
        <f>$H144*factors!BI$3</f>
        <v>0.34619319608639998</v>
      </c>
      <c r="BP144" s="3">
        <f>$H144*factors!BJ$3</f>
        <v>0.34511359152479992</v>
      </c>
      <c r="BQ144" s="3">
        <f>$H144*factors!BK$3</f>
        <v>0.35087148251999994</v>
      </c>
      <c r="BR144" s="3">
        <f>$H144*factors!BL$3</f>
        <v>0.36346686907199993</v>
      </c>
      <c r="BS144" s="3">
        <f>$H144*factors!BM$3</f>
        <v>0.36922476006719995</v>
      </c>
      <c r="BT144" s="3">
        <f>$H144*factors!BN$3</f>
        <v>0.3703043646287999</v>
      </c>
      <c r="BU144" s="3">
        <f>$H144*factors!BO$3</f>
        <v>0.37642212381119999</v>
      </c>
      <c r="BV144" s="3">
        <f>$H144*factors!BP$3</f>
        <v>0.35015174614559996</v>
      </c>
      <c r="BW144" s="3">
        <f>$H144*factors!BQ$3</f>
        <v>0.35806884626399993</v>
      </c>
      <c r="BX144" s="3">
        <f>$H144*factors!BR$3</f>
        <v>0.35123135070719991</v>
      </c>
      <c r="BY144" s="3">
        <f>$H144*factors!BS$3</f>
        <v>0.36742541913119992</v>
      </c>
      <c r="BZ144" s="3">
        <f>$H144*factors!BT$3</f>
        <v>0.36058792357439995</v>
      </c>
      <c r="CA144" s="3">
        <f>$H144*factors!BU$3</f>
        <v>0.35590963714079993</v>
      </c>
      <c r="CB144" s="3">
        <f>$H144*factors!BV$3</f>
        <v>0.34439385515039994</v>
      </c>
      <c r="CC144" s="3">
        <f>$H144*factors!BW$3</f>
        <v>0.35447016439199991</v>
      </c>
      <c r="CD144" s="3">
        <f>$H144*factors!BX$3</f>
        <v>0.35554976895359997</v>
      </c>
      <c r="CE144" s="3">
        <f>$H144*factors!BY$3</f>
        <v>0.36058792357439995</v>
      </c>
      <c r="CF144" s="3">
        <f>$H144*factors!BZ$3</f>
        <v>0.3551899007664</v>
      </c>
      <c r="CG144" s="3">
        <f>$H144*factors!CA$3</f>
        <v>0.34331425058879994</v>
      </c>
      <c r="CH144" s="3">
        <f>$H144*factors!CB$3</f>
        <v>0.3436741187759999</v>
      </c>
      <c r="CI144" s="3">
        <f>$H144*factors!CC$3</f>
        <v>0.34187477783999998</v>
      </c>
      <c r="CJ144" s="3">
        <f>$H144*factors!CD$3</f>
        <v>0.35590963714079993</v>
      </c>
      <c r="CK144" s="3">
        <f>$H144*factors!CE$3</f>
        <v>0.37174383737759992</v>
      </c>
      <c r="CL144" s="3">
        <f>$H144*factors!CF$3</f>
        <v>0.34835240520959992</v>
      </c>
      <c r="CM144" s="3">
        <f>$H144*factors!CG$3</f>
        <v>0.35662937351519991</v>
      </c>
      <c r="CN144" s="3">
        <f>$H144*factors!CH$3</f>
        <v>0.34475372333759996</v>
      </c>
      <c r="CO144" s="3">
        <f>$H144*factors!CI$3</f>
        <v>0.34727280064799992</v>
      </c>
      <c r="CP144" s="3">
        <f>$H144*factors!CJ$3</f>
        <v>0.36382673725919989</v>
      </c>
      <c r="CQ144" s="3">
        <f>$H144*factors!CK$3</f>
        <v>0.35303069164319989</v>
      </c>
      <c r="CR144" s="3">
        <f>$H144*factors!CL$3</f>
        <v>0.36418660544639991</v>
      </c>
      <c r="CS144" s="3">
        <f>$H144*factors!CM$3</f>
        <v>0.37570238743679996</v>
      </c>
      <c r="CT144" s="3">
        <f>$H144*factors!CN$3</f>
        <v>0.37138396919039995</v>
      </c>
      <c r="CU144" s="3">
        <f>$H144*factors!CO$3</f>
        <v>0.36310700088479991</v>
      </c>
      <c r="CV144" s="3">
        <f>$H144*factors!CP$3</f>
        <v>0.37786159655999996</v>
      </c>
      <c r="CW144" s="3">
        <f>$H144*factors!CQ$3</f>
        <v>0.35734910988959995</v>
      </c>
      <c r="CX144" s="3">
        <f>$H144*factors!CR$3</f>
        <v>0.35195108708159994</v>
      </c>
      <c r="CY144" s="3">
        <f>$H144*factors!CS$3</f>
        <v>0.34871227339679994</v>
      </c>
      <c r="CZ144" s="3">
        <f>$H144*factors!CT$3</f>
        <v>0.3436741187759999</v>
      </c>
      <c r="DA144" s="3">
        <f>$H144*factors!CU$3</f>
        <v>0.35681845679999996</v>
      </c>
      <c r="DB144" s="3">
        <f>$H144*factors!CV$3</f>
        <v>0.37987441862399995</v>
      </c>
      <c r="DC144" s="3">
        <f>$H144*factors!CW$3</f>
        <v>0.36377184211199992</v>
      </c>
      <c r="DD144" s="3">
        <f>$H144*factors!CX$3</f>
        <v>0.36121006857599991</v>
      </c>
      <c r="DE144" s="3">
        <f>$H144*factors!CY$3</f>
        <v>0.37182313036799997</v>
      </c>
      <c r="DF144" s="3">
        <f>$H144*factors!CZ$3</f>
        <v>0.37109119507199995</v>
      </c>
      <c r="DG144" s="3">
        <f>$H144*factors!DA$3</f>
        <v>0.36962732447999996</v>
      </c>
      <c r="DH144" s="3">
        <f>$H144*factors!DB$3</f>
        <v>0.36962732447999996</v>
      </c>
      <c r="DI144" s="3">
        <f>$H144*factors!DC$3</f>
        <v>0.35572055385599993</v>
      </c>
      <c r="DJ144" s="3">
        <f>$H144*factors!DD$3</f>
        <v>0.37694667743999999</v>
      </c>
      <c r="DK144" s="3">
        <f>$H144*factors!DE$3</f>
        <v>0.37694667743999999</v>
      </c>
      <c r="DL144" s="3">
        <f>$H144*factors!DF$3</f>
        <v>0.37255506566399998</v>
      </c>
      <c r="DM144" s="3">
        <f>$H144*factors!DG$3</f>
        <v>0.35096297443199992</v>
      </c>
      <c r="DN144" s="3">
        <f>$H144*factors!DH$3</f>
        <v>0.36816345388799998</v>
      </c>
      <c r="DO144" s="3">
        <f>$H144*factors!DI$3</f>
        <v>0.38024038627199996</v>
      </c>
      <c r="DP144" s="3">
        <f>$H144*factors!DJ$3</f>
        <v>0.37694667743999999</v>
      </c>
      <c r="DQ144" s="3">
        <f>$H144*factors!DK$3</f>
        <v>0.35938023033599992</v>
      </c>
      <c r="DR144" s="3">
        <f>$H144*factors!DL$3</f>
        <v>0.35535458620799998</v>
      </c>
      <c r="DS144" s="3">
        <f>$H144*factors!DM$3</f>
        <v>0.38390006275199995</v>
      </c>
      <c r="DT144" s="3">
        <f>$H144*factors!DN$3</f>
        <v>0.36084410092799996</v>
      </c>
      <c r="DU144" s="3">
        <f>$H144*factors!DO$3</f>
        <v>0.37767861273599995</v>
      </c>
      <c r="DV144" s="3">
        <f>$H144*factors!DP$3</f>
        <v>0.36889538918399994</v>
      </c>
      <c r="DW144" s="3">
        <f>$H144*factors!DQ$3</f>
        <v>0.35206087737599995</v>
      </c>
      <c r="DX144" s="3">
        <f>$H144*factors!DR$3</f>
        <v>0.37292103331199994</v>
      </c>
      <c r="DY144" s="3">
        <f>$H144*factors!DS$3</f>
        <v>0.35389071561599994</v>
      </c>
      <c r="DZ144" s="3">
        <f>$H144*factors!DT$3</f>
        <v>0.37841054803199992</v>
      </c>
      <c r="EA144" s="3">
        <f>$H144*factors!DU$3</f>
        <v>0.3564524891519999</v>
      </c>
      <c r="EB144" s="3">
        <f>$H144*factors!DV$3</f>
        <v>0.34766926559999994</v>
      </c>
      <c r="EC144" s="3">
        <f>$H144*factors!DW$3</f>
        <v>0.37401893625599997</v>
      </c>
      <c r="ED144" s="3">
        <f>$H144*factors!DX$3</f>
        <v>0.35096297443199992</v>
      </c>
      <c r="EE144" s="3">
        <f>$H144*factors!DY$3</f>
        <v>0.35389071561599994</v>
      </c>
      <c r="EF144" s="3">
        <f>$H144*factors!DZ$3</f>
        <v>0.38390006275199995</v>
      </c>
      <c r="EG144" s="3">
        <f>$H144*factors!EA$3</f>
        <v>0.35864829503999995</v>
      </c>
      <c r="EH144" s="3">
        <f>$H144*factors!EB$3</f>
        <v>0.35974619798399998</v>
      </c>
      <c r="EI144" s="3">
        <f>$H144*factors!EC$3</f>
        <v>0.35901426268799996</v>
      </c>
      <c r="EJ144" s="3">
        <f>$H144*factors!ED$3</f>
        <v>0.34986507148799995</v>
      </c>
      <c r="EK144" s="3">
        <f>$H144*factors!EE$3</f>
        <v>0.37401893625599997</v>
      </c>
      <c r="EL144" s="3">
        <f>$H144*factors!EF$3</f>
        <v>0.35572055385599993</v>
      </c>
      <c r="EM144" s="3">
        <f>$H144*factors!EG$3</f>
        <v>0.36999329212799992</v>
      </c>
      <c r="EN144" s="3">
        <f>$H144*factors!EH$3</f>
        <v>0.34766926559999994</v>
      </c>
      <c r="EO144" s="3">
        <f>$H144*factors!EI$3</f>
        <v>0.35279281267199991</v>
      </c>
      <c r="EP144" s="3">
        <f>$H144*factors!EJ$3</f>
        <v>0.37218909801599992</v>
      </c>
      <c r="EQ144" s="3">
        <f>$H144*factors!EK$3</f>
        <v>0.36194200387199993</v>
      </c>
      <c r="ER144" s="3">
        <f>$H144*factors!EL$3</f>
        <v>0.37694667743999999</v>
      </c>
      <c r="ES144" s="3">
        <f>$H144*factors!EM$3</f>
        <v>0.37218909801599992</v>
      </c>
      <c r="ET144" s="3">
        <f>$H144*factors!EN$3</f>
        <v>0.38060635391999997</v>
      </c>
      <c r="EU144" s="3">
        <f>$H144*factors!EO$3</f>
        <v>0.38426603039999996</v>
      </c>
      <c r="EV144" s="3">
        <f>$H144*factors!EP$3</f>
        <v>0.36011216563199994</v>
      </c>
      <c r="EW144" s="3">
        <f>$H144*factors!EQ$3</f>
        <v>0.39608373569999994</v>
      </c>
      <c r="EX144" s="3">
        <f>$H144*factors!ER$3</f>
        <v>0.39189035640000003</v>
      </c>
      <c r="EY144" s="3">
        <f>$H144*factors!ES$3</f>
        <v>0.39989589869999992</v>
      </c>
      <c r="EZ144" s="3">
        <f>$H144*factors!ET$3</f>
        <v>0.39608373569999994</v>
      </c>
      <c r="FA144" s="3">
        <f>$H144*factors!EU$3</f>
        <v>0.36406156649999993</v>
      </c>
      <c r="FB144" s="3">
        <f>$H144*factors!EV$3</f>
        <v>0.38045386739999998</v>
      </c>
      <c r="FC144" s="3">
        <f>$H144*factors!EW$3</f>
        <v>0.39112792379999994</v>
      </c>
      <c r="FD144" s="3">
        <f>$H144*factors!EX$3</f>
        <v>0.37740413699999997</v>
      </c>
      <c r="FE144" s="3">
        <f>$H144*factors!EY$3</f>
        <v>0.39760860089999994</v>
      </c>
      <c r="FF144" s="3">
        <f>$H144*factors!EZ$3</f>
        <v>0.39798981720000004</v>
      </c>
      <c r="FG144" s="3">
        <f>$H144*factors!FA$3</f>
        <v>0.36406156649999993</v>
      </c>
      <c r="FH144" s="3">
        <f>$H144*factors!FB$3</f>
        <v>0.38312238149999994</v>
      </c>
      <c r="FI144" s="3">
        <f>$H144*factors!FC$3</f>
        <v>0.39913346609999995</v>
      </c>
      <c r="FJ144" s="3">
        <f>$H144*factors!FD$3</f>
        <v>0.38312238149999994</v>
      </c>
      <c r="FK144" s="3">
        <f>$H144*factors!FE$3</f>
        <v>0.3896030586</v>
      </c>
      <c r="FL144" s="3">
        <f>$H144*factors!FF$3</f>
        <v>0.39074670749999996</v>
      </c>
      <c r="FM144" s="3">
        <f>$H144*factors!FG$3</f>
        <v>0.39494008679999992</v>
      </c>
      <c r="FN144" s="3">
        <f>$H144*factors!FH$3</f>
        <v>0.36939859469999997</v>
      </c>
      <c r="FO144" s="3">
        <f>$H144*factors!FI$3</f>
        <v>0.39227157269999996</v>
      </c>
      <c r="FP144" s="3">
        <f>$H144*factors!FJ$3</f>
        <v>0.38121629999999995</v>
      </c>
      <c r="FQ144" s="3">
        <f>$H144*factors!FK$3</f>
        <v>0.37740413699999997</v>
      </c>
      <c r="FR144" s="3">
        <f>$H144*factors!FL$3</f>
        <v>0.38502846299999993</v>
      </c>
      <c r="FS144" s="3">
        <f>$H144*factors!FM$3</f>
        <v>0.38274116519999996</v>
      </c>
      <c r="FT144" s="3">
        <f>$H144*factors!FN$3</f>
        <v>0.39112792379999994</v>
      </c>
      <c r="FU144" s="3">
        <f>$H144*factors!FO$3</f>
        <v>0.37587927179999997</v>
      </c>
      <c r="FV144" s="3">
        <f>$H144*factors!FP$3</f>
        <v>0.37282954139999996</v>
      </c>
      <c r="FW144" s="3">
        <f>$H144*factors!FQ$3</f>
        <v>0.39913346609999995</v>
      </c>
      <c r="FX144" s="3">
        <f>$H144*factors!FR$3</f>
        <v>0.39189035640000003</v>
      </c>
      <c r="FY144" s="3">
        <f>$H144*factors!FS$3</f>
        <v>0.38388481409999992</v>
      </c>
      <c r="FZ144" s="3">
        <f>$H144*factors!FT$3</f>
        <v>0.36482399909999996</v>
      </c>
      <c r="GA144" s="3">
        <f>$H144*factors!FU$3</f>
        <v>0.38388481409999992</v>
      </c>
      <c r="GB144" s="3">
        <f>$H144*factors!FV$3</f>
        <v>0.39798981720000004</v>
      </c>
      <c r="GC144" s="3">
        <f>$H144*factors!FW$3</f>
        <v>0.37282954139999996</v>
      </c>
      <c r="GD144" s="3">
        <f>$H144*factors!FX$3</f>
        <v>0.37931021849999996</v>
      </c>
      <c r="GE144" s="3">
        <f>$H144*factors!FY$3</f>
        <v>0.37931021849999996</v>
      </c>
      <c r="GF144" s="3">
        <f>$H144*factors!FZ$3</f>
        <v>0.37816656959999995</v>
      </c>
      <c r="GG144" s="3">
        <f>$H144*factors!GA$3</f>
        <v>0.36329913389999996</v>
      </c>
      <c r="GH144" s="3">
        <f>$H144*factors!GB$3</f>
        <v>0.38655332819999999</v>
      </c>
      <c r="GI144" s="3">
        <f>$H144*factors!GC$3</f>
        <v>0.36253670129999999</v>
      </c>
      <c r="GJ144" s="3">
        <f>$H144*factors!GD$3</f>
        <v>0.36329913389999996</v>
      </c>
      <c r="GK144" s="3">
        <f>$H144*factors!GE$3</f>
        <v>0.37244832509999998</v>
      </c>
      <c r="GL144" s="3">
        <f>$H144*factors!GF$3</f>
        <v>0.39455887049999994</v>
      </c>
      <c r="GM144" s="3">
        <f>$H144*factors!GG$3</f>
        <v>0.37397319029999998</v>
      </c>
      <c r="GN144" s="3">
        <f>$H144*factors!GH$3</f>
        <v>0.38579089560000002</v>
      </c>
      <c r="GO144" s="3">
        <f>$H144*factors!GI$3</f>
        <v>0.36444278279999992</v>
      </c>
      <c r="GP144" s="3">
        <f>$H144*factors!GJ$3</f>
        <v>0.39074670749999996</v>
      </c>
      <c r="GQ144" s="3">
        <f>$H144*factors!GK$3</f>
        <v>0.39875224980000001</v>
      </c>
      <c r="GR144" s="3">
        <f>$H144*factors!GL$3</f>
        <v>0.39112792379999994</v>
      </c>
      <c r="GS144" s="3">
        <f>$H144*factors!GM$3</f>
        <v>0.36988655156399997</v>
      </c>
      <c r="GT144" s="3">
        <f>$H144*factors!GN$3</f>
        <v>0.37840749830159998</v>
      </c>
      <c r="GU144" s="3">
        <f>$H144*factors!GO$3</f>
        <v>0.38731576079999996</v>
      </c>
      <c r="GV144" s="3">
        <f>$H144*factors!GP$3</f>
        <v>0.37182313036799997</v>
      </c>
      <c r="GW144" s="3">
        <f>$H144*factors!GQ$3</f>
        <v>0.38499186623519999</v>
      </c>
      <c r="GX144" s="3">
        <f>$H144*factors!GR$3</f>
        <v>0.37879481406239995</v>
      </c>
      <c r="GY144" s="3">
        <f>$H144*factors!GS$3</f>
        <v>0.37685823525840001</v>
      </c>
      <c r="GZ144" s="3">
        <f>$H144*factors!GT$3</f>
        <v>0.39080160264719993</v>
      </c>
      <c r="HA144" s="3">
        <f>$H144*factors!GU$3</f>
        <v>0.37802018254079994</v>
      </c>
      <c r="HB144" s="3">
        <f>$H144*factors!GV$3</f>
        <v>0.39080160264719993</v>
      </c>
      <c r="HC144" s="3">
        <f>$H144*factors!GW$3</f>
        <v>0.38111870862719993</v>
      </c>
      <c r="HD144" s="3">
        <f>$H144*factors!GX$3</f>
        <v>0.3923508656903999</v>
      </c>
      <c r="HE144" s="3">
        <f>$H144*factors!GY$3</f>
        <v>0.38731576079999996</v>
      </c>
      <c r="HF144" s="3">
        <f>$H144*factors!GZ$3</f>
        <v>0.39932254938479994</v>
      </c>
      <c r="HG144" s="3">
        <f>$H144*factors!HA$3</f>
        <v>0.38382991895279994</v>
      </c>
      <c r="HH144" s="3">
        <f>$H144*factors!HB$3</f>
        <v>0.37879481406239995</v>
      </c>
      <c r="HI144" s="3">
        <f>$H144*factors!HC$3</f>
        <v>0.3741470249328</v>
      </c>
      <c r="HJ144" s="3">
        <f>$H144*factors!HD$3</f>
        <v>0.36988655156399997</v>
      </c>
      <c r="HK144" s="3">
        <f>$H144*factors!HE$3</f>
        <v>0.39118891840799996</v>
      </c>
      <c r="HL144" s="3">
        <f>$H144*factors!HF$3</f>
        <v>0.36872460428159992</v>
      </c>
      <c r="HM144" s="3">
        <f>$H144*factors!HG$3</f>
        <v>0.37259776188959998</v>
      </c>
      <c r="HN144" s="3">
        <f>$H144*factors!HH$3</f>
        <v>0.3973859705808</v>
      </c>
      <c r="HO144" s="3">
        <f>$H144*factors!HI$3</f>
        <v>0.38111870862719993</v>
      </c>
      <c r="HP144" s="3">
        <f>$H144*factors!HJ$3</f>
        <v>0.40668154884000002</v>
      </c>
      <c r="HQ144" s="3">
        <f>$H144*factors!HK$3</f>
        <v>0.37182313036799997</v>
      </c>
      <c r="HR144" s="3">
        <f>$H144*factors!HL$3</f>
        <v>0.39428744449440001</v>
      </c>
      <c r="HS144" s="3">
        <f>$H144*factors!HM$3</f>
        <v>0.40125912818879994</v>
      </c>
      <c r="HT144" s="3">
        <f>$H144*factors!HN$3</f>
        <v>0.3741470249328</v>
      </c>
      <c r="HU144" s="3">
        <f>$H144*factors!HO$3</f>
        <v>0.37802018254079994</v>
      </c>
      <c r="HV144" s="3">
        <f>$H144*factors!HP$3</f>
        <v>0.38266797167040001</v>
      </c>
      <c r="HW144" s="3">
        <f>$H144*factors!HQ$3</f>
        <v>0.38809039232159998</v>
      </c>
      <c r="HX144" s="3">
        <f>$H144*factors!HR$3</f>
        <v>0.4039703385143999</v>
      </c>
      <c r="HY144" s="3">
        <f>$H144*factors!HS$3</f>
        <v>0.38382991895279994</v>
      </c>
      <c r="HZ144" s="3">
        <f>$H144*factors!HT$3</f>
        <v>0.39854791786319993</v>
      </c>
      <c r="IA144" s="3">
        <f>$H144*factors!HU$3</f>
        <v>0.37918212982319999</v>
      </c>
      <c r="IB144" s="3">
        <f>$H144*factors!HV$3</f>
        <v>0.3923508656903999</v>
      </c>
      <c r="IC144" s="3">
        <f>$H144*factors!HW$3</f>
        <v>0.39622402329839995</v>
      </c>
      <c r="ID144" s="3">
        <f>$H144*factors!HX$3</f>
        <v>0.36794997275999997</v>
      </c>
      <c r="IE144" s="3">
        <f>$H144*factors!HY$3</f>
        <v>0.39080160264719993</v>
      </c>
      <c r="IF144" s="3">
        <f>$H144*factors!HZ$3</f>
        <v>0.38847770808239995</v>
      </c>
      <c r="IG144" s="3">
        <f>$H144*factors!IA$3</f>
        <v>0.38499186623519999</v>
      </c>
      <c r="IH144" s="3">
        <f>$H144*factors!IB$3</f>
        <v>0.39932254938479994</v>
      </c>
      <c r="II144" s="3">
        <f>$H144*factors!IC$3</f>
        <v>0.38228065590959998</v>
      </c>
      <c r="IJ144" s="3">
        <f>$H144*factors!ID$3</f>
        <v>0.3857664977568</v>
      </c>
      <c r="IK144" s="3">
        <f>$H144*factors!IE$3</f>
        <v>0.39970986514559997</v>
      </c>
      <c r="IL144" s="3">
        <f>$H144*factors!IF$3</f>
        <v>0.38266797167040001</v>
      </c>
      <c r="IM144" s="3">
        <f>$H144*factors!IG$3</f>
        <v>0.37918212982319999</v>
      </c>
      <c r="IN144" s="3">
        <f>$H144*factors!IH$3</f>
        <v>0.38150602438799996</v>
      </c>
      <c r="IO144" s="3">
        <f>$H144*factors!II$3</f>
        <v>0.38537918199599996</v>
      </c>
      <c r="IP144" s="3">
        <f>$H144*factors!IJ$3</f>
        <v>0.37259776188959998</v>
      </c>
      <c r="IQ144" s="3">
        <f>$H144*factors!IK$3</f>
        <v>0.37143581460719993</v>
      </c>
      <c r="IR144" s="3">
        <f>$H144*factors!IL$3</f>
        <v>0.38228065590959998</v>
      </c>
      <c r="IS144" s="3">
        <f>$H144*factors!IM$3</f>
        <v>0.38537918199599996</v>
      </c>
      <c r="IT144" s="3">
        <f>$H144*factors!IN$3</f>
        <v>0.38809039232159998</v>
      </c>
      <c r="IU144" s="3">
        <f>$H144*factors!IO$3</f>
        <v>0.39661133905919999</v>
      </c>
      <c r="IV144" s="3">
        <f>$H144*factors!IP$3</f>
        <v>0.40164644394959992</v>
      </c>
      <c r="IW144" s="3">
        <f>$H144*factors!IQ$3</f>
        <v>0.37956944558399996</v>
      </c>
      <c r="IX144" s="3">
        <f>$H144*factors!IR$3</f>
        <v>0.39661133905919999</v>
      </c>
      <c r="IY144" s="3">
        <f>$H144*factors!IS$3</f>
        <v>0.39080160264719993</v>
      </c>
      <c r="IZ144" s="3">
        <f>$H144*factors!IT$3</f>
        <v>0.3973859705808</v>
      </c>
      <c r="JA144" s="3">
        <f>$H144*factors!IU$3</f>
        <v>0.37530897221519993</v>
      </c>
      <c r="JB144" s="3">
        <f>$H144*factors!IV$3</f>
        <v>0.38228065590959998</v>
      </c>
      <c r="JC144" s="3">
        <f>$H144*factors!IW$3</f>
        <v>0.37337239341119999</v>
      </c>
      <c r="JD144" s="3">
        <f>$H144*factors!IX$3</f>
        <v>0.40668154884000002</v>
      </c>
      <c r="JE144" s="3">
        <f>$H144*factors!IY$3</f>
        <v>0.37453434069359992</v>
      </c>
      <c r="JF144" s="3">
        <f>$H144*factors!IZ$3</f>
        <v>0.39312549721199991</v>
      </c>
      <c r="JG144" s="3">
        <f>$H144*factors!JA$3</f>
        <v>0.38615381351759992</v>
      </c>
      <c r="JH144" s="3">
        <f>$H144*factors!JB$3</f>
        <v>0.3935128129728</v>
      </c>
      <c r="JI144" s="3">
        <f>$H144*factors!JC$3</f>
        <v>0.36833728852079994</v>
      </c>
      <c r="JJ144" s="3">
        <f>$H144*factors!JD$3</f>
        <v>0.39661133905919999</v>
      </c>
      <c r="JK144" s="3">
        <f>$H144*factors!JE$3</f>
        <v>0.38382991895279994</v>
      </c>
      <c r="JL144" s="3">
        <f>$H144*factors!JF$3</f>
        <v>0.39932254938479994</v>
      </c>
      <c r="JM144" s="3">
        <f>$H144*factors!JG$3</f>
        <v>0.37259776188959998</v>
      </c>
      <c r="JN144" s="3">
        <f>$H144*factors!JH$3</f>
        <v>0.37259776188959998</v>
      </c>
      <c r="JO144" s="3">
        <f>$H144*factors!JI$3</f>
        <v>0.36794997275999997</v>
      </c>
      <c r="JP144" s="3">
        <f>$H144*factors!JJ$3</f>
        <v>0.39777328634159997</v>
      </c>
      <c r="JQ144" s="3">
        <f>$H144*factors!JK$3</f>
        <v>0.38770307656079994</v>
      </c>
      <c r="JR144" s="3">
        <f>$H144*factors!JL$3</f>
        <v>0.40280839123199996</v>
      </c>
      <c r="JS144" s="3">
        <f>$H144*factors!JM$3</f>
        <v>0.36794997275999997</v>
      </c>
      <c r="JT144" s="3">
        <f>$H144*factors!JN$3</f>
        <v>0.38654112927839995</v>
      </c>
      <c r="JU144" s="3">
        <f>$H144*factors!JO$3</f>
        <v>0.37375970917199997</v>
      </c>
      <c r="JV144" s="3">
        <f>$H144*factors!JP$3</f>
        <v>0.3799567613448</v>
      </c>
      <c r="JW144" s="3">
        <f>$H144*factors!JQ$3</f>
        <v>0.40590691731840001</v>
      </c>
      <c r="JX144" s="3">
        <f>$H144*factors!JR$3</f>
        <v>0.40203375971039995</v>
      </c>
      <c r="JY144" s="3">
        <f>$H144*factors!JS$3</f>
        <v>0.37840749830159998</v>
      </c>
      <c r="JZ144" s="3">
        <f>$H144*factors!JT$3</f>
        <v>0.38266797167040001</v>
      </c>
      <c r="KA144" s="3">
        <f>$H144*factors!JU$3</f>
        <v>0.38421723471359998</v>
      </c>
      <c r="KB144" s="3">
        <f>$H144*factors!JV$3</f>
        <v>0.37143581460719993</v>
      </c>
      <c r="KC144" s="3">
        <f>$H144*factors!JW$3</f>
        <v>0.37337239341119999</v>
      </c>
      <c r="KD144" s="3">
        <f>$H144*factors!JX$3</f>
        <v>0.37375970917199997</v>
      </c>
      <c r="KE144" s="3">
        <f>$H144*factors!JY$3</f>
        <v>0.39777328634159997</v>
      </c>
      <c r="KF144" s="3">
        <f>$H144*factors!JZ$3</f>
        <v>0.40242107547119993</v>
      </c>
      <c r="KG144" s="3">
        <f>$H144*factors!KA$3</f>
        <v>0.38809039232159998</v>
      </c>
      <c r="KH144" s="3">
        <f>$H144*factors!KB$3</f>
        <v>0.37956944558399996</v>
      </c>
      <c r="KI144" s="3">
        <f>$H144*factors!KC$3</f>
        <v>0.37608360373679994</v>
      </c>
    </row>
    <row r="145" spans="1:295" x14ac:dyDescent="0.55000000000000004">
      <c r="A145" t="s">
        <v>522</v>
      </c>
      <c r="B145">
        <v>144</v>
      </c>
      <c r="C145">
        <v>287</v>
      </c>
      <c r="D145" t="s">
        <v>377</v>
      </c>
      <c r="E145">
        <v>3.431E-3</v>
      </c>
      <c r="F145">
        <v>144</v>
      </c>
      <c r="G145">
        <f>VLOOKUP(D145,demand_forecasted!$A$2:$G$11,2)</f>
        <v>11098</v>
      </c>
      <c r="H145" s="3">
        <f t="shared" si="2"/>
        <v>0.38077238000000002</v>
      </c>
      <c r="I145" s="3">
        <f>$H145*factors!C$3</f>
        <v>0.42151502466000002</v>
      </c>
      <c r="J145" s="3">
        <f>$H145*factors!D$3</f>
        <v>0.40629936035520003</v>
      </c>
      <c r="K145" s="3">
        <f>$H145*factors!E$3</f>
        <v>0.39930837945840003</v>
      </c>
      <c r="L145" s="3">
        <f>$H145*factors!F$3</f>
        <v>0.39807467694720006</v>
      </c>
      <c r="M145" s="3">
        <f>$H145*factors!G$3</f>
        <v>0.39766344277679999</v>
      </c>
      <c r="N145" s="3">
        <f>$H145*factors!H$3</f>
        <v>0.40917799954800005</v>
      </c>
      <c r="O145" s="3">
        <f>$H145*factors!I$3</f>
        <v>0.41822515129680005</v>
      </c>
      <c r="P145" s="3">
        <f>$H145*factors!J$3</f>
        <v>0.42315996134160005</v>
      </c>
      <c r="Q145" s="3">
        <f>$H145*factors!K$3</f>
        <v>0.39725220860640004</v>
      </c>
      <c r="R145" s="3">
        <f>$H145*factors!L$3</f>
        <v>0.39067246188000004</v>
      </c>
      <c r="S145" s="3">
        <f>$H145*factors!M$3</f>
        <v>0.40671059452559999</v>
      </c>
      <c r="T145" s="3">
        <f>$H145*factors!N$3</f>
        <v>0.42069255631920005</v>
      </c>
      <c r="U145" s="3">
        <f>$H145*factors!O$3</f>
        <v>0.39848591111760007</v>
      </c>
      <c r="V145" s="3">
        <f>$H145*factors!P$3</f>
        <v>0.41452404376320007</v>
      </c>
      <c r="W145" s="3">
        <f>$H145*factors!Q$3</f>
        <v>0.41822515129680005</v>
      </c>
      <c r="X145" s="3">
        <f>$H145*factors!R$3</f>
        <v>0.4001308477992</v>
      </c>
      <c r="Y145" s="3">
        <f>$H145*factors!S$3</f>
        <v>0.39642974026560002</v>
      </c>
      <c r="Z145" s="3">
        <f>$H145*factors!T$3</f>
        <v>0.42768353721600011</v>
      </c>
      <c r="AA145" s="3">
        <f>$H145*factors!U$3</f>
        <v>0.40383195533280003</v>
      </c>
      <c r="AB145" s="3">
        <f>$H145*factors!V$3</f>
        <v>0.4042431895032001</v>
      </c>
      <c r="AC145" s="3">
        <f>$H145*factors!W$3</f>
        <v>0.40465442367360005</v>
      </c>
      <c r="AD145" s="3">
        <f>$H145*factors!X$3</f>
        <v>0.39601850609520006</v>
      </c>
      <c r="AE145" s="3">
        <f>$H145*factors!Y$3</f>
        <v>0.39930837945840003</v>
      </c>
      <c r="AF145" s="3">
        <f>$H145*factors!Z$3</f>
        <v>0.40753306286640006</v>
      </c>
      <c r="AG145" s="3">
        <f>$H145*factors!AA$3</f>
        <v>0.39725220860640004</v>
      </c>
      <c r="AH145" s="3">
        <f>$H145*factors!AB$3</f>
        <v>0.39560727192480005</v>
      </c>
      <c r="AI145" s="3">
        <f>$H145*factors!AC$3</f>
        <v>0.40835553120720003</v>
      </c>
      <c r="AJ145" s="3">
        <f>$H145*factors!AD$3</f>
        <v>0.42398242968240002</v>
      </c>
      <c r="AK145" s="3">
        <f>$H145*factors!AE$3</f>
        <v>0.40794429703680007</v>
      </c>
      <c r="AL145" s="3">
        <f>$H145*factors!AF$3</f>
        <v>0.39190616439120002</v>
      </c>
      <c r="AM145" s="3">
        <f>$H145*factors!AG$3</f>
        <v>0.40300948699200001</v>
      </c>
      <c r="AN145" s="3">
        <f>$H145*factors!AH$3</f>
        <v>0.39642974026560002</v>
      </c>
      <c r="AO145" s="3">
        <f>$H145*factors!AI$3</f>
        <v>0.41534651210400003</v>
      </c>
      <c r="AP145" s="3">
        <f>$H145*factors!AJ$3</f>
        <v>0.39807467694720006</v>
      </c>
      <c r="AQ145" s="3">
        <f>$H145*factors!AK$3</f>
        <v>0.41082293622960009</v>
      </c>
      <c r="AR145" s="3">
        <f>$H145*factors!AL$3</f>
        <v>0.40177578448080004</v>
      </c>
      <c r="AS145" s="3">
        <f>$H145*factors!AM$3</f>
        <v>0.39190616439120002</v>
      </c>
      <c r="AT145" s="3">
        <f>$H145*factors!AN$3</f>
        <v>0.4042431895032001</v>
      </c>
      <c r="AU145" s="3">
        <f>$H145*factors!AO$3</f>
        <v>0.42809477138640001</v>
      </c>
      <c r="AV145" s="3">
        <f>$H145*factors!AP$3</f>
        <v>0.40465442367360005</v>
      </c>
      <c r="AW145" s="3">
        <f>$H145*factors!AQ$3</f>
        <v>0.40054208196960001</v>
      </c>
      <c r="AX145" s="3">
        <f>$H145*factors!AR$3</f>
        <v>0.42357119551200006</v>
      </c>
      <c r="AY145" s="3">
        <f>$H145*factors!AS$3</f>
        <v>0.39067246188000004</v>
      </c>
      <c r="AZ145" s="3">
        <f>$H145*factors!AT$3</f>
        <v>0.41863638546720011</v>
      </c>
      <c r="BA145" s="3">
        <f>$H145*factors!AU$3</f>
        <v>0.4095892337184</v>
      </c>
      <c r="BB145" s="3">
        <f>$H145*factors!AV$3</f>
        <v>0.4042431895032001</v>
      </c>
      <c r="BC145" s="3">
        <f>$H145*factors!AW$3</f>
        <v>0.42768353721600011</v>
      </c>
      <c r="BD145" s="3">
        <f>$H145*factors!AX$3</f>
        <v>0.39478480358399998</v>
      </c>
      <c r="BE145" s="3">
        <f>$H145*factors!AY$3</f>
        <v>0.4641386848772</v>
      </c>
      <c r="BF145" s="3">
        <f>$H145*factors!AZ$3</f>
        <v>0.4322375748808</v>
      </c>
      <c r="BG145" s="3">
        <f>$H145*factors!BA$3</f>
        <v>0.43852793459839995</v>
      </c>
      <c r="BH145" s="3">
        <f>$H145*factors!BB$3</f>
        <v>0.44436898290760002</v>
      </c>
      <c r="BI145" s="3">
        <f>$H145*factors!BC$3</f>
        <v>0.46054419360999993</v>
      </c>
      <c r="BJ145" s="3">
        <f>$H145*factors!BD$3</f>
        <v>0.43987586882359997</v>
      </c>
      <c r="BK145" s="3">
        <f>$H145*factors!BE$3</f>
        <v>0.44077449164039995</v>
      </c>
      <c r="BL145" s="3">
        <f>$H145*factors!BF$3</f>
        <v>0.43583206614799996</v>
      </c>
      <c r="BM145" s="3">
        <f>$H145*factors!BG$3</f>
        <v>0.46548661910240002</v>
      </c>
      <c r="BN145" s="3">
        <f>$H145*factors!BH$3</f>
        <v>0.45964557079319995</v>
      </c>
      <c r="BO145" s="3">
        <f>$H145*factors!BI$3</f>
        <v>0.4322375748808</v>
      </c>
      <c r="BP145" s="3">
        <f>$H145*factors!BJ$3</f>
        <v>0.43088964065559998</v>
      </c>
      <c r="BQ145" s="3">
        <f>$H145*factors!BK$3</f>
        <v>0.43807862318999996</v>
      </c>
      <c r="BR145" s="3">
        <f>$H145*factors!BL$3</f>
        <v>0.45380452248399999</v>
      </c>
      <c r="BS145" s="3">
        <f>$H145*factors!BM$3</f>
        <v>0.46099350501840003</v>
      </c>
      <c r="BT145" s="3">
        <f>$H145*factors!BN$3</f>
        <v>0.46234143924359999</v>
      </c>
      <c r="BU145" s="3">
        <f>$H145*factors!BO$3</f>
        <v>0.46997973318640002</v>
      </c>
      <c r="BV145" s="3">
        <f>$H145*factors!BP$3</f>
        <v>0.43718000037319998</v>
      </c>
      <c r="BW145" s="3">
        <f>$H145*factors!BQ$3</f>
        <v>0.447064851358</v>
      </c>
      <c r="BX145" s="3">
        <f>$H145*factors!BR$3</f>
        <v>0.43852793459839995</v>
      </c>
      <c r="BY145" s="3">
        <f>$H145*factors!BS$3</f>
        <v>0.45874694797639992</v>
      </c>
      <c r="BZ145" s="3">
        <f>$H145*factors!BT$3</f>
        <v>0.45021003121679998</v>
      </c>
      <c r="CA145" s="3">
        <f>$H145*factors!BU$3</f>
        <v>0.44436898290760002</v>
      </c>
      <c r="CB145" s="3">
        <f>$H145*factors!BV$3</f>
        <v>0.4299910178388</v>
      </c>
      <c r="CC145" s="3">
        <f>$H145*factors!BW$3</f>
        <v>0.44257173727400001</v>
      </c>
      <c r="CD145" s="3">
        <f>$H145*factors!BX$3</f>
        <v>0.44391967149920003</v>
      </c>
      <c r="CE145" s="3">
        <f>$H145*factors!BY$3</f>
        <v>0.45021003121679998</v>
      </c>
      <c r="CF145" s="3">
        <f>$H145*factors!BZ$3</f>
        <v>0.44347036009080004</v>
      </c>
      <c r="CG145" s="3">
        <f>$H145*factors!CA$3</f>
        <v>0.42864308361359998</v>
      </c>
      <c r="CH145" s="3">
        <f>$H145*factors!CB$3</f>
        <v>0.42909239502199992</v>
      </c>
      <c r="CI145" s="3">
        <f>$H145*factors!CC$3</f>
        <v>0.42684583798000003</v>
      </c>
      <c r="CJ145" s="3">
        <f>$H145*factors!CD$3</f>
        <v>0.44436898290760002</v>
      </c>
      <c r="CK145" s="3">
        <f>$H145*factors!CE$3</f>
        <v>0.4641386848772</v>
      </c>
      <c r="CL145" s="3">
        <f>$H145*factors!CF$3</f>
        <v>0.43493344333119999</v>
      </c>
      <c r="CM145" s="3">
        <f>$H145*factors!CG$3</f>
        <v>0.4452676057244</v>
      </c>
      <c r="CN145" s="3">
        <f>$H145*factors!CH$3</f>
        <v>0.43044032924719999</v>
      </c>
      <c r="CO145" s="3">
        <f>$H145*factors!CI$3</f>
        <v>0.43358550910599997</v>
      </c>
      <c r="CP145" s="3">
        <f>$H145*factors!CJ$3</f>
        <v>0.45425383389239993</v>
      </c>
      <c r="CQ145" s="3">
        <f>$H145*factors!CK$3</f>
        <v>0.44077449164039995</v>
      </c>
      <c r="CR145" s="3">
        <f>$H145*factors!CL$3</f>
        <v>0.45470314530079997</v>
      </c>
      <c r="CS145" s="3">
        <f>$H145*factors!CM$3</f>
        <v>0.46908111036959999</v>
      </c>
      <c r="CT145" s="3">
        <f>$H145*factors!CN$3</f>
        <v>0.46368937346880001</v>
      </c>
      <c r="CU145" s="3">
        <f>$H145*factors!CO$3</f>
        <v>0.45335521107559995</v>
      </c>
      <c r="CV145" s="3">
        <f>$H145*factors!CP$3</f>
        <v>0.47177697881999997</v>
      </c>
      <c r="CW145" s="3">
        <f>$H145*factors!CQ$3</f>
        <v>0.44616622854120003</v>
      </c>
      <c r="CX145" s="3">
        <f>$H145*factors!CR$3</f>
        <v>0.43942655741519998</v>
      </c>
      <c r="CY145" s="3">
        <f>$H145*factors!CS$3</f>
        <v>0.43538275473959998</v>
      </c>
      <c r="CZ145" s="3">
        <f>$H145*factors!CT$3</f>
        <v>0.42909239502199992</v>
      </c>
      <c r="DA145" s="3">
        <f>$H145*factors!CU$3</f>
        <v>0.44550368460000001</v>
      </c>
      <c r="DB145" s="3">
        <f>$H145*factors!CV$3</f>
        <v>0.47429007652800004</v>
      </c>
      <c r="DC145" s="3">
        <f>$H145*factors!CW$3</f>
        <v>0.454185294864</v>
      </c>
      <c r="DD145" s="3">
        <f>$H145*factors!CX$3</f>
        <v>0.45098680687199999</v>
      </c>
      <c r="DE145" s="3">
        <f>$H145*factors!CY$3</f>
        <v>0.46423768569600005</v>
      </c>
      <c r="DF145" s="3">
        <f>$H145*factors!CZ$3</f>
        <v>0.46332383198399996</v>
      </c>
      <c r="DG145" s="3">
        <f>$H145*factors!DA$3</f>
        <v>0.46149612456</v>
      </c>
      <c r="DH145" s="3">
        <f>$H145*factors!DB$3</f>
        <v>0.46149612456</v>
      </c>
      <c r="DI145" s="3">
        <f>$H145*factors!DC$3</f>
        <v>0.44413290403199995</v>
      </c>
      <c r="DJ145" s="3">
        <f>$H145*factors!DD$3</f>
        <v>0.47063466168000001</v>
      </c>
      <c r="DK145" s="3">
        <f>$H145*factors!DE$3</f>
        <v>0.47063466168000001</v>
      </c>
      <c r="DL145" s="3">
        <f>$H145*factors!DF$3</f>
        <v>0.46515153940800003</v>
      </c>
      <c r="DM145" s="3">
        <f>$H145*factors!DG$3</f>
        <v>0.43819285490399995</v>
      </c>
      <c r="DN145" s="3">
        <f>$H145*factors!DH$3</f>
        <v>0.45966841713600004</v>
      </c>
      <c r="DO145" s="3">
        <f>$H145*factors!DI$3</f>
        <v>0.474747003384</v>
      </c>
      <c r="DP145" s="3">
        <f>$H145*factors!DJ$3</f>
        <v>0.47063466168000001</v>
      </c>
      <c r="DQ145" s="3">
        <f>$H145*factors!DK$3</f>
        <v>0.44870217259199996</v>
      </c>
      <c r="DR145" s="3">
        <f>$H145*factors!DL$3</f>
        <v>0.44367597717600005</v>
      </c>
      <c r="DS145" s="3">
        <f>$H145*factors!DM$3</f>
        <v>0.47931627194400001</v>
      </c>
      <c r="DT145" s="3">
        <f>$H145*factors!DN$3</f>
        <v>0.45052988001600003</v>
      </c>
      <c r="DU145" s="3">
        <f>$H145*factors!DO$3</f>
        <v>0.47154851539199999</v>
      </c>
      <c r="DV145" s="3">
        <f>$H145*factors!DP$3</f>
        <v>0.46058227084800002</v>
      </c>
      <c r="DW145" s="3">
        <f>$H145*factors!DQ$3</f>
        <v>0.439563635472</v>
      </c>
      <c r="DX145" s="3">
        <f>$H145*factors!DR$3</f>
        <v>0.46560846626399999</v>
      </c>
      <c r="DY145" s="3">
        <f>$H145*factors!DS$3</f>
        <v>0.44184826975199998</v>
      </c>
      <c r="DZ145" s="3">
        <f>$H145*factors!DT$3</f>
        <v>0.47246236910399997</v>
      </c>
      <c r="EA145" s="3">
        <f>$H145*factors!DU$3</f>
        <v>0.44504675774399999</v>
      </c>
      <c r="EB145" s="3">
        <f>$H145*factors!DV$3</f>
        <v>0.43408051319999996</v>
      </c>
      <c r="EC145" s="3">
        <f>$H145*factors!DW$3</f>
        <v>0.46697924683199998</v>
      </c>
      <c r="ED145" s="3">
        <f>$H145*factors!DX$3</f>
        <v>0.43819285490399995</v>
      </c>
      <c r="EE145" s="3">
        <f>$H145*factors!DY$3</f>
        <v>0.44184826975199998</v>
      </c>
      <c r="EF145" s="3">
        <f>$H145*factors!DZ$3</f>
        <v>0.47931627194400001</v>
      </c>
      <c r="EG145" s="3">
        <f>$H145*factors!EA$3</f>
        <v>0.44778831887999998</v>
      </c>
      <c r="EH145" s="3">
        <f>$H145*factors!EB$3</f>
        <v>0.44915909944800003</v>
      </c>
      <c r="EI145" s="3">
        <f>$H145*factors!EC$3</f>
        <v>0.44824524573600005</v>
      </c>
      <c r="EJ145" s="3">
        <f>$H145*factors!ED$3</f>
        <v>0.43682207433600001</v>
      </c>
      <c r="EK145" s="3">
        <f>$H145*factors!EE$3</f>
        <v>0.46697924683199998</v>
      </c>
      <c r="EL145" s="3">
        <f>$H145*factors!EF$3</f>
        <v>0.44413290403199995</v>
      </c>
      <c r="EM145" s="3">
        <f>$H145*factors!EG$3</f>
        <v>0.46195305141599996</v>
      </c>
      <c r="EN145" s="3">
        <f>$H145*factors!EH$3</f>
        <v>0.43408051319999996</v>
      </c>
      <c r="EO145" s="3">
        <f>$H145*factors!EI$3</f>
        <v>0.44047748918399998</v>
      </c>
      <c r="EP145" s="3">
        <f>$H145*factors!EJ$3</f>
        <v>0.46469461255200001</v>
      </c>
      <c r="EQ145" s="3">
        <f>$H145*factors!EK$3</f>
        <v>0.45190066058399997</v>
      </c>
      <c r="ER145" s="3">
        <f>$H145*factors!EL$3</f>
        <v>0.47063466168000001</v>
      </c>
      <c r="ES145" s="3">
        <f>$H145*factors!EM$3</f>
        <v>0.46469461255200001</v>
      </c>
      <c r="ET145" s="3">
        <f>$H145*factors!EN$3</f>
        <v>0.47520393024000002</v>
      </c>
      <c r="EU145" s="3">
        <f>$H145*factors!EO$3</f>
        <v>0.47977319880000002</v>
      </c>
      <c r="EV145" s="3">
        <f>$H145*factors!EP$3</f>
        <v>0.44961602630399999</v>
      </c>
      <c r="EW145" s="3">
        <f>$H145*factors!EQ$3</f>
        <v>0.49452812852499994</v>
      </c>
      <c r="EX145" s="3">
        <f>$H145*factors!ER$3</f>
        <v>0.4892925083000001</v>
      </c>
      <c r="EY145" s="3">
        <f>$H145*factors!ES$3</f>
        <v>0.49928778327499995</v>
      </c>
      <c r="EZ145" s="3">
        <f>$H145*factors!ET$3</f>
        <v>0.49452812852499994</v>
      </c>
      <c r="FA145" s="3">
        <f>$H145*factors!EU$3</f>
        <v>0.45454702862499996</v>
      </c>
      <c r="FB145" s="3">
        <f>$H145*factors!EV$3</f>
        <v>0.47501354405000007</v>
      </c>
      <c r="FC145" s="3">
        <f>$H145*factors!EW$3</f>
        <v>0.48834057735000003</v>
      </c>
      <c r="FD145" s="3">
        <f>$H145*factors!EX$3</f>
        <v>0.47120582025000002</v>
      </c>
      <c r="FE145" s="3">
        <f>$H145*factors!EY$3</f>
        <v>0.49643199042500002</v>
      </c>
      <c r="FF145" s="3">
        <f>$H145*factors!EZ$3</f>
        <v>0.49690795590000009</v>
      </c>
      <c r="FG145" s="3">
        <f>$H145*factors!FA$3</f>
        <v>0.45454702862499996</v>
      </c>
      <c r="FH145" s="3">
        <f>$H145*factors!FB$3</f>
        <v>0.478345302375</v>
      </c>
      <c r="FI145" s="3">
        <f>$H145*factors!FC$3</f>
        <v>0.49833585232499999</v>
      </c>
      <c r="FJ145" s="3">
        <f>$H145*factors!FD$3</f>
        <v>0.478345302375</v>
      </c>
      <c r="FK145" s="3">
        <f>$H145*factors!FE$3</f>
        <v>0.48643671545000006</v>
      </c>
      <c r="FL145" s="3">
        <f>$H145*factors!FF$3</f>
        <v>0.48786461187500002</v>
      </c>
      <c r="FM145" s="3">
        <f>$H145*factors!FG$3</f>
        <v>0.49310023209999998</v>
      </c>
      <c r="FN145" s="3">
        <f>$H145*factors!FH$3</f>
        <v>0.46121054527499999</v>
      </c>
      <c r="FO145" s="3">
        <f>$H145*factors!FI$3</f>
        <v>0.48976847377499999</v>
      </c>
      <c r="FP145" s="3">
        <f>$H145*factors!FJ$3</f>
        <v>0.47596547500000003</v>
      </c>
      <c r="FQ145" s="3">
        <f>$H145*factors!FK$3</f>
        <v>0.47120582025000002</v>
      </c>
      <c r="FR145" s="3">
        <f>$H145*factors!FL$3</f>
        <v>0.48072512975000004</v>
      </c>
      <c r="FS145" s="3">
        <f>$H145*factors!FM$3</f>
        <v>0.4778693369</v>
      </c>
      <c r="FT145" s="3">
        <f>$H145*factors!FN$3</f>
        <v>0.48834057735000003</v>
      </c>
      <c r="FU145" s="3">
        <f>$H145*factors!FO$3</f>
        <v>0.46930195834999999</v>
      </c>
      <c r="FV145" s="3">
        <f>$H145*factors!FP$3</f>
        <v>0.46549423455</v>
      </c>
      <c r="FW145" s="3">
        <f>$H145*factors!FQ$3</f>
        <v>0.49833585232499999</v>
      </c>
      <c r="FX145" s="3">
        <f>$H145*factors!FR$3</f>
        <v>0.4892925083000001</v>
      </c>
      <c r="FY145" s="3">
        <f>$H145*factors!FS$3</f>
        <v>0.47929723332499996</v>
      </c>
      <c r="FZ145" s="3">
        <f>$H145*factors!FT$3</f>
        <v>0.45549895957500003</v>
      </c>
      <c r="GA145" s="3">
        <f>$H145*factors!FU$3</f>
        <v>0.47929723332499996</v>
      </c>
      <c r="GB145" s="3">
        <f>$H145*factors!FV$3</f>
        <v>0.49690795590000009</v>
      </c>
      <c r="GC145" s="3">
        <f>$H145*factors!FW$3</f>
        <v>0.46549423455</v>
      </c>
      <c r="GD145" s="3">
        <f>$H145*factors!FX$3</f>
        <v>0.47358564762499999</v>
      </c>
      <c r="GE145" s="3">
        <f>$H145*factors!FY$3</f>
        <v>0.47358564762499999</v>
      </c>
      <c r="GF145" s="3">
        <f>$H145*factors!FZ$3</f>
        <v>0.47215775120000003</v>
      </c>
      <c r="GG145" s="3">
        <f>$H145*factors!GA$3</f>
        <v>0.453595097675</v>
      </c>
      <c r="GH145" s="3">
        <f>$H145*factors!GB$3</f>
        <v>0.48262899165000006</v>
      </c>
      <c r="GI145" s="3">
        <f>$H145*factors!GC$3</f>
        <v>0.45264316672499999</v>
      </c>
      <c r="GJ145" s="3">
        <f>$H145*factors!GD$3</f>
        <v>0.453595097675</v>
      </c>
      <c r="GK145" s="3">
        <f>$H145*factors!GE$3</f>
        <v>0.46501826907499999</v>
      </c>
      <c r="GL145" s="3">
        <f>$H145*factors!GF$3</f>
        <v>0.49262426662500003</v>
      </c>
      <c r="GM145" s="3">
        <f>$H145*factors!GG$3</f>
        <v>0.46692213097500007</v>
      </c>
      <c r="GN145" s="3">
        <f>$H145*factors!GH$3</f>
        <v>0.48167706070000005</v>
      </c>
      <c r="GO145" s="3">
        <f>$H145*factors!GI$3</f>
        <v>0.45502299409999997</v>
      </c>
      <c r="GP145" s="3">
        <f>$H145*factors!GJ$3</f>
        <v>0.48786461187500002</v>
      </c>
      <c r="GQ145" s="3">
        <f>$H145*factors!GK$3</f>
        <v>0.49785988685000004</v>
      </c>
      <c r="GR145" s="3">
        <f>$H145*factors!GL$3</f>
        <v>0.48834057735000003</v>
      </c>
      <c r="GS145" s="3">
        <f>$H145*factors!GM$3</f>
        <v>0.46181978108300004</v>
      </c>
      <c r="GT145" s="3">
        <f>$H145*factors!GN$3</f>
        <v>0.47245856138020004</v>
      </c>
      <c r="GU145" s="3">
        <f>$H145*factors!GO$3</f>
        <v>0.48358092260000002</v>
      </c>
      <c r="GV145" s="3">
        <f>$H145*factors!GP$3</f>
        <v>0.46423768569600005</v>
      </c>
      <c r="GW145" s="3">
        <f>$H145*factors!GQ$3</f>
        <v>0.48067943706440003</v>
      </c>
      <c r="GX145" s="3">
        <f>$H145*factors!GR$3</f>
        <v>0.47294214230280002</v>
      </c>
      <c r="GY145" s="3">
        <f>$H145*factors!GS$3</f>
        <v>0.47052423768980006</v>
      </c>
      <c r="GZ145" s="3">
        <f>$H145*factors!GT$3</f>
        <v>0.48793315090339995</v>
      </c>
      <c r="HA145" s="3">
        <f>$H145*factors!GU$3</f>
        <v>0.4719749804576</v>
      </c>
      <c r="HB145" s="3">
        <f>$H145*factors!GV$3</f>
        <v>0.48793315090339995</v>
      </c>
      <c r="HC145" s="3">
        <f>$H145*factors!GW$3</f>
        <v>0.47584362783840001</v>
      </c>
      <c r="HD145" s="3">
        <f>$H145*factors!GX$3</f>
        <v>0.48986747459379998</v>
      </c>
      <c r="HE145" s="3">
        <f>$H145*factors!GY$3</f>
        <v>0.48358092260000002</v>
      </c>
      <c r="HF145" s="3">
        <f>$H145*factors!GZ$3</f>
        <v>0.4985719312006</v>
      </c>
      <c r="HG145" s="3">
        <f>$H145*factors!HA$3</f>
        <v>0.47922869429660003</v>
      </c>
      <c r="HH145" s="3">
        <f>$H145*factors!HB$3</f>
        <v>0.47294214230280002</v>
      </c>
      <c r="HI145" s="3">
        <f>$H145*factors!HC$3</f>
        <v>0.46713917123160004</v>
      </c>
      <c r="HJ145" s="3">
        <f>$H145*factors!HD$3</f>
        <v>0.46181978108300004</v>
      </c>
      <c r="HK145" s="3">
        <f>$H145*factors!HE$3</f>
        <v>0.48841673182599998</v>
      </c>
      <c r="HL145" s="3">
        <f>$H145*factors!HF$3</f>
        <v>0.46036903831519999</v>
      </c>
      <c r="HM145" s="3">
        <f>$H145*factors!HG$3</f>
        <v>0.46520484754120006</v>
      </c>
      <c r="HN145" s="3">
        <f>$H145*factors!HH$3</f>
        <v>0.49615402658760005</v>
      </c>
      <c r="HO145" s="3">
        <f>$H145*factors!HI$3</f>
        <v>0.47584362783840001</v>
      </c>
      <c r="HP145" s="3">
        <f>$H145*factors!HJ$3</f>
        <v>0.50775996873000007</v>
      </c>
      <c r="HQ145" s="3">
        <f>$H145*factors!HK$3</f>
        <v>0.46423768569600005</v>
      </c>
      <c r="HR145" s="3">
        <f>$H145*factors!HL$3</f>
        <v>0.4922853792068001</v>
      </c>
      <c r="HS145" s="3">
        <f>$H145*factors!HM$3</f>
        <v>0.50098983581360002</v>
      </c>
      <c r="HT145" s="3">
        <f>$H145*factors!HN$3</f>
        <v>0.46713917123160004</v>
      </c>
      <c r="HU145" s="3">
        <f>$H145*factors!HO$3</f>
        <v>0.4719749804576</v>
      </c>
      <c r="HV145" s="3">
        <f>$H145*factors!HP$3</f>
        <v>0.47777795152880004</v>
      </c>
      <c r="HW145" s="3">
        <f>$H145*factors!HQ$3</f>
        <v>0.48454808444520003</v>
      </c>
      <c r="HX145" s="3">
        <f>$H145*factors!HR$3</f>
        <v>0.50437490227179993</v>
      </c>
      <c r="HY145" s="3">
        <f>$H145*factors!HS$3</f>
        <v>0.47922869429660003</v>
      </c>
      <c r="HZ145" s="3">
        <f>$H145*factors!HT$3</f>
        <v>0.49760476935539999</v>
      </c>
      <c r="IA145" s="3">
        <f>$H145*factors!HU$3</f>
        <v>0.47342572322540005</v>
      </c>
      <c r="IB145" s="3">
        <f>$H145*factors!HV$3</f>
        <v>0.48986747459379998</v>
      </c>
      <c r="IC145" s="3">
        <f>$H145*factors!HW$3</f>
        <v>0.4947032838198</v>
      </c>
      <c r="ID145" s="3">
        <f>$H145*factors!HX$3</f>
        <v>0.45940187646999997</v>
      </c>
      <c r="IE145" s="3">
        <f>$H145*factors!HY$3</f>
        <v>0.48793315090339995</v>
      </c>
      <c r="IF145" s="3">
        <f>$H145*factors!HZ$3</f>
        <v>0.48503166536779996</v>
      </c>
      <c r="IG145" s="3">
        <f>$H145*factors!IA$3</f>
        <v>0.48067943706440003</v>
      </c>
      <c r="IH145" s="3">
        <f>$H145*factors!IB$3</f>
        <v>0.4985719312006</v>
      </c>
      <c r="II145" s="3">
        <f>$H145*factors!IC$3</f>
        <v>0.4772943706062</v>
      </c>
      <c r="IJ145" s="3">
        <f>$H145*factors!ID$3</f>
        <v>0.48164659890960004</v>
      </c>
      <c r="IK145" s="3">
        <f>$H145*factors!IE$3</f>
        <v>0.49905551212320004</v>
      </c>
      <c r="IL145" s="3">
        <f>$H145*factors!IF$3</f>
        <v>0.47777795152880004</v>
      </c>
      <c r="IM145" s="3">
        <f>$H145*factors!IG$3</f>
        <v>0.47342572322540005</v>
      </c>
      <c r="IN145" s="3">
        <f>$H145*factors!IH$3</f>
        <v>0.47632720876100004</v>
      </c>
      <c r="IO145" s="3">
        <f>$H145*factors!II$3</f>
        <v>0.48116301798700001</v>
      </c>
      <c r="IP145" s="3">
        <f>$H145*factors!IJ$3</f>
        <v>0.46520484754120006</v>
      </c>
      <c r="IQ145" s="3">
        <f>$H145*factors!IK$3</f>
        <v>0.46375410477340001</v>
      </c>
      <c r="IR145" s="3">
        <f>$H145*factors!IL$3</f>
        <v>0.4772943706062</v>
      </c>
      <c r="IS145" s="3">
        <f>$H145*factors!IM$3</f>
        <v>0.48116301798700001</v>
      </c>
      <c r="IT145" s="3">
        <f>$H145*factors!IN$3</f>
        <v>0.48454808444520003</v>
      </c>
      <c r="IU145" s="3">
        <f>$H145*factors!IO$3</f>
        <v>0.49518686474240003</v>
      </c>
      <c r="IV145" s="3">
        <f>$H145*factors!IP$3</f>
        <v>0.50147341673619994</v>
      </c>
      <c r="IW145" s="3">
        <f>$H145*factors!IQ$3</f>
        <v>0.47390930414799998</v>
      </c>
      <c r="IX145" s="3">
        <f>$H145*factors!IR$3</f>
        <v>0.49518686474240003</v>
      </c>
      <c r="IY145" s="3">
        <f>$H145*factors!IS$3</f>
        <v>0.48793315090339995</v>
      </c>
      <c r="IZ145" s="3">
        <f>$H145*factors!IT$3</f>
        <v>0.49615402658760005</v>
      </c>
      <c r="JA145" s="3">
        <f>$H145*factors!IU$3</f>
        <v>0.46858991399939998</v>
      </c>
      <c r="JB145" s="3">
        <f>$H145*factors!IV$3</f>
        <v>0.4772943706062</v>
      </c>
      <c r="JC145" s="3">
        <f>$H145*factors!IW$3</f>
        <v>0.46617200938640002</v>
      </c>
      <c r="JD145" s="3">
        <f>$H145*factors!IX$3</f>
        <v>0.50775996873000007</v>
      </c>
      <c r="JE145" s="3">
        <f>$H145*factors!IY$3</f>
        <v>0.46762275215420002</v>
      </c>
      <c r="JF145" s="3">
        <f>$H145*factors!IZ$3</f>
        <v>0.49083463643899994</v>
      </c>
      <c r="JG145" s="3">
        <f>$H145*factors!JA$3</f>
        <v>0.48213017983220002</v>
      </c>
      <c r="JH145" s="3">
        <f>$H145*factors!JB$3</f>
        <v>0.49131821736160008</v>
      </c>
      <c r="JI145" s="3">
        <f>$H145*factors!JC$3</f>
        <v>0.45988545739260001</v>
      </c>
      <c r="JJ145" s="3">
        <f>$H145*factors!JD$3</f>
        <v>0.49518686474240003</v>
      </c>
      <c r="JK145" s="3">
        <f>$H145*factors!JE$3</f>
        <v>0.47922869429660003</v>
      </c>
      <c r="JL145" s="3">
        <f>$H145*factors!JF$3</f>
        <v>0.4985719312006</v>
      </c>
      <c r="JM145" s="3">
        <f>$H145*factors!JG$3</f>
        <v>0.46520484754120006</v>
      </c>
      <c r="JN145" s="3">
        <f>$H145*factors!JH$3</f>
        <v>0.46520484754120006</v>
      </c>
      <c r="JO145" s="3">
        <f>$H145*factors!JI$3</f>
        <v>0.45940187646999997</v>
      </c>
      <c r="JP145" s="3">
        <f>$H145*factors!JJ$3</f>
        <v>0.49663760751020003</v>
      </c>
      <c r="JQ145" s="3">
        <f>$H145*factors!JK$3</f>
        <v>0.4840645035226</v>
      </c>
      <c r="JR145" s="3">
        <f>$H145*factors!JL$3</f>
        <v>0.50292415950400005</v>
      </c>
      <c r="JS145" s="3">
        <f>$H145*factors!JM$3</f>
        <v>0.45940187646999997</v>
      </c>
      <c r="JT145" s="3">
        <f>$H145*factors!JN$3</f>
        <v>0.48261376075480006</v>
      </c>
      <c r="JU145" s="3">
        <f>$H145*factors!JO$3</f>
        <v>0.466655590309</v>
      </c>
      <c r="JV145" s="3">
        <f>$H145*factors!JP$3</f>
        <v>0.47439288507060001</v>
      </c>
      <c r="JW145" s="3">
        <f>$H145*factors!JQ$3</f>
        <v>0.50679280688480011</v>
      </c>
      <c r="JX145" s="3">
        <f>$H145*factors!JR$3</f>
        <v>0.50195699765879997</v>
      </c>
      <c r="JY145" s="3">
        <f>$H145*factors!JS$3</f>
        <v>0.47245856138020004</v>
      </c>
      <c r="JZ145" s="3">
        <f>$H145*factors!JT$3</f>
        <v>0.47777795152880004</v>
      </c>
      <c r="KA145" s="3">
        <f>$H145*factors!JU$3</f>
        <v>0.47971227521920007</v>
      </c>
      <c r="KB145" s="3">
        <f>$H145*factors!JV$3</f>
        <v>0.46375410477340001</v>
      </c>
      <c r="KC145" s="3">
        <f>$H145*factors!JW$3</f>
        <v>0.46617200938640002</v>
      </c>
      <c r="KD145" s="3">
        <f>$H145*factors!JX$3</f>
        <v>0.466655590309</v>
      </c>
      <c r="KE145" s="3">
        <f>$H145*factors!JY$3</f>
        <v>0.49663760751020003</v>
      </c>
      <c r="KF145" s="3">
        <f>$H145*factors!JZ$3</f>
        <v>0.50244057858140001</v>
      </c>
      <c r="KG145" s="3">
        <f>$H145*factors!KA$3</f>
        <v>0.48454808444520003</v>
      </c>
      <c r="KH145" s="3">
        <f>$H145*factors!KB$3</f>
        <v>0.47390930414799998</v>
      </c>
      <c r="KI145" s="3">
        <f>$H145*factors!KC$3</f>
        <v>0.46955707584459999</v>
      </c>
    </row>
    <row r="146" spans="1:295" x14ac:dyDescent="0.55000000000000004">
      <c r="A146" t="s">
        <v>523</v>
      </c>
      <c r="B146">
        <v>145</v>
      </c>
      <c r="C146">
        <v>230</v>
      </c>
      <c r="D146" t="s">
        <v>377</v>
      </c>
      <c r="E146">
        <v>7.1729999999999997E-3</v>
      </c>
      <c r="F146">
        <v>145</v>
      </c>
      <c r="G146">
        <f>VLOOKUP(D146,demand_forecasted!$A$2:$G$11,2)</f>
        <v>11098</v>
      </c>
      <c r="H146" s="3">
        <f t="shared" si="2"/>
        <v>0.79605954000000001</v>
      </c>
      <c r="I146" s="3">
        <f>$H146*factors!C$3</f>
        <v>0.88123791078000002</v>
      </c>
      <c r="J146" s="3">
        <f>$H146*factors!D$3</f>
        <v>0.84942737156159998</v>
      </c>
      <c r="K146" s="3">
        <f>$H146*factors!E$3</f>
        <v>0.83481171840720003</v>
      </c>
      <c r="L146" s="3">
        <f>$H146*factors!F$3</f>
        <v>0.83223248549760009</v>
      </c>
      <c r="M146" s="3">
        <f>$H146*factors!G$3</f>
        <v>0.83137274119439997</v>
      </c>
      <c r="N146" s="3">
        <f>$H146*factors!H$3</f>
        <v>0.85544558168399998</v>
      </c>
      <c r="O146" s="3">
        <f>$H146*factors!I$3</f>
        <v>0.8743599563544</v>
      </c>
      <c r="P146" s="3">
        <f>$H146*factors!J$3</f>
        <v>0.88467688799280009</v>
      </c>
      <c r="Q146" s="3">
        <f>$H146*factors!K$3</f>
        <v>0.83051299689119995</v>
      </c>
      <c r="R146" s="3">
        <f>$H146*factors!L$3</f>
        <v>0.81675708804000002</v>
      </c>
      <c r="S146" s="3">
        <f>$H146*factors!M$3</f>
        <v>0.85028711586479999</v>
      </c>
      <c r="T146" s="3">
        <f>$H146*factors!N$3</f>
        <v>0.8795184221736001</v>
      </c>
      <c r="U146" s="3">
        <f>$H146*factors!O$3</f>
        <v>0.83309222980080011</v>
      </c>
      <c r="V146" s="3">
        <f>$H146*factors!P$3</f>
        <v>0.86662225762560008</v>
      </c>
      <c r="W146" s="3">
        <f>$H146*factors!Q$3</f>
        <v>0.8743599563544</v>
      </c>
      <c r="X146" s="3">
        <f>$H146*factors!R$3</f>
        <v>0.83653120701359995</v>
      </c>
      <c r="Y146" s="3">
        <f>$H146*factors!S$3</f>
        <v>0.82879350828480003</v>
      </c>
      <c r="Z146" s="3">
        <f>$H146*factors!T$3</f>
        <v>0.89413407532800016</v>
      </c>
      <c r="AA146" s="3">
        <f>$H146*factors!U$3</f>
        <v>0.84426890574239999</v>
      </c>
      <c r="AB146" s="3">
        <f>$H146*factors!V$3</f>
        <v>0.84512865004560012</v>
      </c>
      <c r="AC146" s="3">
        <f>$H146*factors!W$3</f>
        <v>0.84598839434880013</v>
      </c>
      <c r="AD146" s="3">
        <f>$H146*factors!X$3</f>
        <v>0.82793376398160012</v>
      </c>
      <c r="AE146" s="3">
        <f>$H146*factors!Y$3</f>
        <v>0.83481171840720003</v>
      </c>
      <c r="AF146" s="3">
        <f>$H146*factors!Z$3</f>
        <v>0.85200660447120014</v>
      </c>
      <c r="AG146" s="3">
        <f>$H146*factors!AA$3</f>
        <v>0.83051299689119995</v>
      </c>
      <c r="AH146" s="3">
        <f>$H146*factors!AB$3</f>
        <v>0.82707401967840011</v>
      </c>
      <c r="AI146" s="3">
        <f>$H146*factors!AC$3</f>
        <v>0.85372609307760006</v>
      </c>
      <c r="AJ146" s="3">
        <f>$H146*factors!AD$3</f>
        <v>0.88639637659920001</v>
      </c>
      <c r="AK146" s="3">
        <f>$H146*factors!AE$3</f>
        <v>0.85286634877440004</v>
      </c>
      <c r="AL146" s="3">
        <f>$H146*factors!AF$3</f>
        <v>0.81933632094959996</v>
      </c>
      <c r="AM146" s="3">
        <f>$H146*factors!AG$3</f>
        <v>0.84254941713600007</v>
      </c>
      <c r="AN146" s="3">
        <f>$H146*factors!AH$3</f>
        <v>0.82879350828480003</v>
      </c>
      <c r="AO146" s="3">
        <f>$H146*factors!AI$3</f>
        <v>0.868341746232</v>
      </c>
      <c r="AP146" s="3">
        <f>$H146*factors!AJ$3</f>
        <v>0.83223248549760009</v>
      </c>
      <c r="AQ146" s="3">
        <f>$H146*factors!AK$3</f>
        <v>0.85888455889680004</v>
      </c>
      <c r="AR146" s="3">
        <f>$H146*factors!AL$3</f>
        <v>0.83997018422640013</v>
      </c>
      <c r="AS146" s="3">
        <f>$H146*factors!AM$3</f>
        <v>0.81933632094959996</v>
      </c>
      <c r="AT146" s="3">
        <f>$H146*factors!AN$3</f>
        <v>0.84512865004560012</v>
      </c>
      <c r="AU146" s="3">
        <f>$H146*factors!AO$3</f>
        <v>0.89499381963119995</v>
      </c>
      <c r="AV146" s="3">
        <f>$H146*factors!AP$3</f>
        <v>0.84598839434880013</v>
      </c>
      <c r="AW146" s="3">
        <f>$H146*factors!AQ$3</f>
        <v>0.83739095131679997</v>
      </c>
      <c r="AX146" s="3">
        <f>$H146*factors!AR$3</f>
        <v>0.8855366322960001</v>
      </c>
      <c r="AY146" s="3">
        <f>$H146*factors!AS$3</f>
        <v>0.81675708804000002</v>
      </c>
      <c r="AZ146" s="3">
        <f>$H146*factors!AT$3</f>
        <v>0.87521970065760013</v>
      </c>
      <c r="BA146" s="3">
        <f>$H146*factors!AU$3</f>
        <v>0.85630532598719999</v>
      </c>
      <c r="BB146" s="3">
        <f>$H146*factors!AV$3</f>
        <v>0.84512865004560012</v>
      </c>
      <c r="BC146" s="3">
        <f>$H146*factors!AW$3</f>
        <v>0.89413407532800016</v>
      </c>
      <c r="BD146" s="3">
        <f>$H146*factors!AX$3</f>
        <v>0.82535453107199996</v>
      </c>
      <c r="BE146" s="3">
        <f>$H146*factors!AY$3</f>
        <v>0.9703488156875999</v>
      </c>
      <c r="BF146" s="3">
        <f>$H146*factors!AZ$3</f>
        <v>0.90365494742639996</v>
      </c>
      <c r="BG146" s="3">
        <f>$H146*factors!BA$3</f>
        <v>0.91680585102719991</v>
      </c>
      <c r="BH146" s="3">
        <f>$H146*factors!BB$3</f>
        <v>0.92901740437079994</v>
      </c>
      <c r="BI146" s="3">
        <f>$H146*factors!BC$3</f>
        <v>0.96283401362999987</v>
      </c>
      <c r="BJ146" s="3">
        <f>$H146*factors!BD$3</f>
        <v>0.91962390179879994</v>
      </c>
      <c r="BK146" s="3">
        <f>$H146*factors!BE$3</f>
        <v>0.92150260231319991</v>
      </c>
      <c r="BL146" s="3">
        <f>$H146*factors!BF$3</f>
        <v>0.91116974948399987</v>
      </c>
      <c r="BM146" s="3">
        <f>$H146*factors!BG$3</f>
        <v>0.97316686645920003</v>
      </c>
      <c r="BN146" s="3">
        <f>$H146*factors!BH$3</f>
        <v>0.9609553131155999</v>
      </c>
      <c r="BO146" s="3">
        <f>$H146*factors!BI$3</f>
        <v>0.90365494742639996</v>
      </c>
      <c r="BP146" s="3">
        <f>$H146*factors!BJ$3</f>
        <v>0.90083689665479993</v>
      </c>
      <c r="BQ146" s="3">
        <f>$H146*factors!BK$3</f>
        <v>0.91586650076999987</v>
      </c>
      <c r="BR146" s="3">
        <f>$H146*factors!BL$3</f>
        <v>0.94874375977199998</v>
      </c>
      <c r="BS146" s="3">
        <f>$H146*factors!BM$3</f>
        <v>0.96377336388720003</v>
      </c>
      <c r="BT146" s="3">
        <f>$H146*factors!BN$3</f>
        <v>0.96659141465879994</v>
      </c>
      <c r="BU146" s="3">
        <f>$H146*factors!BO$3</f>
        <v>0.98256036903120003</v>
      </c>
      <c r="BV146" s="3">
        <f>$H146*factors!BP$3</f>
        <v>0.9139878002556</v>
      </c>
      <c r="BW146" s="3">
        <f>$H146*factors!BQ$3</f>
        <v>0.93465350591399998</v>
      </c>
      <c r="BX146" s="3">
        <f>$H146*factors!BR$3</f>
        <v>0.91680585102719991</v>
      </c>
      <c r="BY146" s="3">
        <f>$H146*factors!BS$3</f>
        <v>0.95907661260119981</v>
      </c>
      <c r="BZ146" s="3">
        <f>$H146*factors!BT$3</f>
        <v>0.94122895771439985</v>
      </c>
      <c r="CA146" s="3">
        <f>$H146*factors!BU$3</f>
        <v>0.92901740437079994</v>
      </c>
      <c r="CB146" s="3">
        <f>$H146*factors!BV$3</f>
        <v>0.89895819614039996</v>
      </c>
      <c r="CC146" s="3">
        <f>$H146*factors!BW$3</f>
        <v>0.92526000334199987</v>
      </c>
      <c r="CD146" s="3">
        <f>$H146*factors!BX$3</f>
        <v>0.9280780541136</v>
      </c>
      <c r="CE146" s="3">
        <f>$H146*factors!BY$3</f>
        <v>0.94122895771439985</v>
      </c>
      <c r="CF146" s="3">
        <f>$H146*factors!BZ$3</f>
        <v>0.92713870385640007</v>
      </c>
      <c r="CG146" s="3">
        <f>$H146*factors!CA$3</f>
        <v>0.89614014536879982</v>
      </c>
      <c r="CH146" s="3">
        <f>$H146*factors!CB$3</f>
        <v>0.89707949562599987</v>
      </c>
      <c r="CI146" s="3">
        <f>$H146*factors!CC$3</f>
        <v>0.89238274433999998</v>
      </c>
      <c r="CJ146" s="3">
        <f>$H146*factors!CD$3</f>
        <v>0.92901740437079994</v>
      </c>
      <c r="CK146" s="3">
        <f>$H146*factors!CE$3</f>
        <v>0.9703488156875999</v>
      </c>
      <c r="CL146" s="3">
        <f>$H146*factors!CF$3</f>
        <v>0.9092910489696</v>
      </c>
      <c r="CM146" s="3">
        <f>$H146*factors!CG$3</f>
        <v>0.93089610488519992</v>
      </c>
      <c r="CN146" s="3">
        <f>$H146*factors!CH$3</f>
        <v>0.89989754639759989</v>
      </c>
      <c r="CO146" s="3">
        <f>$H146*factors!CI$3</f>
        <v>0.90647299819799987</v>
      </c>
      <c r="CP146" s="3">
        <f>$H146*factors!CJ$3</f>
        <v>0.94968311002919981</v>
      </c>
      <c r="CQ146" s="3">
        <f>$H146*factors!CK$3</f>
        <v>0.92150260231319991</v>
      </c>
      <c r="CR146" s="3">
        <f>$H146*factors!CL$3</f>
        <v>0.95062246028639996</v>
      </c>
      <c r="CS146" s="3">
        <f>$H146*factors!CM$3</f>
        <v>0.98068166851679994</v>
      </c>
      <c r="CT146" s="3">
        <f>$H146*factors!CN$3</f>
        <v>0.96940946543039996</v>
      </c>
      <c r="CU146" s="3">
        <f>$H146*factors!CO$3</f>
        <v>0.94780440951479983</v>
      </c>
      <c r="CV146" s="3">
        <f>$H146*factors!CP$3</f>
        <v>0.98631777005999988</v>
      </c>
      <c r="CW146" s="3">
        <f>$H146*factors!CQ$3</f>
        <v>0.9327748053996</v>
      </c>
      <c r="CX146" s="3">
        <f>$H146*factors!CR$3</f>
        <v>0.9186845515416</v>
      </c>
      <c r="CY146" s="3">
        <f>$H146*factors!CS$3</f>
        <v>0.91023039922679994</v>
      </c>
      <c r="CZ146" s="3">
        <f>$H146*factors!CT$3</f>
        <v>0.89707949562599987</v>
      </c>
      <c r="DA146" s="3">
        <f>$H146*factors!CU$3</f>
        <v>0.93138966179999993</v>
      </c>
      <c r="DB146" s="3">
        <f>$H146*factors!CV$3</f>
        <v>0.99157176302400007</v>
      </c>
      <c r="DC146" s="3">
        <f>$H146*factors!CW$3</f>
        <v>0.94953981931199993</v>
      </c>
      <c r="DD146" s="3">
        <f>$H146*factors!CX$3</f>
        <v>0.94285291917599989</v>
      </c>
      <c r="DE146" s="3">
        <f>$H146*factors!CY$3</f>
        <v>0.97055579116800006</v>
      </c>
      <c r="DF146" s="3">
        <f>$H146*factors!CZ$3</f>
        <v>0.96864524827199994</v>
      </c>
      <c r="DG146" s="3">
        <f>$H146*factors!DA$3</f>
        <v>0.96482416248000002</v>
      </c>
      <c r="DH146" s="3">
        <f>$H146*factors!DB$3</f>
        <v>0.96482416248000002</v>
      </c>
      <c r="DI146" s="3">
        <f>$H146*factors!DC$3</f>
        <v>0.92852384745599992</v>
      </c>
      <c r="DJ146" s="3">
        <f>$H146*factors!DD$3</f>
        <v>0.98392959144000003</v>
      </c>
      <c r="DK146" s="3">
        <f>$H146*factors!DE$3</f>
        <v>0.98392959144000003</v>
      </c>
      <c r="DL146" s="3">
        <f>$H146*factors!DF$3</f>
        <v>0.97246633406400007</v>
      </c>
      <c r="DM146" s="3">
        <f>$H146*factors!DG$3</f>
        <v>0.91610531863199984</v>
      </c>
      <c r="DN146" s="3">
        <f>$H146*factors!DH$3</f>
        <v>0.961003076688</v>
      </c>
      <c r="DO146" s="3">
        <f>$H146*factors!DI$3</f>
        <v>0.99252703447199997</v>
      </c>
      <c r="DP146" s="3">
        <f>$H146*factors!DJ$3</f>
        <v>0.98392959144000003</v>
      </c>
      <c r="DQ146" s="3">
        <f>$H146*factors!DK$3</f>
        <v>0.93807656193599998</v>
      </c>
      <c r="DR146" s="3">
        <f>$H146*factors!DL$3</f>
        <v>0.92756857600800002</v>
      </c>
      <c r="DS146" s="3">
        <f>$H146*factors!DM$3</f>
        <v>1.0020797489519999</v>
      </c>
      <c r="DT146" s="3">
        <f>$H146*factors!DN$3</f>
        <v>0.941897647728</v>
      </c>
      <c r="DU146" s="3">
        <f>$H146*factors!DO$3</f>
        <v>0.98584013433599993</v>
      </c>
      <c r="DV146" s="3">
        <f>$H146*factors!DP$3</f>
        <v>0.96291361958400001</v>
      </c>
      <c r="DW146" s="3">
        <f>$H146*factors!DQ$3</f>
        <v>0.91897113297599986</v>
      </c>
      <c r="DX146" s="3">
        <f>$H146*factors!DR$3</f>
        <v>0.97342160551199997</v>
      </c>
      <c r="DY146" s="3">
        <f>$H146*factors!DS$3</f>
        <v>0.92374749021599989</v>
      </c>
      <c r="DZ146" s="3">
        <f>$H146*factors!DT$3</f>
        <v>0.98775067723199994</v>
      </c>
      <c r="EA146" s="3">
        <f>$H146*factors!DU$3</f>
        <v>0.93043439035199993</v>
      </c>
      <c r="EB146" s="3">
        <f>$H146*factors!DV$3</f>
        <v>0.9075078755999999</v>
      </c>
      <c r="EC146" s="3">
        <f>$H146*factors!DW$3</f>
        <v>0.97628741985599998</v>
      </c>
      <c r="ED146" s="3">
        <f>$H146*factors!DX$3</f>
        <v>0.91610531863199984</v>
      </c>
      <c r="EE146" s="3">
        <f>$H146*factors!DY$3</f>
        <v>0.92374749021599989</v>
      </c>
      <c r="EF146" s="3">
        <f>$H146*factors!DZ$3</f>
        <v>1.0020797489519999</v>
      </c>
      <c r="EG146" s="3">
        <f>$H146*factors!EA$3</f>
        <v>0.93616601903999996</v>
      </c>
      <c r="EH146" s="3">
        <f>$H146*factors!EB$3</f>
        <v>0.93903183338399998</v>
      </c>
      <c r="EI146" s="3">
        <f>$H146*factors!EC$3</f>
        <v>0.93712129048800008</v>
      </c>
      <c r="EJ146" s="3">
        <f>$H146*factors!ED$3</f>
        <v>0.91323950428800005</v>
      </c>
      <c r="EK146" s="3">
        <f>$H146*factors!EE$3</f>
        <v>0.97628741985599998</v>
      </c>
      <c r="EL146" s="3">
        <f>$H146*factors!EF$3</f>
        <v>0.92852384745599992</v>
      </c>
      <c r="EM146" s="3">
        <f>$H146*factors!EG$3</f>
        <v>0.96577943392799992</v>
      </c>
      <c r="EN146" s="3">
        <f>$H146*factors!EH$3</f>
        <v>0.9075078755999999</v>
      </c>
      <c r="EO146" s="3">
        <f>$H146*factors!EI$3</f>
        <v>0.92088167587199987</v>
      </c>
      <c r="EP146" s="3">
        <f>$H146*factors!EJ$3</f>
        <v>0.97151106261599995</v>
      </c>
      <c r="EQ146" s="3">
        <f>$H146*factors!EK$3</f>
        <v>0.9447634620719999</v>
      </c>
      <c r="ER146" s="3">
        <f>$H146*factors!EL$3</f>
        <v>0.98392959144000003</v>
      </c>
      <c r="ES146" s="3">
        <f>$H146*factors!EM$3</f>
        <v>0.97151106261599995</v>
      </c>
      <c r="ET146" s="3">
        <f>$H146*factors!EN$3</f>
        <v>0.99348230591999998</v>
      </c>
      <c r="EU146" s="3">
        <f>$H146*factors!EO$3</f>
        <v>1.0030350204</v>
      </c>
      <c r="EV146" s="3">
        <f>$H146*factors!EP$3</f>
        <v>0.93998710483199988</v>
      </c>
      <c r="EW146" s="3">
        <f>$H146*factors!EQ$3</f>
        <v>1.033882327575</v>
      </c>
      <c r="EX146" s="3">
        <f>$H146*factors!ER$3</f>
        <v>1.0229365089000002</v>
      </c>
      <c r="EY146" s="3">
        <f>$H146*factors!ES$3</f>
        <v>1.043833071825</v>
      </c>
      <c r="EZ146" s="3">
        <f>$H146*factors!ET$3</f>
        <v>1.033882327575</v>
      </c>
      <c r="FA146" s="3">
        <f>$H146*factors!EU$3</f>
        <v>0.95029607587499987</v>
      </c>
      <c r="FB146" s="3">
        <f>$H146*factors!EV$3</f>
        <v>0.99308427615000006</v>
      </c>
      <c r="FC146" s="3">
        <f>$H146*factors!EW$3</f>
        <v>1.0209463600499999</v>
      </c>
      <c r="FD146" s="3">
        <f>$H146*factors!EX$3</f>
        <v>0.98512368075000001</v>
      </c>
      <c r="FE146" s="3">
        <f>$H146*factors!EY$3</f>
        <v>1.0378626252750001</v>
      </c>
      <c r="FF146" s="3">
        <f>$H146*factors!EZ$3</f>
        <v>1.0388576997000001</v>
      </c>
      <c r="FG146" s="3">
        <f>$H146*factors!FA$3</f>
        <v>0.95029607587499987</v>
      </c>
      <c r="FH146" s="3">
        <f>$H146*factors!FB$3</f>
        <v>1.000049797125</v>
      </c>
      <c r="FI146" s="3">
        <f>$H146*factors!FC$3</f>
        <v>1.0418429229749999</v>
      </c>
      <c r="FJ146" s="3">
        <f>$H146*factors!FD$3</f>
        <v>1.000049797125</v>
      </c>
      <c r="FK146" s="3">
        <f>$H146*factors!FE$3</f>
        <v>1.0169660623500001</v>
      </c>
      <c r="FL146" s="3">
        <f>$H146*factors!FF$3</f>
        <v>1.0199512856249999</v>
      </c>
      <c r="FM146" s="3">
        <f>$H146*factors!FG$3</f>
        <v>1.0308971042999999</v>
      </c>
      <c r="FN146" s="3">
        <f>$H146*factors!FH$3</f>
        <v>0.96422711782499992</v>
      </c>
      <c r="FO146" s="3">
        <f>$H146*factors!FI$3</f>
        <v>1.023931583325</v>
      </c>
      <c r="FP146" s="3">
        <f>$H146*factors!FJ$3</f>
        <v>0.99507442499999998</v>
      </c>
      <c r="FQ146" s="3">
        <f>$H146*factors!FK$3</f>
        <v>0.98512368075000001</v>
      </c>
      <c r="FR146" s="3">
        <f>$H146*factors!FL$3</f>
        <v>1.0050251692500001</v>
      </c>
      <c r="FS146" s="3">
        <f>$H146*factors!FM$3</f>
        <v>0.99905472269999995</v>
      </c>
      <c r="FT146" s="3">
        <f>$H146*factors!FN$3</f>
        <v>1.0209463600499999</v>
      </c>
      <c r="FU146" s="3">
        <f>$H146*factors!FO$3</f>
        <v>0.98114338304999993</v>
      </c>
      <c r="FV146" s="3">
        <f>$H146*factors!FP$3</f>
        <v>0.97318278764999999</v>
      </c>
      <c r="FW146" s="3">
        <f>$H146*factors!FQ$3</f>
        <v>1.0418429229749999</v>
      </c>
      <c r="FX146" s="3">
        <f>$H146*factors!FR$3</f>
        <v>1.0229365089000002</v>
      </c>
      <c r="FY146" s="3">
        <f>$H146*factors!FS$3</f>
        <v>1.0020399459749998</v>
      </c>
      <c r="FZ146" s="3">
        <f>$H146*factors!FT$3</f>
        <v>0.95228622472500002</v>
      </c>
      <c r="GA146" s="3">
        <f>$H146*factors!FU$3</f>
        <v>1.0020399459749998</v>
      </c>
      <c r="GB146" s="3">
        <f>$H146*factors!FV$3</f>
        <v>1.0388576997000001</v>
      </c>
      <c r="GC146" s="3">
        <f>$H146*factors!FW$3</f>
        <v>0.97318278764999999</v>
      </c>
      <c r="GD146" s="3">
        <f>$H146*factors!FX$3</f>
        <v>0.990099052875</v>
      </c>
      <c r="GE146" s="3">
        <f>$H146*factors!FY$3</f>
        <v>0.990099052875</v>
      </c>
      <c r="GF146" s="3">
        <f>$H146*factors!FZ$3</f>
        <v>0.98711382960000005</v>
      </c>
      <c r="GG146" s="3">
        <f>$H146*factors!GA$3</f>
        <v>0.94830592702499994</v>
      </c>
      <c r="GH146" s="3">
        <f>$H146*factors!GB$3</f>
        <v>1.0090054669500002</v>
      </c>
      <c r="GI146" s="3">
        <f>$H146*factors!GC$3</f>
        <v>0.94631577817500001</v>
      </c>
      <c r="GJ146" s="3">
        <f>$H146*factors!GD$3</f>
        <v>0.94830592702499994</v>
      </c>
      <c r="GK146" s="3">
        <f>$H146*factors!GE$3</f>
        <v>0.97218771322499997</v>
      </c>
      <c r="GL146" s="3">
        <f>$H146*factors!GF$3</f>
        <v>1.0299020298749999</v>
      </c>
      <c r="GM146" s="3">
        <f>$H146*factors!GG$3</f>
        <v>0.97616801092500005</v>
      </c>
      <c r="GN146" s="3">
        <f>$H146*factors!GH$3</f>
        <v>1.0070153181000001</v>
      </c>
      <c r="GO146" s="3">
        <f>$H146*factors!GI$3</f>
        <v>0.95129115029999989</v>
      </c>
      <c r="GP146" s="3">
        <f>$H146*factors!GJ$3</f>
        <v>1.0199512856249999</v>
      </c>
      <c r="GQ146" s="3">
        <f>$H146*factors!GK$3</f>
        <v>1.0408478485500001</v>
      </c>
      <c r="GR146" s="3">
        <f>$H146*factors!GL$3</f>
        <v>1.0209463600499999</v>
      </c>
      <c r="GS146" s="3">
        <f>$H146*factors!GM$3</f>
        <v>0.96550081308900004</v>
      </c>
      <c r="GT146" s="3">
        <f>$H146*factors!GN$3</f>
        <v>0.98774271663660007</v>
      </c>
      <c r="GU146" s="3">
        <f>$H146*factors!GO$3</f>
        <v>1.0109956158</v>
      </c>
      <c r="GV146" s="3">
        <f>$H146*factors!GP$3</f>
        <v>0.97055579116800006</v>
      </c>
      <c r="GW146" s="3">
        <f>$H146*factors!GQ$3</f>
        <v>1.0049296421052001</v>
      </c>
      <c r="GX146" s="3">
        <f>$H146*factors!GR$3</f>
        <v>0.98875371225239994</v>
      </c>
      <c r="GY146" s="3">
        <f>$H146*factors!GS$3</f>
        <v>0.98369873417340004</v>
      </c>
      <c r="GZ146" s="3">
        <f>$H146*factors!GT$3</f>
        <v>1.0200945763421998</v>
      </c>
      <c r="HA146" s="3">
        <f>$H146*factors!GU$3</f>
        <v>0.98673172102079998</v>
      </c>
      <c r="HB146" s="3">
        <f>$H146*factors!GV$3</f>
        <v>1.0200945763421998</v>
      </c>
      <c r="HC146" s="3">
        <f>$H146*factors!GW$3</f>
        <v>0.99481968594719994</v>
      </c>
      <c r="HD146" s="3">
        <f>$H146*factors!GX$3</f>
        <v>1.0241385588053999</v>
      </c>
      <c r="HE146" s="3">
        <f>$H146*factors!GY$3</f>
        <v>1.0109956158</v>
      </c>
      <c r="HF146" s="3">
        <f>$H146*factors!GZ$3</f>
        <v>1.0423364798898</v>
      </c>
      <c r="HG146" s="3">
        <f>$H146*factors!HA$3</f>
        <v>1.0018966552577999</v>
      </c>
      <c r="HH146" s="3">
        <f>$H146*factors!HB$3</f>
        <v>0.98875371225239994</v>
      </c>
      <c r="HI146" s="3">
        <f>$H146*factors!HC$3</f>
        <v>0.97662176486280006</v>
      </c>
      <c r="HJ146" s="3">
        <f>$H146*factors!HD$3</f>
        <v>0.96550081308900004</v>
      </c>
      <c r="HK146" s="3">
        <f>$H146*factors!HE$3</f>
        <v>1.021105571958</v>
      </c>
      <c r="HL146" s="3">
        <f>$H146*factors!HF$3</f>
        <v>0.96246782624159988</v>
      </c>
      <c r="HM146" s="3">
        <f>$H146*factors!HG$3</f>
        <v>0.97257778239960002</v>
      </c>
      <c r="HN146" s="3">
        <f>$H146*factors!HH$3</f>
        <v>1.0372815018108001</v>
      </c>
      <c r="HO146" s="3">
        <f>$H146*factors!HI$3</f>
        <v>0.99481968594719994</v>
      </c>
      <c r="HP146" s="3">
        <f>$H146*factors!HJ$3</f>
        <v>1.0615453965900001</v>
      </c>
      <c r="HQ146" s="3">
        <f>$H146*factors!HK$3</f>
        <v>0.97055579116800006</v>
      </c>
      <c r="HR146" s="3">
        <f>$H146*factors!HL$3</f>
        <v>1.0291935368844001</v>
      </c>
      <c r="HS146" s="3">
        <f>$H146*factors!HM$3</f>
        <v>1.0473914579688</v>
      </c>
      <c r="HT146" s="3">
        <f>$H146*factors!HN$3</f>
        <v>0.97662176486280006</v>
      </c>
      <c r="HU146" s="3">
        <f>$H146*factors!HO$3</f>
        <v>0.98673172102079998</v>
      </c>
      <c r="HV146" s="3">
        <f>$H146*factors!HP$3</f>
        <v>0.99886366841040009</v>
      </c>
      <c r="HW146" s="3">
        <f>$H146*factors!HQ$3</f>
        <v>1.0130176070315999</v>
      </c>
      <c r="HX146" s="3">
        <f>$H146*factors!HR$3</f>
        <v>1.0544684272793998</v>
      </c>
      <c r="HY146" s="3">
        <f>$H146*factors!HS$3</f>
        <v>1.0018966552577999</v>
      </c>
      <c r="HZ146" s="3">
        <f>$H146*factors!HT$3</f>
        <v>1.0403144886581999</v>
      </c>
      <c r="IA146" s="3">
        <f>$H146*factors!HU$3</f>
        <v>0.98976470786820003</v>
      </c>
      <c r="IB146" s="3">
        <f>$H146*factors!HV$3</f>
        <v>1.0241385588053999</v>
      </c>
      <c r="IC146" s="3">
        <f>$H146*factors!HW$3</f>
        <v>1.0342485149634</v>
      </c>
      <c r="ID146" s="3">
        <f>$H146*factors!HX$3</f>
        <v>0.96044583500999992</v>
      </c>
      <c r="IE146" s="3">
        <f>$H146*factors!HY$3</f>
        <v>1.0200945763421998</v>
      </c>
      <c r="IF146" s="3">
        <f>$H146*factors!HZ$3</f>
        <v>1.0140286026473999</v>
      </c>
      <c r="IG146" s="3">
        <f>$H146*factors!IA$3</f>
        <v>1.0049296421052001</v>
      </c>
      <c r="IH146" s="3">
        <f>$H146*factors!IB$3</f>
        <v>1.0423364798898</v>
      </c>
      <c r="II146" s="3">
        <f>$H146*factors!IC$3</f>
        <v>0.99785267279459999</v>
      </c>
      <c r="IJ146" s="3">
        <f>$H146*factors!ID$3</f>
        <v>1.0069516333368</v>
      </c>
      <c r="IK146" s="3">
        <f>$H146*factors!IE$3</f>
        <v>1.0433474755056</v>
      </c>
      <c r="IL146" s="3">
        <f>$H146*factors!IF$3</f>
        <v>0.99886366841040009</v>
      </c>
      <c r="IM146" s="3">
        <f>$H146*factors!IG$3</f>
        <v>0.98976470786820003</v>
      </c>
      <c r="IN146" s="3">
        <f>$H146*factors!IH$3</f>
        <v>0.99583068156300003</v>
      </c>
      <c r="IO146" s="3">
        <f>$H146*factors!II$3</f>
        <v>1.0059406377210001</v>
      </c>
      <c r="IP146" s="3">
        <f>$H146*factors!IJ$3</f>
        <v>0.97257778239960002</v>
      </c>
      <c r="IQ146" s="3">
        <f>$H146*factors!IK$3</f>
        <v>0.96954479555219997</v>
      </c>
      <c r="IR146" s="3">
        <f>$H146*factors!IL$3</f>
        <v>0.99785267279459999</v>
      </c>
      <c r="IS146" s="3">
        <f>$H146*factors!IM$3</f>
        <v>1.0059406377210001</v>
      </c>
      <c r="IT146" s="3">
        <f>$H146*factors!IN$3</f>
        <v>1.0130176070315999</v>
      </c>
      <c r="IU146" s="3">
        <f>$H146*factors!IO$3</f>
        <v>1.0352595105792002</v>
      </c>
      <c r="IV146" s="3">
        <f>$H146*factors!IP$3</f>
        <v>1.0484024535845999</v>
      </c>
      <c r="IW146" s="3">
        <f>$H146*factors!IQ$3</f>
        <v>0.9907757034839999</v>
      </c>
      <c r="IX146" s="3">
        <f>$H146*factors!IR$3</f>
        <v>1.0352595105792002</v>
      </c>
      <c r="IY146" s="3">
        <f>$H146*factors!IS$3</f>
        <v>1.0200945763421998</v>
      </c>
      <c r="IZ146" s="3">
        <f>$H146*factors!IT$3</f>
        <v>1.0372815018108001</v>
      </c>
      <c r="JA146" s="3">
        <f>$H146*factors!IU$3</f>
        <v>0.97965475171019989</v>
      </c>
      <c r="JB146" s="3">
        <f>$H146*factors!IV$3</f>
        <v>0.99785267279459999</v>
      </c>
      <c r="JC146" s="3">
        <f>$H146*factors!IW$3</f>
        <v>0.97459977363120009</v>
      </c>
      <c r="JD146" s="3">
        <f>$H146*factors!IX$3</f>
        <v>1.0615453965900001</v>
      </c>
      <c r="JE146" s="3">
        <f>$H146*factors!IY$3</f>
        <v>0.97763276047859993</v>
      </c>
      <c r="JF146" s="3">
        <f>$H146*factors!IZ$3</f>
        <v>1.0261605500369999</v>
      </c>
      <c r="JG146" s="3">
        <f>$H146*factors!JA$3</f>
        <v>1.0079626289526</v>
      </c>
      <c r="JH146" s="3">
        <f>$H146*factors!JB$3</f>
        <v>1.0271715456528001</v>
      </c>
      <c r="JI146" s="3">
        <f>$H146*factors!JC$3</f>
        <v>0.96145683062580001</v>
      </c>
      <c r="JJ146" s="3">
        <f>$H146*factors!JD$3</f>
        <v>1.0352595105792002</v>
      </c>
      <c r="JK146" s="3">
        <f>$H146*factors!JE$3</f>
        <v>1.0018966552577999</v>
      </c>
      <c r="JL146" s="3">
        <f>$H146*factors!JF$3</f>
        <v>1.0423364798898</v>
      </c>
      <c r="JM146" s="3">
        <f>$H146*factors!JG$3</f>
        <v>0.97257778239960002</v>
      </c>
      <c r="JN146" s="3">
        <f>$H146*factors!JH$3</f>
        <v>0.97257778239960002</v>
      </c>
      <c r="JO146" s="3">
        <f>$H146*factors!JI$3</f>
        <v>0.96044583500999992</v>
      </c>
      <c r="JP146" s="3">
        <f>$H146*factors!JJ$3</f>
        <v>1.0382924974265999</v>
      </c>
      <c r="JQ146" s="3">
        <f>$H146*factors!JK$3</f>
        <v>1.0120066114158</v>
      </c>
      <c r="JR146" s="3">
        <f>$H146*factors!JL$3</f>
        <v>1.0514354404320001</v>
      </c>
      <c r="JS146" s="3">
        <f>$H146*factors!JM$3</f>
        <v>0.96044583500999992</v>
      </c>
      <c r="JT146" s="3">
        <f>$H146*factors!JN$3</f>
        <v>1.0089736245684</v>
      </c>
      <c r="JU146" s="3">
        <f>$H146*factors!JO$3</f>
        <v>0.97561076924699996</v>
      </c>
      <c r="JV146" s="3">
        <f>$H146*factors!JP$3</f>
        <v>0.9917866990998</v>
      </c>
      <c r="JW146" s="3">
        <f>$H146*factors!JQ$3</f>
        <v>1.0595234053584002</v>
      </c>
      <c r="JX146" s="3">
        <f>$H146*factors!JR$3</f>
        <v>1.0494134492003999</v>
      </c>
      <c r="JY146" s="3">
        <f>$H146*factors!JS$3</f>
        <v>0.98774271663660007</v>
      </c>
      <c r="JZ146" s="3">
        <f>$H146*factors!JT$3</f>
        <v>0.99886366841040009</v>
      </c>
      <c r="KA146" s="3">
        <f>$H146*factors!JU$3</f>
        <v>1.0029076508736001</v>
      </c>
      <c r="KB146" s="3">
        <f>$H146*factors!JV$3</f>
        <v>0.96954479555219997</v>
      </c>
      <c r="KC146" s="3">
        <f>$H146*factors!JW$3</f>
        <v>0.97459977363120009</v>
      </c>
      <c r="KD146" s="3">
        <f>$H146*factors!JX$3</f>
        <v>0.97561076924699996</v>
      </c>
      <c r="KE146" s="3">
        <f>$H146*factors!JY$3</f>
        <v>1.0382924974265999</v>
      </c>
      <c r="KF146" s="3">
        <f>$H146*factors!JZ$3</f>
        <v>1.0504244448161999</v>
      </c>
      <c r="KG146" s="3">
        <f>$H146*factors!KA$3</f>
        <v>1.0130176070315999</v>
      </c>
      <c r="KH146" s="3">
        <f>$H146*factors!KB$3</f>
        <v>0.9907757034839999</v>
      </c>
      <c r="KI146" s="3">
        <f>$H146*factors!KC$3</f>
        <v>0.98167674294179996</v>
      </c>
    </row>
    <row r="147" spans="1:295" x14ac:dyDescent="0.55000000000000004">
      <c r="A147" t="s">
        <v>524</v>
      </c>
      <c r="B147">
        <v>146</v>
      </c>
      <c r="C147">
        <v>500</v>
      </c>
      <c r="D147" t="s">
        <v>377</v>
      </c>
      <c r="E147">
        <v>4.7699999999999999E-3</v>
      </c>
      <c r="F147">
        <v>146</v>
      </c>
      <c r="G147">
        <f>VLOOKUP(D147,demand_forecasted!$A$2:$G$11,2)</f>
        <v>11098</v>
      </c>
      <c r="H147" s="3">
        <f t="shared" si="2"/>
        <v>0.52937460000000003</v>
      </c>
      <c r="I147" s="3">
        <f>$H147*factors!C$3</f>
        <v>0.58601768220000006</v>
      </c>
      <c r="J147" s="3">
        <f>$H147*factors!D$3</f>
        <v>0.564863873184</v>
      </c>
      <c r="K147" s="3">
        <f>$H147*factors!E$3</f>
        <v>0.55514455552800002</v>
      </c>
      <c r="L147" s="3">
        <f>$H147*factors!F$3</f>
        <v>0.55342938182400014</v>
      </c>
      <c r="M147" s="3">
        <f>$H147*factors!G$3</f>
        <v>0.552857657256</v>
      </c>
      <c r="N147" s="3">
        <f>$H147*factors!H$3</f>
        <v>0.56886594516</v>
      </c>
      <c r="O147" s="3">
        <f>$H147*factors!I$3</f>
        <v>0.58144388565600003</v>
      </c>
      <c r="P147" s="3">
        <f>$H147*factors!J$3</f>
        <v>0.58830458047200007</v>
      </c>
      <c r="Q147" s="3">
        <f>$H147*factors!K$3</f>
        <v>0.55228593268799997</v>
      </c>
      <c r="R147" s="3">
        <f>$H147*factors!L$3</f>
        <v>0.54313833960000002</v>
      </c>
      <c r="S147" s="3">
        <f>$H147*factors!M$3</f>
        <v>0.56543559775200003</v>
      </c>
      <c r="T147" s="3">
        <f>$H147*factors!N$3</f>
        <v>0.5848742330640001</v>
      </c>
      <c r="U147" s="3">
        <f>$H147*factors!O$3</f>
        <v>0.55400110639200006</v>
      </c>
      <c r="V147" s="3">
        <f>$H147*factors!P$3</f>
        <v>0.57629836454400007</v>
      </c>
      <c r="W147" s="3">
        <f>$H147*factors!Q$3</f>
        <v>0.58144388565600003</v>
      </c>
      <c r="X147" s="3">
        <f>$H147*factors!R$3</f>
        <v>0.55628800466400008</v>
      </c>
      <c r="Y147" s="3">
        <f>$H147*factors!S$3</f>
        <v>0.55114248355200002</v>
      </c>
      <c r="Z147" s="3">
        <f>$H147*factors!T$3</f>
        <v>0.59459355072000009</v>
      </c>
      <c r="AA147" s="3">
        <f>$H147*factors!U$3</f>
        <v>0.56143352577600003</v>
      </c>
      <c r="AB147" s="3">
        <f>$H147*factors!V$3</f>
        <v>0.56200525034400006</v>
      </c>
      <c r="AC147" s="3">
        <f>$H147*factors!W$3</f>
        <v>0.56257697491200009</v>
      </c>
      <c r="AD147" s="3">
        <f>$H147*factors!X$3</f>
        <v>0.5505707589840001</v>
      </c>
      <c r="AE147" s="3">
        <f>$H147*factors!Y$3</f>
        <v>0.55514455552800002</v>
      </c>
      <c r="AF147" s="3">
        <f>$H147*factors!Z$3</f>
        <v>0.56657904688800009</v>
      </c>
      <c r="AG147" s="3">
        <f>$H147*factors!AA$3</f>
        <v>0.55228593268799997</v>
      </c>
      <c r="AH147" s="3">
        <f>$H147*factors!AB$3</f>
        <v>0.54999903441600007</v>
      </c>
      <c r="AI147" s="3">
        <f>$H147*factors!AC$3</f>
        <v>0.56772249602400005</v>
      </c>
      <c r="AJ147" s="3">
        <f>$H147*factors!AD$3</f>
        <v>0.58944802960800002</v>
      </c>
      <c r="AK147" s="3">
        <f>$H147*factors!AE$3</f>
        <v>0.56715077145600012</v>
      </c>
      <c r="AL147" s="3">
        <f>$H147*factors!AF$3</f>
        <v>0.544853513304</v>
      </c>
      <c r="AM147" s="3">
        <f>$H147*factors!AG$3</f>
        <v>0.56029007664000008</v>
      </c>
      <c r="AN147" s="3">
        <f>$H147*factors!AH$3</f>
        <v>0.55114248355200002</v>
      </c>
      <c r="AO147" s="3">
        <f>$H147*factors!AI$3</f>
        <v>0.57744181368000003</v>
      </c>
      <c r="AP147" s="3">
        <f>$H147*factors!AJ$3</f>
        <v>0.55342938182400014</v>
      </c>
      <c r="AQ147" s="3">
        <f>$H147*factors!AK$3</f>
        <v>0.57115284343200012</v>
      </c>
      <c r="AR147" s="3">
        <f>$H147*factors!AL$3</f>
        <v>0.5585749029360001</v>
      </c>
      <c r="AS147" s="3">
        <f>$H147*factors!AM$3</f>
        <v>0.544853513304</v>
      </c>
      <c r="AT147" s="3">
        <f>$H147*factors!AN$3</f>
        <v>0.56200525034400006</v>
      </c>
      <c r="AU147" s="3">
        <f>$H147*factors!AO$3</f>
        <v>0.59516527528800001</v>
      </c>
      <c r="AV147" s="3">
        <f>$H147*factors!AP$3</f>
        <v>0.56257697491200009</v>
      </c>
      <c r="AW147" s="3">
        <f>$H147*factors!AQ$3</f>
        <v>0.556859729232</v>
      </c>
      <c r="AX147" s="3">
        <f>$H147*factors!AR$3</f>
        <v>0.5888763050400001</v>
      </c>
      <c r="AY147" s="3">
        <f>$H147*factors!AS$3</f>
        <v>0.54313833960000002</v>
      </c>
      <c r="AZ147" s="3">
        <f>$H147*factors!AT$3</f>
        <v>0.58201561022400017</v>
      </c>
      <c r="BA147" s="3">
        <f>$H147*factors!AU$3</f>
        <v>0.56943766972800003</v>
      </c>
      <c r="BB147" s="3">
        <f>$H147*factors!AV$3</f>
        <v>0.56200525034400006</v>
      </c>
      <c r="BC147" s="3">
        <f>$H147*factors!AW$3</f>
        <v>0.59459355072000009</v>
      </c>
      <c r="BD147" s="3">
        <f>$H147*factors!AX$3</f>
        <v>0.54885558528</v>
      </c>
      <c r="BE147" s="3">
        <f>$H147*factors!AY$3</f>
        <v>0.64527587492399996</v>
      </c>
      <c r="BF147" s="3">
        <f>$H147*factors!AZ$3</f>
        <v>0.600924870936</v>
      </c>
      <c r="BG147" s="3">
        <f>$H147*factors!BA$3</f>
        <v>0.60967013932799996</v>
      </c>
      <c r="BH147" s="3">
        <f>$H147*factors!BB$3</f>
        <v>0.61779074569199999</v>
      </c>
      <c r="BI147" s="3">
        <f>$H147*factors!BC$3</f>
        <v>0.64027857869999993</v>
      </c>
      <c r="BJ147" s="3">
        <f>$H147*factors!BD$3</f>
        <v>0.61154412541199998</v>
      </c>
      <c r="BK147" s="3">
        <f>$H147*factors!BE$3</f>
        <v>0.61279344946799996</v>
      </c>
      <c r="BL147" s="3">
        <f>$H147*factors!BF$3</f>
        <v>0.60592216715999991</v>
      </c>
      <c r="BM147" s="3">
        <f>$H147*factors!BG$3</f>
        <v>0.64714986100800009</v>
      </c>
      <c r="BN147" s="3">
        <f>$H147*factors!BH$3</f>
        <v>0.63902925464399996</v>
      </c>
      <c r="BO147" s="3">
        <f>$H147*factors!BI$3</f>
        <v>0.600924870936</v>
      </c>
      <c r="BP147" s="3">
        <f>$H147*factors!BJ$3</f>
        <v>0.59905088485199998</v>
      </c>
      <c r="BQ147" s="3">
        <f>$H147*factors!BK$3</f>
        <v>0.60904547729999992</v>
      </c>
      <c r="BR147" s="3">
        <f>$H147*factors!BL$3</f>
        <v>0.63090864828000004</v>
      </c>
      <c r="BS147" s="3">
        <f>$H147*factors!BM$3</f>
        <v>0.64090324072799998</v>
      </c>
      <c r="BT147" s="3">
        <f>$H147*factors!BN$3</f>
        <v>0.642777226812</v>
      </c>
      <c r="BU147" s="3">
        <f>$H147*factors!BO$3</f>
        <v>0.6533964812880001</v>
      </c>
      <c r="BV147" s="3">
        <f>$H147*factors!BP$3</f>
        <v>0.60779615324400005</v>
      </c>
      <c r="BW147" s="3">
        <f>$H147*factors!BQ$3</f>
        <v>0.62153871786000003</v>
      </c>
      <c r="BX147" s="3">
        <f>$H147*factors!BR$3</f>
        <v>0.60967013932799996</v>
      </c>
      <c r="BY147" s="3">
        <f>$H147*factors!BS$3</f>
        <v>0.63777993058799987</v>
      </c>
      <c r="BZ147" s="3">
        <f>$H147*factors!BT$3</f>
        <v>0.6259113520559999</v>
      </c>
      <c r="CA147" s="3">
        <f>$H147*factors!BU$3</f>
        <v>0.61779074569199999</v>
      </c>
      <c r="CB147" s="3">
        <f>$H147*factors!BV$3</f>
        <v>0.597801560796</v>
      </c>
      <c r="CC147" s="3">
        <f>$H147*factors!BW$3</f>
        <v>0.61529209757999992</v>
      </c>
      <c r="CD147" s="3">
        <f>$H147*factors!BX$3</f>
        <v>0.61716608366400005</v>
      </c>
      <c r="CE147" s="3">
        <f>$H147*factors!BY$3</f>
        <v>0.6259113520559999</v>
      </c>
      <c r="CF147" s="3">
        <f>$H147*factors!BZ$3</f>
        <v>0.61654142163600001</v>
      </c>
      <c r="CG147" s="3">
        <f>$H147*factors!CA$3</f>
        <v>0.59592757471199997</v>
      </c>
      <c r="CH147" s="3">
        <f>$H147*factors!CB$3</f>
        <v>0.59655223673999991</v>
      </c>
      <c r="CI147" s="3">
        <f>$H147*factors!CC$3</f>
        <v>0.59342892660000002</v>
      </c>
      <c r="CJ147" s="3">
        <f>$H147*factors!CD$3</f>
        <v>0.61779074569199999</v>
      </c>
      <c r="CK147" s="3">
        <f>$H147*factors!CE$3</f>
        <v>0.64527587492399996</v>
      </c>
      <c r="CL147" s="3">
        <f>$H147*factors!CF$3</f>
        <v>0.60467284310400005</v>
      </c>
      <c r="CM147" s="3">
        <f>$H147*factors!CG$3</f>
        <v>0.61904006974799997</v>
      </c>
      <c r="CN147" s="3">
        <f>$H147*factors!CH$3</f>
        <v>0.59842622282399993</v>
      </c>
      <c r="CO147" s="3">
        <f>$H147*factors!CI$3</f>
        <v>0.60279885701999991</v>
      </c>
      <c r="CP147" s="3">
        <f>$H147*factors!CJ$3</f>
        <v>0.63153331030799986</v>
      </c>
      <c r="CQ147" s="3">
        <f>$H147*factors!CK$3</f>
        <v>0.61279344946799996</v>
      </c>
      <c r="CR147" s="3">
        <f>$H147*factors!CL$3</f>
        <v>0.63215797233600002</v>
      </c>
      <c r="CS147" s="3">
        <f>$H147*factors!CM$3</f>
        <v>0.65214715723200001</v>
      </c>
      <c r="CT147" s="3">
        <f>$H147*factors!CN$3</f>
        <v>0.64465121289600003</v>
      </c>
      <c r="CU147" s="3">
        <f>$H147*factors!CO$3</f>
        <v>0.63028398625199988</v>
      </c>
      <c r="CV147" s="3">
        <f>$H147*factors!CP$3</f>
        <v>0.65589512939999994</v>
      </c>
      <c r="CW147" s="3">
        <f>$H147*factors!CQ$3</f>
        <v>0.62028939380400006</v>
      </c>
      <c r="CX147" s="3">
        <f>$H147*factors!CR$3</f>
        <v>0.61091946338400005</v>
      </c>
      <c r="CY147" s="3">
        <f>$H147*factors!CS$3</f>
        <v>0.60529750513199998</v>
      </c>
      <c r="CZ147" s="3">
        <f>$H147*factors!CT$3</f>
        <v>0.59655223673999991</v>
      </c>
      <c r="DA147" s="3">
        <f>$H147*factors!CU$3</f>
        <v>0.61936828200000005</v>
      </c>
      <c r="DB147" s="3">
        <f>$H147*factors!CV$3</f>
        <v>0.65938900176000004</v>
      </c>
      <c r="DC147" s="3">
        <f>$H147*factors!CW$3</f>
        <v>0.63143802287999995</v>
      </c>
      <c r="DD147" s="3">
        <f>$H147*factors!CX$3</f>
        <v>0.62699127623999995</v>
      </c>
      <c r="DE147" s="3">
        <f>$H147*factors!CY$3</f>
        <v>0.6454135123200001</v>
      </c>
      <c r="DF147" s="3">
        <f>$H147*factors!CZ$3</f>
        <v>0.64414301328000001</v>
      </c>
      <c r="DG147" s="3">
        <f>$H147*factors!DA$3</f>
        <v>0.64160201520000004</v>
      </c>
      <c r="DH147" s="3">
        <f>$H147*factors!DB$3</f>
        <v>0.64160201520000004</v>
      </c>
      <c r="DI147" s="3">
        <f>$H147*factors!DC$3</f>
        <v>0.61746253344000002</v>
      </c>
      <c r="DJ147" s="3">
        <f>$H147*factors!DD$3</f>
        <v>0.65430700559999999</v>
      </c>
      <c r="DK147" s="3">
        <f>$H147*factors!DE$3</f>
        <v>0.65430700559999999</v>
      </c>
      <c r="DL147" s="3">
        <f>$H147*factors!DF$3</f>
        <v>0.64668401136000009</v>
      </c>
      <c r="DM147" s="3">
        <f>$H147*factors!DG$3</f>
        <v>0.60920428967999996</v>
      </c>
      <c r="DN147" s="3">
        <f>$H147*factors!DH$3</f>
        <v>0.63906101712000007</v>
      </c>
      <c r="DO147" s="3">
        <f>$H147*factors!DI$3</f>
        <v>0.66002425127999997</v>
      </c>
      <c r="DP147" s="3">
        <f>$H147*factors!DJ$3</f>
        <v>0.65430700559999999</v>
      </c>
      <c r="DQ147" s="3">
        <f>$H147*factors!DK$3</f>
        <v>0.62381502863999994</v>
      </c>
      <c r="DR147" s="3">
        <f>$H147*factors!DL$3</f>
        <v>0.61682728392000008</v>
      </c>
      <c r="DS147" s="3">
        <f>$H147*factors!DM$3</f>
        <v>0.66637674648</v>
      </c>
      <c r="DT147" s="3">
        <f>$H147*factors!DN$3</f>
        <v>0.62635602672000001</v>
      </c>
      <c r="DU147" s="3">
        <f>$H147*factors!DO$3</f>
        <v>0.65557750463999998</v>
      </c>
      <c r="DV147" s="3">
        <f>$H147*factors!DP$3</f>
        <v>0.64033151616000006</v>
      </c>
      <c r="DW147" s="3">
        <f>$H147*factors!DQ$3</f>
        <v>0.61111003823999999</v>
      </c>
      <c r="DX147" s="3">
        <f>$H147*factors!DR$3</f>
        <v>0.64731926088000002</v>
      </c>
      <c r="DY147" s="3">
        <f>$H147*factors!DS$3</f>
        <v>0.61428628584</v>
      </c>
      <c r="DZ147" s="3">
        <f>$H147*factors!DT$3</f>
        <v>0.65684800367999996</v>
      </c>
      <c r="EA147" s="3">
        <f>$H147*factors!DU$3</f>
        <v>0.61873303248</v>
      </c>
      <c r="EB147" s="3">
        <f>$H147*factors!DV$3</f>
        <v>0.60348704399999997</v>
      </c>
      <c r="EC147" s="3">
        <f>$H147*factors!DW$3</f>
        <v>0.64922500943999994</v>
      </c>
      <c r="ED147" s="3">
        <f>$H147*factors!DX$3</f>
        <v>0.60920428967999996</v>
      </c>
      <c r="EE147" s="3">
        <f>$H147*factors!DY$3</f>
        <v>0.61428628584</v>
      </c>
      <c r="EF147" s="3">
        <f>$H147*factors!DZ$3</f>
        <v>0.66637674648</v>
      </c>
      <c r="EG147" s="3">
        <f>$H147*factors!EA$3</f>
        <v>0.62254452959999995</v>
      </c>
      <c r="EH147" s="3">
        <f>$H147*factors!EB$3</f>
        <v>0.62445027815999998</v>
      </c>
      <c r="EI147" s="3">
        <f>$H147*factors!EC$3</f>
        <v>0.62317977912</v>
      </c>
      <c r="EJ147" s="3">
        <f>$H147*factors!ED$3</f>
        <v>0.60729854112000003</v>
      </c>
      <c r="EK147" s="3">
        <f>$H147*factors!EE$3</f>
        <v>0.64922500943999994</v>
      </c>
      <c r="EL147" s="3">
        <f>$H147*factors!EF$3</f>
        <v>0.61746253344000002</v>
      </c>
      <c r="EM147" s="3">
        <f>$H147*factors!EG$3</f>
        <v>0.64223726471999998</v>
      </c>
      <c r="EN147" s="3">
        <f>$H147*factors!EH$3</f>
        <v>0.60348704399999997</v>
      </c>
      <c r="EO147" s="3">
        <f>$H147*factors!EI$3</f>
        <v>0.61238053727999997</v>
      </c>
      <c r="EP147" s="3">
        <f>$H147*factors!EJ$3</f>
        <v>0.64604876184000004</v>
      </c>
      <c r="EQ147" s="3">
        <f>$H147*factors!EK$3</f>
        <v>0.62826177527999993</v>
      </c>
      <c r="ER147" s="3">
        <f>$H147*factors!EL$3</f>
        <v>0.65430700559999999</v>
      </c>
      <c r="ES147" s="3">
        <f>$H147*factors!EM$3</f>
        <v>0.64604876184000004</v>
      </c>
      <c r="ET147" s="3">
        <f>$H147*factors!EN$3</f>
        <v>0.66065950080000002</v>
      </c>
      <c r="EU147" s="3">
        <f>$H147*factors!EO$3</f>
        <v>0.66701199600000005</v>
      </c>
      <c r="EV147" s="3">
        <f>$H147*factors!EP$3</f>
        <v>0.62508552767999992</v>
      </c>
      <c r="EW147" s="3">
        <f>$H147*factors!EQ$3</f>
        <v>0.68752526174999995</v>
      </c>
      <c r="EX147" s="3">
        <f>$H147*factors!ER$3</f>
        <v>0.68024636100000013</v>
      </c>
      <c r="EY147" s="3">
        <f>$H147*factors!ES$3</f>
        <v>0.69414244424999993</v>
      </c>
      <c r="EZ147" s="3">
        <f>$H147*factors!ET$3</f>
        <v>0.68752526174999995</v>
      </c>
      <c r="FA147" s="3">
        <f>$H147*factors!EU$3</f>
        <v>0.63194092874999996</v>
      </c>
      <c r="FB147" s="3">
        <f>$H147*factors!EV$3</f>
        <v>0.66039481350000007</v>
      </c>
      <c r="FC147" s="3">
        <f>$H147*factors!EW$3</f>
        <v>0.67892292450000002</v>
      </c>
      <c r="FD147" s="3">
        <f>$H147*factors!EX$3</f>
        <v>0.65510106750000008</v>
      </c>
      <c r="FE147" s="3">
        <f>$H147*factors!EY$3</f>
        <v>0.69017213475000005</v>
      </c>
      <c r="FF147" s="3">
        <f>$H147*factors!EZ$3</f>
        <v>0.69083385300000011</v>
      </c>
      <c r="FG147" s="3">
        <f>$H147*factors!FA$3</f>
        <v>0.63194092874999996</v>
      </c>
      <c r="FH147" s="3">
        <f>$H147*factors!FB$3</f>
        <v>0.66502684125</v>
      </c>
      <c r="FI147" s="3">
        <f>$H147*factors!FC$3</f>
        <v>0.69281900774999994</v>
      </c>
      <c r="FJ147" s="3">
        <f>$H147*factors!FD$3</f>
        <v>0.66502684125</v>
      </c>
      <c r="FK147" s="3">
        <f>$H147*factors!FE$3</f>
        <v>0.67627605150000003</v>
      </c>
      <c r="FL147" s="3">
        <f>$H147*factors!FF$3</f>
        <v>0.67826120625000008</v>
      </c>
      <c r="FM147" s="3">
        <f>$H147*factors!FG$3</f>
        <v>0.68554010700000001</v>
      </c>
      <c r="FN147" s="3">
        <f>$H147*factors!FH$3</f>
        <v>0.64120498425000005</v>
      </c>
      <c r="FO147" s="3">
        <f>$H147*factors!FI$3</f>
        <v>0.68090807924999996</v>
      </c>
      <c r="FP147" s="3">
        <f>$H147*factors!FJ$3</f>
        <v>0.66171825000000006</v>
      </c>
      <c r="FQ147" s="3">
        <f>$H147*factors!FK$3</f>
        <v>0.65510106750000008</v>
      </c>
      <c r="FR147" s="3">
        <f>$H147*factors!FL$3</f>
        <v>0.66833543250000005</v>
      </c>
      <c r="FS147" s="3">
        <f>$H147*factors!FM$3</f>
        <v>0.66436512299999995</v>
      </c>
      <c r="FT147" s="3">
        <f>$H147*factors!FN$3</f>
        <v>0.67892292450000002</v>
      </c>
      <c r="FU147" s="3">
        <f>$H147*factors!FO$3</f>
        <v>0.65245419449999997</v>
      </c>
      <c r="FV147" s="3">
        <f>$H147*factors!FP$3</f>
        <v>0.64716044849999999</v>
      </c>
      <c r="FW147" s="3">
        <f>$H147*factors!FQ$3</f>
        <v>0.69281900774999994</v>
      </c>
      <c r="FX147" s="3">
        <f>$H147*factors!FR$3</f>
        <v>0.68024636100000013</v>
      </c>
      <c r="FY147" s="3">
        <f>$H147*factors!FS$3</f>
        <v>0.66635027774999989</v>
      </c>
      <c r="FZ147" s="3">
        <f>$H147*factors!FT$3</f>
        <v>0.63326436525000007</v>
      </c>
      <c r="GA147" s="3">
        <f>$H147*factors!FU$3</f>
        <v>0.66635027774999989</v>
      </c>
      <c r="GB147" s="3">
        <f>$H147*factors!FV$3</f>
        <v>0.69083385300000011</v>
      </c>
      <c r="GC147" s="3">
        <f>$H147*factors!FW$3</f>
        <v>0.64716044849999999</v>
      </c>
      <c r="GD147" s="3">
        <f>$H147*factors!FX$3</f>
        <v>0.65840965875000002</v>
      </c>
      <c r="GE147" s="3">
        <f>$H147*factors!FY$3</f>
        <v>0.65840965875000002</v>
      </c>
      <c r="GF147" s="3">
        <f>$H147*factors!FZ$3</f>
        <v>0.65642450400000008</v>
      </c>
      <c r="GG147" s="3">
        <f>$H147*factors!GA$3</f>
        <v>0.63061749224999997</v>
      </c>
      <c r="GH147" s="3">
        <f>$H147*factors!GB$3</f>
        <v>0.67098230550000004</v>
      </c>
      <c r="GI147" s="3">
        <f>$H147*factors!GC$3</f>
        <v>0.62929405574999997</v>
      </c>
      <c r="GJ147" s="3">
        <f>$H147*factors!GD$3</f>
        <v>0.63061749224999997</v>
      </c>
      <c r="GK147" s="3">
        <f>$H147*factors!GE$3</f>
        <v>0.64649873025000004</v>
      </c>
      <c r="GL147" s="3">
        <f>$H147*factors!GF$3</f>
        <v>0.68487838875000007</v>
      </c>
      <c r="GM147" s="3">
        <f>$H147*factors!GG$3</f>
        <v>0.64914560325000004</v>
      </c>
      <c r="GN147" s="3">
        <f>$H147*factors!GH$3</f>
        <v>0.66965886900000016</v>
      </c>
      <c r="GO147" s="3">
        <f>$H147*factors!GI$3</f>
        <v>0.63260264699999991</v>
      </c>
      <c r="GP147" s="3">
        <f>$H147*factors!GJ$3</f>
        <v>0.67826120625000008</v>
      </c>
      <c r="GQ147" s="3">
        <f>$H147*factors!GK$3</f>
        <v>0.69215728950000011</v>
      </c>
      <c r="GR147" s="3">
        <f>$H147*factors!GL$3</f>
        <v>0.67892292450000002</v>
      </c>
      <c r="GS147" s="3">
        <f>$H147*factors!GM$3</f>
        <v>0.64205198361000004</v>
      </c>
      <c r="GT147" s="3">
        <f>$H147*factors!GN$3</f>
        <v>0.65684270993400007</v>
      </c>
      <c r="GU147" s="3">
        <f>$H147*factors!GO$3</f>
        <v>0.67230574200000004</v>
      </c>
      <c r="GV147" s="3">
        <f>$H147*factors!GP$3</f>
        <v>0.6454135123200001</v>
      </c>
      <c r="GW147" s="3">
        <f>$H147*factors!GQ$3</f>
        <v>0.66827190754800003</v>
      </c>
      <c r="GX147" s="3">
        <f>$H147*factors!GR$3</f>
        <v>0.65751501567600001</v>
      </c>
      <c r="GY147" s="3">
        <f>$H147*factors!GS$3</f>
        <v>0.65415348696600006</v>
      </c>
      <c r="GZ147" s="3">
        <f>$H147*factors!GT$3</f>
        <v>0.67835649367799999</v>
      </c>
      <c r="HA147" s="3">
        <f>$H147*factors!GU$3</f>
        <v>0.65617040419200001</v>
      </c>
      <c r="HB147" s="3">
        <f>$H147*factors!GV$3</f>
        <v>0.67835649367799999</v>
      </c>
      <c r="HC147" s="3">
        <f>$H147*factors!GW$3</f>
        <v>0.66154885012800002</v>
      </c>
      <c r="HD147" s="3">
        <f>$H147*factors!GX$3</f>
        <v>0.68104571664599989</v>
      </c>
      <c r="HE147" s="3">
        <f>$H147*factors!GY$3</f>
        <v>0.67230574200000004</v>
      </c>
      <c r="HF147" s="3">
        <f>$H147*factors!GZ$3</f>
        <v>0.69314722000200002</v>
      </c>
      <c r="HG147" s="3">
        <f>$H147*factors!HA$3</f>
        <v>0.66625499032199997</v>
      </c>
      <c r="HH147" s="3">
        <f>$H147*factors!HB$3</f>
        <v>0.65751501567600001</v>
      </c>
      <c r="HI147" s="3">
        <f>$H147*factors!HC$3</f>
        <v>0.649447346772</v>
      </c>
      <c r="HJ147" s="3">
        <f>$H147*factors!HD$3</f>
        <v>0.64205198361000004</v>
      </c>
      <c r="HK147" s="3">
        <f>$H147*factors!HE$3</f>
        <v>0.67902879942000005</v>
      </c>
      <c r="HL147" s="3">
        <f>$H147*factors!HF$3</f>
        <v>0.64003506638399998</v>
      </c>
      <c r="HM147" s="3">
        <f>$H147*factors!HG$3</f>
        <v>0.64675812380400011</v>
      </c>
      <c r="HN147" s="3">
        <f>$H147*factors!HH$3</f>
        <v>0.68978569129200007</v>
      </c>
      <c r="HO147" s="3">
        <f>$H147*factors!HI$3</f>
        <v>0.66154885012800002</v>
      </c>
      <c r="HP147" s="3">
        <f>$H147*factors!HJ$3</f>
        <v>0.7059210291000001</v>
      </c>
      <c r="HQ147" s="3">
        <f>$H147*factors!HK$3</f>
        <v>0.6454135123200001</v>
      </c>
      <c r="HR147" s="3">
        <f>$H147*factors!HL$3</f>
        <v>0.68440724535600006</v>
      </c>
      <c r="HS147" s="3">
        <f>$H147*factors!HM$3</f>
        <v>0.69650874871200008</v>
      </c>
      <c r="HT147" s="3">
        <f>$H147*factors!HN$3</f>
        <v>0.649447346772</v>
      </c>
      <c r="HU147" s="3">
        <f>$H147*factors!HO$3</f>
        <v>0.65617040419200001</v>
      </c>
      <c r="HV147" s="3">
        <f>$H147*factors!HP$3</f>
        <v>0.66423807309600014</v>
      </c>
      <c r="HW147" s="3">
        <f>$H147*factors!HQ$3</f>
        <v>0.67365035348400004</v>
      </c>
      <c r="HX147" s="3">
        <f>$H147*factors!HR$3</f>
        <v>0.70121488890599992</v>
      </c>
      <c r="HY147" s="3">
        <f>$H147*factors!HS$3</f>
        <v>0.66625499032199997</v>
      </c>
      <c r="HZ147" s="3">
        <f>$H147*factors!HT$3</f>
        <v>0.69180260851800002</v>
      </c>
      <c r="IA147" s="3">
        <f>$H147*factors!HU$3</f>
        <v>0.65818732141800007</v>
      </c>
      <c r="IB147" s="3">
        <f>$H147*factors!HV$3</f>
        <v>0.68104571664599989</v>
      </c>
      <c r="IC147" s="3">
        <f>$H147*factors!HW$3</f>
        <v>0.68776877406600001</v>
      </c>
      <c r="ID147" s="3">
        <f>$H147*factors!HX$3</f>
        <v>0.63869045489999998</v>
      </c>
      <c r="IE147" s="3">
        <f>$H147*factors!HY$3</f>
        <v>0.67835649367799999</v>
      </c>
      <c r="IF147" s="3">
        <f>$H147*factors!HZ$3</f>
        <v>0.67432265922599999</v>
      </c>
      <c r="IG147" s="3">
        <f>$H147*factors!IA$3</f>
        <v>0.66827190754800003</v>
      </c>
      <c r="IH147" s="3">
        <f>$H147*factors!IB$3</f>
        <v>0.69314722000200002</v>
      </c>
      <c r="II147" s="3">
        <f>$H147*factors!IC$3</f>
        <v>0.66356576735400008</v>
      </c>
      <c r="IJ147" s="3">
        <f>$H147*factors!ID$3</f>
        <v>0.66961651903200003</v>
      </c>
      <c r="IK147" s="3">
        <f>$H147*factors!IE$3</f>
        <v>0.69381952574400008</v>
      </c>
      <c r="IL147" s="3">
        <f>$H147*factors!IF$3</f>
        <v>0.66423807309600014</v>
      </c>
      <c r="IM147" s="3">
        <f>$H147*factors!IG$3</f>
        <v>0.65818732141800007</v>
      </c>
      <c r="IN147" s="3">
        <f>$H147*factors!IH$3</f>
        <v>0.66222115587000008</v>
      </c>
      <c r="IO147" s="3">
        <f>$H147*factors!II$3</f>
        <v>0.66894421328999998</v>
      </c>
      <c r="IP147" s="3">
        <f>$H147*factors!IJ$3</f>
        <v>0.64675812380400011</v>
      </c>
      <c r="IQ147" s="3">
        <f>$H147*factors!IK$3</f>
        <v>0.64474120657800005</v>
      </c>
      <c r="IR147" s="3">
        <f>$H147*factors!IL$3</f>
        <v>0.66356576735400008</v>
      </c>
      <c r="IS147" s="3">
        <f>$H147*factors!IM$3</f>
        <v>0.66894421328999998</v>
      </c>
      <c r="IT147" s="3">
        <f>$H147*factors!IN$3</f>
        <v>0.67365035348400004</v>
      </c>
      <c r="IU147" s="3">
        <f>$H147*factors!IO$3</f>
        <v>0.68844107980800007</v>
      </c>
      <c r="IV147" s="3">
        <f>$H147*factors!IP$3</f>
        <v>0.69718105445400003</v>
      </c>
      <c r="IW147" s="3">
        <f>$H147*factors!IQ$3</f>
        <v>0.65885962716000002</v>
      </c>
      <c r="IX147" s="3">
        <f>$H147*factors!IR$3</f>
        <v>0.68844107980800007</v>
      </c>
      <c r="IY147" s="3">
        <f>$H147*factors!IS$3</f>
        <v>0.67835649367799999</v>
      </c>
      <c r="IZ147" s="3">
        <f>$H147*factors!IT$3</f>
        <v>0.68978569129200007</v>
      </c>
      <c r="JA147" s="3">
        <f>$H147*factors!IU$3</f>
        <v>0.65146426399799995</v>
      </c>
      <c r="JB147" s="3">
        <f>$H147*factors!IV$3</f>
        <v>0.66356576735400008</v>
      </c>
      <c r="JC147" s="3">
        <f>$H147*factors!IW$3</f>
        <v>0.648102735288</v>
      </c>
      <c r="JD147" s="3">
        <f>$H147*factors!IX$3</f>
        <v>0.7059210291000001</v>
      </c>
      <c r="JE147" s="3">
        <f>$H147*factors!IY$3</f>
        <v>0.65011965251399995</v>
      </c>
      <c r="JF147" s="3">
        <f>$H147*factors!IZ$3</f>
        <v>0.68239032812999989</v>
      </c>
      <c r="JG147" s="3">
        <f>$H147*factors!JA$3</f>
        <v>0.67028882477399998</v>
      </c>
      <c r="JH147" s="3">
        <f>$H147*factors!JB$3</f>
        <v>0.68306263387200006</v>
      </c>
      <c r="JI147" s="3">
        <f>$H147*factors!JC$3</f>
        <v>0.63936276064200004</v>
      </c>
      <c r="JJ147" s="3">
        <f>$H147*factors!JD$3</f>
        <v>0.68844107980800007</v>
      </c>
      <c r="JK147" s="3">
        <f>$H147*factors!JE$3</f>
        <v>0.66625499032199997</v>
      </c>
      <c r="JL147" s="3">
        <f>$H147*factors!JF$3</f>
        <v>0.69314722000200002</v>
      </c>
      <c r="JM147" s="3">
        <f>$H147*factors!JG$3</f>
        <v>0.64675812380400011</v>
      </c>
      <c r="JN147" s="3">
        <f>$H147*factors!JH$3</f>
        <v>0.64675812380400011</v>
      </c>
      <c r="JO147" s="3">
        <f>$H147*factors!JI$3</f>
        <v>0.63869045489999998</v>
      </c>
      <c r="JP147" s="3">
        <f>$H147*factors!JJ$3</f>
        <v>0.69045799703400002</v>
      </c>
      <c r="JQ147" s="3">
        <f>$H147*factors!JK$3</f>
        <v>0.67297804774199999</v>
      </c>
      <c r="JR147" s="3">
        <f>$H147*factors!JL$3</f>
        <v>0.69919797167999997</v>
      </c>
      <c r="JS147" s="3">
        <f>$H147*factors!JM$3</f>
        <v>0.63869045489999998</v>
      </c>
      <c r="JT147" s="3">
        <f>$H147*factors!JN$3</f>
        <v>0.67096113051600004</v>
      </c>
      <c r="JU147" s="3">
        <f>$H147*factors!JO$3</f>
        <v>0.64877504102999994</v>
      </c>
      <c r="JV147" s="3">
        <f>$H147*factors!JP$3</f>
        <v>0.65953193290200007</v>
      </c>
      <c r="JW147" s="3">
        <f>$H147*factors!JQ$3</f>
        <v>0.70457641761600009</v>
      </c>
      <c r="JX147" s="3">
        <f>$H147*factors!JR$3</f>
        <v>0.69785336019600008</v>
      </c>
      <c r="JY147" s="3">
        <f>$H147*factors!JS$3</f>
        <v>0.65684270993400007</v>
      </c>
      <c r="JZ147" s="3">
        <f>$H147*factors!JT$3</f>
        <v>0.66423807309600014</v>
      </c>
      <c r="KA147" s="3">
        <f>$H147*factors!JU$3</f>
        <v>0.66692729606400003</v>
      </c>
      <c r="KB147" s="3">
        <f>$H147*factors!JV$3</f>
        <v>0.64474120657800005</v>
      </c>
      <c r="KC147" s="3">
        <f>$H147*factors!JW$3</f>
        <v>0.648102735288</v>
      </c>
      <c r="KD147" s="3">
        <f>$H147*factors!JX$3</f>
        <v>0.64877504102999994</v>
      </c>
      <c r="KE147" s="3">
        <f>$H147*factors!JY$3</f>
        <v>0.69045799703400002</v>
      </c>
      <c r="KF147" s="3">
        <f>$H147*factors!JZ$3</f>
        <v>0.69852566593799992</v>
      </c>
      <c r="KG147" s="3">
        <f>$H147*factors!KA$3</f>
        <v>0.67365035348400004</v>
      </c>
      <c r="KH147" s="3">
        <f>$H147*factors!KB$3</f>
        <v>0.65885962716000002</v>
      </c>
      <c r="KI147" s="3">
        <f>$H147*factors!KC$3</f>
        <v>0.65280887548199995</v>
      </c>
    </row>
    <row r="148" spans="1:295" x14ac:dyDescent="0.55000000000000004">
      <c r="A148" t="s">
        <v>525</v>
      </c>
      <c r="B148">
        <v>147</v>
      </c>
      <c r="C148">
        <v>230</v>
      </c>
      <c r="D148" t="s">
        <v>377</v>
      </c>
      <c r="E148">
        <v>3.0869999999999999E-3</v>
      </c>
      <c r="F148">
        <v>147</v>
      </c>
      <c r="G148">
        <f>VLOOKUP(D148,demand_forecasted!$A$2:$G$11,2)</f>
        <v>11098</v>
      </c>
      <c r="H148" s="3">
        <f t="shared" si="2"/>
        <v>0.34259526000000001</v>
      </c>
      <c r="I148" s="3">
        <f>$H148*factors!C$3</f>
        <v>0.37925295281999999</v>
      </c>
      <c r="J148" s="3">
        <f>$H148*factors!D$3</f>
        <v>0.36556284623040003</v>
      </c>
      <c r="K148" s="3">
        <f>$H148*factors!E$3</f>
        <v>0.35927279725680006</v>
      </c>
      <c r="L148" s="3">
        <f>$H148*factors!F$3</f>
        <v>0.35816278861440004</v>
      </c>
      <c r="M148" s="3">
        <f>$H148*factors!G$3</f>
        <v>0.35779278573360002</v>
      </c>
      <c r="N148" s="3">
        <f>$H148*factors!H$3</f>
        <v>0.36815286639600003</v>
      </c>
      <c r="O148" s="3">
        <f>$H148*factors!I$3</f>
        <v>0.37629292977360002</v>
      </c>
      <c r="P148" s="3">
        <f>$H148*factors!J$3</f>
        <v>0.38073296434320003</v>
      </c>
      <c r="Q148" s="3">
        <f>$H148*factors!K$3</f>
        <v>0.35742278285279999</v>
      </c>
      <c r="R148" s="3">
        <f>$H148*factors!L$3</f>
        <v>0.35150273676000005</v>
      </c>
      <c r="S148" s="3">
        <f>$H148*factors!M$3</f>
        <v>0.3659328491112</v>
      </c>
      <c r="T148" s="3">
        <f>$H148*factors!N$3</f>
        <v>0.37851294705840005</v>
      </c>
      <c r="U148" s="3">
        <f>$H148*factors!O$3</f>
        <v>0.35853279149520006</v>
      </c>
      <c r="V148" s="3">
        <f>$H148*factors!P$3</f>
        <v>0.37296290384640002</v>
      </c>
      <c r="W148" s="3">
        <f>$H148*factors!Q$3</f>
        <v>0.37629292977360002</v>
      </c>
      <c r="X148" s="3">
        <f>$H148*factors!R$3</f>
        <v>0.3600128030184</v>
      </c>
      <c r="Y148" s="3">
        <f>$H148*factors!S$3</f>
        <v>0.35668277709120005</v>
      </c>
      <c r="Z148" s="3">
        <f>$H148*factors!T$3</f>
        <v>0.38480299603200008</v>
      </c>
      <c r="AA148" s="3">
        <f>$H148*factors!U$3</f>
        <v>0.36334282894559999</v>
      </c>
      <c r="AB148" s="3">
        <f>$H148*factors!V$3</f>
        <v>0.36371283182640007</v>
      </c>
      <c r="AC148" s="3">
        <f>$H148*factors!W$3</f>
        <v>0.36408283470720004</v>
      </c>
      <c r="AD148" s="3">
        <f>$H148*factors!X$3</f>
        <v>0.35631277421040003</v>
      </c>
      <c r="AE148" s="3">
        <f>$H148*factors!Y$3</f>
        <v>0.35927279725680006</v>
      </c>
      <c r="AF148" s="3">
        <f>$H148*factors!Z$3</f>
        <v>0.36667285487280005</v>
      </c>
      <c r="AG148" s="3">
        <f>$H148*factors!AA$3</f>
        <v>0.35742278285279999</v>
      </c>
      <c r="AH148" s="3">
        <f>$H148*factors!AB$3</f>
        <v>0.35594277132960006</v>
      </c>
      <c r="AI148" s="3">
        <f>$H148*factors!AC$3</f>
        <v>0.36741286063440004</v>
      </c>
      <c r="AJ148" s="3">
        <f>$H148*factors!AD$3</f>
        <v>0.38147297010480002</v>
      </c>
      <c r="AK148" s="3">
        <f>$H148*factors!AE$3</f>
        <v>0.36704285775360007</v>
      </c>
      <c r="AL148" s="3">
        <f>$H148*factors!AF$3</f>
        <v>0.35261274540240001</v>
      </c>
      <c r="AM148" s="3">
        <f>$H148*factors!AG$3</f>
        <v>0.362602823184</v>
      </c>
      <c r="AN148" s="3">
        <f>$H148*factors!AH$3</f>
        <v>0.35668277709120005</v>
      </c>
      <c r="AO148" s="3">
        <f>$H148*factors!AI$3</f>
        <v>0.37370290960800001</v>
      </c>
      <c r="AP148" s="3">
        <f>$H148*factors!AJ$3</f>
        <v>0.35816278861440004</v>
      </c>
      <c r="AQ148" s="3">
        <f>$H148*factors!AK$3</f>
        <v>0.36963287791920008</v>
      </c>
      <c r="AR148" s="3">
        <f>$H148*factors!AL$3</f>
        <v>0.36149281454160004</v>
      </c>
      <c r="AS148" s="3">
        <f>$H148*factors!AM$3</f>
        <v>0.35261274540240001</v>
      </c>
      <c r="AT148" s="3">
        <f>$H148*factors!AN$3</f>
        <v>0.36371283182640007</v>
      </c>
      <c r="AU148" s="3">
        <f>$H148*factors!AO$3</f>
        <v>0.38517299891279999</v>
      </c>
      <c r="AV148" s="3">
        <f>$H148*factors!AP$3</f>
        <v>0.36408283470720004</v>
      </c>
      <c r="AW148" s="3">
        <f>$H148*factors!AQ$3</f>
        <v>0.36038280589920002</v>
      </c>
      <c r="AX148" s="3">
        <f>$H148*factors!AR$3</f>
        <v>0.38110296722400006</v>
      </c>
      <c r="AY148" s="3">
        <f>$H148*factors!AS$3</f>
        <v>0.35150273676000005</v>
      </c>
      <c r="AZ148" s="3">
        <f>$H148*factors!AT$3</f>
        <v>0.3766629326544001</v>
      </c>
      <c r="BA148" s="3">
        <f>$H148*factors!AU$3</f>
        <v>0.3685228692768</v>
      </c>
      <c r="BB148" s="3">
        <f>$H148*factors!AV$3</f>
        <v>0.36371283182640007</v>
      </c>
      <c r="BC148" s="3">
        <f>$H148*factors!AW$3</f>
        <v>0.38480299603200008</v>
      </c>
      <c r="BD148" s="3">
        <f>$H148*factors!AX$3</f>
        <v>0.35520276556800001</v>
      </c>
      <c r="BE148" s="3">
        <f>$H148*factors!AY$3</f>
        <v>0.41760306622439997</v>
      </c>
      <c r="BF148" s="3">
        <f>$H148*factors!AZ$3</f>
        <v>0.38890043534160001</v>
      </c>
      <c r="BG148" s="3">
        <f>$H148*factors!BA$3</f>
        <v>0.39456010903679994</v>
      </c>
      <c r="BH148" s="3">
        <f>$H148*factors!BB$3</f>
        <v>0.39981552032520001</v>
      </c>
      <c r="BI148" s="3">
        <f>$H148*factors!BC$3</f>
        <v>0.41436896696999992</v>
      </c>
      <c r="BJ148" s="3">
        <f>$H148*factors!BD$3</f>
        <v>0.39577289625719997</v>
      </c>
      <c r="BK148" s="3">
        <f>$H148*factors!BE$3</f>
        <v>0.39658142107079997</v>
      </c>
      <c r="BL148" s="3">
        <f>$H148*factors!BF$3</f>
        <v>0.39213453459599995</v>
      </c>
      <c r="BM148" s="3">
        <f>$H148*factors!BG$3</f>
        <v>0.41881585344480005</v>
      </c>
      <c r="BN148" s="3">
        <f>$H148*factors!BH$3</f>
        <v>0.41356044215639998</v>
      </c>
      <c r="BO148" s="3">
        <f>$H148*factors!BI$3</f>
        <v>0.38890043534160001</v>
      </c>
      <c r="BP148" s="3">
        <f>$H148*factors!BJ$3</f>
        <v>0.38768764812119993</v>
      </c>
      <c r="BQ148" s="3">
        <f>$H148*factors!BK$3</f>
        <v>0.39415584662999997</v>
      </c>
      <c r="BR148" s="3">
        <f>$H148*factors!BL$3</f>
        <v>0.40830503086800002</v>
      </c>
      <c r="BS148" s="3">
        <f>$H148*factors!BM$3</f>
        <v>0.4147732293768</v>
      </c>
      <c r="BT148" s="3">
        <f>$H148*factors!BN$3</f>
        <v>0.41598601659719997</v>
      </c>
      <c r="BU148" s="3">
        <f>$H148*factors!BO$3</f>
        <v>0.42285847751280004</v>
      </c>
      <c r="BV148" s="3">
        <f>$H148*factors!BP$3</f>
        <v>0.39334732181639998</v>
      </c>
      <c r="BW148" s="3">
        <f>$H148*factors!BQ$3</f>
        <v>0.40224109476600001</v>
      </c>
      <c r="BX148" s="3">
        <f>$H148*factors!BR$3</f>
        <v>0.39456010903679994</v>
      </c>
      <c r="BY148" s="3">
        <f>$H148*factors!BS$3</f>
        <v>0.41275191734279992</v>
      </c>
      <c r="BZ148" s="3">
        <f>$H148*factors!BT$3</f>
        <v>0.40507093161359997</v>
      </c>
      <c r="CA148" s="3">
        <f>$H148*factors!BU$3</f>
        <v>0.39981552032520001</v>
      </c>
      <c r="CB148" s="3">
        <f>$H148*factors!BV$3</f>
        <v>0.38687912330759999</v>
      </c>
      <c r="CC148" s="3">
        <f>$H148*factors!BW$3</f>
        <v>0.39819847069799996</v>
      </c>
      <c r="CD148" s="3">
        <f>$H148*factors!BX$3</f>
        <v>0.39941125791839999</v>
      </c>
      <c r="CE148" s="3">
        <f>$H148*factors!BY$3</f>
        <v>0.40507093161359997</v>
      </c>
      <c r="CF148" s="3">
        <f>$H148*factors!BZ$3</f>
        <v>0.39900699551160002</v>
      </c>
      <c r="CG148" s="3">
        <f>$H148*factors!CA$3</f>
        <v>0.38566633608719997</v>
      </c>
      <c r="CH148" s="3">
        <f>$H148*factors!CB$3</f>
        <v>0.38607059849399994</v>
      </c>
      <c r="CI148" s="3">
        <f>$H148*factors!CC$3</f>
        <v>0.38404928646000003</v>
      </c>
      <c r="CJ148" s="3">
        <f>$H148*factors!CD$3</f>
        <v>0.39981552032520001</v>
      </c>
      <c r="CK148" s="3">
        <f>$H148*factors!CE$3</f>
        <v>0.41760306622439997</v>
      </c>
      <c r="CL148" s="3">
        <f>$H148*factors!CF$3</f>
        <v>0.39132600978240001</v>
      </c>
      <c r="CM148" s="3">
        <f>$H148*factors!CG$3</f>
        <v>0.40062404513879996</v>
      </c>
      <c r="CN148" s="3">
        <f>$H148*factors!CH$3</f>
        <v>0.38728338571439996</v>
      </c>
      <c r="CO148" s="3">
        <f>$H148*factors!CI$3</f>
        <v>0.39011322256199993</v>
      </c>
      <c r="CP148" s="3">
        <f>$H148*factors!CJ$3</f>
        <v>0.40870929327479993</v>
      </c>
      <c r="CQ148" s="3">
        <f>$H148*factors!CK$3</f>
        <v>0.39658142107079997</v>
      </c>
      <c r="CR148" s="3">
        <f>$H148*factors!CL$3</f>
        <v>0.40911355568159996</v>
      </c>
      <c r="CS148" s="3">
        <f>$H148*factors!CM$3</f>
        <v>0.42204995269919998</v>
      </c>
      <c r="CT148" s="3">
        <f>$H148*factors!CN$3</f>
        <v>0.41719880381759999</v>
      </c>
      <c r="CU148" s="3">
        <f>$H148*factors!CO$3</f>
        <v>0.40790076846119994</v>
      </c>
      <c r="CV148" s="3">
        <f>$H148*factors!CP$3</f>
        <v>0.42447552713999998</v>
      </c>
      <c r="CW148" s="3">
        <f>$H148*factors!CQ$3</f>
        <v>0.40143256995240001</v>
      </c>
      <c r="CX148" s="3">
        <f>$H148*factors!CR$3</f>
        <v>0.3953686338504</v>
      </c>
      <c r="CY148" s="3">
        <f>$H148*factors!CS$3</f>
        <v>0.39173027218919998</v>
      </c>
      <c r="CZ148" s="3">
        <f>$H148*factors!CT$3</f>
        <v>0.38607059849399994</v>
      </c>
      <c r="DA148" s="3">
        <f>$H148*factors!CU$3</f>
        <v>0.40083645419999997</v>
      </c>
      <c r="DB148" s="3">
        <f>$H148*factors!CV$3</f>
        <v>0.42673665585600001</v>
      </c>
      <c r="DC148" s="3">
        <f>$H148*factors!CW$3</f>
        <v>0.40864762612799999</v>
      </c>
      <c r="DD148" s="3">
        <f>$H148*factors!CX$3</f>
        <v>0.40576982594399996</v>
      </c>
      <c r="DE148" s="3">
        <f>$H148*factors!CY$3</f>
        <v>0.41769214099200003</v>
      </c>
      <c r="DF148" s="3">
        <f>$H148*factors!CZ$3</f>
        <v>0.41686991236799997</v>
      </c>
      <c r="DG148" s="3">
        <f>$H148*factors!DA$3</f>
        <v>0.41522545512000003</v>
      </c>
      <c r="DH148" s="3">
        <f>$H148*factors!DB$3</f>
        <v>0.41522545512000003</v>
      </c>
      <c r="DI148" s="3">
        <f>$H148*factors!DC$3</f>
        <v>0.399603111264</v>
      </c>
      <c r="DJ148" s="3">
        <f>$H148*factors!DD$3</f>
        <v>0.42344774136000002</v>
      </c>
      <c r="DK148" s="3">
        <f>$H148*factors!DE$3</f>
        <v>0.42344774136000002</v>
      </c>
      <c r="DL148" s="3">
        <f>$H148*factors!DF$3</f>
        <v>0.41851436961600003</v>
      </c>
      <c r="DM148" s="3">
        <f>$H148*factors!DG$3</f>
        <v>0.39425862520799998</v>
      </c>
      <c r="DN148" s="3">
        <f>$H148*factors!DH$3</f>
        <v>0.41358099787200003</v>
      </c>
      <c r="DO148" s="3">
        <f>$H148*factors!DI$3</f>
        <v>0.42714777016799998</v>
      </c>
      <c r="DP148" s="3">
        <f>$H148*factors!DJ$3</f>
        <v>0.42344774136000002</v>
      </c>
      <c r="DQ148" s="3">
        <f>$H148*factors!DK$3</f>
        <v>0.40371425438399999</v>
      </c>
      <c r="DR148" s="3">
        <f>$H148*factors!DL$3</f>
        <v>0.39919199695200003</v>
      </c>
      <c r="DS148" s="3">
        <f>$H148*factors!DM$3</f>
        <v>0.43125891328799998</v>
      </c>
      <c r="DT148" s="3">
        <f>$H148*factors!DN$3</f>
        <v>0.40535871163200005</v>
      </c>
      <c r="DU148" s="3">
        <f>$H148*factors!DO$3</f>
        <v>0.42426996998400002</v>
      </c>
      <c r="DV148" s="3">
        <f>$H148*factors!DP$3</f>
        <v>0.41440322649600003</v>
      </c>
      <c r="DW148" s="3">
        <f>$H148*factors!DQ$3</f>
        <v>0.39549196814399995</v>
      </c>
      <c r="DX148" s="3">
        <f>$H148*factors!DR$3</f>
        <v>0.418925483928</v>
      </c>
      <c r="DY148" s="3">
        <f>$H148*factors!DS$3</f>
        <v>0.39754753970399997</v>
      </c>
      <c r="DZ148" s="3">
        <f>$H148*factors!DT$3</f>
        <v>0.42509219860799996</v>
      </c>
      <c r="EA148" s="3">
        <f>$H148*factors!DU$3</f>
        <v>0.40042533988799994</v>
      </c>
      <c r="EB148" s="3">
        <f>$H148*factors!DV$3</f>
        <v>0.39055859639999996</v>
      </c>
      <c r="EC148" s="3">
        <f>$H148*factors!DW$3</f>
        <v>0.42015882686399997</v>
      </c>
      <c r="ED148" s="3">
        <f>$H148*factors!DX$3</f>
        <v>0.39425862520799998</v>
      </c>
      <c r="EE148" s="3">
        <f>$H148*factors!DY$3</f>
        <v>0.39754753970399997</v>
      </c>
      <c r="EF148" s="3">
        <f>$H148*factors!DZ$3</f>
        <v>0.43125891328799998</v>
      </c>
      <c r="EG148" s="3">
        <f>$H148*factors!EA$3</f>
        <v>0.40289202575999999</v>
      </c>
      <c r="EH148" s="3">
        <f>$H148*factors!EB$3</f>
        <v>0.40412536869600002</v>
      </c>
      <c r="EI148" s="3">
        <f>$H148*factors!EC$3</f>
        <v>0.40330314007200002</v>
      </c>
      <c r="EJ148" s="3">
        <f>$H148*factors!ED$3</f>
        <v>0.39302528227200001</v>
      </c>
      <c r="EK148" s="3">
        <f>$H148*factors!EE$3</f>
        <v>0.42015882686399997</v>
      </c>
      <c r="EL148" s="3">
        <f>$H148*factors!EF$3</f>
        <v>0.399603111264</v>
      </c>
      <c r="EM148" s="3">
        <f>$H148*factors!EG$3</f>
        <v>0.41563656943199995</v>
      </c>
      <c r="EN148" s="3">
        <f>$H148*factors!EH$3</f>
        <v>0.39055859639999996</v>
      </c>
      <c r="EO148" s="3">
        <f>$H148*factors!EI$3</f>
        <v>0.39631419676799995</v>
      </c>
      <c r="EP148" s="3">
        <f>$H148*factors!EJ$3</f>
        <v>0.418103255304</v>
      </c>
      <c r="EQ148" s="3">
        <f>$H148*factors!EK$3</f>
        <v>0.40659205456799996</v>
      </c>
      <c r="ER148" s="3">
        <f>$H148*factors!EL$3</f>
        <v>0.42344774136000002</v>
      </c>
      <c r="ES148" s="3">
        <f>$H148*factors!EM$3</f>
        <v>0.418103255304</v>
      </c>
      <c r="ET148" s="3">
        <f>$H148*factors!EN$3</f>
        <v>0.42755888448000001</v>
      </c>
      <c r="EU148" s="3">
        <f>$H148*factors!EO$3</f>
        <v>0.43167002760000001</v>
      </c>
      <c r="EV148" s="3">
        <f>$H148*factors!EP$3</f>
        <v>0.40453648300799994</v>
      </c>
      <c r="EW148" s="3">
        <f>$H148*factors!EQ$3</f>
        <v>0.44494559392499994</v>
      </c>
      <c r="EX148" s="3">
        <f>$H148*factors!ER$3</f>
        <v>0.44023490910000007</v>
      </c>
      <c r="EY148" s="3">
        <f>$H148*factors!ES$3</f>
        <v>0.44922803467499994</v>
      </c>
      <c r="EZ148" s="3">
        <f>$H148*factors!ET$3</f>
        <v>0.44494559392499994</v>
      </c>
      <c r="FA148" s="3">
        <f>$H148*factors!EU$3</f>
        <v>0.40897309162499995</v>
      </c>
      <c r="FB148" s="3">
        <f>$H148*factors!EV$3</f>
        <v>0.42738758685000006</v>
      </c>
      <c r="FC148" s="3">
        <f>$H148*factors!EW$3</f>
        <v>0.43937842095000001</v>
      </c>
      <c r="FD148" s="3">
        <f>$H148*factors!EX$3</f>
        <v>0.42396163425000005</v>
      </c>
      <c r="FE148" s="3">
        <f>$H148*factors!EY$3</f>
        <v>0.446658570225</v>
      </c>
      <c r="FF148" s="3">
        <f>$H148*factors!EZ$3</f>
        <v>0.44708681430000008</v>
      </c>
      <c r="FG148" s="3">
        <f>$H148*factors!FA$3</f>
        <v>0.40897309162499995</v>
      </c>
      <c r="FH148" s="3">
        <f>$H148*factors!FB$3</f>
        <v>0.43038529537499998</v>
      </c>
      <c r="FI148" s="3">
        <f>$H148*factors!FC$3</f>
        <v>0.44837154652499994</v>
      </c>
      <c r="FJ148" s="3">
        <f>$H148*factors!FD$3</f>
        <v>0.43038529537499998</v>
      </c>
      <c r="FK148" s="3">
        <f>$H148*factors!FE$3</f>
        <v>0.43766544465000007</v>
      </c>
      <c r="FL148" s="3">
        <f>$H148*factors!FF$3</f>
        <v>0.43895017687500004</v>
      </c>
      <c r="FM148" s="3">
        <f>$H148*factors!FG$3</f>
        <v>0.44366086169999996</v>
      </c>
      <c r="FN148" s="3">
        <f>$H148*factors!FH$3</f>
        <v>0.41496850867500001</v>
      </c>
      <c r="FO148" s="3">
        <f>$H148*factors!FI$3</f>
        <v>0.44066315317499999</v>
      </c>
      <c r="FP148" s="3">
        <f>$H148*factors!FJ$3</f>
        <v>0.428244075</v>
      </c>
      <c r="FQ148" s="3">
        <f>$H148*factors!FK$3</f>
        <v>0.42396163425000005</v>
      </c>
      <c r="FR148" s="3">
        <f>$H148*factors!FL$3</f>
        <v>0.43252651575000001</v>
      </c>
      <c r="FS148" s="3">
        <f>$H148*factors!FM$3</f>
        <v>0.4299570513</v>
      </c>
      <c r="FT148" s="3">
        <f>$H148*factors!FN$3</f>
        <v>0.43937842095000001</v>
      </c>
      <c r="FU148" s="3">
        <f>$H148*factors!FO$3</f>
        <v>0.42224865794999999</v>
      </c>
      <c r="FV148" s="3">
        <f>$H148*factors!FP$3</f>
        <v>0.41882270534999999</v>
      </c>
      <c r="FW148" s="3">
        <f>$H148*factors!FQ$3</f>
        <v>0.44837154652499994</v>
      </c>
      <c r="FX148" s="3">
        <f>$H148*factors!FR$3</f>
        <v>0.44023490910000007</v>
      </c>
      <c r="FY148" s="3">
        <f>$H148*factors!FS$3</f>
        <v>0.43124178352499998</v>
      </c>
      <c r="FZ148" s="3">
        <f>$H148*factors!FT$3</f>
        <v>0.40982957977500001</v>
      </c>
      <c r="GA148" s="3">
        <f>$H148*factors!FU$3</f>
        <v>0.43124178352499998</v>
      </c>
      <c r="GB148" s="3">
        <f>$H148*factors!FV$3</f>
        <v>0.44708681430000008</v>
      </c>
      <c r="GC148" s="3">
        <f>$H148*factors!FW$3</f>
        <v>0.41882270534999999</v>
      </c>
      <c r="GD148" s="3">
        <f>$H148*factors!FX$3</f>
        <v>0.42610285462499997</v>
      </c>
      <c r="GE148" s="3">
        <f>$H148*factors!FY$3</f>
        <v>0.42610285462499997</v>
      </c>
      <c r="GF148" s="3">
        <f>$H148*factors!FZ$3</f>
        <v>0.4248181224</v>
      </c>
      <c r="GG148" s="3">
        <f>$H148*factors!GA$3</f>
        <v>0.40811660347500001</v>
      </c>
      <c r="GH148" s="3">
        <f>$H148*factors!GB$3</f>
        <v>0.43423949205000006</v>
      </c>
      <c r="GI148" s="3">
        <f>$H148*factors!GC$3</f>
        <v>0.40726011532500001</v>
      </c>
      <c r="GJ148" s="3">
        <f>$H148*factors!GD$3</f>
        <v>0.40811660347500001</v>
      </c>
      <c r="GK148" s="3">
        <f>$H148*factors!GE$3</f>
        <v>0.41839446127500002</v>
      </c>
      <c r="GL148" s="3">
        <f>$H148*factors!GF$3</f>
        <v>0.44323261762499999</v>
      </c>
      <c r="GM148" s="3">
        <f>$H148*factors!GG$3</f>
        <v>0.42010743757500002</v>
      </c>
      <c r="GN148" s="3">
        <f>$H148*factors!GH$3</f>
        <v>0.43338300390000006</v>
      </c>
      <c r="GO148" s="3">
        <f>$H148*factors!GI$3</f>
        <v>0.40940133569999998</v>
      </c>
      <c r="GP148" s="3">
        <f>$H148*factors!GJ$3</f>
        <v>0.43895017687500004</v>
      </c>
      <c r="GQ148" s="3">
        <f>$H148*factors!GK$3</f>
        <v>0.44794330245000008</v>
      </c>
      <c r="GR148" s="3">
        <f>$H148*factors!GL$3</f>
        <v>0.43937842095000001</v>
      </c>
      <c r="GS148" s="3">
        <f>$H148*factors!GM$3</f>
        <v>0.41551666109099999</v>
      </c>
      <c r="GT148" s="3">
        <f>$H148*factors!GN$3</f>
        <v>0.42508877265540002</v>
      </c>
      <c r="GU148" s="3">
        <f>$H148*factors!GO$3</f>
        <v>0.43509598020000001</v>
      </c>
      <c r="GV148" s="3">
        <f>$H148*factors!GP$3</f>
        <v>0.41769214099200003</v>
      </c>
      <c r="GW148" s="3">
        <f>$H148*factors!GQ$3</f>
        <v>0.43248540431880006</v>
      </c>
      <c r="GX148" s="3">
        <f>$H148*factors!GR$3</f>
        <v>0.42552386863559999</v>
      </c>
      <c r="GY148" s="3">
        <f>$H148*factors!GS$3</f>
        <v>0.42334838873460007</v>
      </c>
      <c r="GZ148" s="3">
        <f>$H148*factors!GT$3</f>
        <v>0.43901184402179999</v>
      </c>
      <c r="HA148" s="3">
        <f>$H148*factors!GU$3</f>
        <v>0.42465367667519999</v>
      </c>
      <c r="HB148" s="3">
        <f>$H148*factors!GV$3</f>
        <v>0.43901184402179999</v>
      </c>
      <c r="HC148" s="3">
        <f>$H148*factors!GW$3</f>
        <v>0.42813444451679999</v>
      </c>
      <c r="HD148" s="3">
        <f>$H148*factors!GX$3</f>
        <v>0.44075222794259994</v>
      </c>
      <c r="HE148" s="3">
        <f>$H148*factors!GY$3</f>
        <v>0.43509598020000001</v>
      </c>
      <c r="HF148" s="3">
        <f>$H148*factors!GZ$3</f>
        <v>0.44858395558620001</v>
      </c>
      <c r="HG148" s="3">
        <f>$H148*factors!HA$3</f>
        <v>0.43118011637820003</v>
      </c>
      <c r="HH148" s="3">
        <f>$H148*factors!HB$3</f>
        <v>0.42552386863559999</v>
      </c>
      <c r="HI148" s="3">
        <f>$H148*factors!HC$3</f>
        <v>0.42030271687320003</v>
      </c>
      <c r="HJ148" s="3">
        <f>$H148*factors!HD$3</f>
        <v>0.41551666109099999</v>
      </c>
      <c r="HK148" s="3">
        <f>$H148*factors!HE$3</f>
        <v>0.43944694000200002</v>
      </c>
      <c r="HL148" s="3">
        <f>$H148*factors!HF$3</f>
        <v>0.41421137315039996</v>
      </c>
      <c r="HM148" s="3">
        <f>$H148*factors!HG$3</f>
        <v>0.41856233295240003</v>
      </c>
      <c r="HN148" s="3">
        <f>$H148*factors!HH$3</f>
        <v>0.44640847568520003</v>
      </c>
      <c r="HO148" s="3">
        <f>$H148*factors!HI$3</f>
        <v>0.42813444451679999</v>
      </c>
      <c r="HP148" s="3">
        <f>$H148*factors!HJ$3</f>
        <v>0.45685077921000006</v>
      </c>
      <c r="HQ148" s="3">
        <f>$H148*factors!HK$3</f>
        <v>0.41769214099200003</v>
      </c>
      <c r="HR148" s="3">
        <f>$H148*factors!HL$3</f>
        <v>0.44292770784360008</v>
      </c>
      <c r="HS148" s="3">
        <f>$H148*factors!HM$3</f>
        <v>0.45075943548720004</v>
      </c>
      <c r="HT148" s="3">
        <f>$H148*factors!HN$3</f>
        <v>0.42030271687320003</v>
      </c>
      <c r="HU148" s="3">
        <f>$H148*factors!HO$3</f>
        <v>0.42465367667519999</v>
      </c>
      <c r="HV148" s="3">
        <f>$H148*factors!HP$3</f>
        <v>0.42987482843760005</v>
      </c>
      <c r="HW148" s="3">
        <f>$H148*factors!HQ$3</f>
        <v>0.43596617216040001</v>
      </c>
      <c r="HX148" s="3">
        <f>$H148*factors!HR$3</f>
        <v>0.45380510734859997</v>
      </c>
      <c r="HY148" s="3">
        <f>$H148*factors!HS$3</f>
        <v>0.43118011637820003</v>
      </c>
      <c r="HZ148" s="3">
        <f>$H148*factors!HT$3</f>
        <v>0.44771376362580001</v>
      </c>
      <c r="IA148" s="3">
        <f>$H148*factors!HU$3</f>
        <v>0.42595896461580002</v>
      </c>
      <c r="IB148" s="3">
        <f>$H148*factors!HV$3</f>
        <v>0.44075222794259994</v>
      </c>
      <c r="IC148" s="3">
        <f>$H148*factors!HW$3</f>
        <v>0.4451031877446</v>
      </c>
      <c r="ID148" s="3">
        <f>$H148*factors!HX$3</f>
        <v>0.41334118118999996</v>
      </c>
      <c r="IE148" s="3">
        <f>$H148*factors!HY$3</f>
        <v>0.43901184402179999</v>
      </c>
      <c r="IF148" s="3">
        <f>$H148*factors!HZ$3</f>
        <v>0.43640126814059998</v>
      </c>
      <c r="IG148" s="3">
        <f>$H148*factors!IA$3</f>
        <v>0.43248540431880006</v>
      </c>
      <c r="IH148" s="3">
        <f>$H148*factors!IB$3</f>
        <v>0.44858395558620001</v>
      </c>
      <c r="II148" s="3">
        <f>$H148*factors!IC$3</f>
        <v>0.42943973245740003</v>
      </c>
      <c r="IJ148" s="3">
        <f>$H148*factors!ID$3</f>
        <v>0.43335559627920001</v>
      </c>
      <c r="IK148" s="3">
        <f>$H148*factors!IE$3</f>
        <v>0.44901905156640004</v>
      </c>
      <c r="IL148" s="3">
        <f>$H148*factors!IF$3</f>
        <v>0.42987482843760005</v>
      </c>
      <c r="IM148" s="3">
        <f>$H148*factors!IG$3</f>
        <v>0.42595896461580002</v>
      </c>
      <c r="IN148" s="3">
        <f>$H148*factors!IH$3</f>
        <v>0.42856954049700002</v>
      </c>
      <c r="IO148" s="3">
        <f>$H148*factors!II$3</f>
        <v>0.43292050029899998</v>
      </c>
      <c r="IP148" s="3">
        <f>$H148*factors!IJ$3</f>
        <v>0.41856233295240003</v>
      </c>
      <c r="IQ148" s="3">
        <f>$H148*factors!IK$3</f>
        <v>0.4172570450118</v>
      </c>
      <c r="IR148" s="3">
        <f>$H148*factors!IL$3</f>
        <v>0.42943973245740003</v>
      </c>
      <c r="IS148" s="3">
        <f>$H148*factors!IM$3</f>
        <v>0.43292050029899998</v>
      </c>
      <c r="IT148" s="3">
        <f>$H148*factors!IN$3</f>
        <v>0.43596617216040001</v>
      </c>
      <c r="IU148" s="3">
        <f>$H148*factors!IO$3</f>
        <v>0.44553828372480003</v>
      </c>
      <c r="IV148" s="3">
        <f>$H148*factors!IP$3</f>
        <v>0.45119453146739996</v>
      </c>
      <c r="IW148" s="3">
        <f>$H148*factors!IQ$3</f>
        <v>0.42639406059599999</v>
      </c>
      <c r="IX148" s="3">
        <f>$H148*factors!IR$3</f>
        <v>0.44553828372480003</v>
      </c>
      <c r="IY148" s="3">
        <f>$H148*factors!IS$3</f>
        <v>0.43901184402179999</v>
      </c>
      <c r="IZ148" s="3">
        <f>$H148*factors!IT$3</f>
        <v>0.44640847568520003</v>
      </c>
      <c r="JA148" s="3">
        <f>$H148*factors!IU$3</f>
        <v>0.42160800481379995</v>
      </c>
      <c r="JB148" s="3">
        <f>$H148*factors!IV$3</f>
        <v>0.42943973245740003</v>
      </c>
      <c r="JC148" s="3">
        <f>$H148*factors!IW$3</f>
        <v>0.41943252491280003</v>
      </c>
      <c r="JD148" s="3">
        <f>$H148*factors!IX$3</f>
        <v>0.45685077921000006</v>
      </c>
      <c r="JE148" s="3">
        <f>$H148*factors!IY$3</f>
        <v>0.42073781285340001</v>
      </c>
      <c r="JF148" s="3">
        <f>$H148*factors!IZ$3</f>
        <v>0.44162241990299994</v>
      </c>
      <c r="JG148" s="3">
        <f>$H148*factors!JA$3</f>
        <v>0.43379069225939998</v>
      </c>
      <c r="JH148" s="3">
        <f>$H148*factors!JB$3</f>
        <v>0.44205751588320008</v>
      </c>
      <c r="JI148" s="3">
        <f>$H148*factors!JC$3</f>
        <v>0.41377627717020005</v>
      </c>
      <c r="JJ148" s="3">
        <f>$H148*factors!JD$3</f>
        <v>0.44553828372480003</v>
      </c>
      <c r="JK148" s="3">
        <f>$H148*factors!JE$3</f>
        <v>0.43118011637820003</v>
      </c>
      <c r="JL148" s="3">
        <f>$H148*factors!JF$3</f>
        <v>0.44858395558620001</v>
      </c>
      <c r="JM148" s="3">
        <f>$H148*factors!JG$3</f>
        <v>0.41856233295240003</v>
      </c>
      <c r="JN148" s="3">
        <f>$H148*factors!JH$3</f>
        <v>0.41856233295240003</v>
      </c>
      <c r="JO148" s="3">
        <f>$H148*factors!JI$3</f>
        <v>0.41334118118999996</v>
      </c>
      <c r="JP148" s="3">
        <f>$H148*factors!JJ$3</f>
        <v>0.44684357166540001</v>
      </c>
      <c r="JQ148" s="3">
        <f>$H148*factors!JK$3</f>
        <v>0.43553107618019998</v>
      </c>
      <c r="JR148" s="3">
        <f>$H148*factors!JL$3</f>
        <v>0.45249981940799999</v>
      </c>
      <c r="JS148" s="3">
        <f>$H148*factors!JM$3</f>
        <v>0.41334118118999996</v>
      </c>
      <c r="JT148" s="3">
        <f>$H148*factors!JN$3</f>
        <v>0.43422578823960001</v>
      </c>
      <c r="JU148" s="3">
        <f>$H148*factors!JO$3</f>
        <v>0.419867620893</v>
      </c>
      <c r="JV148" s="3">
        <f>$H148*factors!JP$3</f>
        <v>0.42682915657620002</v>
      </c>
      <c r="JW148" s="3">
        <f>$H148*factors!JQ$3</f>
        <v>0.45598058724960006</v>
      </c>
      <c r="JX148" s="3">
        <f>$H148*factors!JR$3</f>
        <v>0.45162962744759999</v>
      </c>
      <c r="JY148" s="3">
        <f>$H148*factors!JS$3</f>
        <v>0.42508877265540002</v>
      </c>
      <c r="JZ148" s="3">
        <f>$H148*factors!JT$3</f>
        <v>0.42987482843760005</v>
      </c>
      <c r="KA148" s="3">
        <f>$H148*factors!JU$3</f>
        <v>0.43161521235840006</v>
      </c>
      <c r="KB148" s="3">
        <f>$H148*factors!JV$3</f>
        <v>0.4172570450118</v>
      </c>
      <c r="KC148" s="3">
        <f>$H148*factors!JW$3</f>
        <v>0.41943252491280003</v>
      </c>
      <c r="KD148" s="3">
        <f>$H148*factors!JX$3</f>
        <v>0.419867620893</v>
      </c>
      <c r="KE148" s="3">
        <f>$H148*factors!JY$3</f>
        <v>0.44684357166540001</v>
      </c>
      <c r="KF148" s="3">
        <f>$H148*factors!JZ$3</f>
        <v>0.45206472342779996</v>
      </c>
      <c r="KG148" s="3">
        <f>$H148*factors!KA$3</f>
        <v>0.43596617216040001</v>
      </c>
      <c r="KH148" s="3">
        <f>$H148*factors!KB$3</f>
        <v>0.42639406059599999</v>
      </c>
      <c r="KI148" s="3">
        <f>$H148*factors!KC$3</f>
        <v>0.42247819677419995</v>
      </c>
    </row>
    <row r="149" spans="1:295" x14ac:dyDescent="0.55000000000000004">
      <c r="A149" t="s">
        <v>526</v>
      </c>
      <c r="B149">
        <v>148</v>
      </c>
      <c r="C149">
        <v>500</v>
      </c>
      <c r="D149" t="s">
        <v>377</v>
      </c>
      <c r="E149">
        <v>5.9740000000000001E-3</v>
      </c>
      <c r="F149">
        <v>148</v>
      </c>
      <c r="G149">
        <f>VLOOKUP(D149,demand_forecasted!$A$2:$G$11,2)</f>
        <v>11098</v>
      </c>
      <c r="H149" s="3">
        <f t="shared" si="2"/>
        <v>0.66299452000000003</v>
      </c>
      <c r="I149" s="3">
        <f>$H149*factors!C$3</f>
        <v>0.73393493364000006</v>
      </c>
      <c r="J149" s="3">
        <f>$H149*factors!D$3</f>
        <v>0.70744167262080004</v>
      </c>
      <c r="K149" s="3">
        <f>$H149*factors!E$3</f>
        <v>0.69526909323360009</v>
      </c>
      <c r="L149" s="3">
        <f>$H149*factors!F$3</f>
        <v>0.69312099098880009</v>
      </c>
      <c r="M149" s="3">
        <f>$H149*factors!G$3</f>
        <v>0.69240495690720005</v>
      </c>
      <c r="N149" s="3">
        <f>$H149*factors!H$3</f>
        <v>0.71245391119200008</v>
      </c>
      <c r="O149" s="3">
        <f>$H149*factors!I$3</f>
        <v>0.72820666098719999</v>
      </c>
      <c r="P149" s="3">
        <f>$H149*factors!J$3</f>
        <v>0.7367990699664001</v>
      </c>
      <c r="Q149" s="3">
        <f>$H149*factors!K$3</f>
        <v>0.69168892282560002</v>
      </c>
      <c r="R149" s="3">
        <f>$H149*factors!L$3</f>
        <v>0.6802323775200001</v>
      </c>
      <c r="S149" s="3">
        <f>$H149*factors!M$3</f>
        <v>0.70815770670239997</v>
      </c>
      <c r="T149" s="3">
        <f>$H149*factors!N$3</f>
        <v>0.7325028654768001</v>
      </c>
      <c r="U149" s="3">
        <f>$H149*factors!O$3</f>
        <v>0.69383702507040013</v>
      </c>
      <c r="V149" s="3">
        <f>$H149*factors!P$3</f>
        <v>0.72176235425280011</v>
      </c>
      <c r="W149" s="3">
        <f>$H149*factors!Q$3</f>
        <v>0.72820666098719999</v>
      </c>
      <c r="X149" s="3">
        <f>$H149*factors!R$3</f>
        <v>0.69670116139680005</v>
      </c>
      <c r="Y149" s="3">
        <f>$H149*factors!S$3</f>
        <v>0.69025685466240005</v>
      </c>
      <c r="Z149" s="3">
        <f>$H149*factors!T$3</f>
        <v>0.74467544486400017</v>
      </c>
      <c r="AA149" s="3">
        <f>$H149*factors!U$3</f>
        <v>0.70314546813120005</v>
      </c>
      <c r="AB149" s="3">
        <f>$H149*factors!V$3</f>
        <v>0.70386150221280008</v>
      </c>
      <c r="AC149" s="3">
        <f>$H149*factors!W$3</f>
        <v>0.70457753629440012</v>
      </c>
      <c r="AD149" s="3">
        <f>$H149*factors!X$3</f>
        <v>0.68954082058080013</v>
      </c>
      <c r="AE149" s="3">
        <f>$H149*factors!Y$3</f>
        <v>0.69526909323360009</v>
      </c>
      <c r="AF149" s="3">
        <f>$H149*factors!Z$3</f>
        <v>0.70958977486560015</v>
      </c>
      <c r="AG149" s="3">
        <f>$H149*factors!AA$3</f>
        <v>0.69168892282560002</v>
      </c>
      <c r="AH149" s="3">
        <f>$H149*factors!AB$3</f>
        <v>0.68882478649920009</v>
      </c>
      <c r="AI149" s="3">
        <f>$H149*factors!AC$3</f>
        <v>0.71102184302880012</v>
      </c>
      <c r="AJ149" s="3">
        <f>$H149*factors!AD$3</f>
        <v>0.73823113812960006</v>
      </c>
      <c r="AK149" s="3">
        <f>$H149*factors!AE$3</f>
        <v>0.71030580894720008</v>
      </c>
      <c r="AL149" s="3">
        <f>$H149*factors!AF$3</f>
        <v>0.68238047976479999</v>
      </c>
      <c r="AM149" s="3">
        <f>$H149*factors!AG$3</f>
        <v>0.70171339996800008</v>
      </c>
      <c r="AN149" s="3">
        <f>$H149*factors!AH$3</f>
        <v>0.69025685466240005</v>
      </c>
      <c r="AO149" s="3">
        <f>$H149*factors!AI$3</f>
        <v>0.72319442241600007</v>
      </c>
      <c r="AP149" s="3">
        <f>$H149*factors!AJ$3</f>
        <v>0.69312099098880009</v>
      </c>
      <c r="AQ149" s="3">
        <f>$H149*factors!AK$3</f>
        <v>0.71531804751840011</v>
      </c>
      <c r="AR149" s="3">
        <f>$H149*factors!AL$3</f>
        <v>0.69956529772320009</v>
      </c>
      <c r="AS149" s="3">
        <f>$H149*factors!AM$3</f>
        <v>0.68238047976479999</v>
      </c>
      <c r="AT149" s="3">
        <f>$H149*factors!AN$3</f>
        <v>0.70386150221280008</v>
      </c>
      <c r="AU149" s="3">
        <f>$H149*factors!AO$3</f>
        <v>0.74539147894559998</v>
      </c>
      <c r="AV149" s="3">
        <f>$H149*factors!AP$3</f>
        <v>0.70457753629440012</v>
      </c>
      <c r="AW149" s="3">
        <f>$H149*factors!AQ$3</f>
        <v>0.69741719547839998</v>
      </c>
      <c r="AX149" s="3">
        <f>$H149*factors!AR$3</f>
        <v>0.73751510404800003</v>
      </c>
      <c r="AY149" s="3">
        <f>$H149*factors!AS$3</f>
        <v>0.6802323775200001</v>
      </c>
      <c r="AZ149" s="3">
        <f>$H149*factors!AT$3</f>
        <v>0.72892269506880014</v>
      </c>
      <c r="BA149" s="3">
        <f>$H149*factors!AU$3</f>
        <v>0.7131699452736</v>
      </c>
      <c r="BB149" s="3">
        <f>$H149*factors!AV$3</f>
        <v>0.70386150221280008</v>
      </c>
      <c r="BC149" s="3">
        <f>$H149*factors!AW$3</f>
        <v>0.74467544486400017</v>
      </c>
      <c r="BD149" s="3">
        <f>$H149*factors!AX$3</f>
        <v>0.68739271833600002</v>
      </c>
      <c r="BE149" s="3">
        <f>$H149*factors!AY$3</f>
        <v>0.80815054020879995</v>
      </c>
      <c r="BF149" s="3">
        <f>$H149*factors!AZ$3</f>
        <v>0.75260485932319998</v>
      </c>
      <c r="BG149" s="3">
        <f>$H149*factors!BA$3</f>
        <v>0.76355752879359995</v>
      </c>
      <c r="BH149" s="3">
        <f>$H149*factors!BB$3</f>
        <v>0.77372786473040001</v>
      </c>
      <c r="BI149" s="3">
        <f>$H149*factors!BC$3</f>
        <v>0.80189187193999989</v>
      </c>
      <c r="BJ149" s="3">
        <f>$H149*factors!BD$3</f>
        <v>0.76590452939440001</v>
      </c>
      <c r="BK149" s="3">
        <f>$H149*factors!BE$3</f>
        <v>0.76746919646159995</v>
      </c>
      <c r="BL149" s="3">
        <f>$H149*factors!BF$3</f>
        <v>0.75886352759199993</v>
      </c>
      <c r="BM149" s="3">
        <f>$H149*factors!BG$3</f>
        <v>0.81049754080960001</v>
      </c>
      <c r="BN149" s="3">
        <f>$H149*factors!BH$3</f>
        <v>0.80032720487279996</v>
      </c>
      <c r="BO149" s="3">
        <f>$H149*factors!BI$3</f>
        <v>0.75260485932319998</v>
      </c>
      <c r="BP149" s="3">
        <f>$H149*factors!BJ$3</f>
        <v>0.75025785872239992</v>
      </c>
      <c r="BQ149" s="3">
        <f>$H149*factors!BK$3</f>
        <v>0.76277519525999993</v>
      </c>
      <c r="BR149" s="3">
        <f>$H149*factors!BL$3</f>
        <v>0.79015686893600001</v>
      </c>
      <c r="BS149" s="3">
        <f>$H149*factors!BM$3</f>
        <v>0.80267420547360002</v>
      </c>
      <c r="BT149" s="3">
        <f>$H149*factors!BN$3</f>
        <v>0.80502120607439998</v>
      </c>
      <c r="BU149" s="3">
        <f>$H149*factors!BO$3</f>
        <v>0.81832087614560012</v>
      </c>
      <c r="BV149" s="3">
        <f>$H149*factors!BP$3</f>
        <v>0.7612105281928</v>
      </c>
      <c r="BW149" s="3">
        <f>$H149*factors!BQ$3</f>
        <v>0.77842186593200002</v>
      </c>
      <c r="BX149" s="3">
        <f>$H149*factors!BR$3</f>
        <v>0.76355752879359995</v>
      </c>
      <c r="BY149" s="3">
        <f>$H149*factors!BS$3</f>
        <v>0.79876253780559991</v>
      </c>
      <c r="BZ149" s="3">
        <f>$H149*factors!BT$3</f>
        <v>0.78389820066719995</v>
      </c>
      <c r="CA149" s="3">
        <f>$H149*factors!BU$3</f>
        <v>0.77372786473040001</v>
      </c>
      <c r="CB149" s="3">
        <f>$H149*factors!BV$3</f>
        <v>0.74869319165519999</v>
      </c>
      <c r="CC149" s="3">
        <f>$H149*factors!BW$3</f>
        <v>0.77059853059599992</v>
      </c>
      <c r="CD149" s="3">
        <f>$H149*factors!BX$3</f>
        <v>0.77294553119679998</v>
      </c>
      <c r="CE149" s="3">
        <f>$H149*factors!BY$3</f>
        <v>0.78389820066719995</v>
      </c>
      <c r="CF149" s="3">
        <f>$H149*factors!BZ$3</f>
        <v>0.77216319766320007</v>
      </c>
      <c r="CG149" s="3">
        <f>$H149*factors!CA$3</f>
        <v>0.74634619105439992</v>
      </c>
      <c r="CH149" s="3">
        <f>$H149*factors!CB$3</f>
        <v>0.74712852458799994</v>
      </c>
      <c r="CI149" s="3">
        <f>$H149*factors!CC$3</f>
        <v>0.74321685692000006</v>
      </c>
      <c r="CJ149" s="3">
        <f>$H149*factors!CD$3</f>
        <v>0.77372786473040001</v>
      </c>
      <c r="CK149" s="3">
        <f>$H149*factors!CE$3</f>
        <v>0.80815054020879995</v>
      </c>
      <c r="CL149" s="3">
        <f>$H149*factors!CF$3</f>
        <v>0.7572988605248</v>
      </c>
      <c r="CM149" s="3">
        <f>$H149*factors!CG$3</f>
        <v>0.77529253179759994</v>
      </c>
      <c r="CN149" s="3">
        <f>$H149*factors!CH$3</f>
        <v>0.74947552518880001</v>
      </c>
      <c r="CO149" s="3">
        <f>$H149*factors!CI$3</f>
        <v>0.75495185992399994</v>
      </c>
      <c r="CP149" s="3">
        <f>$H149*factors!CJ$3</f>
        <v>0.79093920246959981</v>
      </c>
      <c r="CQ149" s="3">
        <f>$H149*factors!CK$3</f>
        <v>0.76746919646159995</v>
      </c>
      <c r="CR149" s="3">
        <f>$H149*factors!CL$3</f>
        <v>0.79172153600319994</v>
      </c>
      <c r="CS149" s="3">
        <f>$H149*factors!CM$3</f>
        <v>0.81675620907839996</v>
      </c>
      <c r="CT149" s="3">
        <f>$H149*factors!CN$3</f>
        <v>0.80736820667520004</v>
      </c>
      <c r="CU149" s="3">
        <f>$H149*factors!CO$3</f>
        <v>0.78937453540239988</v>
      </c>
      <c r="CV149" s="3">
        <f>$H149*factors!CP$3</f>
        <v>0.82145021027999998</v>
      </c>
      <c r="CW149" s="3">
        <f>$H149*factors!CQ$3</f>
        <v>0.77685719886480009</v>
      </c>
      <c r="CX149" s="3">
        <f>$H149*factors!CR$3</f>
        <v>0.76512219586079999</v>
      </c>
      <c r="CY149" s="3">
        <f>$H149*factors!CS$3</f>
        <v>0.75808119405839991</v>
      </c>
      <c r="CZ149" s="3">
        <f>$H149*factors!CT$3</f>
        <v>0.74712852458799994</v>
      </c>
      <c r="DA149" s="3">
        <f>$H149*factors!CU$3</f>
        <v>0.77570358839999998</v>
      </c>
      <c r="DB149" s="3">
        <f>$H149*factors!CV$3</f>
        <v>0.82582597411200009</v>
      </c>
      <c r="DC149" s="3">
        <f>$H149*factors!CW$3</f>
        <v>0.79081986345599997</v>
      </c>
      <c r="DD149" s="3">
        <f>$H149*factors!CX$3</f>
        <v>0.78525070948800002</v>
      </c>
      <c r="DE149" s="3">
        <f>$H149*factors!CY$3</f>
        <v>0.80832291878400009</v>
      </c>
      <c r="DF149" s="3">
        <f>$H149*factors!CZ$3</f>
        <v>0.80673173193600001</v>
      </c>
      <c r="DG149" s="3">
        <f>$H149*factors!DA$3</f>
        <v>0.80354935824000007</v>
      </c>
      <c r="DH149" s="3">
        <f>$H149*factors!DB$3</f>
        <v>0.80354935824000007</v>
      </c>
      <c r="DI149" s="3">
        <f>$H149*factors!DC$3</f>
        <v>0.77331680812799997</v>
      </c>
      <c r="DJ149" s="3">
        <f>$H149*factors!DD$3</f>
        <v>0.81946122671999999</v>
      </c>
      <c r="DK149" s="3">
        <f>$H149*factors!DE$3</f>
        <v>0.81946122671999999</v>
      </c>
      <c r="DL149" s="3">
        <f>$H149*factors!DF$3</f>
        <v>0.80991410563200006</v>
      </c>
      <c r="DM149" s="3">
        <f>$H149*factors!DG$3</f>
        <v>0.76297409361599988</v>
      </c>
      <c r="DN149" s="3">
        <f>$H149*factors!DH$3</f>
        <v>0.80036698454400013</v>
      </c>
      <c r="DO149" s="3">
        <f>$H149*factors!DI$3</f>
        <v>0.82662156753600002</v>
      </c>
      <c r="DP149" s="3">
        <f>$H149*factors!DJ$3</f>
        <v>0.81946122671999999</v>
      </c>
      <c r="DQ149" s="3">
        <f>$H149*factors!DK$3</f>
        <v>0.78127274236799993</v>
      </c>
      <c r="DR149" s="3">
        <f>$H149*factors!DL$3</f>
        <v>0.77252121470400004</v>
      </c>
      <c r="DS149" s="3">
        <f>$H149*factors!DM$3</f>
        <v>0.83457750177599999</v>
      </c>
      <c r="DT149" s="3">
        <f>$H149*factors!DN$3</f>
        <v>0.78445511606400009</v>
      </c>
      <c r="DU149" s="3">
        <f>$H149*factors!DO$3</f>
        <v>0.82105241356799996</v>
      </c>
      <c r="DV149" s="3">
        <f>$H149*factors!DP$3</f>
        <v>0.8019581713920001</v>
      </c>
      <c r="DW149" s="3">
        <f>$H149*factors!DQ$3</f>
        <v>0.765360873888</v>
      </c>
      <c r="DX149" s="3">
        <f>$H149*factors!DR$3</f>
        <v>0.81070969905599999</v>
      </c>
      <c r="DY149" s="3">
        <f>$H149*factors!DS$3</f>
        <v>0.76933884100799999</v>
      </c>
      <c r="DZ149" s="3">
        <f>$H149*factors!DT$3</f>
        <v>0.82264360041599993</v>
      </c>
      <c r="EA149" s="3">
        <f>$H149*factors!DU$3</f>
        <v>0.77490799497599994</v>
      </c>
      <c r="EB149" s="3">
        <f>$H149*factors!DV$3</f>
        <v>0.75581375279999996</v>
      </c>
      <c r="EC149" s="3">
        <f>$H149*factors!DW$3</f>
        <v>0.813096479328</v>
      </c>
      <c r="ED149" s="3">
        <f>$H149*factors!DX$3</f>
        <v>0.76297409361599988</v>
      </c>
      <c r="EE149" s="3">
        <f>$H149*factors!DY$3</f>
        <v>0.76933884100799999</v>
      </c>
      <c r="EF149" s="3">
        <f>$H149*factors!DZ$3</f>
        <v>0.83457750177599999</v>
      </c>
      <c r="EG149" s="3">
        <f>$H149*factors!EA$3</f>
        <v>0.77968155551999996</v>
      </c>
      <c r="EH149" s="3">
        <f>$H149*factors!EB$3</f>
        <v>0.78206833579200008</v>
      </c>
      <c r="EI149" s="3">
        <f>$H149*factors!EC$3</f>
        <v>0.780477148944</v>
      </c>
      <c r="EJ149" s="3">
        <f>$H149*factors!ED$3</f>
        <v>0.76058731334399998</v>
      </c>
      <c r="EK149" s="3">
        <f>$H149*factors!EE$3</f>
        <v>0.813096479328</v>
      </c>
      <c r="EL149" s="3">
        <f>$H149*factors!EF$3</f>
        <v>0.77331680812799997</v>
      </c>
      <c r="EM149" s="3">
        <f>$H149*factors!EG$3</f>
        <v>0.80434495166399989</v>
      </c>
      <c r="EN149" s="3">
        <f>$H149*factors!EH$3</f>
        <v>0.75581375279999996</v>
      </c>
      <c r="EO149" s="3">
        <f>$H149*factors!EI$3</f>
        <v>0.76695206073599997</v>
      </c>
      <c r="EP149" s="3">
        <f>$H149*factors!EJ$3</f>
        <v>0.80911851220800002</v>
      </c>
      <c r="EQ149" s="3">
        <f>$H149*factors!EK$3</f>
        <v>0.78684189633599999</v>
      </c>
      <c r="ER149" s="3">
        <f>$H149*factors!EL$3</f>
        <v>0.81946122671999999</v>
      </c>
      <c r="ES149" s="3">
        <f>$H149*factors!EM$3</f>
        <v>0.80911851220800002</v>
      </c>
      <c r="ET149" s="3">
        <f>$H149*factors!EN$3</f>
        <v>0.82741716096000006</v>
      </c>
      <c r="EU149" s="3">
        <f>$H149*factors!EO$3</f>
        <v>0.83537309520000003</v>
      </c>
      <c r="EV149" s="3">
        <f>$H149*factors!EP$3</f>
        <v>0.7828639292159999</v>
      </c>
      <c r="EW149" s="3">
        <f>$H149*factors!EQ$3</f>
        <v>0.86106413284999994</v>
      </c>
      <c r="EX149" s="3">
        <f>$H149*factors!ER$3</f>
        <v>0.85194795820000013</v>
      </c>
      <c r="EY149" s="3">
        <f>$H149*factors!ES$3</f>
        <v>0.86935156434999994</v>
      </c>
      <c r="EZ149" s="3">
        <f>$H149*factors!ET$3</f>
        <v>0.86106413284999994</v>
      </c>
      <c r="FA149" s="3">
        <f>$H149*factors!EU$3</f>
        <v>0.79144970824999994</v>
      </c>
      <c r="FB149" s="3">
        <f>$H149*factors!EV$3</f>
        <v>0.82708566370000003</v>
      </c>
      <c r="FC149" s="3">
        <f>$H149*factors!EW$3</f>
        <v>0.85029047190000007</v>
      </c>
      <c r="FD149" s="3">
        <f>$H149*factors!EX$3</f>
        <v>0.8204557185000001</v>
      </c>
      <c r="FE149" s="3">
        <f>$H149*factors!EY$3</f>
        <v>0.86437910544999996</v>
      </c>
      <c r="FF149" s="3">
        <f>$H149*factors!EZ$3</f>
        <v>0.86520784860000011</v>
      </c>
      <c r="FG149" s="3">
        <f>$H149*factors!FA$3</f>
        <v>0.79144970824999994</v>
      </c>
      <c r="FH149" s="3">
        <f>$H149*factors!FB$3</f>
        <v>0.83288686574999993</v>
      </c>
      <c r="FI149" s="3">
        <f>$H149*factors!FC$3</f>
        <v>0.86769407804999998</v>
      </c>
      <c r="FJ149" s="3">
        <f>$H149*factors!FD$3</f>
        <v>0.83288686574999993</v>
      </c>
      <c r="FK149" s="3">
        <f>$H149*factors!FE$3</f>
        <v>0.84697549930000005</v>
      </c>
      <c r="FL149" s="3">
        <f>$H149*factors!FF$3</f>
        <v>0.84946172875000003</v>
      </c>
      <c r="FM149" s="3">
        <f>$H149*factors!FG$3</f>
        <v>0.85857790339999995</v>
      </c>
      <c r="FN149" s="3">
        <f>$H149*factors!FH$3</f>
        <v>0.80305211234999996</v>
      </c>
      <c r="FO149" s="3">
        <f>$H149*factors!FI$3</f>
        <v>0.85277670134999994</v>
      </c>
      <c r="FP149" s="3">
        <f>$H149*factors!FJ$3</f>
        <v>0.82874314999999998</v>
      </c>
      <c r="FQ149" s="3">
        <f>$H149*factors!FK$3</f>
        <v>0.8204557185000001</v>
      </c>
      <c r="FR149" s="3">
        <f>$H149*factors!FL$3</f>
        <v>0.83703058149999998</v>
      </c>
      <c r="FS149" s="3">
        <f>$H149*factors!FM$3</f>
        <v>0.83205812260000001</v>
      </c>
      <c r="FT149" s="3">
        <f>$H149*factors!FN$3</f>
        <v>0.85029047190000007</v>
      </c>
      <c r="FU149" s="3">
        <f>$H149*factors!FO$3</f>
        <v>0.81714074589999997</v>
      </c>
      <c r="FV149" s="3">
        <f>$H149*factors!FP$3</f>
        <v>0.81051080070000003</v>
      </c>
      <c r="FW149" s="3">
        <f>$H149*factors!FQ$3</f>
        <v>0.86769407804999998</v>
      </c>
      <c r="FX149" s="3">
        <f>$H149*factors!FR$3</f>
        <v>0.85194795820000013</v>
      </c>
      <c r="FY149" s="3">
        <f>$H149*factors!FS$3</f>
        <v>0.83454435204999988</v>
      </c>
      <c r="FZ149" s="3">
        <f>$H149*factors!FT$3</f>
        <v>0.79310719455000012</v>
      </c>
      <c r="GA149" s="3">
        <f>$H149*factors!FU$3</f>
        <v>0.83454435204999988</v>
      </c>
      <c r="GB149" s="3">
        <f>$H149*factors!FV$3</f>
        <v>0.86520784860000011</v>
      </c>
      <c r="GC149" s="3">
        <f>$H149*factors!FW$3</f>
        <v>0.81051080070000003</v>
      </c>
      <c r="GD149" s="3">
        <f>$H149*factors!FX$3</f>
        <v>0.82459943424999993</v>
      </c>
      <c r="GE149" s="3">
        <f>$H149*factors!FY$3</f>
        <v>0.82459943424999993</v>
      </c>
      <c r="GF149" s="3">
        <f>$H149*factors!FZ$3</f>
        <v>0.82211320480000005</v>
      </c>
      <c r="GG149" s="3">
        <f>$H149*factors!GA$3</f>
        <v>0.78979222194999998</v>
      </c>
      <c r="GH149" s="3">
        <f>$H149*factors!GB$3</f>
        <v>0.84034555410000011</v>
      </c>
      <c r="GI149" s="3">
        <f>$H149*factors!GC$3</f>
        <v>0.78813473565000003</v>
      </c>
      <c r="GJ149" s="3">
        <f>$H149*factors!GD$3</f>
        <v>0.78979222194999998</v>
      </c>
      <c r="GK149" s="3">
        <f>$H149*factors!GE$3</f>
        <v>0.80968205755</v>
      </c>
      <c r="GL149" s="3">
        <f>$H149*factors!GF$3</f>
        <v>0.85774916025000003</v>
      </c>
      <c r="GM149" s="3">
        <f>$H149*factors!GG$3</f>
        <v>0.81299703015000013</v>
      </c>
      <c r="GN149" s="3">
        <f>$H149*factors!GH$3</f>
        <v>0.83868806780000016</v>
      </c>
      <c r="GO149" s="3">
        <f>$H149*factors!GI$3</f>
        <v>0.79227845139999997</v>
      </c>
      <c r="GP149" s="3">
        <f>$H149*factors!GJ$3</f>
        <v>0.84946172875000003</v>
      </c>
      <c r="GQ149" s="3">
        <f>$H149*factors!GK$3</f>
        <v>0.86686533490000006</v>
      </c>
      <c r="GR149" s="3">
        <f>$H149*factors!GL$3</f>
        <v>0.85029047190000007</v>
      </c>
      <c r="GS149" s="3">
        <f>$H149*factors!GM$3</f>
        <v>0.80411290358200005</v>
      </c>
      <c r="GT149" s="3">
        <f>$H149*factors!GN$3</f>
        <v>0.82263697047080009</v>
      </c>
      <c r="GU149" s="3">
        <f>$H149*factors!GO$3</f>
        <v>0.84200304040000007</v>
      </c>
      <c r="GV149" s="3">
        <f>$H149*factors!GP$3</f>
        <v>0.80832291878400009</v>
      </c>
      <c r="GW149" s="3">
        <f>$H149*factors!GQ$3</f>
        <v>0.83695102215760009</v>
      </c>
      <c r="GX149" s="3">
        <f>$H149*factors!GR$3</f>
        <v>0.82347897351120003</v>
      </c>
      <c r="GY149" s="3">
        <f>$H149*factors!GS$3</f>
        <v>0.8192689583092001</v>
      </c>
      <c r="GZ149" s="3">
        <f>$H149*factors!GT$3</f>
        <v>0.84958106776359998</v>
      </c>
      <c r="HA149" s="3">
        <f>$H149*factors!GU$3</f>
        <v>0.82179496743040004</v>
      </c>
      <c r="HB149" s="3">
        <f>$H149*factors!GV$3</f>
        <v>0.84958106776359998</v>
      </c>
      <c r="HC149" s="3">
        <f>$H149*factors!GW$3</f>
        <v>0.82853099175360001</v>
      </c>
      <c r="HD149" s="3">
        <f>$H149*factors!GX$3</f>
        <v>0.85294907992519997</v>
      </c>
      <c r="HE149" s="3">
        <f>$H149*factors!GY$3</f>
        <v>0.84200304040000007</v>
      </c>
      <c r="HF149" s="3">
        <f>$H149*factors!GZ$3</f>
        <v>0.86810513465240002</v>
      </c>
      <c r="HG149" s="3">
        <f>$H149*factors!HA$3</f>
        <v>0.83442501303640004</v>
      </c>
      <c r="HH149" s="3">
        <f>$H149*factors!HB$3</f>
        <v>0.82347897351120003</v>
      </c>
      <c r="HI149" s="3">
        <f>$H149*factors!HC$3</f>
        <v>0.81337493702640007</v>
      </c>
      <c r="HJ149" s="3">
        <f>$H149*factors!HD$3</f>
        <v>0.80411290358200005</v>
      </c>
      <c r="HK149" s="3">
        <f>$H149*factors!HE$3</f>
        <v>0.85042307080400004</v>
      </c>
      <c r="HL149" s="3">
        <f>$H149*factors!HF$3</f>
        <v>0.8015868944608</v>
      </c>
      <c r="HM149" s="3">
        <f>$H149*factors!HG$3</f>
        <v>0.81000692486480008</v>
      </c>
      <c r="HN149" s="3">
        <f>$H149*factors!HH$3</f>
        <v>0.8638951194504001</v>
      </c>
      <c r="HO149" s="3">
        <f>$H149*factors!HI$3</f>
        <v>0.82853099175360001</v>
      </c>
      <c r="HP149" s="3">
        <f>$H149*factors!HJ$3</f>
        <v>0.88410319242000013</v>
      </c>
      <c r="HQ149" s="3">
        <f>$H149*factors!HK$3</f>
        <v>0.80832291878400009</v>
      </c>
      <c r="HR149" s="3">
        <f>$H149*factors!HL$3</f>
        <v>0.85715909512720012</v>
      </c>
      <c r="HS149" s="3">
        <f>$H149*factors!HM$3</f>
        <v>0.87231514985440006</v>
      </c>
      <c r="HT149" s="3">
        <f>$H149*factors!HN$3</f>
        <v>0.81337493702640007</v>
      </c>
      <c r="HU149" s="3">
        <f>$H149*factors!HO$3</f>
        <v>0.82179496743040004</v>
      </c>
      <c r="HV149" s="3">
        <f>$H149*factors!HP$3</f>
        <v>0.83189900391520011</v>
      </c>
      <c r="HW149" s="3">
        <f>$H149*factors!HQ$3</f>
        <v>0.84368704648080006</v>
      </c>
      <c r="HX149" s="3">
        <f>$H149*factors!HR$3</f>
        <v>0.87820917113719998</v>
      </c>
      <c r="HY149" s="3">
        <f>$H149*factors!HS$3</f>
        <v>0.83442501303640004</v>
      </c>
      <c r="HZ149" s="3">
        <f>$H149*factors!HT$3</f>
        <v>0.86642112857160003</v>
      </c>
      <c r="IA149" s="3">
        <f>$H149*factors!HU$3</f>
        <v>0.82432097655160008</v>
      </c>
      <c r="IB149" s="3">
        <f>$H149*factors!HV$3</f>
        <v>0.85294907992519997</v>
      </c>
      <c r="IC149" s="3">
        <f>$H149*factors!HW$3</f>
        <v>0.86136911032920005</v>
      </c>
      <c r="ID149" s="3">
        <f>$H149*factors!HX$3</f>
        <v>0.79990288838000001</v>
      </c>
      <c r="IE149" s="3">
        <f>$H149*factors!HY$3</f>
        <v>0.84958106776359998</v>
      </c>
      <c r="IF149" s="3">
        <f>$H149*factors!HZ$3</f>
        <v>0.8445290495212</v>
      </c>
      <c r="IG149" s="3">
        <f>$H149*factors!IA$3</f>
        <v>0.83695102215760009</v>
      </c>
      <c r="IH149" s="3">
        <f>$H149*factors!IB$3</f>
        <v>0.86810513465240002</v>
      </c>
      <c r="II149" s="3">
        <f>$H149*factors!IC$3</f>
        <v>0.83105700087480006</v>
      </c>
      <c r="IJ149" s="3">
        <f>$H149*factors!ID$3</f>
        <v>0.83863502823840008</v>
      </c>
      <c r="IK149" s="3">
        <f>$H149*factors!IE$3</f>
        <v>0.86894713769280008</v>
      </c>
      <c r="IL149" s="3">
        <f>$H149*factors!IF$3</f>
        <v>0.83189900391520011</v>
      </c>
      <c r="IM149" s="3">
        <f>$H149*factors!IG$3</f>
        <v>0.82432097655160008</v>
      </c>
      <c r="IN149" s="3">
        <f>$H149*factors!IH$3</f>
        <v>0.82937299479400006</v>
      </c>
      <c r="IO149" s="3">
        <f>$H149*factors!II$3</f>
        <v>0.83779302519800003</v>
      </c>
      <c r="IP149" s="3">
        <f>$H149*factors!IJ$3</f>
        <v>0.81000692486480008</v>
      </c>
      <c r="IQ149" s="3">
        <f>$H149*factors!IK$3</f>
        <v>0.80748091574360004</v>
      </c>
      <c r="IR149" s="3">
        <f>$H149*factors!IL$3</f>
        <v>0.83105700087480006</v>
      </c>
      <c r="IS149" s="3">
        <f>$H149*factors!IM$3</f>
        <v>0.83779302519800003</v>
      </c>
      <c r="IT149" s="3">
        <f>$H149*factors!IN$3</f>
        <v>0.84368704648080006</v>
      </c>
      <c r="IU149" s="3">
        <f>$H149*factors!IO$3</f>
        <v>0.8622111133696001</v>
      </c>
      <c r="IV149" s="3">
        <f>$H149*factors!IP$3</f>
        <v>0.8731571528948</v>
      </c>
      <c r="IW149" s="3">
        <f>$H149*factors!IQ$3</f>
        <v>0.82516297959200002</v>
      </c>
      <c r="IX149" s="3">
        <f>$H149*factors!IR$3</f>
        <v>0.8622111133696001</v>
      </c>
      <c r="IY149" s="3">
        <f>$H149*factors!IS$3</f>
        <v>0.84958106776359998</v>
      </c>
      <c r="IZ149" s="3">
        <f>$H149*factors!IT$3</f>
        <v>0.8638951194504001</v>
      </c>
      <c r="JA149" s="3">
        <f>$H149*factors!IU$3</f>
        <v>0.8159009461476</v>
      </c>
      <c r="JB149" s="3">
        <f>$H149*factors!IV$3</f>
        <v>0.83105700087480006</v>
      </c>
      <c r="JC149" s="3">
        <f>$H149*factors!IW$3</f>
        <v>0.81169093094560008</v>
      </c>
      <c r="JD149" s="3">
        <f>$H149*factors!IX$3</f>
        <v>0.88410319242000013</v>
      </c>
      <c r="JE149" s="3">
        <f>$H149*factors!IY$3</f>
        <v>0.81421694006680001</v>
      </c>
      <c r="JF149" s="3">
        <f>$H149*factors!IZ$3</f>
        <v>0.85463308600599996</v>
      </c>
      <c r="JG149" s="3">
        <f>$H149*factors!JA$3</f>
        <v>0.83947703127880002</v>
      </c>
      <c r="JH149" s="3">
        <f>$H149*factors!JB$3</f>
        <v>0.85547508904640013</v>
      </c>
      <c r="JI149" s="3">
        <f>$H149*factors!JC$3</f>
        <v>0.80074489142040006</v>
      </c>
      <c r="JJ149" s="3">
        <f>$H149*factors!JD$3</f>
        <v>0.8622111133696001</v>
      </c>
      <c r="JK149" s="3">
        <f>$H149*factors!JE$3</f>
        <v>0.83442501303640004</v>
      </c>
      <c r="JL149" s="3">
        <f>$H149*factors!JF$3</f>
        <v>0.86810513465240002</v>
      </c>
      <c r="JM149" s="3">
        <f>$H149*factors!JG$3</f>
        <v>0.81000692486480008</v>
      </c>
      <c r="JN149" s="3">
        <f>$H149*factors!JH$3</f>
        <v>0.81000692486480008</v>
      </c>
      <c r="JO149" s="3">
        <f>$H149*factors!JI$3</f>
        <v>0.79990288838000001</v>
      </c>
      <c r="JP149" s="3">
        <f>$H149*factors!JJ$3</f>
        <v>0.86473712249080004</v>
      </c>
      <c r="JQ149" s="3">
        <f>$H149*factors!JK$3</f>
        <v>0.84284504344040001</v>
      </c>
      <c r="JR149" s="3">
        <f>$H149*factors!JL$3</f>
        <v>0.87568316201600005</v>
      </c>
      <c r="JS149" s="3">
        <f>$H149*factors!JM$3</f>
        <v>0.79990288838000001</v>
      </c>
      <c r="JT149" s="3">
        <f>$H149*factors!JN$3</f>
        <v>0.84031903431920008</v>
      </c>
      <c r="JU149" s="3">
        <f>$H149*factors!JO$3</f>
        <v>0.81253293398600002</v>
      </c>
      <c r="JV149" s="3">
        <f>$H149*factors!JP$3</f>
        <v>0.82600498263240008</v>
      </c>
      <c r="JW149" s="3">
        <f>$H149*factors!JQ$3</f>
        <v>0.88241918633920013</v>
      </c>
      <c r="JX149" s="3">
        <f>$H149*factors!JR$3</f>
        <v>0.87399915593520006</v>
      </c>
      <c r="JY149" s="3">
        <f>$H149*factors!JS$3</f>
        <v>0.82263697047080009</v>
      </c>
      <c r="JZ149" s="3">
        <f>$H149*factors!JT$3</f>
        <v>0.83189900391520011</v>
      </c>
      <c r="KA149" s="3">
        <f>$H149*factors!JU$3</f>
        <v>0.8352670160768001</v>
      </c>
      <c r="KB149" s="3">
        <f>$H149*factors!JV$3</f>
        <v>0.80748091574360004</v>
      </c>
      <c r="KC149" s="3">
        <f>$H149*factors!JW$3</f>
        <v>0.81169093094560008</v>
      </c>
      <c r="KD149" s="3">
        <f>$H149*factors!JX$3</f>
        <v>0.81253293398600002</v>
      </c>
      <c r="KE149" s="3">
        <f>$H149*factors!JY$3</f>
        <v>0.86473712249080004</v>
      </c>
      <c r="KF149" s="3">
        <f>$H149*factors!JZ$3</f>
        <v>0.8748411589756</v>
      </c>
      <c r="KG149" s="3">
        <f>$H149*factors!KA$3</f>
        <v>0.84368704648080006</v>
      </c>
      <c r="KH149" s="3">
        <f>$H149*factors!KB$3</f>
        <v>0.82516297959200002</v>
      </c>
      <c r="KI149" s="3">
        <f>$H149*factors!KC$3</f>
        <v>0.8175849522284</v>
      </c>
    </row>
    <row r="150" spans="1:295" x14ac:dyDescent="0.55000000000000004">
      <c r="A150" t="s">
        <v>527</v>
      </c>
      <c r="B150">
        <v>149</v>
      </c>
      <c r="C150">
        <v>230</v>
      </c>
      <c r="D150" t="s">
        <v>377</v>
      </c>
      <c r="E150">
        <v>3.3409999999999998E-3</v>
      </c>
      <c r="F150">
        <v>149</v>
      </c>
      <c r="G150">
        <f>VLOOKUP(D150,demand_forecasted!$A$2:$G$11,2)</f>
        <v>11098</v>
      </c>
      <c r="H150" s="3">
        <f t="shared" si="2"/>
        <v>0.37078418000000002</v>
      </c>
      <c r="I150" s="3">
        <f>$H150*factors!C$3</f>
        <v>0.41045808725999999</v>
      </c>
      <c r="J150" s="3">
        <f>$H150*factors!D$3</f>
        <v>0.39564155142720003</v>
      </c>
      <c r="K150" s="3">
        <f>$H150*factors!E$3</f>
        <v>0.38883395388240005</v>
      </c>
      <c r="L150" s="3">
        <f>$H150*factors!F$3</f>
        <v>0.38763261313920006</v>
      </c>
      <c r="M150" s="3">
        <f>$H150*factors!G$3</f>
        <v>0.3872321662248</v>
      </c>
      <c r="N150" s="3">
        <f>$H150*factors!H$3</f>
        <v>0.39844467982800003</v>
      </c>
      <c r="O150" s="3">
        <f>$H150*factors!I$3</f>
        <v>0.4072545119448</v>
      </c>
      <c r="P150" s="3">
        <f>$H150*factors!J$3</f>
        <v>0.41205987491760004</v>
      </c>
      <c r="Q150" s="3">
        <f>$H150*factors!K$3</f>
        <v>0.3868317193104</v>
      </c>
      <c r="R150" s="3">
        <f>$H150*factors!L$3</f>
        <v>0.38042456868000002</v>
      </c>
      <c r="S150" s="3">
        <f>$H150*factors!M$3</f>
        <v>0.39604199834160003</v>
      </c>
      <c r="T150" s="3">
        <f>$H150*factors!N$3</f>
        <v>0.40965719343120005</v>
      </c>
      <c r="U150" s="3">
        <f>$H150*factors!O$3</f>
        <v>0.38803306005360005</v>
      </c>
      <c r="V150" s="3">
        <f>$H150*factors!P$3</f>
        <v>0.40365048971520007</v>
      </c>
      <c r="W150" s="3">
        <f>$H150*factors!Q$3</f>
        <v>0.4072545119448</v>
      </c>
      <c r="X150" s="3">
        <f>$H150*factors!R$3</f>
        <v>0.38963484771119999</v>
      </c>
      <c r="Y150" s="3">
        <f>$H150*factors!S$3</f>
        <v>0.38603082548160006</v>
      </c>
      <c r="Z150" s="3">
        <f>$H150*factors!T$3</f>
        <v>0.41646479097600009</v>
      </c>
      <c r="AA150" s="3">
        <f>$H150*factors!U$3</f>
        <v>0.39323886994079998</v>
      </c>
      <c r="AB150" s="3">
        <f>$H150*factors!V$3</f>
        <v>0.39363931685520009</v>
      </c>
      <c r="AC150" s="3">
        <f>$H150*factors!W$3</f>
        <v>0.39403976376960004</v>
      </c>
      <c r="AD150" s="3">
        <f>$H150*factors!X$3</f>
        <v>0.38563037856720006</v>
      </c>
      <c r="AE150" s="3">
        <f>$H150*factors!Y$3</f>
        <v>0.38883395388240005</v>
      </c>
      <c r="AF150" s="3">
        <f>$H150*factors!Z$3</f>
        <v>0.39684289217040009</v>
      </c>
      <c r="AG150" s="3">
        <f>$H150*factors!AA$3</f>
        <v>0.3868317193104</v>
      </c>
      <c r="AH150" s="3">
        <f>$H150*factors!AB$3</f>
        <v>0.38522993165280006</v>
      </c>
      <c r="AI150" s="3">
        <f>$H150*factors!AC$3</f>
        <v>0.39764378599920003</v>
      </c>
      <c r="AJ150" s="3">
        <f>$H150*factors!AD$3</f>
        <v>0.41286076874640004</v>
      </c>
      <c r="AK150" s="3">
        <f>$H150*factors!AE$3</f>
        <v>0.39724333908480003</v>
      </c>
      <c r="AL150" s="3">
        <f>$H150*factors!AF$3</f>
        <v>0.38162590942320002</v>
      </c>
      <c r="AM150" s="3">
        <f>$H150*factors!AG$3</f>
        <v>0.39243797611200004</v>
      </c>
      <c r="AN150" s="3">
        <f>$H150*factors!AH$3</f>
        <v>0.38603082548160006</v>
      </c>
      <c r="AO150" s="3">
        <f>$H150*factors!AI$3</f>
        <v>0.40445138354400001</v>
      </c>
      <c r="AP150" s="3">
        <f>$H150*factors!AJ$3</f>
        <v>0.38763261313920006</v>
      </c>
      <c r="AQ150" s="3">
        <f>$H150*factors!AK$3</f>
        <v>0.40004646748560008</v>
      </c>
      <c r="AR150" s="3">
        <f>$H150*factors!AL$3</f>
        <v>0.39123663536880005</v>
      </c>
      <c r="AS150" s="3">
        <f>$H150*factors!AM$3</f>
        <v>0.38162590942320002</v>
      </c>
      <c r="AT150" s="3">
        <f>$H150*factors!AN$3</f>
        <v>0.39363931685520009</v>
      </c>
      <c r="AU150" s="3">
        <f>$H150*factors!AO$3</f>
        <v>0.41686523789039998</v>
      </c>
      <c r="AV150" s="3">
        <f>$H150*factors!AP$3</f>
        <v>0.39403976376960004</v>
      </c>
      <c r="AW150" s="3">
        <f>$H150*factors!AQ$3</f>
        <v>0.39003529462559999</v>
      </c>
      <c r="AX150" s="3">
        <f>$H150*factors!AR$3</f>
        <v>0.41246032183200004</v>
      </c>
      <c r="AY150" s="3">
        <f>$H150*factors!AS$3</f>
        <v>0.38042456868000002</v>
      </c>
      <c r="AZ150" s="3">
        <f>$H150*factors!AT$3</f>
        <v>0.40765495885920011</v>
      </c>
      <c r="BA150" s="3">
        <f>$H150*factors!AU$3</f>
        <v>0.39884512674240002</v>
      </c>
      <c r="BB150" s="3">
        <f>$H150*factors!AV$3</f>
        <v>0.39363931685520009</v>
      </c>
      <c r="BC150" s="3">
        <f>$H150*factors!AW$3</f>
        <v>0.41646479097600009</v>
      </c>
      <c r="BD150" s="3">
        <f>$H150*factors!AX$3</f>
        <v>0.38442903782400001</v>
      </c>
      <c r="BE150" s="3">
        <f>$H150*factors!AY$3</f>
        <v>0.45196366836919999</v>
      </c>
      <c r="BF150" s="3">
        <f>$H150*factors!AZ$3</f>
        <v>0.42089936976879999</v>
      </c>
      <c r="BG150" s="3">
        <f>$H150*factors!BA$3</f>
        <v>0.42702472442239997</v>
      </c>
      <c r="BH150" s="3">
        <f>$H150*factors!BB$3</f>
        <v>0.43271255374360001</v>
      </c>
      <c r="BI150" s="3">
        <f>$H150*factors!BC$3</f>
        <v>0.44846346570999995</v>
      </c>
      <c r="BJ150" s="3">
        <f>$H150*factors!BD$3</f>
        <v>0.4283373004196</v>
      </c>
      <c r="BK150" s="3">
        <f>$H150*factors!BE$3</f>
        <v>0.42921235108439998</v>
      </c>
      <c r="BL150" s="3">
        <f>$H150*factors!BF$3</f>
        <v>0.42439957242799997</v>
      </c>
      <c r="BM150" s="3">
        <f>$H150*factors!BG$3</f>
        <v>0.45327624436640002</v>
      </c>
      <c r="BN150" s="3">
        <f>$H150*factors!BH$3</f>
        <v>0.44758841504519997</v>
      </c>
      <c r="BO150" s="3">
        <f>$H150*factors!BI$3</f>
        <v>0.42089936976879999</v>
      </c>
      <c r="BP150" s="3">
        <f>$H150*factors!BJ$3</f>
        <v>0.41958679377159996</v>
      </c>
      <c r="BQ150" s="3">
        <f>$H150*factors!BK$3</f>
        <v>0.42658719908999998</v>
      </c>
      <c r="BR150" s="3">
        <f>$H150*factors!BL$3</f>
        <v>0.44190058572400004</v>
      </c>
      <c r="BS150" s="3">
        <f>$H150*factors!BM$3</f>
        <v>0.4489009910424</v>
      </c>
      <c r="BT150" s="3">
        <f>$H150*factors!BN$3</f>
        <v>0.45021356703959997</v>
      </c>
      <c r="BU150" s="3">
        <f>$H150*factors!BO$3</f>
        <v>0.45765149769040003</v>
      </c>
      <c r="BV150" s="3">
        <f>$H150*factors!BP$3</f>
        <v>0.4257121484252</v>
      </c>
      <c r="BW150" s="3">
        <f>$H150*factors!BQ$3</f>
        <v>0.43533770573800001</v>
      </c>
      <c r="BX150" s="3">
        <f>$H150*factors!BR$3</f>
        <v>0.42702472442239997</v>
      </c>
      <c r="BY150" s="3">
        <f>$H150*factors!BS$3</f>
        <v>0.44671336438039994</v>
      </c>
      <c r="BZ150" s="3">
        <f>$H150*factors!BT$3</f>
        <v>0.43840038306479995</v>
      </c>
      <c r="CA150" s="3">
        <f>$H150*factors!BU$3</f>
        <v>0.43271255374360001</v>
      </c>
      <c r="CB150" s="3">
        <f>$H150*factors!BV$3</f>
        <v>0.41871174310679998</v>
      </c>
      <c r="CC150" s="3">
        <f>$H150*factors!BW$3</f>
        <v>0.430962452414</v>
      </c>
      <c r="CD150" s="3">
        <f>$H150*factors!BX$3</f>
        <v>0.43227502841120002</v>
      </c>
      <c r="CE150" s="3">
        <f>$H150*factors!BY$3</f>
        <v>0.43840038306479995</v>
      </c>
      <c r="CF150" s="3">
        <f>$H150*factors!BZ$3</f>
        <v>0.43183750307880003</v>
      </c>
      <c r="CG150" s="3">
        <f>$H150*factors!CA$3</f>
        <v>0.41739916710959996</v>
      </c>
      <c r="CH150" s="3">
        <f>$H150*factors!CB$3</f>
        <v>0.41783669244199995</v>
      </c>
      <c r="CI150" s="3">
        <f>$H150*factors!CC$3</f>
        <v>0.41564906577999999</v>
      </c>
      <c r="CJ150" s="3">
        <f>$H150*factors!CD$3</f>
        <v>0.43271255374360001</v>
      </c>
      <c r="CK150" s="3">
        <f>$H150*factors!CE$3</f>
        <v>0.45196366836919999</v>
      </c>
      <c r="CL150" s="3">
        <f>$H150*factors!CF$3</f>
        <v>0.42352452176319999</v>
      </c>
      <c r="CM150" s="3">
        <f>$H150*factors!CG$3</f>
        <v>0.4335876044084</v>
      </c>
      <c r="CN150" s="3">
        <f>$H150*factors!CH$3</f>
        <v>0.41914926843919997</v>
      </c>
      <c r="CO150" s="3">
        <f>$H150*factors!CI$3</f>
        <v>0.42221194576599996</v>
      </c>
      <c r="CP150" s="3">
        <f>$H150*factors!CJ$3</f>
        <v>0.44233811105639992</v>
      </c>
      <c r="CQ150" s="3">
        <f>$H150*factors!CK$3</f>
        <v>0.42921235108439998</v>
      </c>
      <c r="CR150" s="3">
        <f>$H150*factors!CL$3</f>
        <v>0.44277563638879996</v>
      </c>
      <c r="CS150" s="3">
        <f>$H150*factors!CM$3</f>
        <v>0.4567764470256</v>
      </c>
      <c r="CT150" s="3">
        <f>$H150*factors!CN$3</f>
        <v>0.4515261430368</v>
      </c>
      <c r="CU150" s="3">
        <f>$H150*factors!CO$3</f>
        <v>0.44146306039159994</v>
      </c>
      <c r="CV150" s="3">
        <f>$H150*factors!CP$3</f>
        <v>0.45940159902</v>
      </c>
      <c r="CW150" s="3">
        <f>$H150*factors!CQ$3</f>
        <v>0.43446265507320003</v>
      </c>
      <c r="CX150" s="3">
        <f>$H150*factors!CR$3</f>
        <v>0.42789977508720001</v>
      </c>
      <c r="CY150" s="3">
        <f>$H150*factors!CS$3</f>
        <v>0.42396204709559998</v>
      </c>
      <c r="CZ150" s="3">
        <f>$H150*factors!CT$3</f>
        <v>0.41783669244199995</v>
      </c>
      <c r="DA150" s="3">
        <f>$H150*factors!CU$3</f>
        <v>0.43381749060000002</v>
      </c>
      <c r="DB150" s="3">
        <f>$H150*factors!CV$3</f>
        <v>0.46184877460800006</v>
      </c>
      <c r="DC150" s="3">
        <f>$H150*factors!CW$3</f>
        <v>0.44227136990399996</v>
      </c>
      <c r="DD150" s="3">
        <f>$H150*factors!CX$3</f>
        <v>0.43915678279199999</v>
      </c>
      <c r="DE150" s="3">
        <f>$H150*factors!CY$3</f>
        <v>0.45206007225600003</v>
      </c>
      <c r="DF150" s="3">
        <f>$H150*factors!CZ$3</f>
        <v>0.45117019022399996</v>
      </c>
      <c r="DG150" s="3">
        <f>$H150*factors!DA$3</f>
        <v>0.44939042616000002</v>
      </c>
      <c r="DH150" s="3">
        <f>$H150*factors!DB$3</f>
        <v>0.44939042616000002</v>
      </c>
      <c r="DI150" s="3">
        <f>$H150*factors!DC$3</f>
        <v>0.43248266755199999</v>
      </c>
      <c r="DJ150" s="3">
        <f>$H150*factors!DD$3</f>
        <v>0.45828924648000002</v>
      </c>
      <c r="DK150" s="3">
        <f>$H150*factors!DE$3</f>
        <v>0.45828924648000002</v>
      </c>
      <c r="DL150" s="3">
        <f>$H150*factors!DF$3</f>
        <v>0.45294995428800006</v>
      </c>
      <c r="DM150" s="3">
        <f>$H150*factors!DG$3</f>
        <v>0.42669843434399995</v>
      </c>
      <c r="DN150" s="3">
        <f>$H150*factors!DH$3</f>
        <v>0.44761066209600003</v>
      </c>
      <c r="DO150" s="3">
        <f>$H150*factors!DI$3</f>
        <v>0.46229371562400001</v>
      </c>
      <c r="DP150" s="3">
        <f>$H150*factors!DJ$3</f>
        <v>0.45828924648000002</v>
      </c>
      <c r="DQ150" s="3">
        <f>$H150*factors!DK$3</f>
        <v>0.43693207771199999</v>
      </c>
      <c r="DR150" s="3">
        <f>$H150*factors!DL$3</f>
        <v>0.43203772653600003</v>
      </c>
      <c r="DS150" s="3">
        <f>$H150*factors!DM$3</f>
        <v>0.46674312578400001</v>
      </c>
      <c r="DT150" s="3">
        <f>$H150*factors!DN$3</f>
        <v>0.43871184177600003</v>
      </c>
      <c r="DU150" s="3">
        <f>$H150*factors!DO$3</f>
        <v>0.45917912851199999</v>
      </c>
      <c r="DV150" s="3">
        <f>$H150*factors!DP$3</f>
        <v>0.448500544128</v>
      </c>
      <c r="DW150" s="3">
        <f>$H150*factors!DQ$3</f>
        <v>0.42803325739199999</v>
      </c>
      <c r="DX150" s="3">
        <f>$H150*factors!DR$3</f>
        <v>0.45339489530399996</v>
      </c>
      <c r="DY150" s="3">
        <f>$H150*factors!DS$3</f>
        <v>0.43025796247199999</v>
      </c>
      <c r="DZ150" s="3">
        <f>$H150*factors!DT$3</f>
        <v>0.46006901054400001</v>
      </c>
      <c r="EA150" s="3">
        <f>$H150*factors!DU$3</f>
        <v>0.43337254958399996</v>
      </c>
      <c r="EB150" s="3">
        <f>$H150*factors!DV$3</f>
        <v>0.42269396519999997</v>
      </c>
      <c r="EC150" s="3">
        <f>$H150*factors!DW$3</f>
        <v>0.45472971835199999</v>
      </c>
      <c r="ED150" s="3">
        <f>$H150*factors!DX$3</f>
        <v>0.42669843434399995</v>
      </c>
      <c r="EE150" s="3">
        <f>$H150*factors!DY$3</f>
        <v>0.43025796247199999</v>
      </c>
      <c r="EF150" s="3">
        <f>$H150*factors!DZ$3</f>
        <v>0.46674312578400001</v>
      </c>
      <c r="EG150" s="3">
        <f>$H150*factors!EA$3</f>
        <v>0.43604219568000002</v>
      </c>
      <c r="EH150" s="3">
        <f>$H150*factors!EB$3</f>
        <v>0.437377018728</v>
      </c>
      <c r="EI150" s="3">
        <f>$H150*factors!EC$3</f>
        <v>0.43648713669600003</v>
      </c>
      <c r="EJ150" s="3">
        <f>$H150*factors!ED$3</f>
        <v>0.42536361129600003</v>
      </c>
      <c r="EK150" s="3">
        <f>$H150*factors!EE$3</f>
        <v>0.45472971835199999</v>
      </c>
      <c r="EL150" s="3">
        <f>$H150*factors!EF$3</f>
        <v>0.43248266755199999</v>
      </c>
      <c r="EM150" s="3">
        <f>$H150*factors!EG$3</f>
        <v>0.44983536717599998</v>
      </c>
      <c r="EN150" s="3">
        <f>$H150*factors!EH$3</f>
        <v>0.42269396519999997</v>
      </c>
      <c r="EO150" s="3">
        <f>$H150*factors!EI$3</f>
        <v>0.42892313942399996</v>
      </c>
      <c r="EP150" s="3">
        <f>$H150*factors!EJ$3</f>
        <v>0.45250501327199999</v>
      </c>
      <c r="EQ150" s="3">
        <f>$H150*factors!EK$3</f>
        <v>0.44004666482399996</v>
      </c>
      <c r="ER150" s="3">
        <f>$H150*factors!EL$3</f>
        <v>0.45828924648000002</v>
      </c>
      <c r="ES150" s="3">
        <f>$H150*factors!EM$3</f>
        <v>0.45250501327199999</v>
      </c>
      <c r="ET150" s="3">
        <f>$H150*factors!EN$3</f>
        <v>0.46273865664000002</v>
      </c>
      <c r="EU150" s="3">
        <f>$H150*factors!EO$3</f>
        <v>0.46718806680000002</v>
      </c>
      <c r="EV150" s="3">
        <f>$H150*factors!EP$3</f>
        <v>0.43782195974399996</v>
      </c>
      <c r="EW150" s="3">
        <f>$H150*factors!EQ$3</f>
        <v>0.48155595377499999</v>
      </c>
      <c r="EX150" s="3">
        <f>$H150*factors!ER$3</f>
        <v>0.47645767130000005</v>
      </c>
      <c r="EY150" s="3">
        <f>$H150*factors!ES$3</f>
        <v>0.48619075602499995</v>
      </c>
      <c r="EZ150" s="3">
        <f>$H150*factors!ET$3</f>
        <v>0.48155595377499999</v>
      </c>
      <c r="FA150" s="3">
        <f>$H150*factors!EU$3</f>
        <v>0.44262361487499996</v>
      </c>
      <c r="FB150" s="3">
        <f>$H150*factors!EV$3</f>
        <v>0.46255326455000007</v>
      </c>
      <c r="FC150" s="3">
        <f>$H150*factors!EW$3</f>
        <v>0.47553071085000004</v>
      </c>
      <c r="FD150" s="3">
        <f>$H150*factors!EX$3</f>
        <v>0.45884542275000006</v>
      </c>
      <c r="FE150" s="3">
        <f>$H150*factors!EY$3</f>
        <v>0.48340987467500002</v>
      </c>
      <c r="FF150" s="3">
        <f>$H150*factors!EZ$3</f>
        <v>0.48387335490000011</v>
      </c>
      <c r="FG150" s="3">
        <f>$H150*factors!FA$3</f>
        <v>0.44262361487499996</v>
      </c>
      <c r="FH150" s="3">
        <f>$H150*factors!FB$3</f>
        <v>0.46579762612499997</v>
      </c>
      <c r="FI150" s="3">
        <f>$H150*factors!FC$3</f>
        <v>0.48526379557499999</v>
      </c>
      <c r="FJ150" s="3">
        <f>$H150*factors!FD$3</f>
        <v>0.46579762612499997</v>
      </c>
      <c r="FK150" s="3">
        <f>$H150*factors!FE$3</f>
        <v>0.47367678995000007</v>
      </c>
      <c r="FL150" s="3">
        <f>$H150*factors!FF$3</f>
        <v>0.475067230625</v>
      </c>
      <c r="FM150" s="3">
        <f>$H150*factors!FG$3</f>
        <v>0.4801655131</v>
      </c>
      <c r="FN150" s="3">
        <f>$H150*factors!FH$3</f>
        <v>0.449112338025</v>
      </c>
      <c r="FO150" s="3">
        <f>$H150*factors!FI$3</f>
        <v>0.47692115152499998</v>
      </c>
      <c r="FP150" s="3">
        <f>$H150*factors!FJ$3</f>
        <v>0.46348022500000002</v>
      </c>
      <c r="FQ150" s="3">
        <f>$H150*factors!FK$3</f>
        <v>0.45884542275000006</v>
      </c>
      <c r="FR150" s="3">
        <f>$H150*factors!FL$3</f>
        <v>0.46811502724999998</v>
      </c>
      <c r="FS150" s="3">
        <f>$H150*factors!FM$3</f>
        <v>0.4653341459</v>
      </c>
      <c r="FT150" s="3">
        <f>$H150*factors!FN$3</f>
        <v>0.47553071085000004</v>
      </c>
      <c r="FU150" s="3">
        <f>$H150*factors!FO$3</f>
        <v>0.45699150184999998</v>
      </c>
      <c r="FV150" s="3">
        <f>$H150*factors!FP$3</f>
        <v>0.45328366004999998</v>
      </c>
      <c r="FW150" s="3">
        <f>$H150*factors!FQ$3</f>
        <v>0.48526379557499999</v>
      </c>
      <c r="FX150" s="3">
        <f>$H150*factors!FR$3</f>
        <v>0.47645767130000005</v>
      </c>
      <c r="FY150" s="3">
        <f>$H150*factors!FS$3</f>
        <v>0.46672458657499993</v>
      </c>
      <c r="FZ150" s="3">
        <f>$H150*factors!FT$3</f>
        <v>0.44355057532500003</v>
      </c>
      <c r="GA150" s="3">
        <f>$H150*factors!FU$3</f>
        <v>0.46672458657499993</v>
      </c>
      <c r="GB150" s="3">
        <f>$H150*factors!FV$3</f>
        <v>0.48387335490000011</v>
      </c>
      <c r="GC150" s="3">
        <f>$H150*factors!FW$3</f>
        <v>0.45328366004999998</v>
      </c>
      <c r="GD150" s="3">
        <f>$H150*factors!FX$3</f>
        <v>0.46116282387500002</v>
      </c>
      <c r="GE150" s="3">
        <f>$H150*factors!FY$3</f>
        <v>0.46116282387500002</v>
      </c>
      <c r="GF150" s="3">
        <f>$H150*factors!FZ$3</f>
        <v>0.45977238320000002</v>
      </c>
      <c r="GG150" s="3">
        <f>$H150*factors!GA$3</f>
        <v>0.441696654425</v>
      </c>
      <c r="GH150" s="3">
        <f>$H150*factors!GB$3</f>
        <v>0.46996894815000007</v>
      </c>
      <c r="GI150" s="3">
        <f>$H150*factors!GC$3</f>
        <v>0.44076969397499999</v>
      </c>
      <c r="GJ150" s="3">
        <f>$H150*factors!GD$3</f>
        <v>0.441696654425</v>
      </c>
      <c r="GK150" s="3">
        <f>$H150*factors!GE$3</f>
        <v>0.452820179825</v>
      </c>
      <c r="GL150" s="3">
        <f>$H150*factors!GF$3</f>
        <v>0.47970203287500002</v>
      </c>
      <c r="GM150" s="3">
        <f>$H150*factors!GG$3</f>
        <v>0.45467410072500003</v>
      </c>
      <c r="GN150" s="3">
        <f>$H150*factors!GH$3</f>
        <v>0.46904198770000005</v>
      </c>
      <c r="GO150" s="3">
        <f>$H150*factors!GI$3</f>
        <v>0.44308709509999994</v>
      </c>
      <c r="GP150" s="3">
        <f>$H150*factors!GJ$3</f>
        <v>0.475067230625</v>
      </c>
      <c r="GQ150" s="3">
        <f>$H150*factors!GK$3</f>
        <v>0.48480031535000007</v>
      </c>
      <c r="GR150" s="3">
        <f>$H150*factors!GL$3</f>
        <v>0.47553071085000004</v>
      </c>
      <c r="GS150" s="3">
        <f>$H150*factors!GM$3</f>
        <v>0.44970559271300004</v>
      </c>
      <c r="GT150" s="3">
        <f>$H150*factors!GN$3</f>
        <v>0.46006530270220003</v>
      </c>
      <c r="GU150" s="3">
        <f>$H150*factors!GO$3</f>
        <v>0.47089590860000002</v>
      </c>
      <c r="GV150" s="3">
        <f>$H150*factors!GP$3</f>
        <v>0.45206007225600003</v>
      </c>
      <c r="GW150" s="3">
        <f>$H150*factors!GQ$3</f>
        <v>0.46807053314840003</v>
      </c>
      <c r="GX150" s="3">
        <f>$H150*factors!GR$3</f>
        <v>0.46053619861080003</v>
      </c>
      <c r="GY150" s="3">
        <f>$H150*factors!GS$3</f>
        <v>0.45818171906780003</v>
      </c>
      <c r="GZ150" s="3">
        <f>$H150*factors!GT$3</f>
        <v>0.47513397177739997</v>
      </c>
      <c r="HA150" s="3">
        <f>$H150*factors!GU$3</f>
        <v>0.45959440679360003</v>
      </c>
      <c r="HB150" s="3">
        <f>$H150*factors!GV$3</f>
        <v>0.47513397177739997</v>
      </c>
      <c r="HC150" s="3">
        <f>$H150*factors!GW$3</f>
        <v>0.46336157406239997</v>
      </c>
      <c r="HD150" s="3">
        <f>$H150*factors!GX$3</f>
        <v>0.47701755541179997</v>
      </c>
      <c r="HE150" s="3">
        <f>$H150*factors!GY$3</f>
        <v>0.47089590860000002</v>
      </c>
      <c r="HF150" s="3">
        <f>$H150*factors!GZ$3</f>
        <v>0.48549368176660002</v>
      </c>
      <c r="HG150" s="3">
        <f>$H150*factors!HA$3</f>
        <v>0.46665784542260003</v>
      </c>
      <c r="HH150" s="3">
        <f>$H150*factors!HB$3</f>
        <v>0.46053619861080003</v>
      </c>
      <c r="HI150" s="3">
        <f>$H150*factors!HC$3</f>
        <v>0.45488544770760003</v>
      </c>
      <c r="HJ150" s="3">
        <f>$H150*factors!HD$3</f>
        <v>0.44970559271300004</v>
      </c>
      <c r="HK150" s="3">
        <f>$H150*factors!HE$3</f>
        <v>0.47560486768600002</v>
      </c>
      <c r="HL150" s="3">
        <f>$H150*factors!HF$3</f>
        <v>0.44829290498719998</v>
      </c>
      <c r="HM150" s="3">
        <f>$H150*factors!HG$3</f>
        <v>0.45300186407320003</v>
      </c>
      <c r="HN150" s="3">
        <f>$H150*factors!HH$3</f>
        <v>0.48313920222360007</v>
      </c>
      <c r="HO150" s="3">
        <f>$H150*factors!HI$3</f>
        <v>0.46336157406239997</v>
      </c>
      <c r="HP150" s="3">
        <f>$H150*factors!HJ$3</f>
        <v>0.49444070403000007</v>
      </c>
      <c r="HQ150" s="3">
        <f>$H150*factors!HK$3</f>
        <v>0.45206007225600003</v>
      </c>
      <c r="HR150" s="3">
        <f>$H150*factors!HL$3</f>
        <v>0.47937203495480007</v>
      </c>
      <c r="HS150" s="3">
        <f>$H150*factors!HM$3</f>
        <v>0.48784816130960001</v>
      </c>
      <c r="HT150" s="3">
        <f>$H150*factors!HN$3</f>
        <v>0.45488544770760003</v>
      </c>
      <c r="HU150" s="3">
        <f>$H150*factors!HO$3</f>
        <v>0.45959440679360003</v>
      </c>
      <c r="HV150" s="3">
        <f>$H150*factors!HP$3</f>
        <v>0.46524515769680008</v>
      </c>
      <c r="HW150" s="3">
        <f>$H150*factors!HQ$3</f>
        <v>0.47183770041720002</v>
      </c>
      <c r="HX150" s="3">
        <f>$H150*factors!HR$3</f>
        <v>0.49114443266979996</v>
      </c>
      <c r="HY150" s="3">
        <f>$H150*factors!HS$3</f>
        <v>0.46665784542260003</v>
      </c>
      <c r="HZ150" s="3">
        <f>$H150*factors!HT$3</f>
        <v>0.48455188994940002</v>
      </c>
      <c r="IA150" s="3">
        <f>$H150*factors!HU$3</f>
        <v>0.46100709451940003</v>
      </c>
      <c r="IB150" s="3">
        <f>$H150*factors!HV$3</f>
        <v>0.47701755541179997</v>
      </c>
      <c r="IC150" s="3">
        <f>$H150*factors!HW$3</f>
        <v>0.48172651449780002</v>
      </c>
      <c r="ID150" s="3">
        <f>$H150*factors!HX$3</f>
        <v>0.44735111316999998</v>
      </c>
      <c r="IE150" s="3">
        <f>$H150*factors!HY$3</f>
        <v>0.47513397177739997</v>
      </c>
      <c r="IF150" s="3">
        <f>$H150*factors!HZ$3</f>
        <v>0.47230859632579997</v>
      </c>
      <c r="IG150" s="3">
        <f>$H150*factors!IA$3</f>
        <v>0.46807053314840003</v>
      </c>
      <c r="IH150" s="3">
        <f>$H150*factors!IB$3</f>
        <v>0.48549368176660002</v>
      </c>
      <c r="II150" s="3">
        <f>$H150*factors!IC$3</f>
        <v>0.46477426178820003</v>
      </c>
      <c r="IJ150" s="3">
        <f>$H150*factors!ID$3</f>
        <v>0.46901232496560002</v>
      </c>
      <c r="IK150" s="3">
        <f>$H150*factors!IE$3</f>
        <v>0.48596457767520002</v>
      </c>
      <c r="IL150" s="3">
        <f>$H150*factors!IF$3</f>
        <v>0.46524515769680008</v>
      </c>
      <c r="IM150" s="3">
        <f>$H150*factors!IG$3</f>
        <v>0.46100709451940003</v>
      </c>
      <c r="IN150" s="3">
        <f>$H150*factors!IH$3</f>
        <v>0.46383246997100003</v>
      </c>
      <c r="IO150" s="3">
        <f>$H150*factors!II$3</f>
        <v>0.46854142905700003</v>
      </c>
      <c r="IP150" s="3">
        <f>$H150*factors!IJ$3</f>
        <v>0.45300186407320003</v>
      </c>
      <c r="IQ150" s="3">
        <f>$H150*factors!IK$3</f>
        <v>0.45158917634740003</v>
      </c>
      <c r="IR150" s="3">
        <f>$H150*factors!IL$3</f>
        <v>0.46477426178820003</v>
      </c>
      <c r="IS150" s="3">
        <f>$H150*factors!IM$3</f>
        <v>0.46854142905700003</v>
      </c>
      <c r="IT150" s="3">
        <f>$H150*factors!IN$3</f>
        <v>0.47183770041720002</v>
      </c>
      <c r="IU150" s="3">
        <f>$H150*factors!IO$3</f>
        <v>0.48219741040640007</v>
      </c>
      <c r="IV150" s="3">
        <f>$H150*factors!IP$3</f>
        <v>0.48831905721819996</v>
      </c>
      <c r="IW150" s="3">
        <f>$H150*factors!IQ$3</f>
        <v>0.46147799042799997</v>
      </c>
      <c r="IX150" s="3">
        <f>$H150*factors!IR$3</f>
        <v>0.48219741040640007</v>
      </c>
      <c r="IY150" s="3">
        <f>$H150*factors!IS$3</f>
        <v>0.47513397177739997</v>
      </c>
      <c r="IZ150" s="3">
        <f>$H150*factors!IT$3</f>
        <v>0.48313920222360007</v>
      </c>
      <c r="JA150" s="3">
        <f>$H150*factors!IU$3</f>
        <v>0.45629813543339998</v>
      </c>
      <c r="JB150" s="3">
        <f>$H150*factors!IV$3</f>
        <v>0.46477426178820003</v>
      </c>
      <c r="JC150" s="3">
        <f>$H150*factors!IW$3</f>
        <v>0.45394365589040003</v>
      </c>
      <c r="JD150" s="3">
        <f>$H150*factors!IX$3</f>
        <v>0.49444070403000007</v>
      </c>
      <c r="JE150" s="3">
        <f>$H150*factors!IY$3</f>
        <v>0.45535634361619998</v>
      </c>
      <c r="JF150" s="3">
        <f>$H150*factors!IZ$3</f>
        <v>0.47795934722899996</v>
      </c>
      <c r="JG150" s="3">
        <f>$H150*factors!JA$3</f>
        <v>0.46948322087419997</v>
      </c>
      <c r="JH150" s="3">
        <f>$H150*factors!JB$3</f>
        <v>0.47843024313760008</v>
      </c>
      <c r="JI150" s="3">
        <f>$H150*factors!JC$3</f>
        <v>0.44782200907860004</v>
      </c>
      <c r="JJ150" s="3">
        <f>$H150*factors!JD$3</f>
        <v>0.48219741040640007</v>
      </c>
      <c r="JK150" s="3">
        <f>$H150*factors!JE$3</f>
        <v>0.46665784542260003</v>
      </c>
      <c r="JL150" s="3">
        <f>$H150*factors!JF$3</f>
        <v>0.48549368176660002</v>
      </c>
      <c r="JM150" s="3">
        <f>$H150*factors!JG$3</f>
        <v>0.45300186407320003</v>
      </c>
      <c r="JN150" s="3">
        <f>$H150*factors!JH$3</f>
        <v>0.45300186407320003</v>
      </c>
      <c r="JO150" s="3">
        <f>$H150*factors!JI$3</f>
        <v>0.44735111316999998</v>
      </c>
      <c r="JP150" s="3">
        <f>$H150*factors!JJ$3</f>
        <v>0.48361009813220002</v>
      </c>
      <c r="JQ150" s="3">
        <f>$H150*factors!JK$3</f>
        <v>0.47136680450859997</v>
      </c>
      <c r="JR150" s="3">
        <f>$H150*factors!JL$3</f>
        <v>0.48973174494400001</v>
      </c>
      <c r="JS150" s="3">
        <f>$H150*factors!JM$3</f>
        <v>0.44735111316999998</v>
      </c>
      <c r="JT150" s="3">
        <f>$H150*factors!JN$3</f>
        <v>0.46995411678280002</v>
      </c>
      <c r="JU150" s="3">
        <f>$H150*factors!JO$3</f>
        <v>0.45441455179899998</v>
      </c>
      <c r="JV150" s="3">
        <f>$H150*factors!JP$3</f>
        <v>0.46194888633660003</v>
      </c>
      <c r="JW150" s="3">
        <f>$H150*factors!JQ$3</f>
        <v>0.49349891221280007</v>
      </c>
      <c r="JX150" s="3">
        <f>$H150*factors!JR$3</f>
        <v>0.48878995312680001</v>
      </c>
      <c r="JY150" s="3">
        <f>$H150*factors!JS$3</f>
        <v>0.46006530270220003</v>
      </c>
      <c r="JZ150" s="3">
        <f>$H150*factors!JT$3</f>
        <v>0.46524515769680008</v>
      </c>
      <c r="KA150" s="3">
        <f>$H150*factors!JU$3</f>
        <v>0.46712874133120003</v>
      </c>
      <c r="KB150" s="3">
        <f>$H150*factors!JV$3</f>
        <v>0.45158917634740003</v>
      </c>
      <c r="KC150" s="3">
        <f>$H150*factors!JW$3</f>
        <v>0.45394365589040003</v>
      </c>
      <c r="KD150" s="3">
        <f>$H150*factors!JX$3</f>
        <v>0.45441455179899998</v>
      </c>
      <c r="KE150" s="3">
        <f>$H150*factors!JY$3</f>
        <v>0.48361009813220002</v>
      </c>
      <c r="KF150" s="3">
        <f>$H150*factors!JZ$3</f>
        <v>0.48926084903539996</v>
      </c>
      <c r="KG150" s="3">
        <f>$H150*factors!KA$3</f>
        <v>0.47183770041720002</v>
      </c>
      <c r="KH150" s="3">
        <f>$H150*factors!KB$3</f>
        <v>0.46147799042799997</v>
      </c>
      <c r="KI150" s="3">
        <f>$H150*factors!KC$3</f>
        <v>0.45723992725059998</v>
      </c>
    </row>
    <row r="151" spans="1:295" x14ac:dyDescent="0.55000000000000004">
      <c r="A151" t="s">
        <v>528</v>
      </c>
      <c r="B151">
        <v>150</v>
      </c>
      <c r="C151">
        <v>500</v>
      </c>
      <c r="D151" t="s">
        <v>377</v>
      </c>
      <c r="E151">
        <v>4.7699999999999999E-3</v>
      </c>
      <c r="F151">
        <v>150</v>
      </c>
      <c r="G151">
        <f>VLOOKUP(D151,demand_forecasted!$A$2:$G$11,2)</f>
        <v>11098</v>
      </c>
      <c r="H151" s="3">
        <f t="shared" si="2"/>
        <v>0.52937460000000003</v>
      </c>
      <c r="I151" s="3">
        <f>$H151*factors!C$3</f>
        <v>0.58601768220000006</v>
      </c>
      <c r="J151" s="3">
        <f>$H151*factors!D$3</f>
        <v>0.564863873184</v>
      </c>
      <c r="K151" s="3">
        <f>$H151*factors!E$3</f>
        <v>0.55514455552800002</v>
      </c>
      <c r="L151" s="3">
        <f>$H151*factors!F$3</f>
        <v>0.55342938182400014</v>
      </c>
      <c r="M151" s="3">
        <f>$H151*factors!G$3</f>
        <v>0.552857657256</v>
      </c>
      <c r="N151" s="3">
        <f>$H151*factors!H$3</f>
        <v>0.56886594516</v>
      </c>
      <c r="O151" s="3">
        <f>$H151*factors!I$3</f>
        <v>0.58144388565600003</v>
      </c>
      <c r="P151" s="3">
        <f>$H151*factors!J$3</f>
        <v>0.58830458047200007</v>
      </c>
      <c r="Q151" s="3">
        <f>$H151*factors!K$3</f>
        <v>0.55228593268799997</v>
      </c>
      <c r="R151" s="3">
        <f>$H151*factors!L$3</f>
        <v>0.54313833960000002</v>
      </c>
      <c r="S151" s="3">
        <f>$H151*factors!M$3</f>
        <v>0.56543559775200003</v>
      </c>
      <c r="T151" s="3">
        <f>$H151*factors!N$3</f>
        <v>0.5848742330640001</v>
      </c>
      <c r="U151" s="3">
        <f>$H151*factors!O$3</f>
        <v>0.55400110639200006</v>
      </c>
      <c r="V151" s="3">
        <f>$H151*factors!P$3</f>
        <v>0.57629836454400007</v>
      </c>
      <c r="W151" s="3">
        <f>$H151*factors!Q$3</f>
        <v>0.58144388565600003</v>
      </c>
      <c r="X151" s="3">
        <f>$H151*factors!R$3</f>
        <v>0.55628800466400008</v>
      </c>
      <c r="Y151" s="3">
        <f>$H151*factors!S$3</f>
        <v>0.55114248355200002</v>
      </c>
      <c r="Z151" s="3">
        <f>$H151*factors!T$3</f>
        <v>0.59459355072000009</v>
      </c>
      <c r="AA151" s="3">
        <f>$H151*factors!U$3</f>
        <v>0.56143352577600003</v>
      </c>
      <c r="AB151" s="3">
        <f>$H151*factors!V$3</f>
        <v>0.56200525034400006</v>
      </c>
      <c r="AC151" s="3">
        <f>$H151*factors!W$3</f>
        <v>0.56257697491200009</v>
      </c>
      <c r="AD151" s="3">
        <f>$H151*factors!X$3</f>
        <v>0.5505707589840001</v>
      </c>
      <c r="AE151" s="3">
        <f>$H151*factors!Y$3</f>
        <v>0.55514455552800002</v>
      </c>
      <c r="AF151" s="3">
        <f>$H151*factors!Z$3</f>
        <v>0.56657904688800009</v>
      </c>
      <c r="AG151" s="3">
        <f>$H151*factors!AA$3</f>
        <v>0.55228593268799997</v>
      </c>
      <c r="AH151" s="3">
        <f>$H151*factors!AB$3</f>
        <v>0.54999903441600007</v>
      </c>
      <c r="AI151" s="3">
        <f>$H151*factors!AC$3</f>
        <v>0.56772249602400005</v>
      </c>
      <c r="AJ151" s="3">
        <f>$H151*factors!AD$3</f>
        <v>0.58944802960800002</v>
      </c>
      <c r="AK151" s="3">
        <f>$H151*factors!AE$3</f>
        <v>0.56715077145600012</v>
      </c>
      <c r="AL151" s="3">
        <f>$H151*factors!AF$3</f>
        <v>0.544853513304</v>
      </c>
      <c r="AM151" s="3">
        <f>$H151*factors!AG$3</f>
        <v>0.56029007664000008</v>
      </c>
      <c r="AN151" s="3">
        <f>$H151*factors!AH$3</f>
        <v>0.55114248355200002</v>
      </c>
      <c r="AO151" s="3">
        <f>$H151*factors!AI$3</f>
        <v>0.57744181368000003</v>
      </c>
      <c r="AP151" s="3">
        <f>$H151*factors!AJ$3</f>
        <v>0.55342938182400014</v>
      </c>
      <c r="AQ151" s="3">
        <f>$H151*factors!AK$3</f>
        <v>0.57115284343200012</v>
      </c>
      <c r="AR151" s="3">
        <f>$H151*factors!AL$3</f>
        <v>0.5585749029360001</v>
      </c>
      <c r="AS151" s="3">
        <f>$H151*factors!AM$3</f>
        <v>0.544853513304</v>
      </c>
      <c r="AT151" s="3">
        <f>$H151*factors!AN$3</f>
        <v>0.56200525034400006</v>
      </c>
      <c r="AU151" s="3">
        <f>$H151*factors!AO$3</f>
        <v>0.59516527528800001</v>
      </c>
      <c r="AV151" s="3">
        <f>$H151*factors!AP$3</f>
        <v>0.56257697491200009</v>
      </c>
      <c r="AW151" s="3">
        <f>$H151*factors!AQ$3</f>
        <v>0.556859729232</v>
      </c>
      <c r="AX151" s="3">
        <f>$H151*factors!AR$3</f>
        <v>0.5888763050400001</v>
      </c>
      <c r="AY151" s="3">
        <f>$H151*factors!AS$3</f>
        <v>0.54313833960000002</v>
      </c>
      <c r="AZ151" s="3">
        <f>$H151*factors!AT$3</f>
        <v>0.58201561022400017</v>
      </c>
      <c r="BA151" s="3">
        <f>$H151*factors!AU$3</f>
        <v>0.56943766972800003</v>
      </c>
      <c r="BB151" s="3">
        <f>$H151*factors!AV$3</f>
        <v>0.56200525034400006</v>
      </c>
      <c r="BC151" s="3">
        <f>$H151*factors!AW$3</f>
        <v>0.59459355072000009</v>
      </c>
      <c r="BD151" s="3">
        <f>$H151*factors!AX$3</f>
        <v>0.54885558528</v>
      </c>
      <c r="BE151" s="3">
        <f>$H151*factors!AY$3</f>
        <v>0.64527587492399996</v>
      </c>
      <c r="BF151" s="3">
        <f>$H151*factors!AZ$3</f>
        <v>0.600924870936</v>
      </c>
      <c r="BG151" s="3">
        <f>$H151*factors!BA$3</f>
        <v>0.60967013932799996</v>
      </c>
      <c r="BH151" s="3">
        <f>$H151*factors!BB$3</f>
        <v>0.61779074569199999</v>
      </c>
      <c r="BI151" s="3">
        <f>$H151*factors!BC$3</f>
        <v>0.64027857869999993</v>
      </c>
      <c r="BJ151" s="3">
        <f>$H151*factors!BD$3</f>
        <v>0.61154412541199998</v>
      </c>
      <c r="BK151" s="3">
        <f>$H151*factors!BE$3</f>
        <v>0.61279344946799996</v>
      </c>
      <c r="BL151" s="3">
        <f>$H151*factors!BF$3</f>
        <v>0.60592216715999991</v>
      </c>
      <c r="BM151" s="3">
        <f>$H151*factors!BG$3</f>
        <v>0.64714986100800009</v>
      </c>
      <c r="BN151" s="3">
        <f>$H151*factors!BH$3</f>
        <v>0.63902925464399996</v>
      </c>
      <c r="BO151" s="3">
        <f>$H151*factors!BI$3</f>
        <v>0.600924870936</v>
      </c>
      <c r="BP151" s="3">
        <f>$H151*factors!BJ$3</f>
        <v>0.59905088485199998</v>
      </c>
      <c r="BQ151" s="3">
        <f>$H151*factors!BK$3</f>
        <v>0.60904547729999992</v>
      </c>
      <c r="BR151" s="3">
        <f>$H151*factors!BL$3</f>
        <v>0.63090864828000004</v>
      </c>
      <c r="BS151" s="3">
        <f>$H151*factors!BM$3</f>
        <v>0.64090324072799998</v>
      </c>
      <c r="BT151" s="3">
        <f>$H151*factors!BN$3</f>
        <v>0.642777226812</v>
      </c>
      <c r="BU151" s="3">
        <f>$H151*factors!BO$3</f>
        <v>0.6533964812880001</v>
      </c>
      <c r="BV151" s="3">
        <f>$H151*factors!BP$3</f>
        <v>0.60779615324400005</v>
      </c>
      <c r="BW151" s="3">
        <f>$H151*factors!BQ$3</f>
        <v>0.62153871786000003</v>
      </c>
      <c r="BX151" s="3">
        <f>$H151*factors!BR$3</f>
        <v>0.60967013932799996</v>
      </c>
      <c r="BY151" s="3">
        <f>$H151*factors!BS$3</f>
        <v>0.63777993058799987</v>
      </c>
      <c r="BZ151" s="3">
        <f>$H151*factors!BT$3</f>
        <v>0.6259113520559999</v>
      </c>
      <c r="CA151" s="3">
        <f>$H151*factors!BU$3</f>
        <v>0.61779074569199999</v>
      </c>
      <c r="CB151" s="3">
        <f>$H151*factors!BV$3</f>
        <v>0.597801560796</v>
      </c>
      <c r="CC151" s="3">
        <f>$H151*factors!BW$3</f>
        <v>0.61529209757999992</v>
      </c>
      <c r="CD151" s="3">
        <f>$H151*factors!BX$3</f>
        <v>0.61716608366400005</v>
      </c>
      <c r="CE151" s="3">
        <f>$H151*factors!BY$3</f>
        <v>0.6259113520559999</v>
      </c>
      <c r="CF151" s="3">
        <f>$H151*factors!BZ$3</f>
        <v>0.61654142163600001</v>
      </c>
      <c r="CG151" s="3">
        <f>$H151*factors!CA$3</f>
        <v>0.59592757471199997</v>
      </c>
      <c r="CH151" s="3">
        <f>$H151*factors!CB$3</f>
        <v>0.59655223673999991</v>
      </c>
      <c r="CI151" s="3">
        <f>$H151*factors!CC$3</f>
        <v>0.59342892660000002</v>
      </c>
      <c r="CJ151" s="3">
        <f>$H151*factors!CD$3</f>
        <v>0.61779074569199999</v>
      </c>
      <c r="CK151" s="3">
        <f>$H151*factors!CE$3</f>
        <v>0.64527587492399996</v>
      </c>
      <c r="CL151" s="3">
        <f>$H151*factors!CF$3</f>
        <v>0.60467284310400005</v>
      </c>
      <c r="CM151" s="3">
        <f>$H151*factors!CG$3</f>
        <v>0.61904006974799997</v>
      </c>
      <c r="CN151" s="3">
        <f>$H151*factors!CH$3</f>
        <v>0.59842622282399993</v>
      </c>
      <c r="CO151" s="3">
        <f>$H151*factors!CI$3</f>
        <v>0.60279885701999991</v>
      </c>
      <c r="CP151" s="3">
        <f>$H151*factors!CJ$3</f>
        <v>0.63153331030799986</v>
      </c>
      <c r="CQ151" s="3">
        <f>$H151*factors!CK$3</f>
        <v>0.61279344946799996</v>
      </c>
      <c r="CR151" s="3">
        <f>$H151*factors!CL$3</f>
        <v>0.63215797233600002</v>
      </c>
      <c r="CS151" s="3">
        <f>$H151*factors!CM$3</f>
        <v>0.65214715723200001</v>
      </c>
      <c r="CT151" s="3">
        <f>$H151*factors!CN$3</f>
        <v>0.64465121289600003</v>
      </c>
      <c r="CU151" s="3">
        <f>$H151*factors!CO$3</f>
        <v>0.63028398625199988</v>
      </c>
      <c r="CV151" s="3">
        <f>$H151*factors!CP$3</f>
        <v>0.65589512939999994</v>
      </c>
      <c r="CW151" s="3">
        <f>$H151*factors!CQ$3</f>
        <v>0.62028939380400006</v>
      </c>
      <c r="CX151" s="3">
        <f>$H151*factors!CR$3</f>
        <v>0.61091946338400005</v>
      </c>
      <c r="CY151" s="3">
        <f>$H151*factors!CS$3</f>
        <v>0.60529750513199998</v>
      </c>
      <c r="CZ151" s="3">
        <f>$H151*factors!CT$3</f>
        <v>0.59655223673999991</v>
      </c>
      <c r="DA151" s="3">
        <f>$H151*factors!CU$3</f>
        <v>0.61936828200000005</v>
      </c>
      <c r="DB151" s="3">
        <f>$H151*factors!CV$3</f>
        <v>0.65938900176000004</v>
      </c>
      <c r="DC151" s="3">
        <f>$H151*factors!CW$3</f>
        <v>0.63143802287999995</v>
      </c>
      <c r="DD151" s="3">
        <f>$H151*factors!CX$3</f>
        <v>0.62699127623999995</v>
      </c>
      <c r="DE151" s="3">
        <f>$H151*factors!CY$3</f>
        <v>0.6454135123200001</v>
      </c>
      <c r="DF151" s="3">
        <f>$H151*factors!CZ$3</f>
        <v>0.64414301328000001</v>
      </c>
      <c r="DG151" s="3">
        <f>$H151*factors!DA$3</f>
        <v>0.64160201520000004</v>
      </c>
      <c r="DH151" s="3">
        <f>$H151*factors!DB$3</f>
        <v>0.64160201520000004</v>
      </c>
      <c r="DI151" s="3">
        <f>$H151*factors!DC$3</f>
        <v>0.61746253344000002</v>
      </c>
      <c r="DJ151" s="3">
        <f>$H151*factors!DD$3</f>
        <v>0.65430700559999999</v>
      </c>
      <c r="DK151" s="3">
        <f>$H151*factors!DE$3</f>
        <v>0.65430700559999999</v>
      </c>
      <c r="DL151" s="3">
        <f>$H151*factors!DF$3</f>
        <v>0.64668401136000009</v>
      </c>
      <c r="DM151" s="3">
        <f>$H151*factors!DG$3</f>
        <v>0.60920428967999996</v>
      </c>
      <c r="DN151" s="3">
        <f>$H151*factors!DH$3</f>
        <v>0.63906101712000007</v>
      </c>
      <c r="DO151" s="3">
        <f>$H151*factors!DI$3</f>
        <v>0.66002425127999997</v>
      </c>
      <c r="DP151" s="3">
        <f>$H151*factors!DJ$3</f>
        <v>0.65430700559999999</v>
      </c>
      <c r="DQ151" s="3">
        <f>$H151*factors!DK$3</f>
        <v>0.62381502863999994</v>
      </c>
      <c r="DR151" s="3">
        <f>$H151*factors!DL$3</f>
        <v>0.61682728392000008</v>
      </c>
      <c r="DS151" s="3">
        <f>$H151*factors!DM$3</f>
        <v>0.66637674648</v>
      </c>
      <c r="DT151" s="3">
        <f>$H151*factors!DN$3</f>
        <v>0.62635602672000001</v>
      </c>
      <c r="DU151" s="3">
        <f>$H151*factors!DO$3</f>
        <v>0.65557750463999998</v>
      </c>
      <c r="DV151" s="3">
        <f>$H151*factors!DP$3</f>
        <v>0.64033151616000006</v>
      </c>
      <c r="DW151" s="3">
        <f>$H151*factors!DQ$3</f>
        <v>0.61111003823999999</v>
      </c>
      <c r="DX151" s="3">
        <f>$H151*factors!DR$3</f>
        <v>0.64731926088000002</v>
      </c>
      <c r="DY151" s="3">
        <f>$H151*factors!DS$3</f>
        <v>0.61428628584</v>
      </c>
      <c r="DZ151" s="3">
        <f>$H151*factors!DT$3</f>
        <v>0.65684800367999996</v>
      </c>
      <c r="EA151" s="3">
        <f>$H151*factors!DU$3</f>
        <v>0.61873303248</v>
      </c>
      <c r="EB151" s="3">
        <f>$H151*factors!DV$3</f>
        <v>0.60348704399999997</v>
      </c>
      <c r="EC151" s="3">
        <f>$H151*factors!DW$3</f>
        <v>0.64922500943999994</v>
      </c>
      <c r="ED151" s="3">
        <f>$H151*factors!DX$3</f>
        <v>0.60920428967999996</v>
      </c>
      <c r="EE151" s="3">
        <f>$H151*factors!DY$3</f>
        <v>0.61428628584</v>
      </c>
      <c r="EF151" s="3">
        <f>$H151*factors!DZ$3</f>
        <v>0.66637674648</v>
      </c>
      <c r="EG151" s="3">
        <f>$H151*factors!EA$3</f>
        <v>0.62254452959999995</v>
      </c>
      <c r="EH151" s="3">
        <f>$H151*factors!EB$3</f>
        <v>0.62445027815999998</v>
      </c>
      <c r="EI151" s="3">
        <f>$H151*factors!EC$3</f>
        <v>0.62317977912</v>
      </c>
      <c r="EJ151" s="3">
        <f>$H151*factors!ED$3</f>
        <v>0.60729854112000003</v>
      </c>
      <c r="EK151" s="3">
        <f>$H151*factors!EE$3</f>
        <v>0.64922500943999994</v>
      </c>
      <c r="EL151" s="3">
        <f>$H151*factors!EF$3</f>
        <v>0.61746253344000002</v>
      </c>
      <c r="EM151" s="3">
        <f>$H151*factors!EG$3</f>
        <v>0.64223726471999998</v>
      </c>
      <c r="EN151" s="3">
        <f>$H151*factors!EH$3</f>
        <v>0.60348704399999997</v>
      </c>
      <c r="EO151" s="3">
        <f>$H151*factors!EI$3</f>
        <v>0.61238053727999997</v>
      </c>
      <c r="EP151" s="3">
        <f>$H151*factors!EJ$3</f>
        <v>0.64604876184000004</v>
      </c>
      <c r="EQ151" s="3">
        <f>$H151*factors!EK$3</f>
        <v>0.62826177527999993</v>
      </c>
      <c r="ER151" s="3">
        <f>$H151*factors!EL$3</f>
        <v>0.65430700559999999</v>
      </c>
      <c r="ES151" s="3">
        <f>$H151*factors!EM$3</f>
        <v>0.64604876184000004</v>
      </c>
      <c r="ET151" s="3">
        <f>$H151*factors!EN$3</f>
        <v>0.66065950080000002</v>
      </c>
      <c r="EU151" s="3">
        <f>$H151*factors!EO$3</f>
        <v>0.66701199600000005</v>
      </c>
      <c r="EV151" s="3">
        <f>$H151*factors!EP$3</f>
        <v>0.62508552767999992</v>
      </c>
      <c r="EW151" s="3">
        <f>$H151*factors!EQ$3</f>
        <v>0.68752526174999995</v>
      </c>
      <c r="EX151" s="3">
        <f>$H151*factors!ER$3</f>
        <v>0.68024636100000013</v>
      </c>
      <c r="EY151" s="3">
        <f>$H151*factors!ES$3</f>
        <v>0.69414244424999993</v>
      </c>
      <c r="EZ151" s="3">
        <f>$H151*factors!ET$3</f>
        <v>0.68752526174999995</v>
      </c>
      <c r="FA151" s="3">
        <f>$H151*factors!EU$3</f>
        <v>0.63194092874999996</v>
      </c>
      <c r="FB151" s="3">
        <f>$H151*factors!EV$3</f>
        <v>0.66039481350000007</v>
      </c>
      <c r="FC151" s="3">
        <f>$H151*factors!EW$3</f>
        <v>0.67892292450000002</v>
      </c>
      <c r="FD151" s="3">
        <f>$H151*factors!EX$3</f>
        <v>0.65510106750000008</v>
      </c>
      <c r="FE151" s="3">
        <f>$H151*factors!EY$3</f>
        <v>0.69017213475000005</v>
      </c>
      <c r="FF151" s="3">
        <f>$H151*factors!EZ$3</f>
        <v>0.69083385300000011</v>
      </c>
      <c r="FG151" s="3">
        <f>$H151*factors!FA$3</f>
        <v>0.63194092874999996</v>
      </c>
      <c r="FH151" s="3">
        <f>$H151*factors!FB$3</f>
        <v>0.66502684125</v>
      </c>
      <c r="FI151" s="3">
        <f>$H151*factors!FC$3</f>
        <v>0.69281900774999994</v>
      </c>
      <c r="FJ151" s="3">
        <f>$H151*factors!FD$3</f>
        <v>0.66502684125</v>
      </c>
      <c r="FK151" s="3">
        <f>$H151*factors!FE$3</f>
        <v>0.67627605150000003</v>
      </c>
      <c r="FL151" s="3">
        <f>$H151*factors!FF$3</f>
        <v>0.67826120625000008</v>
      </c>
      <c r="FM151" s="3">
        <f>$H151*factors!FG$3</f>
        <v>0.68554010700000001</v>
      </c>
      <c r="FN151" s="3">
        <f>$H151*factors!FH$3</f>
        <v>0.64120498425000005</v>
      </c>
      <c r="FO151" s="3">
        <f>$H151*factors!FI$3</f>
        <v>0.68090807924999996</v>
      </c>
      <c r="FP151" s="3">
        <f>$H151*factors!FJ$3</f>
        <v>0.66171825000000006</v>
      </c>
      <c r="FQ151" s="3">
        <f>$H151*factors!FK$3</f>
        <v>0.65510106750000008</v>
      </c>
      <c r="FR151" s="3">
        <f>$H151*factors!FL$3</f>
        <v>0.66833543250000005</v>
      </c>
      <c r="FS151" s="3">
        <f>$H151*factors!FM$3</f>
        <v>0.66436512299999995</v>
      </c>
      <c r="FT151" s="3">
        <f>$H151*factors!FN$3</f>
        <v>0.67892292450000002</v>
      </c>
      <c r="FU151" s="3">
        <f>$H151*factors!FO$3</f>
        <v>0.65245419449999997</v>
      </c>
      <c r="FV151" s="3">
        <f>$H151*factors!FP$3</f>
        <v>0.64716044849999999</v>
      </c>
      <c r="FW151" s="3">
        <f>$H151*factors!FQ$3</f>
        <v>0.69281900774999994</v>
      </c>
      <c r="FX151" s="3">
        <f>$H151*factors!FR$3</f>
        <v>0.68024636100000013</v>
      </c>
      <c r="FY151" s="3">
        <f>$H151*factors!FS$3</f>
        <v>0.66635027774999989</v>
      </c>
      <c r="FZ151" s="3">
        <f>$H151*factors!FT$3</f>
        <v>0.63326436525000007</v>
      </c>
      <c r="GA151" s="3">
        <f>$H151*factors!FU$3</f>
        <v>0.66635027774999989</v>
      </c>
      <c r="GB151" s="3">
        <f>$H151*factors!FV$3</f>
        <v>0.69083385300000011</v>
      </c>
      <c r="GC151" s="3">
        <f>$H151*factors!FW$3</f>
        <v>0.64716044849999999</v>
      </c>
      <c r="GD151" s="3">
        <f>$H151*factors!FX$3</f>
        <v>0.65840965875000002</v>
      </c>
      <c r="GE151" s="3">
        <f>$H151*factors!FY$3</f>
        <v>0.65840965875000002</v>
      </c>
      <c r="GF151" s="3">
        <f>$H151*factors!FZ$3</f>
        <v>0.65642450400000008</v>
      </c>
      <c r="GG151" s="3">
        <f>$H151*factors!GA$3</f>
        <v>0.63061749224999997</v>
      </c>
      <c r="GH151" s="3">
        <f>$H151*factors!GB$3</f>
        <v>0.67098230550000004</v>
      </c>
      <c r="GI151" s="3">
        <f>$H151*factors!GC$3</f>
        <v>0.62929405574999997</v>
      </c>
      <c r="GJ151" s="3">
        <f>$H151*factors!GD$3</f>
        <v>0.63061749224999997</v>
      </c>
      <c r="GK151" s="3">
        <f>$H151*factors!GE$3</f>
        <v>0.64649873025000004</v>
      </c>
      <c r="GL151" s="3">
        <f>$H151*factors!GF$3</f>
        <v>0.68487838875000007</v>
      </c>
      <c r="GM151" s="3">
        <f>$H151*factors!GG$3</f>
        <v>0.64914560325000004</v>
      </c>
      <c r="GN151" s="3">
        <f>$H151*factors!GH$3</f>
        <v>0.66965886900000016</v>
      </c>
      <c r="GO151" s="3">
        <f>$H151*factors!GI$3</f>
        <v>0.63260264699999991</v>
      </c>
      <c r="GP151" s="3">
        <f>$H151*factors!GJ$3</f>
        <v>0.67826120625000008</v>
      </c>
      <c r="GQ151" s="3">
        <f>$H151*factors!GK$3</f>
        <v>0.69215728950000011</v>
      </c>
      <c r="GR151" s="3">
        <f>$H151*factors!GL$3</f>
        <v>0.67892292450000002</v>
      </c>
      <c r="GS151" s="3">
        <f>$H151*factors!GM$3</f>
        <v>0.64205198361000004</v>
      </c>
      <c r="GT151" s="3">
        <f>$H151*factors!GN$3</f>
        <v>0.65684270993400007</v>
      </c>
      <c r="GU151" s="3">
        <f>$H151*factors!GO$3</f>
        <v>0.67230574200000004</v>
      </c>
      <c r="GV151" s="3">
        <f>$H151*factors!GP$3</f>
        <v>0.6454135123200001</v>
      </c>
      <c r="GW151" s="3">
        <f>$H151*factors!GQ$3</f>
        <v>0.66827190754800003</v>
      </c>
      <c r="GX151" s="3">
        <f>$H151*factors!GR$3</f>
        <v>0.65751501567600001</v>
      </c>
      <c r="GY151" s="3">
        <f>$H151*factors!GS$3</f>
        <v>0.65415348696600006</v>
      </c>
      <c r="GZ151" s="3">
        <f>$H151*factors!GT$3</f>
        <v>0.67835649367799999</v>
      </c>
      <c r="HA151" s="3">
        <f>$H151*factors!GU$3</f>
        <v>0.65617040419200001</v>
      </c>
      <c r="HB151" s="3">
        <f>$H151*factors!GV$3</f>
        <v>0.67835649367799999</v>
      </c>
      <c r="HC151" s="3">
        <f>$H151*factors!GW$3</f>
        <v>0.66154885012800002</v>
      </c>
      <c r="HD151" s="3">
        <f>$H151*factors!GX$3</f>
        <v>0.68104571664599989</v>
      </c>
      <c r="HE151" s="3">
        <f>$H151*factors!GY$3</f>
        <v>0.67230574200000004</v>
      </c>
      <c r="HF151" s="3">
        <f>$H151*factors!GZ$3</f>
        <v>0.69314722000200002</v>
      </c>
      <c r="HG151" s="3">
        <f>$H151*factors!HA$3</f>
        <v>0.66625499032199997</v>
      </c>
      <c r="HH151" s="3">
        <f>$H151*factors!HB$3</f>
        <v>0.65751501567600001</v>
      </c>
      <c r="HI151" s="3">
        <f>$H151*factors!HC$3</f>
        <v>0.649447346772</v>
      </c>
      <c r="HJ151" s="3">
        <f>$H151*factors!HD$3</f>
        <v>0.64205198361000004</v>
      </c>
      <c r="HK151" s="3">
        <f>$H151*factors!HE$3</f>
        <v>0.67902879942000005</v>
      </c>
      <c r="HL151" s="3">
        <f>$H151*factors!HF$3</f>
        <v>0.64003506638399998</v>
      </c>
      <c r="HM151" s="3">
        <f>$H151*factors!HG$3</f>
        <v>0.64675812380400011</v>
      </c>
      <c r="HN151" s="3">
        <f>$H151*factors!HH$3</f>
        <v>0.68978569129200007</v>
      </c>
      <c r="HO151" s="3">
        <f>$H151*factors!HI$3</f>
        <v>0.66154885012800002</v>
      </c>
      <c r="HP151" s="3">
        <f>$H151*factors!HJ$3</f>
        <v>0.7059210291000001</v>
      </c>
      <c r="HQ151" s="3">
        <f>$H151*factors!HK$3</f>
        <v>0.6454135123200001</v>
      </c>
      <c r="HR151" s="3">
        <f>$H151*factors!HL$3</f>
        <v>0.68440724535600006</v>
      </c>
      <c r="HS151" s="3">
        <f>$H151*factors!HM$3</f>
        <v>0.69650874871200008</v>
      </c>
      <c r="HT151" s="3">
        <f>$H151*factors!HN$3</f>
        <v>0.649447346772</v>
      </c>
      <c r="HU151" s="3">
        <f>$H151*factors!HO$3</f>
        <v>0.65617040419200001</v>
      </c>
      <c r="HV151" s="3">
        <f>$H151*factors!HP$3</f>
        <v>0.66423807309600014</v>
      </c>
      <c r="HW151" s="3">
        <f>$H151*factors!HQ$3</f>
        <v>0.67365035348400004</v>
      </c>
      <c r="HX151" s="3">
        <f>$H151*factors!HR$3</f>
        <v>0.70121488890599992</v>
      </c>
      <c r="HY151" s="3">
        <f>$H151*factors!HS$3</f>
        <v>0.66625499032199997</v>
      </c>
      <c r="HZ151" s="3">
        <f>$H151*factors!HT$3</f>
        <v>0.69180260851800002</v>
      </c>
      <c r="IA151" s="3">
        <f>$H151*factors!HU$3</f>
        <v>0.65818732141800007</v>
      </c>
      <c r="IB151" s="3">
        <f>$H151*factors!HV$3</f>
        <v>0.68104571664599989</v>
      </c>
      <c r="IC151" s="3">
        <f>$H151*factors!HW$3</f>
        <v>0.68776877406600001</v>
      </c>
      <c r="ID151" s="3">
        <f>$H151*factors!HX$3</f>
        <v>0.63869045489999998</v>
      </c>
      <c r="IE151" s="3">
        <f>$H151*factors!HY$3</f>
        <v>0.67835649367799999</v>
      </c>
      <c r="IF151" s="3">
        <f>$H151*factors!HZ$3</f>
        <v>0.67432265922599999</v>
      </c>
      <c r="IG151" s="3">
        <f>$H151*factors!IA$3</f>
        <v>0.66827190754800003</v>
      </c>
      <c r="IH151" s="3">
        <f>$H151*factors!IB$3</f>
        <v>0.69314722000200002</v>
      </c>
      <c r="II151" s="3">
        <f>$H151*factors!IC$3</f>
        <v>0.66356576735400008</v>
      </c>
      <c r="IJ151" s="3">
        <f>$H151*factors!ID$3</f>
        <v>0.66961651903200003</v>
      </c>
      <c r="IK151" s="3">
        <f>$H151*factors!IE$3</f>
        <v>0.69381952574400008</v>
      </c>
      <c r="IL151" s="3">
        <f>$H151*factors!IF$3</f>
        <v>0.66423807309600014</v>
      </c>
      <c r="IM151" s="3">
        <f>$H151*factors!IG$3</f>
        <v>0.65818732141800007</v>
      </c>
      <c r="IN151" s="3">
        <f>$H151*factors!IH$3</f>
        <v>0.66222115587000008</v>
      </c>
      <c r="IO151" s="3">
        <f>$H151*factors!II$3</f>
        <v>0.66894421328999998</v>
      </c>
      <c r="IP151" s="3">
        <f>$H151*factors!IJ$3</f>
        <v>0.64675812380400011</v>
      </c>
      <c r="IQ151" s="3">
        <f>$H151*factors!IK$3</f>
        <v>0.64474120657800005</v>
      </c>
      <c r="IR151" s="3">
        <f>$H151*factors!IL$3</f>
        <v>0.66356576735400008</v>
      </c>
      <c r="IS151" s="3">
        <f>$H151*factors!IM$3</f>
        <v>0.66894421328999998</v>
      </c>
      <c r="IT151" s="3">
        <f>$H151*factors!IN$3</f>
        <v>0.67365035348400004</v>
      </c>
      <c r="IU151" s="3">
        <f>$H151*factors!IO$3</f>
        <v>0.68844107980800007</v>
      </c>
      <c r="IV151" s="3">
        <f>$H151*factors!IP$3</f>
        <v>0.69718105445400003</v>
      </c>
      <c r="IW151" s="3">
        <f>$H151*factors!IQ$3</f>
        <v>0.65885962716000002</v>
      </c>
      <c r="IX151" s="3">
        <f>$H151*factors!IR$3</f>
        <v>0.68844107980800007</v>
      </c>
      <c r="IY151" s="3">
        <f>$H151*factors!IS$3</f>
        <v>0.67835649367799999</v>
      </c>
      <c r="IZ151" s="3">
        <f>$H151*factors!IT$3</f>
        <v>0.68978569129200007</v>
      </c>
      <c r="JA151" s="3">
        <f>$H151*factors!IU$3</f>
        <v>0.65146426399799995</v>
      </c>
      <c r="JB151" s="3">
        <f>$H151*factors!IV$3</f>
        <v>0.66356576735400008</v>
      </c>
      <c r="JC151" s="3">
        <f>$H151*factors!IW$3</f>
        <v>0.648102735288</v>
      </c>
      <c r="JD151" s="3">
        <f>$H151*factors!IX$3</f>
        <v>0.7059210291000001</v>
      </c>
      <c r="JE151" s="3">
        <f>$H151*factors!IY$3</f>
        <v>0.65011965251399995</v>
      </c>
      <c r="JF151" s="3">
        <f>$H151*factors!IZ$3</f>
        <v>0.68239032812999989</v>
      </c>
      <c r="JG151" s="3">
        <f>$H151*factors!JA$3</f>
        <v>0.67028882477399998</v>
      </c>
      <c r="JH151" s="3">
        <f>$H151*factors!JB$3</f>
        <v>0.68306263387200006</v>
      </c>
      <c r="JI151" s="3">
        <f>$H151*factors!JC$3</f>
        <v>0.63936276064200004</v>
      </c>
      <c r="JJ151" s="3">
        <f>$H151*factors!JD$3</f>
        <v>0.68844107980800007</v>
      </c>
      <c r="JK151" s="3">
        <f>$H151*factors!JE$3</f>
        <v>0.66625499032199997</v>
      </c>
      <c r="JL151" s="3">
        <f>$H151*factors!JF$3</f>
        <v>0.69314722000200002</v>
      </c>
      <c r="JM151" s="3">
        <f>$H151*factors!JG$3</f>
        <v>0.64675812380400011</v>
      </c>
      <c r="JN151" s="3">
        <f>$H151*factors!JH$3</f>
        <v>0.64675812380400011</v>
      </c>
      <c r="JO151" s="3">
        <f>$H151*factors!JI$3</f>
        <v>0.63869045489999998</v>
      </c>
      <c r="JP151" s="3">
        <f>$H151*factors!JJ$3</f>
        <v>0.69045799703400002</v>
      </c>
      <c r="JQ151" s="3">
        <f>$H151*factors!JK$3</f>
        <v>0.67297804774199999</v>
      </c>
      <c r="JR151" s="3">
        <f>$H151*factors!JL$3</f>
        <v>0.69919797167999997</v>
      </c>
      <c r="JS151" s="3">
        <f>$H151*factors!JM$3</f>
        <v>0.63869045489999998</v>
      </c>
      <c r="JT151" s="3">
        <f>$H151*factors!JN$3</f>
        <v>0.67096113051600004</v>
      </c>
      <c r="JU151" s="3">
        <f>$H151*factors!JO$3</f>
        <v>0.64877504102999994</v>
      </c>
      <c r="JV151" s="3">
        <f>$H151*factors!JP$3</f>
        <v>0.65953193290200007</v>
      </c>
      <c r="JW151" s="3">
        <f>$H151*factors!JQ$3</f>
        <v>0.70457641761600009</v>
      </c>
      <c r="JX151" s="3">
        <f>$H151*factors!JR$3</f>
        <v>0.69785336019600008</v>
      </c>
      <c r="JY151" s="3">
        <f>$H151*factors!JS$3</f>
        <v>0.65684270993400007</v>
      </c>
      <c r="JZ151" s="3">
        <f>$H151*factors!JT$3</f>
        <v>0.66423807309600014</v>
      </c>
      <c r="KA151" s="3">
        <f>$H151*factors!JU$3</f>
        <v>0.66692729606400003</v>
      </c>
      <c r="KB151" s="3">
        <f>$H151*factors!JV$3</f>
        <v>0.64474120657800005</v>
      </c>
      <c r="KC151" s="3">
        <f>$H151*factors!JW$3</f>
        <v>0.648102735288</v>
      </c>
      <c r="KD151" s="3">
        <f>$H151*factors!JX$3</f>
        <v>0.64877504102999994</v>
      </c>
      <c r="KE151" s="3">
        <f>$H151*factors!JY$3</f>
        <v>0.69045799703400002</v>
      </c>
      <c r="KF151" s="3">
        <f>$H151*factors!JZ$3</f>
        <v>0.69852566593799992</v>
      </c>
      <c r="KG151" s="3">
        <f>$H151*factors!KA$3</f>
        <v>0.67365035348400004</v>
      </c>
      <c r="KH151" s="3">
        <f>$H151*factors!KB$3</f>
        <v>0.65885962716000002</v>
      </c>
      <c r="KI151" s="3">
        <f>$H151*factors!KC$3</f>
        <v>0.65280887548199995</v>
      </c>
    </row>
    <row r="152" spans="1:295" x14ac:dyDescent="0.55000000000000004">
      <c r="A152" t="s">
        <v>529</v>
      </c>
      <c r="B152">
        <v>151</v>
      </c>
      <c r="C152">
        <v>500</v>
      </c>
      <c r="D152" t="s">
        <v>377</v>
      </c>
      <c r="E152">
        <v>0</v>
      </c>
      <c r="F152">
        <v>151</v>
      </c>
      <c r="G152">
        <f>VLOOKUP(D152,demand_forecasted!$A$2:$G$11,2)</f>
        <v>11098</v>
      </c>
      <c r="H152" s="3">
        <f t="shared" ref="H152:H167" si="3">G152*E152/100</f>
        <v>0</v>
      </c>
      <c r="I152" s="3">
        <f>$H152*factors!C$3</f>
        <v>0</v>
      </c>
      <c r="J152" s="3">
        <f>$H152*factors!D$3</f>
        <v>0</v>
      </c>
      <c r="K152" s="3">
        <f>$H152*factors!E$3</f>
        <v>0</v>
      </c>
      <c r="L152" s="3">
        <f>$H152*factors!F$3</f>
        <v>0</v>
      </c>
      <c r="M152" s="3">
        <f>$H152*factors!G$3</f>
        <v>0</v>
      </c>
      <c r="N152" s="3">
        <f>$H152*factors!H$3</f>
        <v>0</v>
      </c>
      <c r="O152" s="3">
        <f>$H152*factors!I$3</f>
        <v>0</v>
      </c>
      <c r="P152" s="3">
        <f>$H152*factors!J$3</f>
        <v>0</v>
      </c>
      <c r="Q152" s="3">
        <f>$H152*factors!K$3</f>
        <v>0</v>
      </c>
      <c r="R152" s="3">
        <f>$H152*factors!L$3</f>
        <v>0</v>
      </c>
      <c r="S152" s="3">
        <f>$H152*factors!M$3</f>
        <v>0</v>
      </c>
      <c r="T152" s="3">
        <f>$H152*factors!N$3</f>
        <v>0</v>
      </c>
      <c r="U152" s="3">
        <f>$H152*factors!O$3</f>
        <v>0</v>
      </c>
      <c r="V152" s="3">
        <f>$H152*factors!P$3</f>
        <v>0</v>
      </c>
      <c r="W152" s="3">
        <f>$H152*factors!Q$3</f>
        <v>0</v>
      </c>
      <c r="X152" s="3">
        <f>$H152*factors!R$3</f>
        <v>0</v>
      </c>
      <c r="Y152" s="3">
        <f>$H152*factors!S$3</f>
        <v>0</v>
      </c>
      <c r="Z152" s="3">
        <f>$H152*factors!T$3</f>
        <v>0</v>
      </c>
      <c r="AA152" s="3">
        <f>$H152*factors!U$3</f>
        <v>0</v>
      </c>
      <c r="AB152" s="3">
        <f>$H152*factors!V$3</f>
        <v>0</v>
      </c>
      <c r="AC152" s="3">
        <f>$H152*factors!W$3</f>
        <v>0</v>
      </c>
      <c r="AD152" s="3">
        <f>$H152*factors!X$3</f>
        <v>0</v>
      </c>
      <c r="AE152" s="3">
        <f>$H152*factors!Y$3</f>
        <v>0</v>
      </c>
      <c r="AF152" s="3">
        <f>$H152*factors!Z$3</f>
        <v>0</v>
      </c>
      <c r="AG152" s="3">
        <f>$H152*factors!AA$3</f>
        <v>0</v>
      </c>
      <c r="AH152" s="3">
        <f>$H152*factors!AB$3</f>
        <v>0</v>
      </c>
      <c r="AI152" s="3">
        <f>$H152*factors!AC$3</f>
        <v>0</v>
      </c>
      <c r="AJ152" s="3">
        <f>$H152*factors!AD$3</f>
        <v>0</v>
      </c>
      <c r="AK152" s="3">
        <f>$H152*factors!AE$3</f>
        <v>0</v>
      </c>
      <c r="AL152" s="3">
        <f>$H152*factors!AF$3</f>
        <v>0</v>
      </c>
      <c r="AM152" s="3">
        <f>$H152*factors!AG$3</f>
        <v>0</v>
      </c>
      <c r="AN152" s="3">
        <f>$H152*factors!AH$3</f>
        <v>0</v>
      </c>
      <c r="AO152" s="3">
        <f>$H152*factors!AI$3</f>
        <v>0</v>
      </c>
      <c r="AP152" s="3">
        <f>$H152*factors!AJ$3</f>
        <v>0</v>
      </c>
      <c r="AQ152" s="3">
        <f>$H152*factors!AK$3</f>
        <v>0</v>
      </c>
      <c r="AR152" s="3">
        <f>$H152*factors!AL$3</f>
        <v>0</v>
      </c>
      <c r="AS152" s="3">
        <f>$H152*factors!AM$3</f>
        <v>0</v>
      </c>
      <c r="AT152" s="3">
        <f>$H152*factors!AN$3</f>
        <v>0</v>
      </c>
      <c r="AU152" s="3">
        <f>$H152*factors!AO$3</f>
        <v>0</v>
      </c>
      <c r="AV152" s="3">
        <f>$H152*factors!AP$3</f>
        <v>0</v>
      </c>
      <c r="AW152" s="3">
        <f>$H152*factors!AQ$3</f>
        <v>0</v>
      </c>
      <c r="AX152" s="3">
        <f>$H152*factors!AR$3</f>
        <v>0</v>
      </c>
      <c r="AY152" s="3">
        <f>$H152*factors!AS$3</f>
        <v>0</v>
      </c>
      <c r="AZ152" s="3">
        <f>$H152*factors!AT$3</f>
        <v>0</v>
      </c>
      <c r="BA152" s="3">
        <f>$H152*factors!AU$3</f>
        <v>0</v>
      </c>
      <c r="BB152" s="3">
        <f>$H152*factors!AV$3</f>
        <v>0</v>
      </c>
      <c r="BC152" s="3">
        <f>$H152*factors!AW$3</f>
        <v>0</v>
      </c>
      <c r="BD152" s="3">
        <f>$H152*factors!AX$3</f>
        <v>0</v>
      </c>
      <c r="BE152" s="3">
        <f>$H152*factors!AY$3</f>
        <v>0</v>
      </c>
      <c r="BF152" s="3">
        <f>$H152*factors!AZ$3</f>
        <v>0</v>
      </c>
      <c r="BG152" s="3">
        <f>$H152*factors!BA$3</f>
        <v>0</v>
      </c>
      <c r="BH152" s="3">
        <f>$H152*factors!BB$3</f>
        <v>0</v>
      </c>
      <c r="BI152" s="3">
        <f>$H152*factors!BC$3</f>
        <v>0</v>
      </c>
      <c r="BJ152" s="3">
        <f>$H152*factors!BD$3</f>
        <v>0</v>
      </c>
      <c r="BK152" s="3">
        <f>$H152*factors!BE$3</f>
        <v>0</v>
      </c>
      <c r="BL152" s="3">
        <f>$H152*factors!BF$3</f>
        <v>0</v>
      </c>
      <c r="BM152" s="3">
        <f>$H152*factors!BG$3</f>
        <v>0</v>
      </c>
      <c r="BN152" s="3">
        <f>$H152*factors!BH$3</f>
        <v>0</v>
      </c>
      <c r="BO152" s="3">
        <f>$H152*factors!BI$3</f>
        <v>0</v>
      </c>
      <c r="BP152" s="3">
        <f>$H152*factors!BJ$3</f>
        <v>0</v>
      </c>
      <c r="BQ152" s="3">
        <f>$H152*factors!BK$3</f>
        <v>0</v>
      </c>
      <c r="BR152" s="3">
        <f>$H152*factors!BL$3</f>
        <v>0</v>
      </c>
      <c r="BS152" s="3">
        <f>$H152*factors!BM$3</f>
        <v>0</v>
      </c>
      <c r="BT152" s="3">
        <f>$H152*factors!BN$3</f>
        <v>0</v>
      </c>
      <c r="BU152" s="3">
        <f>$H152*factors!BO$3</f>
        <v>0</v>
      </c>
      <c r="BV152" s="3">
        <f>$H152*factors!BP$3</f>
        <v>0</v>
      </c>
      <c r="BW152" s="3">
        <f>$H152*factors!BQ$3</f>
        <v>0</v>
      </c>
      <c r="BX152" s="3">
        <f>$H152*factors!BR$3</f>
        <v>0</v>
      </c>
      <c r="BY152" s="3">
        <f>$H152*factors!BS$3</f>
        <v>0</v>
      </c>
      <c r="BZ152" s="3">
        <f>$H152*factors!BT$3</f>
        <v>0</v>
      </c>
      <c r="CA152" s="3">
        <f>$H152*factors!BU$3</f>
        <v>0</v>
      </c>
      <c r="CB152" s="3">
        <f>$H152*factors!BV$3</f>
        <v>0</v>
      </c>
      <c r="CC152" s="3">
        <f>$H152*factors!BW$3</f>
        <v>0</v>
      </c>
      <c r="CD152" s="3">
        <f>$H152*factors!BX$3</f>
        <v>0</v>
      </c>
      <c r="CE152" s="3">
        <f>$H152*factors!BY$3</f>
        <v>0</v>
      </c>
      <c r="CF152" s="3">
        <f>$H152*factors!BZ$3</f>
        <v>0</v>
      </c>
      <c r="CG152" s="3">
        <f>$H152*factors!CA$3</f>
        <v>0</v>
      </c>
      <c r="CH152" s="3">
        <f>$H152*factors!CB$3</f>
        <v>0</v>
      </c>
      <c r="CI152" s="3">
        <f>$H152*factors!CC$3</f>
        <v>0</v>
      </c>
      <c r="CJ152" s="3">
        <f>$H152*factors!CD$3</f>
        <v>0</v>
      </c>
      <c r="CK152" s="3">
        <f>$H152*factors!CE$3</f>
        <v>0</v>
      </c>
      <c r="CL152" s="3">
        <f>$H152*factors!CF$3</f>
        <v>0</v>
      </c>
      <c r="CM152" s="3">
        <f>$H152*factors!CG$3</f>
        <v>0</v>
      </c>
      <c r="CN152" s="3">
        <f>$H152*factors!CH$3</f>
        <v>0</v>
      </c>
      <c r="CO152" s="3">
        <f>$H152*factors!CI$3</f>
        <v>0</v>
      </c>
      <c r="CP152" s="3">
        <f>$H152*factors!CJ$3</f>
        <v>0</v>
      </c>
      <c r="CQ152" s="3">
        <f>$H152*factors!CK$3</f>
        <v>0</v>
      </c>
      <c r="CR152" s="3">
        <f>$H152*factors!CL$3</f>
        <v>0</v>
      </c>
      <c r="CS152" s="3">
        <f>$H152*factors!CM$3</f>
        <v>0</v>
      </c>
      <c r="CT152" s="3">
        <f>$H152*factors!CN$3</f>
        <v>0</v>
      </c>
      <c r="CU152" s="3">
        <f>$H152*factors!CO$3</f>
        <v>0</v>
      </c>
      <c r="CV152" s="3">
        <f>$H152*factors!CP$3</f>
        <v>0</v>
      </c>
      <c r="CW152" s="3">
        <f>$H152*factors!CQ$3</f>
        <v>0</v>
      </c>
      <c r="CX152" s="3">
        <f>$H152*factors!CR$3</f>
        <v>0</v>
      </c>
      <c r="CY152" s="3">
        <f>$H152*factors!CS$3</f>
        <v>0</v>
      </c>
      <c r="CZ152" s="3">
        <f>$H152*factors!CT$3</f>
        <v>0</v>
      </c>
      <c r="DA152" s="3">
        <f>$H152*factors!CU$3</f>
        <v>0</v>
      </c>
      <c r="DB152" s="3">
        <f>$H152*factors!CV$3</f>
        <v>0</v>
      </c>
      <c r="DC152" s="3">
        <f>$H152*factors!CW$3</f>
        <v>0</v>
      </c>
      <c r="DD152" s="3">
        <f>$H152*factors!CX$3</f>
        <v>0</v>
      </c>
      <c r="DE152" s="3">
        <f>$H152*factors!CY$3</f>
        <v>0</v>
      </c>
      <c r="DF152" s="3">
        <f>$H152*factors!CZ$3</f>
        <v>0</v>
      </c>
      <c r="DG152" s="3">
        <f>$H152*factors!DA$3</f>
        <v>0</v>
      </c>
      <c r="DH152" s="3">
        <f>$H152*factors!DB$3</f>
        <v>0</v>
      </c>
      <c r="DI152" s="3">
        <f>$H152*factors!DC$3</f>
        <v>0</v>
      </c>
      <c r="DJ152" s="3">
        <f>$H152*factors!DD$3</f>
        <v>0</v>
      </c>
      <c r="DK152" s="3">
        <f>$H152*factors!DE$3</f>
        <v>0</v>
      </c>
      <c r="DL152" s="3">
        <f>$H152*factors!DF$3</f>
        <v>0</v>
      </c>
      <c r="DM152" s="3">
        <f>$H152*factors!DG$3</f>
        <v>0</v>
      </c>
      <c r="DN152" s="3">
        <f>$H152*factors!DH$3</f>
        <v>0</v>
      </c>
      <c r="DO152" s="3">
        <f>$H152*factors!DI$3</f>
        <v>0</v>
      </c>
      <c r="DP152" s="3">
        <f>$H152*factors!DJ$3</f>
        <v>0</v>
      </c>
      <c r="DQ152" s="3">
        <f>$H152*factors!DK$3</f>
        <v>0</v>
      </c>
      <c r="DR152" s="3">
        <f>$H152*factors!DL$3</f>
        <v>0</v>
      </c>
      <c r="DS152" s="3">
        <f>$H152*factors!DM$3</f>
        <v>0</v>
      </c>
      <c r="DT152" s="3">
        <f>$H152*factors!DN$3</f>
        <v>0</v>
      </c>
      <c r="DU152" s="3">
        <f>$H152*factors!DO$3</f>
        <v>0</v>
      </c>
      <c r="DV152" s="3">
        <f>$H152*factors!DP$3</f>
        <v>0</v>
      </c>
      <c r="DW152" s="3">
        <f>$H152*factors!DQ$3</f>
        <v>0</v>
      </c>
      <c r="DX152" s="3">
        <f>$H152*factors!DR$3</f>
        <v>0</v>
      </c>
      <c r="DY152" s="3">
        <f>$H152*factors!DS$3</f>
        <v>0</v>
      </c>
      <c r="DZ152" s="3">
        <f>$H152*factors!DT$3</f>
        <v>0</v>
      </c>
      <c r="EA152" s="3">
        <f>$H152*factors!DU$3</f>
        <v>0</v>
      </c>
      <c r="EB152" s="3">
        <f>$H152*factors!DV$3</f>
        <v>0</v>
      </c>
      <c r="EC152" s="3">
        <f>$H152*factors!DW$3</f>
        <v>0</v>
      </c>
      <c r="ED152" s="3">
        <f>$H152*factors!DX$3</f>
        <v>0</v>
      </c>
      <c r="EE152" s="3">
        <f>$H152*factors!DY$3</f>
        <v>0</v>
      </c>
      <c r="EF152" s="3">
        <f>$H152*factors!DZ$3</f>
        <v>0</v>
      </c>
      <c r="EG152" s="3">
        <f>$H152*factors!EA$3</f>
        <v>0</v>
      </c>
      <c r="EH152" s="3">
        <f>$H152*factors!EB$3</f>
        <v>0</v>
      </c>
      <c r="EI152" s="3">
        <f>$H152*factors!EC$3</f>
        <v>0</v>
      </c>
      <c r="EJ152" s="3">
        <f>$H152*factors!ED$3</f>
        <v>0</v>
      </c>
      <c r="EK152" s="3">
        <f>$H152*factors!EE$3</f>
        <v>0</v>
      </c>
      <c r="EL152" s="3">
        <f>$H152*factors!EF$3</f>
        <v>0</v>
      </c>
      <c r="EM152" s="3">
        <f>$H152*factors!EG$3</f>
        <v>0</v>
      </c>
      <c r="EN152" s="3">
        <f>$H152*factors!EH$3</f>
        <v>0</v>
      </c>
      <c r="EO152" s="3">
        <f>$H152*factors!EI$3</f>
        <v>0</v>
      </c>
      <c r="EP152" s="3">
        <f>$H152*factors!EJ$3</f>
        <v>0</v>
      </c>
      <c r="EQ152" s="3">
        <f>$H152*factors!EK$3</f>
        <v>0</v>
      </c>
      <c r="ER152" s="3">
        <f>$H152*factors!EL$3</f>
        <v>0</v>
      </c>
      <c r="ES152" s="3">
        <f>$H152*factors!EM$3</f>
        <v>0</v>
      </c>
      <c r="ET152" s="3">
        <f>$H152*factors!EN$3</f>
        <v>0</v>
      </c>
      <c r="EU152" s="3">
        <f>$H152*factors!EO$3</f>
        <v>0</v>
      </c>
      <c r="EV152" s="3">
        <f>$H152*factors!EP$3</f>
        <v>0</v>
      </c>
      <c r="EW152" s="3">
        <f>$H152*factors!EQ$3</f>
        <v>0</v>
      </c>
      <c r="EX152" s="3">
        <f>$H152*factors!ER$3</f>
        <v>0</v>
      </c>
      <c r="EY152" s="3">
        <f>$H152*factors!ES$3</f>
        <v>0</v>
      </c>
      <c r="EZ152" s="3">
        <f>$H152*factors!ET$3</f>
        <v>0</v>
      </c>
      <c r="FA152" s="3">
        <f>$H152*factors!EU$3</f>
        <v>0</v>
      </c>
      <c r="FB152" s="3">
        <f>$H152*factors!EV$3</f>
        <v>0</v>
      </c>
      <c r="FC152" s="3">
        <f>$H152*factors!EW$3</f>
        <v>0</v>
      </c>
      <c r="FD152" s="3">
        <f>$H152*factors!EX$3</f>
        <v>0</v>
      </c>
      <c r="FE152" s="3">
        <f>$H152*factors!EY$3</f>
        <v>0</v>
      </c>
      <c r="FF152" s="3">
        <f>$H152*factors!EZ$3</f>
        <v>0</v>
      </c>
      <c r="FG152" s="3">
        <f>$H152*factors!FA$3</f>
        <v>0</v>
      </c>
      <c r="FH152" s="3">
        <f>$H152*factors!FB$3</f>
        <v>0</v>
      </c>
      <c r="FI152" s="3">
        <f>$H152*factors!FC$3</f>
        <v>0</v>
      </c>
      <c r="FJ152" s="3">
        <f>$H152*factors!FD$3</f>
        <v>0</v>
      </c>
      <c r="FK152" s="3">
        <f>$H152*factors!FE$3</f>
        <v>0</v>
      </c>
      <c r="FL152" s="3">
        <f>$H152*factors!FF$3</f>
        <v>0</v>
      </c>
      <c r="FM152" s="3">
        <f>$H152*factors!FG$3</f>
        <v>0</v>
      </c>
      <c r="FN152" s="3">
        <f>$H152*factors!FH$3</f>
        <v>0</v>
      </c>
      <c r="FO152" s="3">
        <f>$H152*factors!FI$3</f>
        <v>0</v>
      </c>
      <c r="FP152" s="3">
        <f>$H152*factors!FJ$3</f>
        <v>0</v>
      </c>
      <c r="FQ152" s="3">
        <f>$H152*factors!FK$3</f>
        <v>0</v>
      </c>
      <c r="FR152" s="3">
        <f>$H152*factors!FL$3</f>
        <v>0</v>
      </c>
      <c r="FS152" s="3">
        <f>$H152*factors!FM$3</f>
        <v>0</v>
      </c>
      <c r="FT152" s="3">
        <f>$H152*factors!FN$3</f>
        <v>0</v>
      </c>
      <c r="FU152" s="3">
        <f>$H152*factors!FO$3</f>
        <v>0</v>
      </c>
      <c r="FV152" s="3">
        <f>$H152*factors!FP$3</f>
        <v>0</v>
      </c>
      <c r="FW152" s="3">
        <f>$H152*factors!FQ$3</f>
        <v>0</v>
      </c>
      <c r="FX152" s="3">
        <f>$H152*factors!FR$3</f>
        <v>0</v>
      </c>
      <c r="FY152" s="3">
        <f>$H152*factors!FS$3</f>
        <v>0</v>
      </c>
      <c r="FZ152" s="3">
        <f>$H152*factors!FT$3</f>
        <v>0</v>
      </c>
      <c r="GA152" s="3">
        <f>$H152*factors!FU$3</f>
        <v>0</v>
      </c>
      <c r="GB152" s="3">
        <f>$H152*factors!FV$3</f>
        <v>0</v>
      </c>
      <c r="GC152" s="3">
        <f>$H152*factors!FW$3</f>
        <v>0</v>
      </c>
      <c r="GD152" s="3">
        <f>$H152*factors!FX$3</f>
        <v>0</v>
      </c>
      <c r="GE152" s="3">
        <f>$H152*factors!FY$3</f>
        <v>0</v>
      </c>
      <c r="GF152" s="3">
        <f>$H152*factors!FZ$3</f>
        <v>0</v>
      </c>
      <c r="GG152" s="3">
        <f>$H152*factors!GA$3</f>
        <v>0</v>
      </c>
      <c r="GH152" s="3">
        <f>$H152*factors!GB$3</f>
        <v>0</v>
      </c>
      <c r="GI152" s="3">
        <f>$H152*factors!GC$3</f>
        <v>0</v>
      </c>
      <c r="GJ152" s="3">
        <f>$H152*factors!GD$3</f>
        <v>0</v>
      </c>
      <c r="GK152" s="3">
        <f>$H152*factors!GE$3</f>
        <v>0</v>
      </c>
      <c r="GL152" s="3">
        <f>$H152*factors!GF$3</f>
        <v>0</v>
      </c>
      <c r="GM152" s="3">
        <f>$H152*factors!GG$3</f>
        <v>0</v>
      </c>
      <c r="GN152" s="3">
        <f>$H152*factors!GH$3</f>
        <v>0</v>
      </c>
      <c r="GO152" s="3">
        <f>$H152*factors!GI$3</f>
        <v>0</v>
      </c>
      <c r="GP152" s="3">
        <f>$H152*factors!GJ$3</f>
        <v>0</v>
      </c>
      <c r="GQ152" s="3">
        <f>$H152*factors!GK$3</f>
        <v>0</v>
      </c>
      <c r="GR152" s="3">
        <f>$H152*factors!GL$3</f>
        <v>0</v>
      </c>
      <c r="GS152" s="3">
        <f>$H152*factors!GM$3</f>
        <v>0</v>
      </c>
      <c r="GT152" s="3">
        <f>$H152*factors!GN$3</f>
        <v>0</v>
      </c>
      <c r="GU152" s="3">
        <f>$H152*factors!GO$3</f>
        <v>0</v>
      </c>
      <c r="GV152" s="3">
        <f>$H152*factors!GP$3</f>
        <v>0</v>
      </c>
      <c r="GW152" s="3">
        <f>$H152*factors!GQ$3</f>
        <v>0</v>
      </c>
      <c r="GX152" s="3">
        <f>$H152*factors!GR$3</f>
        <v>0</v>
      </c>
      <c r="GY152" s="3">
        <f>$H152*factors!GS$3</f>
        <v>0</v>
      </c>
      <c r="GZ152" s="3">
        <f>$H152*factors!GT$3</f>
        <v>0</v>
      </c>
      <c r="HA152" s="3">
        <f>$H152*factors!GU$3</f>
        <v>0</v>
      </c>
      <c r="HB152" s="3">
        <f>$H152*factors!GV$3</f>
        <v>0</v>
      </c>
      <c r="HC152" s="3">
        <f>$H152*factors!GW$3</f>
        <v>0</v>
      </c>
      <c r="HD152" s="3">
        <f>$H152*factors!GX$3</f>
        <v>0</v>
      </c>
      <c r="HE152" s="3">
        <f>$H152*factors!GY$3</f>
        <v>0</v>
      </c>
      <c r="HF152" s="3">
        <f>$H152*factors!GZ$3</f>
        <v>0</v>
      </c>
      <c r="HG152" s="3">
        <f>$H152*factors!HA$3</f>
        <v>0</v>
      </c>
      <c r="HH152" s="3">
        <f>$H152*factors!HB$3</f>
        <v>0</v>
      </c>
      <c r="HI152" s="3">
        <f>$H152*factors!HC$3</f>
        <v>0</v>
      </c>
      <c r="HJ152" s="3">
        <f>$H152*factors!HD$3</f>
        <v>0</v>
      </c>
      <c r="HK152" s="3">
        <f>$H152*factors!HE$3</f>
        <v>0</v>
      </c>
      <c r="HL152" s="3">
        <f>$H152*factors!HF$3</f>
        <v>0</v>
      </c>
      <c r="HM152" s="3">
        <f>$H152*factors!HG$3</f>
        <v>0</v>
      </c>
      <c r="HN152" s="3">
        <f>$H152*factors!HH$3</f>
        <v>0</v>
      </c>
      <c r="HO152" s="3">
        <f>$H152*factors!HI$3</f>
        <v>0</v>
      </c>
      <c r="HP152" s="3">
        <f>$H152*factors!HJ$3</f>
        <v>0</v>
      </c>
      <c r="HQ152" s="3">
        <f>$H152*factors!HK$3</f>
        <v>0</v>
      </c>
      <c r="HR152" s="3">
        <f>$H152*factors!HL$3</f>
        <v>0</v>
      </c>
      <c r="HS152" s="3">
        <f>$H152*factors!HM$3</f>
        <v>0</v>
      </c>
      <c r="HT152" s="3">
        <f>$H152*factors!HN$3</f>
        <v>0</v>
      </c>
      <c r="HU152" s="3">
        <f>$H152*factors!HO$3</f>
        <v>0</v>
      </c>
      <c r="HV152" s="3">
        <f>$H152*factors!HP$3</f>
        <v>0</v>
      </c>
      <c r="HW152" s="3">
        <f>$H152*factors!HQ$3</f>
        <v>0</v>
      </c>
      <c r="HX152" s="3">
        <f>$H152*factors!HR$3</f>
        <v>0</v>
      </c>
      <c r="HY152" s="3">
        <f>$H152*factors!HS$3</f>
        <v>0</v>
      </c>
      <c r="HZ152" s="3">
        <f>$H152*factors!HT$3</f>
        <v>0</v>
      </c>
      <c r="IA152" s="3">
        <f>$H152*factors!HU$3</f>
        <v>0</v>
      </c>
      <c r="IB152" s="3">
        <f>$H152*factors!HV$3</f>
        <v>0</v>
      </c>
      <c r="IC152" s="3">
        <f>$H152*factors!HW$3</f>
        <v>0</v>
      </c>
      <c r="ID152" s="3">
        <f>$H152*factors!HX$3</f>
        <v>0</v>
      </c>
      <c r="IE152" s="3">
        <f>$H152*factors!HY$3</f>
        <v>0</v>
      </c>
      <c r="IF152" s="3">
        <f>$H152*factors!HZ$3</f>
        <v>0</v>
      </c>
      <c r="IG152" s="3">
        <f>$H152*factors!IA$3</f>
        <v>0</v>
      </c>
      <c r="IH152" s="3">
        <f>$H152*factors!IB$3</f>
        <v>0</v>
      </c>
      <c r="II152" s="3">
        <f>$H152*factors!IC$3</f>
        <v>0</v>
      </c>
      <c r="IJ152" s="3">
        <f>$H152*factors!ID$3</f>
        <v>0</v>
      </c>
      <c r="IK152" s="3">
        <f>$H152*factors!IE$3</f>
        <v>0</v>
      </c>
      <c r="IL152" s="3">
        <f>$H152*factors!IF$3</f>
        <v>0</v>
      </c>
      <c r="IM152" s="3">
        <f>$H152*factors!IG$3</f>
        <v>0</v>
      </c>
      <c r="IN152" s="3">
        <f>$H152*factors!IH$3</f>
        <v>0</v>
      </c>
      <c r="IO152" s="3">
        <f>$H152*factors!II$3</f>
        <v>0</v>
      </c>
      <c r="IP152" s="3">
        <f>$H152*factors!IJ$3</f>
        <v>0</v>
      </c>
      <c r="IQ152" s="3">
        <f>$H152*factors!IK$3</f>
        <v>0</v>
      </c>
      <c r="IR152" s="3">
        <f>$H152*factors!IL$3</f>
        <v>0</v>
      </c>
      <c r="IS152" s="3">
        <f>$H152*factors!IM$3</f>
        <v>0</v>
      </c>
      <c r="IT152" s="3">
        <f>$H152*factors!IN$3</f>
        <v>0</v>
      </c>
      <c r="IU152" s="3">
        <f>$H152*factors!IO$3</f>
        <v>0</v>
      </c>
      <c r="IV152" s="3">
        <f>$H152*factors!IP$3</f>
        <v>0</v>
      </c>
      <c r="IW152" s="3">
        <f>$H152*factors!IQ$3</f>
        <v>0</v>
      </c>
      <c r="IX152" s="3">
        <f>$H152*factors!IR$3</f>
        <v>0</v>
      </c>
      <c r="IY152" s="3">
        <f>$H152*factors!IS$3</f>
        <v>0</v>
      </c>
      <c r="IZ152" s="3">
        <f>$H152*factors!IT$3</f>
        <v>0</v>
      </c>
      <c r="JA152" s="3">
        <f>$H152*factors!IU$3</f>
        <v>0</v>
      </c>
      <c r="JB152" s="3">
        <f>$H152*factors!IV$3</f>
        <v>0</v>
      </c>
      <c r="JC152" s="3">
        <f>$H152*factors!IW$3</f>
        <v>0</v>
      </c>
      <c r="JD152" s="3">
        <f>$H152*factors!IX$3</f>
        <v>0</v>
      </c>
      <c r="JE152" s="3">
        <f>$H152*factors!IY$3</f>
        <v>0</v>
      </c>
      <c r="JF152" s="3">
        <f>$H152*factors!IZ$3</f>
        <v>0</v>
      </c>
      <c r="JG152" s="3">
        <f>$H152*factors!JA$3</f>
        <v>0</v>
      </c>
      <c r="JH152" s="3">
        <f>$H152*factors!JB$3</f>
        <v>0</v>
      </c>
      <c r="JI152" s="3">
        <f>$H152*factors!JC$3</f>
        <v>0</v>
      </c>
      <c r="JJ152" s="3">
        <f>$H152*factors!JD$3</f>
        <v>0</v>
      </c>
      <c r="JK152" s="3">
        <f>$H152*factors!JE$3</f>
        <v>0</v>
      </c>
      <c r="JL152" s="3">
        <f>$H152*factors!JF$3</f>
        <v>0</v>
      </c>
      <c r="JM152" s="3">
        <f>$H152*factors!JG$3</f>
        <v>0</v>
      </c>
      <c r="JN152" s="3">
        <f>$H152*factors!JH$3</f>
        <v>0</v>
      </c>
      <c r="JO152" s="3">
        <f>$H152*factors!JI$3</f>
        <v>0</v>
      </c>
      <c r="JP152" s="3">
        <f>$H152*factors!JJ$3</f>
        <v>0</v>
      </c>
      <c r="JQ152" s="3">
        <f>$H152*factors!JK$3</f>
        <v>0</v>
      </c>
      <c r="JR152" s="3">
        <f>$H152*factors!JL$3</f>
        <v>0</v>
      </c>
      <c r="JS152" s="3">
        <f>$H152*factors!JM$3</f>
        <v>0</v>
      </c>
      <c r="JT152" s="3">
        <f>$H152*factors!JN$3</f>
        <v>0</v>
      </c>
      <c r="JU152" s="3">
        <f>$H152*factors!JO$3</f>
        <v>0</v>
      </c>
      <c r="JV152" s="3">
        <f>$H152*factors!JP$3</f>
        <v>0</v>
      </c>
      <c r="JW152" s="3">
        <f>$H152*factors!JQ$3</f>
        <v>0</v>
      </c>
      <c r="JX152" s="3">
        <f>$H152*factors!JR$3</f>
        <v>0</v>
      </c>
      <c r="JY152" s="3">
        <f>$H152*factors!JS$3</f>
        <v>0</v>
      </c>
      <c r="JZ152" s="3">
        <f>$H152*factors!JT$3</f>
        <v>0</v>
      </c>
      <c r="KA152" s="3">
        <f>$H152*factors!JU$3</f>
        <v>0</v>
      </c>
      <c r="KB152" s="3">
        <f>$H152*factors!JV$3</f>
        <v>0</v>
      </c>
      <c r="KC152" s="3">
        <f>$H152*factors!JW$3</f>
        <v>0</v>
      </c>
      <c r="KD152" s="3">
        <f>$H152*factors!JX$3</f>
        <v>0</v>
      </c>
      <c r="KE152" s="3">
        <f>$H152*factors!JY$3</f>
        <v>0</v>
      </c>
      <c r="KF152" s="3">
        <f>$H152*factors!JZ$3</f>
        <v>0</v>
      </c>
      <c r="KG152" s="3">
        <f>$H152*factors!KA$3</f>
        <v>0</v>
      </c>
      <c r="KH152" s="3">
        <f>$H152*factors!KB$3</f>
        <v>0</v>
      </c>
      <c r="KI152" s="3">
        <f>$H152*factors!KC$3</f>
        <v>0</v>
      </c>
    </row>
    <row r="153" spans="1:295" x14ac:dyDescent="0.55000000000000004">
      <c r="A153" t="s">
        <v>530</v>
      </c>
      <c r="B153">
        <v>152</v>
      </c>
      <c r="C153">
        <v>360</v>
      </c>
      <c r="D153" t="s">
        <v>377</v>
      </c>
      <c r="E153">
        <v>1.0163999999999999E-2</v>
      </c>
      <c r="F153">
        <v>152</v>
      </c>
      <c r="G153">
        <f>VLOOKUP(D153,demand_forecasted!$A$2:$G$11,2)</f>
        <v>11098</v>
      </c>
      <c r="H153" s="3">
        <f t="shared" si="3"/>
        <v>1.12800072</v>
      </c>
      <c r="I153" s="3">
        <f>$H153*factors!C$3</f>
        <v>1.24869679704</v>
      </c>
      <c r="J153" s="3">
        <f>$H153*factors!D$3</f>
        <v>1.2036218882687999</v>
      </c>
      <c r="K153" s="3">
        <f>$H153*factors!E$3</f>
        <v>1.1829117950496</v>
      </c>
      <c r="L153" s="3">
        <f>$H153*factors!F$3</f>
        <v>1.1792570727168001</v>
      </c>
      <c r="M153" s="3">
        <f>$H153*factors!G$3</f>
        <v>1.1780388319391999</v>
      </c>
      <c r="N153" s="3">
        <f>$H153*factors!H$3</f>
        <v>1.2121495737120001</v>
      </c>
      <c r="O153" s="3">
        <f>$H153*factors!I$3</f>
        <v>1.2389508708191999</v>
      </c>
      <c r="P153" s="3">
        <f>$H153*factors!J$3</f>
        <v>1.2535697601504001</v>
      </c>
      <c r="Q153" s="3">
        <f>$H153*factors!K$3</f>
        <v>1.1768205911615999</v>
      </c>
      <c r="R153" s="3">
        <f>$H153*factors!L$3</f>
        <v>1.15732873872</v>
      </c>
      <c r="S153" s="3">
        <f>$H153*factors!M$3</f>
        <v>1.2048401290463999</v>
      </c>
      <c r="T153" s="3">
        <f>$H153*factors!N$3</f>
        <v>1.2462603154848</v>
      </c>
      <c r="U153" s="3">
        <f>$H153*factors!O$3</f>
        <v>1.1804753134944002</v>
      </c>
      <c r="V153" s="3">
        <f>$H153*factors!P$3</f>
        <v>1.2279867038208001</v>
      </c>
      <c r="W153" s="3">
        <f>$H153*factors!Q$3</f>
        <v>1.2389508708191999</v>
      </c>
      <c r="X153" s="3">
        <f>$H153*factors!R$3</f>
        <v>1.1853482766048</v>
      </c>
      <c r="Y153" s="3">
        <f>$H153*factors!S$3</f>
        <v>1.1743841096064001</v>
      </c>
      <c r="Z153" s="3">
        <f>$H153*factors!T$3</f>
        <v>1.2669704087040001</v>
      </c>
      <c r="AA153" s="3">
        <f>$H153*factors!U$3</f>
        <v>1.1963124436032</v>
      </c>
      <c r="AB153" s="3">
        <f>$H153*factors!V$3</f>
        <v>1.1975306843808</v>
      </c>
      <c r="AC153" s="3">
        <f>$H153*factors!W$3</f>
        <v>1.1987489251584</v>
      </c>
      <c r="AD153" s="3">
        <f>$H153*factors!X$3</f>
        <v>1.1731658688288</v>
      </c>
      <c r="AE153" s="3">
        <f>$H153*factors!Y$3</f>
        <v>1.1829117950496</v>
      </c>
      <c r="AF153" s="3">
        <f>$H153*factors!Z$3</f>
        <v>1.2072766106016002</v>
      </c>
      <c r="AG153" s="3">
        <f>$H153*factors!AA$3</f>
        <v>1.1768205911615999</v>
      </c>
      <c r="AH153" s="3">
        <f>$H153*factors!AB$3</f>
        <v>1.1719476280512</v>
      </c>
      <c r="AI153" s="3">
        <f>$H153*factors!AC$3</f>
        <v>1.2097130921568</v>
      </c>
      <c r="AJ153" s="3">
        <f>$H153*factors!AD$3</f>
        <v>1.2560062417055999</v>
      </c>
      <c r="AK153" s="3">
        <f>$H153*factors!AE$3</f>
        <v>1.2084948513792</v>
      </c>
      <c r="AL153" s="3">
        <f>$H153*factors!AF$3</f>
        <v>1.1609834610527998</v>
      </c>
      <c r="AM153" s="3">
        <f>$H153*factors!AG$3</f>
        <v>1.193875962048</v>
      </c>
      <c r="AN153" s="3">
        <f>$H153*factors!AH$3</f>
        <v>1.1743841096064001</v>
      </c>
      <c r="AO153" s="3">
        <f>$H153*factors!AI$3</f>
        <v>1.2304231853759999</v>
      </c>
      <c r="AP153" s="3">
        <f>$H153*factors!AJ$3</f>
        <v>1.1792570727168001</v>
      </c>
      <c r="AQ153" s="3">
        <f>$H153*factors!AK$3</f>
        <v>1.2170225368224001</v>
      </c>
      <c r="AR153" s="3">
        <f>$H153*factors!AL$3</f>
        <v>1.1902212397152001</v>
      </c>
      <c r="AS153" s="3">
        <f>$H153*factors!AM$3</f>
        <v>1.1609834610527998</v>
      </c>
      <c r="AT153" s="3">
        <f>$H153*factors!AN$3</f>
        <v>1.1975306843808</v>
      </c>
      <c r="AU153" s="3">
        <f>$H153*factors!AO$3</f>
        <v>1.2681886494815999</v>
      </c>
      <c r="AV153" s="3">
        <f>$H153*factors!AP$3</f>
        <v>1.1987489251584</v>
      </c>
      <c r="AW153" s="3">
        <f>$H153*factors!AQ$3</f>
        <v>1.1865665173823998</v>
      </c>
      <c r="AX153" s="3">
        <f>$H153*factors!AR$3</f>
        <v>1.2547880009279999</v>
      </c>
      <c r="AY153" s="3">
        <f>$H153*factors!AS$3</f>
        <v>1.15732873872</v>
      </c>
      <c r="AZ153" s="3">
        <f>$H153*factors!AT$3</f>
        <v>1.2401691115968001</v>
      </c>
      <c r="BA153" s="3">
        <f>$H153*factors!AU$3</f>
        <v>1.2133678144895998</v>
      </c>
      <c r="BB153" s="3">
        <f>$H153*factors!AV$3</f>
        <v>1.1975306843808</v>
      </c>
      <c r="BC153" s="3">
        <f>$H153*factors!AW$3</f>
        <v>1.2669704087040001</v>
      </c>
      <c r="BD153" s="3">
        <f>$H153*factors!AX$3</f>
        <v>1.169511146496</v>
      </c>
      <c r="BE153" s="3">
        <f>$H153*factors!AY$3</f>
        <v>1.3749651976367998</v>
      </c>
      <c r="BF153" s="3">
        <f>$H153*factors!AZ$3</f>
        <v>1.2804612973151999</v>
      </c>
      <c r="BG153" s="3">
        <f>$H153*factors!BA$3</f>
        <v>1.2990958692095997</v>
      </c>
      <c r="BH153" s="3">
        <f>$H153*factors!BB$3</f>
        <v>1.3163994002543999</v>
      </c>
      <c r="BI153" s="3">
        <f>$H153*factors!BC$3</f>
        <v>1.3643168708399998</v>
      </c>
      <c r="BJ153" s="3">
        <f>$H153*factors!BD$3</f>
        <v>1.3030889917583999</v>
      </c>
      <c r="BK153" s="3">
        <f>$H153*factors!BE$3</f>
        <v>1.3057510734575997</v>
      </c>
      <c r="BL153" s="3">
        <f>$H153*factors!BF$3</f>
        <v>1.2911096241119997</v>
      </c>
      <c r="BM153" s="3">
        <f>$H153*factors!BG$3</f>
        <v>1.3789583201855999</v>
      </c>
      <c r="BN153" s="3">
        <f>$H153*factors!BH$3</f>
        <v>1.3616547891407997</v>
      </c>
      <c r="BO153" s="3">
        <f>$H153*factors!BI$3</f>
        <v>1.2804612973151999</v>
      </c>
      <c r="BP153" s="3">
        <f>$H153*factors!BJ$3</f>
        <v>1.2764681747663997</v>
      </c>
      <c r="BQ153" s="3">
        <f>$H153*factors!BK$3</f>
        <v>1.2977648283599998</v>
      </c>
      <c r="BR153" s="3">
        <f>$H153*factors!BL$3</f>
        <v>1.344351258096</v>
      </c>
      <c r="BS153" s="3">
        <f>$H153*factors!BM$3</f>
        <v>1.3656479116895999</v>
      </c>
      <c r="BT153" s="3">
        <f>$H153*factors!BN$3</f>
        <v>1.3696410342383998</v>
      </c>
      <c r="BU153" s="3">
        <f>$H153*factors!BO$3</f>
        <v>1.3922687286816</v>
      </c>
      <c r="BV153" s="3">
        <f>$H153*factors!BP$3</f>
        <v>1.2951027466607998</v>
      </c>
      <c r="BW153" s="3">
        <f>$H153*factors!BQ$3</f>
        <v>1.3243856453519998</v>
      </c>
      <c r="BX153" s="3">
        <f>$H153*factors!BR$3</f>
        <v>1.2990958692095997</v>
      </c>
      <c r="BY153" s="3">
        <f>$H153*factors!BS$3</f>
        <v>1.3589927074415997</v>
      </c>
      <c r="BZ153" s="3">
        <f>$H153*factors!BT$3</f>
        <v>1.3337029312991997</v>
      </c>
      <c r="CA153" s="3">
        <f>$H153*factors!BU$3</f>
        <v>1.3163994002543999</v>
      </c>
      <c r="CB153" s="3">
        <f>$H153*factors!BV$3</f>
        <v>1.2738060930671999</v>
      </c>
      <c r="CC153" s="3">
        <f>$H153*factors!BW$3</f>
        <v>1.3110752368559999</v>
      </c>
      <c r="CD153" s="3">
        <f>$H153*factors!BX$3</f>
        <v>1.3150683594047998</v>
      </c>
      <c r="CE153" s="3">
        <f>$H153*factors!BY$3</f>
        <v>1.3337029312991997</v>
      </c>
      <c r="CF153" s="3">
        <f>$H153*factors!BZ$3</f>
        <v>1.3137373185551999</v>
      </c>
      <c r="CG153" s="3">
        <f>$H153*factors!CA$3</f>
        <v>1.2698129705183998</v>
      </c>
      <c r="CH153" s="3">
        <f>$H153*factors!CB$3</f>
        <v>1.2711440113679997</v>
      </c>
      <c r="CI153" s="3">
        <f>$H153*factors!CC$3</f>
        <v>1.26448880712</v>
      </c>
      <c r="CJ153" s="3">
        <f>$H153*factors!CD$3</f>
        <v>1.3163994002543999</v>
      </c>
      <c r="CK153" s="3">
        <f>$H153*factors!CE$3</f>
        <v>1.3749651976367998</v>
      </c>
      <c r="CL153" s="3">
        <f>$H153*factors!CF$3</f>
        <v>1.2884475424127999</v>
      </c>
      <c r="CM153" s="3">
        <f>$H153*factors!CG$3</f>
        <v>1.3190614819535997</v>
      </c>
      <c r="CN153" s="3">
        <f>$H153*factors!CH$3</f>
        <v>1.2751371339167998</v>
      </c>
      <c r="CO153" s="3">
        <f>$H153*factors!CI$3</f>
        <v>1.2844544198639998</v>
      </c>
      <c r="CP153" s="3">
        <f>$H153*factors!CJ$3</f>
        <v>1.3456822989455997</v>
      </c>
      <c r="CQ153" s="3">
        <f>$H153*factors!CK$3</f>
        <v>1.3057510734575997</v>
      </c>
      <c r="CR153" s="3">
        <f>$H153*factors!CL$3</f>
        <v>1.3470133397951998</v>
      </c>
      <c r="CS153" s="3">
        <f>$H153*factors!CM$3</f>
        <v>1.3896066469823998</v>
      </c>
      <c r="CT153" s="3">
        <f>$H153*factors!CN$3</f>
        <v>1.3736341567871999</v>
      </c>
      <c r="CU153" s="3">
        <f>$H153*factors!CO$3</f>
        <v>1.3430202172463996</v>
      </c>
      <c r="CV153" s="3">
        <f>$H153*factors!CP$3</f>
        <v>1.3975928920799998</v>
      </c>
      <c r="CW153" s="3">
        <f>$H153*factors!CQ$3</f>
        <v>1.3217235636528</v>
      </c>
      <c r="CX153" s="3">
        <f>$H153*factors!CR$3</f>
        <v>1.3017579509088</v>
      </c>
      <c r="CY153" s="3">
        <f>$H153*factors!CS$3</f>
        <v>1.2897785832623998</v>
      </c>
      <c r="CZ153" s="3">
        <f>$H153*factors!CT$3</f>
        <v>1.2711440113679997</v>
      </c>
      <c r="DA153" s="3">
        <f>$H153*factors!CU$3</f>
        <v>1.3197608423999998</v>
      </c>
      <c r="DB153" s="3">
        <f>$H153*factors!CV$3</f>
        <v>1.405037696832</v>
      </c>
      <c r="DC153" s="3">
        <f>$H153*factors!CW$3</f>
        <v>1.3454792588159998</v>
      </c>
      <c r="DD153" s="3">
        <f>$H153*factors!CX$3</f>
        <v>1.3360040527679999</v>
      </c>
      <c r="DE153" s="3">
        <f>$H153*factors!CY$3</f>
        <v>1.375258477824</v>
      </c>
      <c r="DF153" s="3">
        <f>$H153*factors!CZ$3</f>
        <v>1.3725512760959999</v>
      </c>
      <c r="DG153" s="3">
        <f>$H153*factors!DA$3</f>
        <v>1.3671368726399999</v>
      </c>
      <c r="DH153" s="3">
        <f>$H153*factors!DB$3</f>
        <v>1.3671368726399999</v>
      </c>
      <c r="DI153" s="3">
        <f>$H153*factors!DC$3</f>
        <v>1.3157000398079999</v>
      </c>
      <c r="DJ153" s="3">
        <f>$H153*factors!DD$3</f>
        <v>1.39420888992</v>
      </c>
      <c r="DK153" s="3">
        <f>$H153*factors!DE$3</f>
        <v>1.39420888992</v>
      </c>
      <c r="DL153" s="3">
        <f>$H153*factors!DF$3</f>
        <v>1.3779656795519999</v>
      </c>
      <c r="DM153" s="3">
        <f>$H153*factors!DG$3</f>
        <v>1.2981032285759997</v>
      </c>
      <c r="DN153" s="3">
        <f>$H153*factors!DH$3</f>
        <v>1.361722469184</v>
      </c>
      <c r="DO153" s="3">
        <f>$H153*factors!DI$3</f>
        <v>1.4063912976959998</v>
      </c>
      <c r="DP153" s="3">
        <f>$H153*factors!DJ$3</f>
        <v>1.39420888992</v>
      </c>
      <c r="DQ153" s="3">
        <f>$H153*factors!DK$3</f>
        <v>1.3292360484479999</v>
      </c>
      <c r="DR153" s="3">
        <f>$H153*factors!DL$3</f>
        <v>1.3143464389440001</v>
      </c>
      <c r="DS153" s="3">
        <f>$H153*factors!DM$3</f>
        <v>1.4199273063359998</v>
      </c>
      <c r="DT153" s="3">
        <f>$H153*factors!DN$3</f>
        <v>1.3346504519039999</v>
      </c>
      <c r="DU153" s="3">
        <f>$H153*factors!DO$3</f>
        <v>1.3969160916479999</v>
      </c>
      <c r="DV153" s="3">
        <f>$H153*factors!DP$3</f>
        <v>1.3644296709119998</v>
      </c>
      <c r="DW153" s="3">
        <f>$H153*factors!DQ$3</f>
        <v>1.3021640311679998</v>
      </c>
      <c r="DX153" s="3">
        <f>$H153*factors!DR$3</f>
        <v>1.3793192804159997</v>
      </c>
      <c r="DY153" s="3">
        <f>$H153*factors!DS$3</f>
        <v>1.3089320354879999</v>
      </c>
      <c r="DZ153" s="3">
        <f>$H153*factors!DT$3</f>
        <v>1.3996232933759998</v>
      </c>
      <c r="EA153" s="3">
        <f>$H153*factors!DU$3</f>
        <v>1.3184072415359998</v>
      </c>
      <c r="EB153" s="3">
        <f>$H153*factors!DV$3</f>
        <v>1.2859208207999999</v>
      </c>
      <c r="EC153" s="3">
        <f>$H153*factors!DW$3</f>
        <v>1.3833800830079999</v>
      </c>
      <c r="ED153" s="3">
        <f>$H153*factors!DX$3</f>
        <v>1.2981032285759997</v>
      </c>
      <c r="EE153" s="3">
        <f>$H153*factors!DY$3</f>
        <v>1.3089320354879999</v>
      </c>
      <c r="EF153" s="3">
        <f>$H153*factors!DZ$3</f>
        <v>1.4199273063359998</v>
      </c>
      <c r="EG153" s="3">
        <f>$H153*factors!EA$3</f>
        <v>1.3265288467199998</v>
      </c>
      <c r="EH153" s="3">
        <f>$H153*factors!EB$3</f>
        <v>1.330589649312</v>
      </c>
      <c r="EI153" s="3">
        <f>$H153*factors!EC$3</f>
        <v>1.3278824475839999</v>
      </c>
      <c r="EJ153" s="3">
        <f>$H153*factors!ED$3</f>
        <v>1.294042425984</v>
      </c>
      <c r="EK153" s="3">
        <f>$H153*factors!EE$3</f>
        <v>1.3833800830079999</v>
      </c>
      <c r="EL153" s="3">
        <f>$H153*factors!EF$3</f>
        <v>1.3157000398079999</v>
      </c>
      <c r="EM153" s="3">
        <f>$H153*factors!EG$3</f>
        <v>1.3684904735039998</v>
      </c>
      <c r="EN153" s="3">
        <f>$H153*factors!EH$3</f>
        <v>1.2859208207999999</v>
      </c>
      <c r="EO153" s="3">
        <f>$H153*factors!EI$3</f>
        <v>1.3048712328959997</v>
      </c>
      <c r="EP153" s="3">
        <f>$H153*factors!EJ$3</f>
        <v>1.3766120786879998</v>
      </c>
      <c r="EQ153" s="3">
        <f>$H153*factors!EK$3</f>
        <v>1.3387112544959998</v>
      </c>
      <c r="ER153" s="3">
        <f>$H153*factors!EL$3</f>
        <v>1.39420888992</v>
      </c>
      <c r="ES153" s="3">
        <f>$H153*factors!EM$3</f>
        <v>1.3766120786879998</v>
      </c>
      <c r="ET153" s="3">
        <f>$H153*factors!EN$3</f>
        <v>1.4077448985599998</v>
      </c>
      <c r="EU153" s="3">
        <f>$H153*factors!EO$3</f>
        <v>1.4212809071999999</v>
      </c>
      <c r="EV153" s="3">
        <f>$H153*factors!EP$3</f>
        <v>1.3319432501759998</v>
      </c>
      <c r="EW153" s="3">
        <f>$H153*factors!EQ$3</f>
        <v>1.4649909350999997</v>
      </c>
      <c r="EX153" s="3">
        <f>$H153*factors!ER$3</f>
        <v>1.4494809252</v>
      </c>
      <c r="EY153" s="3">
        <f>$H153*factors!ES$3</f>
        <v>1.4790909440999997</v>
      </c>
      <c r="EZ153" s="3">
        <f>$H153*factors!ET$3</f>
        <v>1.4649909350999997</v>
      </c>
      <c r="FA153" s="3">
        <f>$H153*factors!EU$3</f>
        <v>1.3465508594999998</v>
      </c>
      <c r="FB153" s="3">
        <f>$H153*factors!EV$3</f>
        <v>1.4071808982</v>
      </c>
      <c r="FC153" s="3">
        <f>$H153*factors!EW$3</f>
        <v>1.4466609233999999</v>
      </c>
      <c r="FD153" s="3">
        <f>$H153*factors!EX$3</f>
        <v>1.3959008909999999</v>
      </c>
      <c r="FE153" s="3">
        <f>$H153*factors!EY$3</f>
        <v>1.4706309386999998</v>
      </c>
      <c r="FF153" s="3">
        <f>$H153*factors!EZ$3</f>
        <v>1.4720409396</v>
      </c>
      <c r="FG153" s="3">
        <f>$H153*factors!FA$3</f>
        <v>1.3465508594999998</v>
      </c>
      <c r="FH153" s="3">
        <f>$H153*factors!FB$3</f>
        <v>1.4170509044999997</v>
      </c>
      <c r="FI153" s="3">
        <f>$H153*factors!FC$3</f>
        <v>1.4762709422999998</v>
      </c>
      <c r="FJ153" s="3">
        <f>$H153*factors!FD$3</f>
        <v>1.4170509044999997</v>
      </c>
      <c r="FK153" s="3">
        <f>$H153*factors!FE$3</f>
        <v>1.4410209198000001</v>
      </c>
      <c r="FL153" s="3">
        <f>$H153*factors!FF$3</f>
        <v>1.4452509224999999</v>
      </c>
      <c r="FM153" s="3">
        <f>$H153*factors!FG$3</f>
        <v>1.4607609323999999</v>
      </c>
      <c r="FN153" s="3">
        <f>$H153*factors!FH$3</f>
        <v>1.3662908720999998</v>
      </c>
      <c r="FO153" s="3">
        <f>$H153*factors!FI$3</f>
        <v>1.4508909260999998</v>
      </c>
      <c r="FP153" s="3">
        <f>$H153*factors!FJ$3</f>
        <v>1.4100009</v>
      </c>
      <c r="FQ153" s="3">
        <f>$H153*factors!FK$3</f>
        <v>1.3959008909999999</v>
      </c>
      <c r="FR153" s="3">
        <f>$H153*factors!FL$3</f>
        <v>1.4241009089999999</v>
      </c>
      <c r="FS153" s="3">
        <f>$H153*factors!FM$3</f>
        <v>1.4156409035999997</v>
      </c>
      <c r="FT153" s="3">
        <f>$H153*factors!FN$3</f>
        <v>1.4466609233999999</v>
      </c>
      <c r="FU153" s="3">
        <f>$H153*factors!FO$3</f>
        <v>1.3902608873999998</v>
      </c>
      <c r="FV153" s="3">
        <f>$H153*factors!FP$3</f>
        <v>1.3789808801999999</v>
      </c>
      <c r="FW153" s="3">
        <f>$H153*factors!FQ$3</f>
        <v>1.4762709422999998</v>
      </c>
      <c r="FX153" s="3">
        <f>$H153*factors!FR$3</f>
        <v>1.4494809252</v>
      </c>
      <c r="FY153" s="3">
        <f>$H153*factors!FS$3</f>
        <v>1.4198709062999997</v>
      </c>
      <c r="FZ153" s="3">
        <f>$H153*factors!FT$3</f>
        <v>1.3493708612999999</v>
      </c>
      <c r="GA153" s="3">
        <f>$H153*factors!FU$3</f>
        <v>1.4198709062999997</v>
      </c>
      <c r="GB153" s="3">
        <f>$H153*factors!FV$3</f>
        <v>1.4720409396</v>
      </c>
      <c r="GC153" s="3">
        <f>$H153*factors!FW$3</f>
        <v>1.3789808801999999</v>
      </c>
      <c r="GD153" s="3">
        <f>$H153*factors!FX$3</f>
        <v>1.4029508954999999</v>
      </c>
      <c r="GE153" s="3">
        <f>$H153*factors!FY$3</f>
        <v>1.4029508954999999</v>
      </c>
      <c r="GF153" s="3">
        <f>$H153*factors!FZ$3</f>
        <v>1.3987208927999999</v>
      </c>
      <c r="GG153" s="3">
        <f>$H153*factors!GA$3</f>
        <v>1.3437308576999998</v>
      </c>
      <c r="GH153" s="3">
        <f>$H153*factors!GB$3</f>
        <v>1.4297409126</v>
      </c>
      <c r="GI153" s="3">
        <f>$H153*factors!GC$3</f>
        <v>1.3409108558999998</v>
      </c>
      <c r="GJ153" s="3">
        <f>$H153*factors!GD$3</f>
        <v>1.3437308576999998</v>
      </c>
      <c r="GK153" s="3">
        <f>$H153*factors!GE$3</f>
        <v>1.3775708792999999</v>
      </c>
      <c r="GL153" s="3">
        <f>$H153*factors!GF$3</f>
        <v>1.4593509314999999</v>
      </c>
      <c r="GM153" s="3">
        <f>$H153*factors!GG$3</f>
        <v>1.3832108829</v>
      </c>
      <c r="GN153" s="3">
        <f>$H153*factors!GH$3</f>
        <v>1.4269209108000001</v>
      </c>
      <c r="GO153" s="3">
        <f>$H153*factors!GI$3</f>
        <v>1.3479608603999997</v>
      </c>
      <c r="GP153" s="3">
        <f>$H153*factors!GJ$3</f>
        <v>1.4452509224999999</v>
      </c>
      <c r="GQ153" s="3">
        <f>$H153*factors!GK$3</f>
        <v>1.4748609414</v>
      </c>
      <c r="GR153" s="3">
        <f>$H153*factors!GL$3</f>
        <v>1.4466609233999999</v>
      </c>
      <c r="GS153" s="3">
        <f>$H153*factors!GM$3</f>
        <v>1.368095673252</v>
      </c>
      <c r="GT153" s="3">
        <f>$H153*factors!GN$3</f>
        <v>1.3996120133687999</v>
      </c>
      <c r="GU153" s="3">
        <f>$H153*factors!GO$3</f>
        <v>1.4325609144</v>
      </c>
      <c r="GV153" s="3">
        <f>$H153*factors!GP$3</f>
        <v>1.375258477824</v>
      </c>
      <c r="GW153" s="3">
        <f>$H153*factors!GQ$3</f>
        <v>1.4239655489136001</v>
      </c>
      <c r="GX153" s="3">
        <f>$H153*factors!GR$3</f>
        <v>1.4010445742831998</v>
      </c>
      <c r="GY153" s="3">
        <f>$H153*factors!GS$3</f>
        <v>1.3938817697112</v>
      </c>
      <c r="GZ153" s="3">
        <f>$H153*factors!GT$3</f>
        <v>1.4454539626295997</v>
      </c>
      <c r="HA153" s="3">
        <f>$H153*factors!GU$3</f>
        <v>1.3981794524543998</v>
      </c>
      <c r="HB153" s="3">
        <f>$H153*factors!GV$3</f>
        <v>1.4454539626295997</v>
      </c>
      <c r="HC153" s="3">
        <f>$H153*factors!GW$3</f>
        <v>1.4096399397695998</v>
      </c>
      <c r="HD153" s="3">
        <f>$H153*factors!GX$3</f>
        <v>1.4511842062871998</v>
      </c>
      <c r="HE153" s="3">
        <f>$H153*factors!GY$3</f>
        <v>1.4325609144</v>
      </c>
      <c r="HF153" s="3">
        <f>$H153*factors!GZ$3</f>
        <v>1.4769703027463998</v>
      </c>
      <c r="HG153" s="3">
        <f>$H153*factors!HA$3</f>
        <v>1.4196678661703999</v>
      </c>
      <c r="HH153" s="3">
        <f>$H153*factors!HB$3</f>
        <v>1.4010445742831998</v>
      </c>
      <c r="HI153" s="3">
        <f>$H153*factors!HC$3</f>
        <v>1.3838538433104</v>
      </c>
      <c r="HJ153" s="3">
        <f>$H153*factors!HD$3</f>
        <v>1.368095673252</v>
      </c>
      <c r="HK153" s="3">
        <f>$H153*factors!HE$3</f>
        <v>1.4468865235439998</v>
      </c>
      <c r="HL153" s="3">
        <f>$H153*factors!HF$3</f>
        <v>1.3637979905087998</v>
      </c>
      <c r="HM153" s="3">
        <f>$H153*factors!HG$3</f>
        <v>1.3781235996528001</v>
      </c>
      <c r="HN153" s="3">
        <f>$H153*factors!HH$3</f>
        <v>1.4698074981744</v>
      </c>
      <c r="HO153" s="3">
        <f>$H153*factors!HI$3</f>
        <v>1.4096399397695998</v>
      </c>
      <c r="HP153" s="3">
        <f>$H153*factors!HJ$3</f>
        <v>1.50418896012</v>
      </c>
      <c r="HQ153" s="3">
        <f>$H153*factors!HK$3</f>
        <v>1.375258477824</v>
      </c>
      <c r="HR153" s="3">
        <f>$H153*factors!HL$3</f>
        <v>1.4583470108592</v>
      </c>
      <c r="HS153" s="3">
        <f>$H153*factors!HM$3</f>
        <v>1.4841331073183999</v>
      </c>
      <c r="HT153" s="3">
        <f>$H153*factors!HN$3</f>
        <v>1.3838538433104</v>
      </c>
      <c r="HU153" s="3">
        <f>$H153*factors!HO$3</f>
        <v>1.3981794524543998</v>
      </c>
      <c r="HV153" s="3">
        <f>$H153*factors!HP$3</f>
        <v>1.4153701834272001</v>
      </c>
      <c r="HW153" s="3">
        <f>$H153*factors!HQ$3</f>
        <v>1.4354260362288001</v>
      </c>
      <c r="HX153" s="3">
        <f>$H153*factors!HR$3</f>
        <v>1.4941610337191997</v>
      </c>
      <c r="HY153" s="3">
        <f>$H153*factors!HS$3</f>
        <v>1.4196678661703999</v>
      </c>
      <c r="HZ153" s="3">
        <f>$H153*factors!HT$3</f>
        <v>1.4741051809175998</v>
      </c>
      <c r="IA153" s="3">
        <f>$H153*factors!HU$3</f>
        <v>1.4024771351976</v>
      </c>
      <c r="IB153" s="3">
        <f>$H153*factors!HV$3</f>
        <v>1.4511842062871998</v>
      </c>
      <c r="IC153" s="3">
        <f>$H153*factors!HW$3</f>
        <v>1.4655098154311998</v>
      </c>
      <c r="ID153" s="3">
        <f>$H153*factors!HX$3</f>
        <v>1.3609328686799997</v>
      </c>
      <c r="IE153" s="3">
        <f>$H153*factors!HY$3</f>
        <v>1.4454539626295997</v>
      </c>
      <c r="IF153" s="3">
        <f>$H153*factors!HZ$3</f>
        <v>1.4368585971431997</v>
      </c>
      <c r="IG153" s="3">
        <f>$H153*factors!IA$3</f>
        <v>1.4239655489136001</v>
      </c>
      <c r="IH153" s="3">
        <f>$H153*factors!IB$3</f>
        <v>1.4769703027463998</v>
      </c>
      <c r="II153" s="3">
        <f>$H153*factors!IC$3</f>
        <v>1.4139376225128</v>
      </c>
      <c r="IJ153" s="3">
        <f>$H153*factors!ID$3</f>
        <v>1.4268306707423999</v>
      </c>
      <c r="IK153" s="3">
        <f>$H153*factors!IE$3</f>
        <v>1.4784028636608</v>
      </c>
      <c r="IL153" s="3">
        <f>$H153*factors!IF$3</f>
        <v>1.4153701834272001</v>
      </c>
      <c r="IM153" s="3">
        <f>$H153*factors!IG$3</f>
        <v>1.4024771351976</v>
      </c>
      <c r="IN153" s="3">
        <f>$H153*factors!IH$3</f>
        <v>1.4110725006839999</v>
      </c>
      <c r="IO153" s="3">
        <f>$H153*factors!II$3</f>
        <v>1.425398109828</v>
      </c>
      <c r="IP153" s="3">
        <f>$H153*factors!IJ$3</f>
        <v>1.3781235996528001</v>
      </c>
      <c r="IQ153" s="3">
        <f>$H153*factors!IK$3</f>
        <v>1.3738259169095999</v>
      </c>
      <c r="IR153" s="3">
        <f>$H153*factors!IL$3</f>
        <v>1.4139376225128</v>
      </c>
      <c r="IS153" s="3">
        <f>$H153*factors!IM$3</f>
        <v>1.425398109828</v>
      </c>
      <c r="IT153" s="3">
        <f>$H153*factors!IN$3</f>
        <v>1.4354260362288001</v>
      </c>
      <c r="IU153" s="3">
        <f>$H153*factors!IO$3</f>
        <v>1.4669423763456</v>
      </c>
      <c r="IV153" s="3">
        <f>$H153*factors!IP$3</f>
        <v>1.4855656682327998</v>
      </c>
      <c r="IW153" s="3">
        <f>$H153*factors!IQ$3</f>
        <v>1.4039096961119999</v>
      </c>
      <c r="IX153" s="3">
        <f>$H153*factors!IR$3</f>
        <v>1.4669423763456</v>
      </c>
      <c r="IY153" s="3">
        <f>$H153*factors!IS$3</f>
        <v>1.4454539626295997</v>
      </c>
      <c r="IZ153" s="3">
        <f>$H153*factors!IT$3</f>
        <v>1.4698074981744</v>
      </c>
      <c r="JA153" s="3">
        <f>$H153*factors!IU$3</f>
        <v>1.3881515260535999</v>
      </c>
      <c r="JB153" s="3">
        <f>$H153*factors!IV$3</f>
        <v>1.4139376225128</v>
      </c>
      <c r="JC153" s="3">
        <f>$H153*factors!IW$3</f>
        <v>1.3809887214815999</v>
      </c>
      <c r="JD153" s="3">
        <f>$H153*factors!IX$3</f>
        <v>1.50418896012</v>
      </c>
      <c r="JE153" s="3">
        <f>$H153*factors!IY$3</f>
        <v>1.3852864042247999</v>
      </c>
      <c r="JF153" s="3">
        <f>$H153*factors!IZ$3</f>
        <v>1.4540493281159996</v>
      </c>
      <c r="JG153" s="3">
        <f>$H153*factors!JA$3</f>
        <v>1.4282632316567998</v>
      </c>
      <c r="JH153" s="3">
        <f>$H153*factors!JB$3</f>
        <v>1.4554818890304</v>
      </c>
      <c r="JI153" s="3">
        <f>$H153*factors!JC$3</f>
        <v>1.3623654295943999</v>
      </c>
      <c r="JJ153" s="3">
        <f>$H153*factors!JD$3</f>
        <v>1.4669423763456</v>
      </c>
      <c r="JK153" s="3">
        <f>$H153*factors!JE$3</f>
        <v>1.4196678661703999</v>
      </c>
      <c r="JL153" s="3">
        <f>$H153*factors!JF$3</f>
        <v>1.4769703027463998</v>
      </c>
      <c r="JM153" s="3">
        <f>$H153*factors!JG$3</f>
        <v>1.3781235996528001</v>
      </c>
      <c r="JN153" s="3">
        <f>$H153*factors!JH$3</f>
        <v>1.3781235996528001</v>
      </c>
      <c r="JO153" s="3">
        <f>$H153*factors!JI$3</f>
        <v>1.3609328686799997</v>
      </c>
      <c r="JP153" s="3">
        <f>$H153*factors!JJ$3</f>
        <v>1.4712400590888</v>
      </c>
      <c r="JQ153" s="3">
        <f>$H153*factors!JK$3</f>
        <v>1.4339934753143999</v>
      </c>
      <c r="JR153" s="3">
        <f>$H153*factors!JL$3</f>
        <v>1.489863350976</v>
      </c>
      <c r="JS153" s="3">
        <f>$H153*factors!JM$3</f>
        <v>1.3609328686799997</v>
      </c>
      <c r="JT153" s="3">
        <f>$H153*factors!JN$3</f>
        <v>1.4296957925711999</v>
      </c>
      <c r="JU153" s="3">
        <f>$H153*factors!JO$3</f>
        <v>1.3824212823959998</v>
      </c>
      <c r="JV153" s="3">
        <f>$H153*factors!JP$3</f>
        <v>1.4053422570264</v>
      </c>
      <c r="JW153" s="3">
        <f>$H153*factors!JQ$3</f>
        <v>1.5013238382912002</v>
      </c>
      <c r="JX153" s="3">
        <f>$H153*factors!JR$3</f>
        <v>1.4869982291471999</v>
      </c>
      <c r="JY153" s="3">
        <f>$H153*factors!JS$3</f>
        <v>1.3996120133687999</v>
      </c>
      <c r="JZ153" s="3">
        <f>$H153*factors!JT$3</f>
        <v>1.4153701834272001</v>
      </c>
      <c r="KA153" s="3">
        <f>$H153*factors!JU$3</f>
        <v>1.4211004270848</v>
      </c>
      <c r="KB153" s="3">
        <f>$H153*factors!JV$3</f>
        <v>1.3738259169095999</v>
      </c>
      <c r="KC153" s="3">
        <f>$H153*factors!JW$3</f>
        <v>1.3809887214815999</v>
      </c>
      <c r="KD153" s="3">
        <f>$H153*factors!JX$3</f>
        <v>1.3824212823959998</v>
      </c>
      <c r="KE153" s="3">
        <f>$H153*factors!JY$3</f>
        <v>1.4712400590888</v>
      </c>
      <c r="KF153" s="3">
        <f>$H153*factors!JZ$3</f>
        <v>1.4884307900615998</v>
      </c>
      <c r="KG153" s="3">
        <f>$H153*factors!KA$3</f>
        <v>1.4354260362288001</v>
      </c>
      <c r="KH153" s="3">
        <f>$H153*factors!KB$3</f>
        <v>1.4039096961119999</v>
      </c>
      <c r="KI153" s="3">
        <f>$H153*factors!KC$3</f>
        <v>1.3910166478823998</v>
      </c>
    </row>
    <row r="154" spans="1:295" x14ac:dyDescent="0.55000000000000004">
      <c r="A154" t="s">
        <v>531</v>
      </c>
      <c r="B154">
        <v>153</v>
      </c>
      <c r="C154">
        <v>230</v>
      </c>
      <c r="D154" t="s">
        <v>377</v>
      </c>
      <c r="E154">
        <v>3.0869999999999999E-3</v>
      </c>
      <c r="F154">
        <v>153</v>
      </c>
      <c r="G154">
        <f>VLOOKUP(D154,demand_forecasted!$A$2:$G$11,2)</f>
        <v>11098</v>
      </c>
      <c r="H154" s="3">
        <f t="shared" si="3"/>
        <v>0.34259526000000001</v>
      </c>
      <c r="I154" s="3">
        <f>$H154*factors!C$3</f>
        <v>0.37925295281999999</v>
      </c>
      <c r="J154" s="3">
        <f>$H154*factors!D$3</f>
        <v>0.36556284623040003</v>
      </c>
      <c r="K154" s="3">
        <f>$H154*factors!E$3</f>
        <v>0.35927279725680006</v>
      </c>
      <c r="L154" s="3">
        <f>$H154*factors!F$3</f>
        <v>0.35816278861440004</v>
      </c>
      <c r="M154" s="3">
        <f>$H154*factors!G$3</f>
        <v>0.35779278573360002</v>
      </c>
      <c r="N154" s="3">
        <f>$H154*factors!H$3</f>
        <v>0.36815286639600003</v>
      </c>
      <c r="O154" s="3">
        <f>$H154*factors!I$3</f>
        <v>0.37629292977360002</v>
      </c>
      <c r="P154" s="3">
        <f>$H154*factors!J$3</f>
        <v>0.38073296434320003</v>
      </c>
      <c r="Q154" s="3">
        <f>$H154*factors!K$3</f>
        <v>0.35742278285279999</v>
      </c>
      <c r="R154" s="3">
        <f>$H154*factors!L$3</f>
        <v>0.35150273676000005</v>
      </c>
      <c r="S154" s="3">
        <f>$H154*factors!M$3</f>
        <v>0.3659328491112</v>
      </c>
      <c r="T154" s="3">
        <f>$H154*factors!N$3</f>
        <v>0.37851294705840005</v>
      </c>
      <c r="U154" s="3">
        <f>$H154*factors!O$3</f>
        <v>0.35853279149520006</v>
      </c>
      <c r="V154" s="3">
        <f>$H154*factors!P$3</f>
        <v>0.37296290384640002</v>
      </c>
      <c r="W154" s="3">
        <f>$H154*factors!Q$3</f>
        <v>0.37629292977360002</v>
      </c>
      <c r="X154" s="3">
        <f>$H154*factors!R$3</f>
        <v>0.3600128030184</v>
      </c>
      <c r="Y154" s="3">
        <f>$H154*factors!S$3</f>
        <v>0.35668277709120005</v>
      </c>
      <c r="Z154" s="3">
        <f>$H154*factors!T$3</f>
        <v>0.38480299603200008</v>
      </c>
      <c r="AA154" s="3">
        <f>$H154*factors!U$3</f>
        <v>0.36334282894559999</v>
      </c>
      <c r="AB154" s="3">
        <f>$H154*factors!V$3</f>
        <v>0.36371283182640007</v>
      </c>
      <c r="AC154" s="3">
        <f>$H154*factors!W$3</f>
        <v>0.36408283470720004</v>
      </c>
      <c r="AD154" s="3">
        <f>$H154*factors!X$3</f>
        <v>0.35631277421040003</v>
      </c>
      <c r="AE154" s="3">
        <f>$H154*factors!Y$3</f>
        <v>0.35927279725680006</v>
      </c>
      <c r="AF154" s="3">
        <f>$H154*factors!Z$3</f>
        <v>0.36667285487280005</v>
      </c>
      <c r="AG154" s="3">
        <f>$H154*factors!AA$3</f>
        <v>0.35742278285279999</v>
      </c>
      <c r="AH154" s="3">
        <f>$H154*factors!AB$3</f>
        <v>0.35594277132960006</v>
      </c>
      <c r="AI154" s="3">
        <f>$H154*factors!AC$3</f>
        <v>0.36741286063440004</v>
      </c>
      <c r="AJ154" s="3">
        <f>$H154*factors!AD$3</f>
        <v>0.38147297010480002</v>
      </c>
      <c r="AK154" s="3">
        <f>$H154*factors!AE$3</f>
        <v>0.36704285775360007</v>
      </c>
      <c r="AL154" s="3">
        <f>$H154*factors!AF$3</f>
        <v>0.35261274540240001</v>
      </c>
      <c r="AM154" s="3">
        <f>$H154*factors!AG$3</f>
        <v>0.362602823184</v>
      </c>
      <c r="AN154" s="3">
        <f>$H154*factors!AH$3</f>
        <v>0.35668277709120005</v>
      </c>
      <c r="AO154" s="3">
        <f>$H154*factors!AI$3</f>
        <v>0.37370290960800001</v>
      </c>
      <c r="AP154" s="3">
        <f>$H154*factors!AJ$3</f>
        <v>0.35816278861440004</v>
      </c>
      <c r="AQ154" s="3">
        <f>$H154*factors!AK$3</f>
        <v>0.36963287791920008</v>
      </c>
      <c r="AR154" s="3">
        <f>$H154*factors!AL$3</f>
        <v>0.36149281454160004</v>
      </c>
      <c r="AS154" s="3">
        <f>$H154*factors!AM$3</f>
        <v>0.35261274540240001</v>
      </c>
      <c r="AT154" s="3">
        <f>$H154*factors!AN$3</f>
        <v>0.36371283182640007</v>
      </c>
      <c r="AU154" s="3">
        <f>$H154*factors!AO$3</f>
        <v>0.38517299891279999</v>
      </c>
      <c r="AV154" s="3">
        <f>$H154*factors!AP$3</f>
        <v>0.36408283470720004</v>
      </c>
      <c r="AW154" s="3">
        <f>$H154*factors!AQ$3</f>
        <v>0.36038280589920002</v>
      </c>
      <c r="AX154" s="3">
        <f>$H154*factors!AR$3</f>
        <v>0.38110296722400006</v>
      </c>
      <c r="AY154" s="3">
        <f>$H154*factors!AS$3</f>
        <v>0.35150273676000005</v>
      </c>
      <c r="AZ154" s="3">
        <f>$H154*factors!AT$3</f>
        <v>0.3766629326544001</v>
      </c>
      <c r="BA154" s="3">
        <f>$H154*factors!AU$3</f>
        <v>0.3685228692768</v>
      </c>
      <c r="BB154" s="3">
        <f>$H154*factors!AV$3</f>
        <v>0.36371283182640007</v>
      </c>
      <c r="BC154" s="3">
        <f>$H154*factors!AW$3</f>
        <v>0.38480299603200008</v>
      </c>
      <c r="BD154" s="3">
        <f>$H154*factors!AX$3</f>
        <v>0.35520276556800001</v>
      </c>
      <c r="BE154" s="3">
        <f>$H154*factors!AY$3</f>
        <v>0.41760306622439997</v>
      </c>
      <c r="BF154" s="3">
        <f>$H154*factors!AZ$3</f>
        <v>0.38890043534160001</v>
      </c>
      <c r="BG154" s="3">
        <f>$H154*factors!BA$3</f>
        <v>0.39456010903679994</v>
      </c>
      <c r="BH154" s="3">
        <f>$H154*factors!BB$3</f>
        <v>0.39981552032520001</v>
      </c>
      <c r="BI154" s="3">
        <f>$H154*factors!BC$3</f>
        <v>0.41436896696999992</v>
      </c>
      <c r="BJ154" s="3">
        <f>$H154*factors!BD$3</f>
        <v>0.39577289625719997</v>
      </c>
      <c r="BK154" s="3">
        <f>$H154*factors!BE$3</f>
        <v>0.39658142107079997</v>
      </c>
      <c r="BL154" s="3">
        <f>$H154*factors!BF$3</f>
        <v>0.39213453459599995</v>
      </c>
      <c r="BM154" s="3">
        <f>$H154*factors!BG$3</f>
        <v>0.41881585344480005</v>
      </c>
      <c r="BN154" s="3">
        <f>$H154*factors!BH$3</f>
        <v>0.41356044215639998</v>
      </c>
      <c r="BO154" s="3">
        <f>$H154*factors!BI$3</f>
        <v>0.38890043534160001</v>
      </c>
      <c r="BP154" s="3">
        <f>$H154*factors!BJ$3</f>
        <v>0.38768764812119993</v>
      </c>
      <c r="BQ154" s="3">
        <f>$H154*factors!BK$3</f>
        <v>0.39415584662999997</v>
      </c>
      <c r="BR154" s="3">
        <f>$H154*factors!BL$3</f>
        <v>0.40830503086800002</v>
      </c>
      <c r="BS154" s="3">
        <f>$H154*factors!BM$3</f>
        <v>0.4147732293768</v>
      </c>
      <c r="BT154" s="3">
        <f>$H154*factors!BN$3</f>
        <v>0.41598601659719997</v>
      </c>
      <c r="BU154" s="3">
        <f>$H154*factors!BO$3</f>
        <v>0.42285847751280004</v>
      </c>
      <c r="BV154" s="3">
        <f>$H154*factors!BP$3</f>
        <v>0.39334732181639998</v>
      </c>
      <c r="BW154" s="3">
        <f>$H154*factors!BQ$3</f>
        <v>0.40224109476600001</v>
      </c>
      <c r="BX154" s="3">
        <f>$H154*factors!BR$3</f>
        <v>0.39456010903679994</v>
      </c>
      <c r="BY154" s="3">
        <f>$H154*factors!BS$3</f>
        <v>0.41275191734279992</v>
      </c>
      <c r="BZ154" s="3">
        <f>$H154*factors!BT$3</f>
        <v>0.40507093161359997</v>
      </c>
      <c r="CA154" s="3">
        <f>$H154*factors!BU$3</f>
        <v>0.39981552032520001</v>
      </c>
      <c r="CB154" s="3">
        <f>$H154*factors!BV$3</f>
        <v>0.38687912330759999</v>
      </c>
      <c r="CC154" s="3">
        <f>$H154*factors!BW$3</f>
        <v>0.39819847069799996</v>
      </c>
      <c r="CD154" s="3">
        <f>$H154*factors!BX$3</f>
        <v>0.39941125791839999</v>
      </c>
      <c r="CE154" s="3">
        <f>$H154*factors!BY$3</f>
        <v>0.40507093161359997</v>
      </c>
      <c r="CF154" s="3">
        <f>$H154*factors!BZ$3</f>
        <v>0.39900699551160002</v>
      </c>
      <c r="CG154" s="3">
        <f>$H154*factors!CA$3</f>
        <v>0.38566633608719997</v>
      </c>
      <c r="CH154" s="3">
        <f>$H154*factors!CB$3</f>
        <v>0.38607059849399994</v>
      </c>
      <c r="CI154" s="3">
        <f>$H154*factors!CC$3</f>
        <v>0.38404928646000003</v>
      </c>
      <c r="CJ154" s="3">
        <f>$H154*factors!CD$3</f>
        <v>0.39981552032520001</v>
      </c>
      <c r="CK154" s="3">
        <f>$H154*factors!CE$3</f>
        <v>0.41760306622439997</v>
      </c>
      <c r="CL154" s="3">
        <f>$H154*factors!CF$3</f>
        <v>0.39132600978240001</v>
      </c>
      <c r="CM154" s="3">
        <f>$H154*factors!CG$3</f>
        <v>0.40062404513879996</v>
      </c>
      <c r="CN154" s="3">
        <f>$H154*factors!CH$3</f>
        <v>0.38728338571439996</v>
      </c>
      <c r="CO154" s="3">
        <f>$H154*factors!CI$3</f>
        <v>0.39011322256199993</v>
      </c>
      <c r="CP154" s="3">
        <f>$H154*factors!CJ$3</f>
        <v>0.40870929327479993</v>
      </c>
      <c r="CQ154" s="3">
        <f>$H154*factors!CK$3</f>
        <v>0.39658142107079997</v>
      </c>
      <c r="CR154" s="3">
        <f>$H154*factors!CL$3</f>
        <v>0.40911355568159996</v>
      </c>
      <c r="CS154" s="3">
        <f>$H154*factors!CM$3</f>
        <v>0.42204995269919998</v>
      </c>
      <c r="CT154" s="3">
        <f>$H154*factors!CN$3</f>
        <v>0.41719880381759999</v>
      </c>
      <c r="CU154" s="3">
        <f>$H154*factors!CO$3</f>
        <v>0.40790076846119994</v>
      </c>
      <c r="CV154" s="3">
        <f>$H154*factors!CP$3</f>
        <v>0.42447552713999998</v>
      </c>
      <c r="CW154" s="3">
        <f>$H154*factors!CQ$3</f>
        <v>0.40143256995240001</v>
      </c>
      <c r="CX154" s="3">
        <f>$H154*factors!CR$3</f>
        <v>0.3953686338504</v>
      </c>
      <c r="CY154" s="3">
        <f>$H154*factors!CS$3</f>
        <v>0.39173027218919998</v>
      </c>
      <c r="CZ154" s="3">
        <f>$H154*factors!CT$3</f>
        <v>0.38607059849399994</v>
      </c>
      <c r="DA154" s="3">
        <f>$H154*factors!CU$3</f>
        <v>0.40083645419999997</v>
      </c>
      <c r="DB154" s="3">
        <f>$H154*factors!CV$3</f>
        <v>0.42673665585600001</v>
      </c>
      <c r="DC154" s="3">
        <f>$H154*factors!CW$3</f>
        <v>0.40864762612799999</v>
      </c>
      <c r="DD154" s="3">
        <f>$H154*factors!CX$3</f>
        <v>0.40576982594399996</v>
      </c>
      <c r="DE154" s="3">
        <f>$H154*factors!CY$3</f>
        <v>0.41769214099200003</v>
      </c>
      <c r="DF154" s="3">
        <f>$H154*factors!CZ$3</f>
        <v>0.41686991236799997</v>
      </c>
      <c r="DG154" s="3">
        <f>$H154*factors!DA$3</f>
        <v>0.41522545512000003</v>
      </c>
      <c r="DH154" s="3">
        <f>$H154*factors!DB$3</f>
        <v>0.41522545512000003</v>
      </c>
      <c r="DI154" s="3">
        <f>$H154*factors!DC$3</f>
        <v>0.399603111264</v>
      </c>
      <c r="DJ154" s="3">
        <f>$H154*factors!DD$3</f>
        <v>0.42344774136000002</v>
      </c>
      <c r="DK154" s="3">
        <f>$H154*factors!DE$3</f>
        <v>0.42344774136000002</v>
      </c>
      <c r="DL154" s="3">
        <f>$H154*factors!DF$3</f>
        <v>0.41851436961600003</v>
      </c>
      <c r="DM154" s="3">
        <f>$H154*factors!DG$3</f>
        <v>0.39425862520799998</v>
      </c>
      <c r="DN154" s="3">
        <f>$H154*factors!DH$3</f>
        <v>0.41358099787200003</v>
      </c>
      <c r="DO154" s="3">
        <f>$H154*factors!DI$3</f>
        <v>0.42714777016799998</v>
      </c>
      <c r="DP154" s="3">
        <f>$H154*factors!DJ$3</f>
        <v>0.42344774136000002</v>
      </c>
      <c r="DQ154" s="3">
        <f>$H154*factors!DK$3</f>
        <v>0.40371425438399999</v>
      </c>
      <c r="DR154" s="3">
        <f>$H154*factors!DL$3</f>
        <v>0.39919199695200003</v>
      </c>
      <c r="DS154" s="3">
        <f>$H154*factors!DM$3</f>
        <v>0.43125891328799998</v>
      </c>
      <c r="DT154" s="3">
        <f>$H154*factors!DN$3</f>
        <v>0.40535871163200005</v>
      </c>
      <c r="DU154" s="3">
        <f>$H154*factors!DO$3</f>
        <v>0.42426996998400002</v>
      </c>
      <c r="DV154" s="3">
        <f>$H154*factors!DP$3</f>
        <v>0.41440322649600003</v>
      </c>
      <c r="DW154" s="3">
        <f>$H154*factors!DQ$3</f>
        <v>0.39549196814399995</v>
      </c>
      <c r="DX154" s="3">
        <f>$H154*factors!DR$3</f>
        <v>0.418925483928</v>
      </c>
      <c r="DY154" s="3">
        <f>$H154*factors!DS$3</f>
        <v>0.39754753970399997</v>
      </c>
      <c r="DZ154" s="3">
        <f>$H154*factors!DT$3</f>
        <v>0.42509219860799996</v>
      </c>
      <c r="EA154" s="3">
        <f>$H154*factors!DU$3</f>
        <v>0.40042533988799994</v>
      </c>
      <c r="EB154" s="3">
        <f>$H154*factors!DV$3</f>
        <v>0.39055859639999996</v>
      </c>
      <c r="EC154" s="3">
        <f>$H154*factors!DW$3</f>
        <v>0.42015882686399997</v>
      </c>
      <c r="ED154" s="3">
        <f>$H154*factors!DX$3</f>
        <v>0.39425862520799998</v>
      </c>
      <c r="EE154" s="3">
        <f>$H154*factors!DY$3</f>
        <v>0.39754753970399997</v>
      </c>
      <c r="EF154" s="3">
        <f>$H154*factors!DZ$3</f>
        <v>0.43125891328799998</v>
      </c>
      <c r="EG154" s="3">
        <f>$H154*factors!EA$3</f>
        <v>0.40289202575999999</v>
      </c>
      <c r="EH154" s="3">
        <f>$H154*factors!EB$3</f>
        <v>0.40412536869600002</v>
      </c>
      <c r="EI154" s="3">
        <f>$H154*factors!EC$3</f>
        <v>0.40330314007200002</v>
      </c>
      <c r="EJ154" s="3">
        <f>$H154*factors!ED$3</f>
        <v>0.39302528227200001</v>
      </c>
      <c r="EK154" s="3">
        <f>$H154*factors!EE$3</f>
        <v>0.42015882686399997</v>
      </c>
      <c r="EL154" s="3">
        <f>$H154*factors!EF$3</f>
        <v>0.399603111264</v>
      </c>
      <c r="EM154" s="3">
        <f>$H154*factors!EG$3</f>
        <v>0.41563656943199995</v>
      </c>
      <c r="EN154" s="3">
        <f>$H154*factors!EH$3</f>
        <v>0.39055859639999996</v>
      </c>
      <c r="EO154" s="3">
        <f>$H154*factors!EI$3</f>
        <v>0.39631419676799995</v>
      </c>
      <c r="EP154" s="3">
        <f>$H154*factors!EJ$3</f>
        <v>0.418103255304</v>
      </c>
      <c r="EQ154" s="3">
        <f>$H154*factors!EK$3</f>
        <v>0.40659205456799996</v>
      </c>
      <c r="ER154" s="3">
        <f>$H154*factors!EL$3</f>
        <v>0.42344774136000002</v>
      </c>
      <c r="ES154" s="3">
        <f>$H154*factors!EM$3</f>
        <v>0.418103255304</v>
      </c>
      <c r="ET154" s="3">
        <f>$H154*factors!EN$3</f>
        <v>0.42755888448000001</v>
      </c>
      <c r="EU154" s="3">
        <f>$H154*factors!EO$3</f>
        <v>0.43167002760000001</v>
      </c>
      <c r="EV154" s="3">
        <f>$H154*factors!EP$3</f>
        <v>0.40453648300799994</v>
      </c>
      <c r="EW154" s="3">
        <f>$H154*factors!EQ$3</f>
        <v>0.44494559392499994</v>
      </c>
      <c r="EX154" s="3">
        <f>$H154*factors!ER$3</f>
        <v>0.44023490910000007</v>
      </c>
      <c r="EY154" s="3">
        <f>$H154*factors!ES$3</f>
        <v>0.44922803467499994</v>
      </c>
      <c r="EZ154" s="3">
        <f>$H154*factors!ET$3</f>
        <v>0.44494559392499994</v>
      </c>
      <c r="FA154" s="3">
        <f>$H154*factors!EU$3</f>
        <v>0.40897309162499995</v>
      </c>
      <c r="FB154" s="3">
        <f>$H154*factors!EV$3</f>
        <v>0.42738758685000006</v>
      </c>
      <c r="FC154" s="3">
        <f>$H154*factors!EW$3</f>
        <v>0.43937842095000001</v>
      </c>
      <c r="FD154" s="3">
        <f>$H154*factors!EX$3</f>
        <v>0.42396163425000005</v>
      </c>
      <c r="FE154" s="3">
        <f>$H154*factors!EY$3</f>
        <v>0.446658570225</v>
      </c>
      <c r="FF154" s="3">
        <f>$H154*factors!EZ$3</f>
        <v>0.44708681430000008</v>
      </c>
      <c r="FG154" s="3">
        <f>$H154*factors!FA$3</f>
        <v>0.40897309162499995</v>
      </c>
      <c r="FH154" s="3">
        <f>$H154*factors!FB$3</f>
        <v>0.43038529537499998</v>
      </c>
      <c r="FI154" s="3">
        <f>$H154*factors!FC$3</f>
        <v>0.44837154652499994</v>
      </c>
      <c r="FJ154" s="3">
        <f>$H154*factors!FD$3</f>
        <v>0.43038529537499998</v>
      </c>
      <c r="FK154" s="3">
        <f>$H154*factors!FE$3</f>
        <v>0.43766544465000007</v>
      </c>
      <c r="FL154" s="3">
        <f>$H154*factors!FF$3</f>
        <v>0.43895017687500004</v>
      </c>
      <c r="FM154" s="3">
        <f>$H154*factors!FG$3</f>
        <v>0.44366086169999996</v>
      </c>
      <c r="FN154" s="3">
        <f>$H154*factors!FH$3</f>
        <v>0.41496850867500001</v>
      </c>
      <c r="FO154" s="3">
        <f>$H154*factors!FI$3</f>
        <v>0.44066315317499999</v>
      </c>
      <c r="FP154" s="3">
        <f>$H154*factors!FJ$3</f>
        <v>0.428244075</v>
      </c>
      <c r="FQ154" s="3">
        <f>$H154*factors!FK$3</f>
        <v>0.42396163425000005</v>
      </c>
      <c r="FR154" s="3">
        <f>$H154*factors!FL$3</f>
        <v>0.43252651575000001</v>
      </c>
      <c r="FS154" s="3">
        <f>$H154*factors!FM$3</f>
        <v>0.4299570513</v>
      </c>
      <c r="FT154" s="3">
        <f>$H154*factors!FN$3</f>
        <v>0.43937842095000001</v>
      </c>
      <c r="FU154" s="3">
        <f>$H154*factors!FO$3</f>
        <v>0.42224865794999999</v>
      </c>
      <c r="FV154" s="3">
        <f>$H154*factors!FP$3</f>
        <v>0.41882270534999999</v>
      </c>
      <c r="FW154" s="3">
        <f>$H154*factors!FQ$3</f>
        <v>0.44837154652499994</v>
      </c>
      <c r="FX154" s="3">
        <f>$H154*factors!FR$3</f>
        <v>0.44023490910000007</v>
      </c>
      <c r="FY154" s="3">
        <f>$H154*factors!FS$3</f>
        <v>0.43124178352499998</v>
      </c>
      <c r="FZ154" s="3">
        <f>$H154*factors!FT$3</f>
        <v>0.40982957977500001</v>
      </c>
      <c r="GA154" s="3">
        <f>$H154*factors!FU$3</f>
        <v>0.43124178352499998</v>
      </c>
      <c r="GB154" s="3">
        <f>$H154*factors!FV$3</f>
        <v>0.44708681430000008</v>
      </c>
      <c r="GC154" s="3">
        <f>$H154*factors!FW$3</f>
        <v>0.41882270534999999</v>
      </c>
      <c r="GD154" s="3">
        <f>$H154*factors!FX$3</f>
        <v>0.42610285462499997</v>
      </c>
      <c r="GE154" s="3">
        <f>$H154*factors!FY$3</f>
        <v>0.42610285462499997</v>
      </c>
      <c r="GF154" s="3">
        <f>$H154*factors!FZ$3</f>
        <v>0.4248181224</v>
      </c>
      <c r="GG154" s="3">
        <f>$H154*factors!GA$3</f>
        <v>0.40811660347500001</v>
      </c>
      <c r="GH154" s="3">
        <f>$H154*factors!GB$3</f>
        <v>0.43423949205000006</v>
      </c>
      <c r="GI154" s="3">
        <f>$H154*factors!GC$3</f>
        <v>0.40726011532500001</v>
      </c>
      <c r="GJ154" s="3">
        <f>$H154*factors!GD$3</f>
        <v>0.40811660347500001</v>
      </c>
      <c r="GK154" s="3">
        <f>$H154*factors!GE$3</f>
        <v>0.41839446127500002</v>
      </c>
      <c r="GL154" s="3">
        <f>$H154*factors!GF$3</f>
        <v>0.44323261762499999</v>
      </c>
      <c r="GM154" s="3">
        <f>$H154*factors!GG$3</f>
        <v>0.42010743757500002</v>
      </c>
      <c r="GN154" s="3">
        <f>$H154*factors!GH$3</f>
        <v>0.43338300390000006</v>
      </c>
      <c r="GO154" s="3">
        <f>$H154*factors!GI$3</f>
        <v>0.40940133569999998</v>
      </c>
      <c r="GP154" s="3">
        <f>$H154*factors!GJ$3</f>
        <v>0.43895017687500004</v>
      </c>
      <c r="GQ154" s="3">
        <f>$H154*factors!GK$3</f>
        <v>0.44794330245000008</v>
      </c>
      <c r="GR154" s="3">
        <f>$H154*factors!GL$3</f>
        <v>0.43937842095000001</v>
      </c>
      <c r="GS154" s="3">
        <f>$H154*factors!GM$3</f>
        <v>0.41551666109099999</v>
      </c>
      <c r="GT154" s="3">
        <f>$H154*factors!GN$3</f>
        <v>0.42508877265540002</v>
      </c>
      <c r="GU154" s="3">
        <f>$H154*factors!GO$3</f>
        <v>0.43509598020000001</v>
      </c>
      <c r="GV154" s="3">
        <f>$H154*factors!GP$3</f>
        <v>0.41769214099200003</v>
      </c>
      <c r="GW154" s="3">
        <f>$H154*factors!GQ$3</f>
        <v>0.43248540431880006</v>
      </c>
      <c r="GX154" s="3">
        <f>$H154*factors!GR$3</f>
        <v>0.42552386863559999</v>
      </c>
      <c r="GY154" s="3">
        <f>$H154*factors!GS$3</f>
        <v>0.42334838873460007</v>
      </c>
      <c r="GZ154" s="3">
        <f>$H154*factors!GT$3</f>
        <v>0.43901184402179999</v>
      </c>
      <c r="HA154" s="3">
        <f>$H154*factors!GU$3</f>
        <v>0.42465367667519999</v>
      </c>
      <c r="HB154" s="3">
        <f>$H154*factors!GV$3</f>
        <v>0.43901184402179999</v>
      </c>
      <c r="HC154" s="3">
        <f>$H154*factors!GW$3</f>
        <v>0.42813444451679999</v>
      </c>
      <c r="HD154" s="3">
        <f>$H154*factors!GX$3</f>
        <v>0.44075222794259994</v>
      </c>
      <c r="HE154" s="3">
        <f>$H154*factors!GY$3</f>
        <v>0.43509598020000001</v>
      </c>
      <c r="HF154" s="3">
        <f>$H154*factors!GZ$3</f>
        <v>0.44858395558620001</v>
      </c>
      <c r="HG154" s="3">
        <f>$H154*factors!HA$3</f>
        <v>0.43118011637820003</v>
      </c>
      <c r="HH154" s="3">
        <f>$H154*factors!HB$3</f>
        <v>0.42552386863559999</v>
      </c>
      <c r="HI154" s="3">
        <f>$H154*factors!HC$3</f>
        <v>0.42030271687320003</v>
      </c>
      <c r="HJ154" s="3">
        <f>$H154*factors!HD$3</f>
        <v>0.41551666109099999</v>
      </c>
      <c r="HK154" s="3">
        <f>$H154*factors!HE$3</f>
        <v>0.43944694000200002</v>
      </c>
      <c r="HL154" s="3">
        <f>$H154*factors!HF$3</f>
        <v>0.41421137315039996</v>
      </c>
      <c r="HM154" s="3">
        <f>$H154*factors!HG$3</f>
        <v>0.41856233295240003</v>
      </c>
      <c r="HN154" s="3">
        <f>$H154*factors!HH$3</f>
        <v>0.44640847568520003</v>
      </c>
      <c r="HO154" s="3">
        <f>$H154*factors!HI$3</f>
        <v>0.42813444451679999</v>
      </c>
      <c r="HP154" s="3">
        <f>$H154*factors!HJ$3</f>
        <v>0.45685077921000006</v>
      </c>
      <c r="HQ154" s="3">
        <f>$H154*factors!HK$3</f>
        <v>0.41769214099200003</v>
      </c>
      <c r="HR154" s="3">
        <f>$H154*factors!HL$3</f>
        <v>0.44292770784360008</v>
      </c>
      <c r="HS154" s="3">
        <f>$H154*factors!HM$3</f>
        <v>0.45075943548720004</v>
      </c>
      <c r="HT154" s="3">
        <f>$H154*factors!HN$3</f>
        <v>0.42030271687320003</v>
      </c>
      <c r="HU154" s="3">
        <f>$H154*factors!HO$3</f>
        <v>0.42465367667519999</v>
      </c>
      <c r="HV154" s="3">
        <f>$H154*factors!HP$3</f>
        <v>0.42987482843760005</v>
      </c>
      <c r="HW154" s="3">
        <f>$H154*factors!HQ$3</f>
        <v>0.43596617216040001</v>
      </c>
      <c r="HX154" s="3">
        <f>$H154*factors!HR$3</f>
        <v>0.45380510734859997</v>
      </c>
      <c r="HY154" s="3">
        <f>$H154*factors!HS$3</f>
        <v>0.43118011637820003</v>
      </c>
      <c r="HZ154" s="3">
        <f>$H154*factors!HT$3</f>
        <v>0.44771376362580001</v>
      </c>
      <c r="IA154" s="3">
        <f>$H154*factors!HU$3</f>
        <v>0.42595896461580002</v>
      </c>
      <c r="IB154" s="3">
        <f>$H154*factors!HV$3</f>
        <v>0.44075222794259994</v>
      </c>
      <c r="IC154" s="3">
        <f>$H154*factors!HW$3</f>
        <v>0.4451031877446</v>
      </c>
      <c r="ID154" s="3">
        <f>$H154*factors!HX$3</f>
        <v>0.41334118118999996</v>
      </c>
      <c r="IE154" s="3">
        <f>$H154*factors!HY$3</f>
        <v>0.43901184402179999</v>
      </c>
      <c r="IF154" s="3">
        <f>$H154*factors!HZ$3</f>
        <v>0.43640126814059998</v>
      </c>
      <c r="IG154" s="3">
        <f>$H154*factors!IA$3</f>
        <v>0.43248540431880006</v>
      </c>
      <c r="IH154" s="3">
        <f>$H154*factors!IB$3</f>
        <v>0.44858395558620001</v>
      </c>
      <c r="II154" s="3">
        <f>$H154*factors!IC$3</f>
        <v>0.42943973245740003</v>
      </c>
      <c r="IJ154" s="3">
        <f>$H154*factors!ID$3</f>
        <v>0.43335559627920001</v>
      </c>
      <c r="IK154" s="3">
        <f>$H154*factors!IE$3</f>
        <v>0.44901905156640004</v>
      </c>
      <c r="IL154" s="3">
        <f>$H154*factors!IF$3</f>
        <v>0.42987482843760005</v>
      </c>
      <c r="IM154" s="3">
        <f>$H154*factors!IG$3</f>
        <v>0.42595896461580002</v>
      </c>
      <c r="IN154" s="3">
        <f>$H154*factors!IH$3</f>
        <v>0.42856954049700002</v>
      </c>
      <c r="IO154" s="3">
        <f>$H154*factors!II$3</f>
        <v>0.43292050029899998</v>
      </c>
      <c r="IP154" s="3">
        <f>$H154*factors!IJ$3</f>
        <v>0.41856233295240003</v>
      </c>
      <c r="IQ154" s="3">
        <f>$H154*factors!IK$3</f>
        <v>0.4172570450118</v>
      </c>
      <c r="IR154" s="3">
        <f>$H154*factors!IL$3</f>
        <v>0.42943973245740003</v>
      </c>
      <c r="IS154" s="3">
        <f>$H154*factors!IM$3</f>
        <v>0.43292050029899998</v>
      </c>
      <c r="IT154" s="3">
        <f>$H154*factors!IN$3</f>
        <v>0.43596617216040001</v>
      </c>
      <c r="IU154" s="3">
        <f>$H154*factors!IO$3</f>
        <v>0.44553828372480003</v>
      </c>
      <c r="IV154" s="3">
        <f>$H154*factors!IP$3</f>
        <v>0.45119453146739996</v>
      </c>
      <c r="IW154" s="3">
        <f>$H154*factors!IQ$3</f>
        <v>0.42639406059599999</v>
      </c>
      <c r="IX154" s="3">
        <f>$H154*factors!IR$3</f>
        <v>0.44553828372480003</v>
      </c>
      <c r="IY154" s="3">
        <f>$H154*factors!IS$3</f>
        <v>0.43901184402179999</v>
      </c>
      <c r="IZ154" s="3">
        <f>$H154*factors!IT$3</f>
        <v>0.44640847568520003</v>
      </c>
      <c r="JA154" s="3">
        <f>$H154*factors!IU$3</f>
        <v>0.42160800481379995</v>
      </c>
      <c r="JB154" s="3">
        <f>$H154*factors!IV$3</f>
        <v>0.42943973245740003</v>
      </c>
      <c r="JC154" s="3">
        <f>$H154*factors!IW$3</f>
        <v>0.41943252491280003</v>
      </c>
      <c r="JD154" s="3">
        <f>$H154*factors!IX$3</f>
        <v>0.45685077921000006</v>
      </c>
      <c r="JE154" s="3">
        <f>$H154*factors!IY$3</f>
        <v>0.42073781285340001</v>
      </c>
      <c r="JF154" s="3">
        <f>$H154*factors!IZ$3</f>
        <v>0.44162241990299994</v>
      </c>
      <c r="JG154" s="3">
        <f>$H154*factors!JA$3</f>
        <v>0.43379069225939998</v>
      </c>
      <c r="JH154" s="3">
        <f>$H154*factors!JB$3</f>
        <v>0.44205751588320008</v>
      </c>
      <c r="JI154" s="3">
        <f>$H154*factors!JC$3</f>
        <v>0.41377627717020005</v>
      </c>
      <c r="JJ154" s="3">
        <f>$H154*factors!JD$3</f>
        <v>0.44553828372480003</v>
      </c>
      <c r="JK154" s="3">
        <f>$H154*factors!JE$3</f>
        <v>0.43118011637820003</v>
      </c>
      <c r="JL154" s="3">
        <f>$H154*factors!JF$3</f>
        <v>0.44858395558620001</v>
      </c>
      <c r="JM154" s="3">
        <f>$H154*factors!JG$3</f>
        <v>0.41856233295240003</v>
      </c>
      <c r="JN154" s="3">
        <f>$H154*factors!JH$3</f>
        <v>0.41856233295240003</v>
      </c>
      <c r="JO154" s="3">
        <f>$H154*factors!JI$3</f>
        <v>0.41334118118999996</v>
      </c>
      <c r="JP154" s="3">
        <f>$H154*factors!JJ$3</f>
        <v>0.44684357166540001</v>
      </c>
      <c r="JQ154" s="3">
        <f>$H154*factors!JK$3</f>
        <v>0.43553107618019998</v>
      </c>
      <c r="JR154" s="3">
        <f>$H154*factors!JL$3</f>
        <v>0.45249981940799999</v>
      </c>
      <c r="JS154" s="3">
        <f>$H154*factors!JM$3</f>
        <v>0.41334118118999996</v>
      </c>
      <c r="JT154" s="3">
        <f>$H154*factors!JN$3</f>
        <v>0.43422578823960001</v>
      </c>
      <c r="JU154" s="3">
        <f>$H154*factors!JO$3</f>
        <v>0.419867620893</v>
      </c>
      <c r="JV154" s="3">
        <f>$H154*factors!JP$3</f>
        <v>0.42682915657620002</v>
      </c>
      <c r="JW154" s="3">
        <f>$H154*factors!JQ$3</f>
        <v>0.45598058724960006</v>
      </c>
      <c r="JX154" s="3">
        <f>$H154*factors!JR$3</f>
        <v>0.45162962744759999</v>
      </c>
      <c r="JY154" s="3">
        <f>$H154*factors!JS$3</f>
        <v>0.42508877265540002</v>
      </c>
      <c r="JZ154" s="3">
        <f>$H154*factors!JT$3</f>
        <v>0.42987482843760005</v>
      </c>
      <c r="KA154" s="3">
        <f>$H154*factors!JU$3</f>
        <v>0.43161521235840006</v>
      </c>
      <c r="KB154" s="3">
        <f>$H154*factors!JV$3</f>
        <v>0.4172570450118</v>
      </c>
      <c r="KC154" s="3">
        <f>$H154*factors!JW$3</f>
        <v>0.41943252491280003</v>
      </c>
      <c r="KD154" s="3">
        <f>$H154*factors!JX$3</f>
        <v>0.419867620893</v>
      </c>
      <c r="KE154" s="3">
        <f>$H154*factors!JY$3</f>
        <v>0.44684357166540001</v>
      </c>
      <c r="KF154" s="3">
        <f>$H154*factors!JZ$3</f>
        <v>0.45206472342779996</v>
      </c>
      <c r="KG154" s="3">
        <f>$H154*factors!KA$3</f>
        <v>0.43596617216040001</v>
      </c>
      <c r="KH154" s="3">
        <f>$H154*factors!KB$3</f>
        <v>0.42639406059599999</v>
      </c>
      <c r="KI154" s="3">
        <f>$H154*factors!KC$3</f>
        <v>0.42247819677419995</v>
      </c>
    </row>
    <row r="155" spans="1:295" x14ac:dyDescent="0.55000000000000004">
      <c r="A155" t="s">
        <v>532</v>
      </c>
      <c r="B155">
        <v>154</v>
      </c>
      <c r="C155">
        <v>500</v>
      </c>
      <c r="D155" t="s">
        <v>377</v>
      </c>
      <c r="E155">
        <v>8.4639999999999993E-3</v>
      </c>
      <c r="F155">
        <v>154</v>
      </c>
      <c r="G155">
        <f>VLOOKUP(D155,demand_forecasted!$A$2:$G$11,2)</f>
        <v>11098</v>
      </c>
      <c r="H155" s="3">
        <f t="shared" si="3"/>
        <v>0.93933471999999996</v>
      </c>
      <c r="I155" s="3">
        <f>$H155*factors!C$3</f>
        <v>1.0398435350399999</v>
      </c>
      <c r="J155" s="3">
        <f>$H155*factors!D$3</f>
        <v>1.0023077196287999</v>
      </c>
      <c r="K155" s="3">
        <f>$H155*factors!E$3</f>
        <v>0.98506153416959996</v>
      </c>
      <c r="L155" s="3">
        <f>$H155*factors!F$3</f>
        <v>0.98201808967680004</v>
      </c>
      <c r="M155" s="3">
        <f>$H155*factors!G$3</f>
        <v>0.98100360817919996</v>
      </c>
      <c r="N155" s="3">
        <f>$H155*factors!H$3</f>
        <v>1.0094090901119999</v>
      </c>
      <c r="O155" s="3">
        <f>$H155*factors!I$3</f>
        <v>1.0317276830591999</v>
      </c>
      <c r="P155" s="3">
        <f>$H155*factors!J$3</f>
        <v>1.0439014610304</v>
      </c>
      <c r="Q155" s="3">
        <f>$H155*factors!K$3</f>
        <v>0.97998912668159999</v>
      </c>
      <c r="R155" s="3">
        <f>$H155*factors!L$3</f>
        <v>0.96375742271999998</v>
      </c>
      <c r="S155" s="3">
        <f>$H155*factors!M$3</f>
        <v>1.0033222011263998</v>
      </c>
      <c r="T155" s="3">
        <f>$H155*factors!N$3</f>
        <v>1.0378145720448</v>
      </c>
      <c r="U155" s="3">
        <f>$H155*factors!O$3</f>
        <v>0.98303257117440002</v>
      </c>
      <c r="V155" s="3">
        <f>$H155*factors!P$3</f>
        <v>1.0225973495808001</v>
      </c>
      <c r="W155" s="3">
        <f>$H155*factors!Q$3</f>
        <v>1.0317276830591999</v>
      </c>
      <c r="X155" s="3">
        <f>$H155*factors!R$3</f>
        <v>0.98709049716479991</v>
      </c>
      <c r="Y155" s="3">
        <f>$H155*factors!S$3</f>
        <v>0.97796016368640004</v>
      </c>
      <c r="Z155" s="3">
        <f>$H155*factors!T$3</f>
        <v>1.0550607575040001</v>
      </c>
      <c r="AA155" s="3">
        <f>$H155*factors!U$3</f>
        <v>0.99622083064319988</v>
      </c>
      <c r="AB155" s="3">
        <f>$H155*factors!V$3</f>
        <v>0.99723531214080008</v>
      </c>
      <c r="AC155" s="3">
        <f>$H155*factors!W$3</f>
        <v>0.99824979363840005</v>
      </c>
      <c r="AD155" s="3">
        <f>$H155*factors!X$3</f>
        <v>0.97694568218880007</v>
      </c>
      <c r="AE155" s="3">
        <f>$H155*factors!Y$3</f>
        <v>0.98506153416959996</v>
      </c>
      <c r="AF155" s="3">
        <f>$H155*factors!Z$3</f>
        <v>1.0053511641216</v>
      </c>
      <c r="AG155" s="3">
        <f>$H155*factors!AA$3</f>
        <v>0.97998912668159999</v>
      </c>
      <c r="AH155" s="3">
        <f>$H155*factors!AB$3</f>
        <v>0.9759312006912001</v>
      </c>
      <c r="AI155" s="3">
        <f>$H155*factors!AC$3</f>
        <v>1.0073801271167999</v>
      </c>
      <c r="AJ155" s="3">
        <f>$H155*factors!AD$3</f>
        <v>1.0459304240256</v>
      </c>
      <c r="AK155" s="3">
        <f>$H155*factors!AE$3</f>
        <v>1.0063656456192001</v>
      </c>
      <c r="AL155" s="3">
        <f>$H155*factors!AF$3</f>
        <v>0.9668008672127999</v>
      </c>
      <c r="AM155" s="3">
        <f>$H155*factors!AG$3</f>
        <v>0.99419186764799994</v>
      </c>
      <c r="AN155" s="3">
        <f>$H155*factors!AH$3</f>
        <v>0.97796016368640004</v>
      </c>
      <c r="AO155" s="3">
        <f>$H155*factors!AI$3</f>
        <v>1.024626312576</v>
      </c>
      <c r="AP155" s="3">
        <f>$H155*factors!AJ$3</f>
        <v>0.98201808967680004</v>
      </c>
      <c r="AQ155" s="3">
        <f>$H155*factors!AK$3</f>
        <v>1.0134670161024</v>
      </c>
      <c r="AR155" s="3">
        <f>$H155*factors!AL$3</f>
        <v>0.99114842315520002</v>
      </c>
      <c r="AS155" s="3">
        <f>$H155*factors!AM$3</f>
        <v>0.9668008672127999</v>
      </c>
      <c r="AT155" s="3">
        <f>$H155*factors!AN$3</f>
        <v>0.99723531214080008</v>
      </c>
      <c r="AU155" s="3">
        <f>$H155*factors!AO$3</f>
        <v>1.0560752390015999</v>
      </c>
      <c r="AV155" s="3">
        <f>$H155*factors!AP$3</f>
        <v>0.99824979363840005</v>
      </c>
      <c r="AW155" s="3">
        <f>$H155*factors!AQ$3</f>
        <v>0.98810497866239988</v>
      </c>
      <c r="AX155" s="3">
        <f>$H155*factors!AR$3</f>
        <v>1.0449159425279999</v>
      </c>
      <c r="AY155" s="3">
        <f>$H155*factors!AS$3</f>
        <v>0.96375742271999998</v>
      </c>
      <c r="AZ155" s="3">
        <f>$H155*factors!AT$3</f>
        <v>1.0327421645568002</v>
      </c>
      <c r="BA155" s="3">
        <f>$H155*factors!AU$3</f>
        <v>1.0104235716095999</v>
      </c>
      <c r="BB155" s="3">
        <f>$H155*factors!AV$3</f>
        <v>0.99723531214080008</v>
      </c>
      <c r="BC155" s="3">
        <f>$H155*factors!AW$3</f>
        <v>1.0550607575040001</v>
      </c>
      <c r="BD155" s="3">
        <f>$H155*factors!AX$3</f>
        <v>0.97390223769599993</v>
      </c>
      <c r="BE155" s="3">
        <f>$H155*factors!AY$3</f>
        <v>1.1449926635968</v>
      </c>
      <c r="BF155" s="3">
        <f>$H155*factors!AZ$3</f>
        <v>1.0662952007551998</v>
      </c>
      <c r="BG155" s="3">
        <f>$H155*factors!BA$3</f>
        <v>1.0818130103295998</v>
      </c>
      <c r="BH155" s="3">
        <f>$H155*factors!BB$3</f>
        <v>1.0962224049343998</v>
      </c>
      <c r="BI155" s="3">
        <f>$H155*factors!BC$3</f>
        <v>1.1361253438399999</v>
      </c>
      <c r="BJ155" s="3">
        <f>$H155*factors!BD$3</f>
        <v>1.0851382552383999</v>
      </c>
      <c r="BK155" s="3">
        <f>$H155*factors!BE$3</f>
        <v>1.0873550851775997</v>
      </c>
      <c r="BL155" s="3">
        <f>$H155*factors!BF$3</f>
        <v>1.0751625205119999</v>
      </c>
      <c r="BM155" s="3">
        <f>$H155*factors!BG$3</f>
        <v>1.1483179085055999</v>
      </c>
      <c r="BN155" s="3">
        <f>$H155*factors!BH$3</f>
        <v>1.1339085139007998</v>
      </c>
      <c r="BO155" s="3">
        <f>$H155*factors!BI$3</f>
        <v>1.0662952007551998</v>
      </c>
      <c r="BP155" s="3">
        <f>$H155*factors!BJ$3</f>
        <v>1.0629699558463999</v>
      </c>
      <c r="BQ155" s="3">
        <f>$H155*factors!BK$3</f>
        <v>1.0807045953599999</v>
      </c>
      <c r="BR155" s="3">
        <f>$H155*factors!BL$3</f>
        <v>1.119499119296</v>
      </c>
      <c r="BS155" s="3">
        <f>$H155*factors!BM$3</f>
        <v>1.1372337588096</v>
      </c>
      <c r="BT155" s="3">
        <f>$H155*factors!BN$3</f>
        <v>1.1405590037183999</v>
      </c>
      <c r="BU155" s="3">
        <f>$H155*factors!BO$3</f>
        <v>1.1594020582016</v>
      </c>
      <c r="BV155" s="3">
        <f>$H155*factors!BP$3</f>
        <v>1.0784877654207998</v>
      </c>
      <c r="BW155" s="3">
        <f>$H155*factors!BQ$3</f>
        <v>1.1028728947519999</v>
      </c>
      <c r="BX155" s="3">
        <f>$H155*factors!BR$3</f>
        <v>1.0818130103295998</v>
      </c>
      <c r="BY155" s="3">
        <f>$H155*factors!BS$3</f>
        <v>1.1316916839615998</v>
      </c>
      <c r="BZ155" s="3">
        <f>$H155*factors!BT$3</f>
        <v>1.1106317995391999</v>
      </c>
      <c r="CA155" s="3">
        <f>$H155*factors!BU$3</f>
        <v>1.0962224049343998</v>
      </c>
      <c r="CB155" s="3">
        <f>$H155*factors!BV$3</f>
        <v>1.0607531259071998</v>
      </c>
      <c r="CC155" s="3">
        <f>$H155*factors!BW$3</f>
        <v>1.0917887450559998</v>
      </c>
      <c r="CD155" s="3">
        <f>$H155*factors!BX$3</f>
        <v>1.0951139899647999</v>
      </c>
      <c r="CE155" s="3">
        <f>$H155*factors!BY$3</f>
        <v>1.1106317995391999</v>
      </c>
      <c r="CF155" s="3">
        <f>$H155*factors!BZ$3</f>
        <v>1.0940055749952</v>
      </c>
      <c r="CG155" s="3">
        <f>$H155*factors!CA$3</f>
        <v>1.0574278809983997</v>
      </c>
      <c r="CH155" s="3">
        <f>$H155*factors!CB$3</f>
        <v>1.0585362959679998</v>
      </c>
      <c r="CI155" s="3">
        <f>$H155*factors!CC$3</f>
        <v>1.0529942211199999</v>
      </c>
      <c r="CJ155" s="3">
        <f>$H155*factors!CD$3</f>
        <v>1.0962224049343998</v>
      </c>
      <c r="CK155" s="3">
        <f>$H155*factors!CE$3</f>
        <v>1.1449926635968</v>
      </c>
      <c r="CL155" s="3">
        <f>$H155*factors!CF$3</f>
        <v>1.0729456905727999</v>
      </c>
      <c r="CM155" s="3">
        <f>$H155*factors!CG$3</f>
        <v>1.0984392348735998</v>
      </c>
      <c r="CN155" s="3">
        <f>$H155*factors!CH$3</f>
        <v>1.0618615408767997</v>
      </c>
      <c r="CO155" s="3">
        <f>$H155*factors!CI$3</f>
        <v>1.0696204456639997</v>
      </c>
      <c r="CP155" s="3">
        <f>$H155*factors!CJ$3</f>
        <v>1.1206075342655997</v>
      </c>
      <c r="CQ155" s="3">
        <f>$H155*factors!CK$3</f>
        <v>1.0873550851775997</v>
      </c>
      <c r="CR155" s="3">
        <f>$H155*factors!CL$3</f>
        <v>1.1217159492351998</v>
      </c>
      <c r="CS155" s="3">
        <f>$H155*factors!CM$3</f>
        <v>1.1571852282623998</v>
      </c>
      <c r="CT155" s="3">
        <f>$H155*factors!CN$3</f>
        <v>1.1438842486271998</v>
      </c>
      <c r="CU155" s="3">
        <f>$H155*factors!CO$3</f>
        <v>1.1183907043263996</v>
      </c>
      <c r="CV155" s="3">
        <f>$H155*factors!CP$3</f>
        <v>1.1638357180799999</v>
      </c>
      <c r="CW155" s="3">
        <f>$H155*factors!CQ$3</f>
        <v>1.1006560648127999</v>
      </c>
      <c r="CX155" s="3">
        <f>$H155*factors!CR$3</f>
        <v>1.0840298402688</v>
      </c>
      <c r="CY155" s="3">
        <f>$H155*factors!CS$3</f>
        <v>1.0740541055423998</v>
      </c>
      <c r="CZ155" s="3">
        <f>$H155*factors!CT$3</f>
        <v>1.0585362959679998</v>
      </c>
      <c r="DA155" s="3">
        <f>$H155*factors!CU$3</f>
        <v>1.0990216223999998</v>
      </c>
      <c r="DB155" s="3">
        <f>$H155*factors!CV$3</f>
        <v>1.1700353272319999</v>
      </c>
      <c r="DC155" s="3">
        <f>$H155*factors!CW$3</f>
        <v>1.1204384540159997</v>
      </c>
      <c r="DD155" s="3">
        <f>$H155*factors!CX$3</f>
        <v>1.1125480423679999</v>
      </c>
      <c r="DE155" s="3">
        <f>$H155*factors!CY$3</f>
        <v>1.145236890624</v>
      </c>
      <c r="DF155" s="3">
        <f>$H155*factors!CZ$3</f>
        <v>1.1429824872959999</v>
      </c>
      <c r="DG155" s="3">
        <f>$H155*factors!DA$3</f>
        <v>1.13847368064</v>
      </c>
      <c r="DH155" s="3">
        <f>$H155*factors!DB$3</f>
        <v>1.13847368064</v>
      </c>
      <c r="DI155" s="3">
        <f>$H155*factors!DC$3</f>
        <v>1.0956400174079999</v>
      </c>
      <c r="DJ155" s="3">
        <f>$H155*factors!DD$3</f>
        <v>1.16101771392</v>
      </c>
      <c r="DK155" s="3">
        <f>$H155*factors!DE$3</f>
        <v>1.16101771392</v>
      </c>
      <c r="DL155" s="3">
        <f>$H155*factors!DF$3</f>
        <v>1.1474912939519999</v>
      </c>
      <c r="DM155" s="3">
        <f>$H155*factors!DG$3</f>
        <v>1.0809863957759998</v>
      </c>
      <c r="DN155" s="3">
        <f>$H155*factors!DH$3</f>
        <v>1.133964873984</v>
      </c>
      <c r="DO155" s="3">
        <f>$H155*factors!DI$3</f>
        <v>1.1711625288959999</v>
      </c>
      <c r="DP155" s="3">
        <f>$H155*factors!DJ$3</f>
        <v>1.16101771392</v>
      </c>
      <c r="DQ155" s="3">
        <f>$H155*factors!DK$3</f>
        <v>1.1069120340479999</v>
      </c>
      <c r="DR155" s="3">
        <f>$H155*factors!DL$3</f>
        <v>1.0945128157440001</v>
      </c>
      <c r="DS155" s="3">
        <f>$H155*factors!DM$3</f>
        <v>1.1824345455359999</v>
      </c>
      <c r="DT155" s="3">
        <f>$H155*factors!DN$3</f>
        <v>1.111420840704</v>
      </c>
      <c r="DU155" s="3">
        <f>$H155*factors!DO$3</f>
        <v>1.1632721172479998</v>
      </c>
      <c r="DV155" s="3">
        <f>$H155*factors!DP$3</f>
        <v>1.1362192773119999</v>
      </c>
      <c r="DW155" s="3">
        <f>$H155*factors!DQ$3</f>
        <v>1.0843680007679999</v>
      </c>
      <c r="DX155" s="3">
        <f>$H155*factors!DR$3</f>
        <v>1.1486184956159999</v>
      </c>
      <c r="DY155" s="3">
        <f>$H155*factors!DS$3</f>
        <v>1.0900040090879999</v>
      </c>
      <c r="DZ155" s="3">
        <f>$H155*factors!DT$3</f>
        <v>1.1655265205759999</v>
      </c>
      <c r="EA155" s="3">
        <f>$H155*factors!DU$3</f>
        <v>1.0978944207359997</v>
      </c>
      <c r="EB155" s="3">
        <f>$H155*factors!DV$3</f>
        <v>1.0708415807999998</v>
      </c>
      <c r="EC155" s="3">
        <f>$H155*factors!DW$3</f>
        <v>1.1520001006079998</v>
      </c>
      <c r="ED155" s="3">
        <f>$H155*factors!DX$3</f>
        <v>1.0809863957759998</v>
      </c>
      <c r="EE155" s="3">
        <f>$H155*factors!DY$3</f>
        <v>1.0900040090879999</v>
      </c>
      <c r="EF155" s="3">
        <f>$H155*factors!DZ$3</f>
        <v>1.1824345455359999</v>
      </c>
      <c r="EG155" s="3">
        <f>$H155*factors!EA$3</f>
        <v>1.1046576307199998</v>
      </c>
      <c r="EH155" s="3">
        <f>$H155*factors!EB$3</f>
        <v>1.1080392357119999</v>
      </c>
      <c r="EI155" s="3">
        <f>$H155*factors!EC$3</f>
        <v>1.105784832384</v>
      </c>
      <c r="EJ155" s="3">
        <f>$H155*factors!ED$3</f>
        <v>1.0776047907839998</v>
      </c>
      <c r="EK155" s="3">
        <f>$H155*factors!EE$3</f>
        <v>1.1520001006079998</v>
      </c>
      <c r="EL155" s="3">
        <f>$H155*factors!EF$3</f>
        <v>1.0956400174079999</v>
      </c>
      <c r="EM155" s="3">
        <f>$H155*factors!EG$3</f>
        <v>1.1396008823039998</v>
      </c>
      <c r="EN155" s="3">
        <f>$H155*factors!EH$3</f>
        <v>1.0708415807999998</v>
      </c>
      <c r="EO155" s="3">
        <f>$H155*factors!EI$3</f>
        <v>1.0866224040959997</v>
      </c>
      <c r="EP155" s="3">
        <f>$H155*factors!EJ$3</f>
        <v>1.1463640922879998</v>
      </c>
      <c r="EQ155" s="3">
        <f>$H155*factors!EK$3</f>
        <v>1.1148024456959997</v>
      </c>
      <c r="ER155" s="3">
        <f>$H155*factors!EL$3</f>
        <v>1.16101771392</v>
      </c>
      <c r="ES155" s="3">
        <f>$H155*factors!EM$3</f>
        <v>1.1463640922879998</v>
      </c>
      <c r="ET155" s="3">
        <f>$H155*factors!EN$3</f>
        <v>1.17228973056</v>
      </c>
      <c r="EU155" s="3">
        <f>$H155*factors!EO$3</f>
        <v>1.1835617472</v>
      </c>
      <c r="EV155" s="3">
        <f>$H155*factors!EP$3</f>
        <v>1.1091664373759997</v>
      </c>
      <c r="EW155" s="3">
        <f>$H155*factors!EQ$3</f>
        <v>1.2199609675999998</v>
      </c>
      <c r="EX155" s="3">
        <f>$H155*factors!ER$3</f>
        <v>1.2070451152000001</v>
      </c>
      <c r="EY155" s="3">
        <f>$H155*factors!ES$3</f>
        <v>1.2317026515999998</v>
      </c>
      <c r="EZ155" s="3">
        <f>$H155*factors!ET$3</f>
        <v>1.2199609675999998</v>
      </c>
      <c r="FA155" s="3">
        <f>$H155*factors!EU$3</f>
        <v>1.1213308219999998</v>
      </c>
      <c r="FB155" s="3">
        <f>$H155*factors!EV$3</f>
        <v>1.1718200632</v>
      </c>
      <c r="FC155" s="3">
        <f>$H155*factors!EW$3</f>
        <v>1.2046967784</v>
      </c>
      <c r="FD155" s="3">
        <f>$H155*factors!EX$3</f>
        <v>1.1624267159999999</v>
      </c>
      <c r="FE155" s="3">
        <f>$H155*factors!EY$3</f>
        <v>1.2246576411999999</v>
      </c>
      <c r="FF155" s="3">
        <f>$H155*factors!EZ$3</f>
        <v>1.2258318096</v>
      </c>
      <c r="FG155" s="3">
        <f>$H155*factors!FA$3</f>
        <v>1.1213308219999998</v>
      </c>
      <c r="FH155" s="3">
        <f>$H155*factors!FB$3</f>
        <v>1.1800392419999999</v>
      </c>
      <c r="FI155" s="3">
        <f>$H155*factors!FC$3</f>
        <v>1.2293543147999999</v>
      </c>
      <c r="FJ155" s="3">
        <f>$H155*factors!FD$3</f>
        <v>1.1800392419999999</v>
      </c>
      <c r="FK155" s="3">
        <f>$H155*factors!FE$3</f>
        <v>1.2000001048</v>
      </c>
      <c r="FL155" s="3">
        <f>$H155*factors!FF$3</f>
        <v>1.20352261</v>
      </c>
      <c r="FM155" s="3">
        <f>$H155*factors!FG$3</f>
        <v>1.2164384624</v>
      </c>
      <c r="FN155" s="3">
        <f>$H155*factors!FH$3</f>
        <v>1.1377691795999998</v>
      </c>
      <c r="FO155" s="3">
        <f>$H155*factors!FI$3</f>
        <v>1.2082192835999999</v>
      </c>
      <c r="FP155" s="3">
        <f>$H155*factors!FJ$3</f>
        <v>1.1741683999999999</v>
      </c>
      <c r="FQ155" s="3">
        <f>$H155*factors!FK$3</f>
        <v>1.1624267159999999</v>
      </c>
      <c r="FR155" s="3">
        <f>$H155*factors!FL$3</f>
        <v>1.1859100839999999</v>
      </c>
      <c r="FS155" s="3">
        <f>$H155*factors!FM$3</f>
        <v>1.1788650735999999</v>
      </c>
      <c r="FT155" s="3">
        <f>$H155*factors!FN$3</f>
        <v>1.2046967784</v>
      </c>
      <c r="FU155" s="3">
        <f>$H155*factors!FO$3</f>
        <v>1.1577300423999999</v>
      </c>
      <c r="FV155" s="3">
        <f>$H155*factors!FP$3</f>
        <v>1.1483366951999998</v>
      </c>
      <c r="FW155" s="3">
        <f>$H155*factors!FQ$3</f>
        <v>1.2293543147999999</v>
      </c>
      <c r="FX155" s="3">
        <f>$H155*factors!FR$3</f>
        <v>1.2070451152000001</v>
      </c>
      <c r="FY155" s="3">
        <f>$H155*factors!FS$3</f>
        <v>1.1823875787999998</v>
      </c>
      <c r="FZ155" s="3">
        <f>$H155*factors!FT$3</f>
        <v>1.1236791587999999</v>
      </c>
      <c r="GA155" s="3">
        <f>$H155*factors!FU$3</f>
        <v>1.1823875787999998</v>
      </c>
      <c r="GB155" s="3">
        <f>$H155*factors!FV$3</f>
        <v>1.2258318096</v>
      </c>
      <c r="GC155" s="3">
        <f>$H155*factors!FW$3</f>
        <v>1.1483366951999998</v>
      </c>
      <c r="GD155" s="3">
        <f>$H155*factors!FX$3</f>
        <v>1.1682975579999999</v>
      </c>
      <c r="GE155" s="3">
        <f>$H155*factors!FY$3</f>
        <v>1.1682975579999999</v>
      </c>
      <c r="GF155" s="3">
        <f>$H155*factors!FZ$3</f>
        <v>1.1647750528</v>
      </c>
      <c r="GG155" s="3">
        <f>$H155*factors!GA$3</f>
        <v>1.1189824851999999</v>
      </c>
      <c r="GH155" s="3">
        <f>$H155*factors!GB$3</f>
        <v>1.1906067576000001</v>
      </c>
      <c r="GI155" s="3">
        <f>$H155*factors!GC$3</f>
        <v>1.1166341484</v>
      </c>
      <c r="GJ155" s="3">
        <f>$H155*factors!GD$3</f>
        <v>1.1189824851999999</v>
      </c>
      <c r="GK155" s="3">
        <f>$H155*factors!GE$3</f>
        <v>1.1471625267999999</v>
      </c>
      <c r="GL155" s="3">
        <f>$H155*factors!GF$3</f>
        <v>1.2152642939999998</v>
      </c>
      <c r="GM155" s="3">
        <f>$H155*factors!GG$3</f>
        <v>1.1518592003999999</v>
      </c>
      <c r="GN155" s="3">
        <f>$H155*factors!GH$3</f>
        <v>1.1882584208</v>
      </c>
      <c r="GO155" s="3">
        <f>$H155*factors!GI$3</f>
        <v>1.1225049903999997</v>
      </c>
      <c r="GP155" s="3">
        <f>$H155*factors!GJ$3</f>
        <v>1.20352261</v>
      </c>
      <c r="GQ155" s="3">
        <f>$H155*factors!GK$3</f>
        <v>1.2281801464</v>
      </c>
      <c r="GR155" s="3">
        <f>$H155*factors!GL$3</f>
        <v>1.2046967784</v>
      </c>
      <c r="GS155" s="3">
        <f>$H155*factors!GM$3</f>
        <v>1.139272115152</v>
      </c>
      <c r="GT155" s="3">
        <f>$H155*factors!GN$3</f>
        <v>1.1655171272288001</v>
      </c>
      <c r="GU155" s="3">
        <f>$H155*factors!GO$3</f>
        <v>1.1929550944</v>
      </c>
      <c r="GV155" s="3">
        <f>$H155*factors!GP$3</f>
        <v>1.145236890624</v>
      </c>
      <c r="GW155" s="3">
        <f>$H155*factors!GQ$3</f>
        <v>1.1857973638335999</v>
      </c>
      <c r="GX155" s="3">
        <f>$H155*factors!GR$3</f>
        <v>1.1667100823231999</v>
      </c>
      <c r="GY155" s="3">
        <f>$H155*factors!GS$3</f>
        <v>1.1607453068511999</v>
      </c>
      <c r="GZ155" s="3">
        <f>$H155*factors!GT$3</f>
        <v>1.2036916902495998</v>
      </c>
      <c r="HA155" s="3">
        <f>$H155*factors!GU$3</f>
        <v>1.1643241721344</v>
      </c>
      <c r="HB155" s="3">
        <f>$H155*factors!GV$3</f>
        <v>1.2036916902495998</v>
      </c>
      <c r="HC155" s="3">
        <f>$H155*factors!GW$3</f>
        <v>1.1738678128895998</v>
      </c>
      <c r="HD155" s="3">
        <f>$H155*factors!GX$3</f>
        <v>1.2084635106271997</v>
      </c>
      <c r="HE155" s="3">
        <f>$H155*factors!GY$3</f>
        <v>1.1929550944</v>
      </c>
      <c r="HF155" s="3">
        <f>$H155*factors!GZ$3</f>
        <v>1.2299367023263998</v>
      </c>
      <c r="HG155" s="3">
        <f>$H155*factors!HA$3</f>
        <v>1.1822184985503998</v>
      </c>
      <c r="HH155" s="3">
        <f>$H155*factors!HB$3</f>
        <v>1.1667100823231999</v>
      </c>
      <c r="HI155" s="3">
        <f>$H155*factors!HC$3</f>
        <v>1.1523946211903999</v>
      </c>
      <c r="HJ155" s="3">
        <f>$H155*factors!HD$3</f>
        <v>1.139272115152</v>
      </c>
      <c r="HK155" s="3">
        <f>$H155*factors!HE$3</f>
        <v>1.2048846453439999</v>
      </c>
      <c r="HL155" s="3">
        <f>$H155*factors!HF$3</f>
        <v>1.1356932498687999</v>
      </c>
      <c r="HM155" s="3">
        <f>$H155*factors!HG$3</f>
        <v>1.1476228008128</v>
      </c>
      <c r="HN155" s="3">
        <f>$H155*factors!HH$3</f>
        <v>1.2239719268544</v>
      </c>
      <c r="HO155" s="3">
        <f>$H155*factors!HI$3</f>
        <v>1.1738678128895998</v>
      </c>
      <c r="HP155" s="3">
        <f>$H155*factors!HJ$3</f>
        <v>1.2526028491200001</v>
      </c>
      <c r="HQ155" s="3">
        <f>$H155*factors!HK$3</f>
        <v>1.145236890624</v>
      </c>
      <c r="HR155" s="3">
        <f>$H155*factors!HL$3</f>
        <v>1.2144282860991999</v>
      </c>
      <c r="HS155" s="3">
        <f>$H155*factors!HM$3</f>
        <v>1.2359014777983999</v>
      </c>
      <c r="HT155" s="3">
        <f>$H155*factors!HN$3</f>
        <v>1.1523946211903999</v>
      </c>
      <c r="HU155" s="3">
        <f>$H155*factors!HO$3</f>
        <v>1.1643241721344</v>
      </c>
      <c r="HV155" s="3">
        <f>$H155*factors!HP$3</f>
        <v>1.1786396332672</v>
      </c>
      <c r="HW155" s="3">
        <f>$H155*factors!HQ$3</f>
        <v>1.1953410045888</v>
      </c>
      <c r="HX155" s="3">
        <f>$H155*factors!HR$3</f>
        <v>1.2442521634591999</v>
      </c>
      <c r="HY155" s="3">
        <f>$H155*factors!HS$3</f>
        <v>1.1822184985503998</v>
      </c>
      <c r="HZ155" s="3">
        <f>$H155*factors!HT$3</f>
        <v>1.2275507921375999</v>
      </c>
      <c r="IA155" s="3">
        <f>$H155*factors!HU$3</f>
        <v>1.1679030374176</v>
      </c>
      <c r="IB155" s="3">
        <f>$H155*factors!HV$3</f>
        <v>1.2084635106271997</v>
      </c>
      <c r="IC155" s="3">
        <f>$H155*factors!HW$3</f>
        <v>1.2203930615712</v>
      </c>
      <c r="ID155" s="3">
        <f>$H155*factors!HX$3</f>
        <v>1.13330733968</v>
      </c>
      <c r="IE155" s="3">
        <f>$H155*factors!HY$3</f>
        <v>1.2036916902495998</v>
      </c>
      <c r="IF155" s="3">
        <f>$H155*factors!HZ$3</f>
        <v>1.1965339596831999</v>
      </c>
      <c r="IG155" s="3">
        <f>$H155*factors!IA$3</f>
        <v>1.1857973638335999</v>
      </c>
      <c r="IH155" s="3">
        <f>$H155*factors!IB$3</f>
        <v>1.2299367023263998</v>
      </c>
      <c r="II155" s="3">
        <f>$H155*factors!IC$3</f>
        <v>1.1774466781727999</v>
      </c>
      <c r="IJ155" s="3">
        <f>$H155*factors!ID$3</f>
        <v>1.1881832740224001</v>
      </c>
      <c r="IK155" s="3">
        <f>$H155*factors!IE$3</f>
        <v>1.2311296574207999</v>
      </c>
      <c r="IL155" s="3">
        <f>$H155*factors!IF$3</f>
        <v>1.1786396332672</v>
      </c>
      <c r="IM155" s="3">
        <f>$H155*factors!IG$3</f>
        <v>1.1679030374176</v>
      </c>
      <c r="IN155" s="3">
        <f>$H155*factors!IH$3</f>
        <v>1.1750607679839999</v>
      </c>
      <c r="IO155" s="3">
        <f>$H155*factors!II$3</f>
        <v>1.186990318928</v>
      </c>
      <c r="IP155" s="3">
        <f>$H155*factors!IJ$3</f>
        <v>1.1476228008128</v>
      </c>
      <c r="IQ155" s="3">
        <f>$H155*factors!IK$3</f>
        <v>1.1440439355295999</v>
      </c>
      <c r="IR155" s="3">
        <f>$H155*factors!IL$3</f>
        <v>1.1774466781727999</v>
      </c>
      <c r="IS155" s="3">
        <f>$H155*factors!IM$3</f>
        <v>1.186990318928</v>
      </c>
      <c r="IT155" s="3">
        <f>$H155*factors!IN$3</f>
        <v>1.1953410045888</v>
      </c>
      <c r="IU155" s="3">
        <f>$H155*factors!IO$3</f>
        <v>1.2215860166656001</v>
      </c>
      <c r="IV155" s="3">
        <f>$H155*factors!IP$3</f>
        <v>1.2370944328927997</v>
      </c>
      <c r="IW155" s="3">
        <f>$H155*factors!IQ$3</f>
        <v>1.1690959925119999</v>
      </c>
      <c r="IX155" s="3">
        <f>$H155*factors!IR$3</f>
        <v>1.2215860166656001</v>
      </c>
      <c r="IY155" s="3">
        <f>$H155*factors!IS$3</f>
        <v>1.2036916902495998</v>
      </c>
      <c r="IZ155" s="3">
        <f>$H155*factors!IT$3</f>
        <v>1.2239719268544</v>
      </c>
      <c r="JA155" s="3">
        <f>$H155*factors!IU$3</f>
        <v>1.1559734864735998</v>
      </c>
      <c r="JB155" s="3">
        <f>$H155*factors!IV$3</f>
        <v>1.1774466781727999</v>
      </c>
      <c r="JC155" s="3">
        <f>$H155*factors!IW$3</f>
        <v>1.1500087110016</v>
      </c>
      <c r="JD155" s="3">
        <f>$H155*factors!IX$3</f>
        <v>1.2526028491200001</v>
      </c>
      <c r="JE155" s="3">
        <f>$H155*factors!IY$3</f>
        <v>1.1535875762847998</v>
      </c>
      <c r="JF155" s="3">
        <f>$H155*factors!IZ$3</f>
        <v>1.2108494208159997</v>
      </c>
      <c r="JG155" s="3">
        <f>$H155*factors!JA$3</f>
        <v>1.1893762291168</v>
      </c>
      <c r="JH155" s="3">
        <f>$H155*factors!JB$3</f>
        <v>1.2120423759104</v>
      </c>
      <c r="JI155" s="3">
        <f>$H155*factors!JC$3</f>
        <v>1.1345002947744001</v>
      </c>
      <c r="JJ155" s="3">
        <f>$H155*factors!JD$3</f>
        <v>1.2215860166656001</v>
      </c>
      <c r="JK155" s="3">
        <f>$H155*factors!JE$3</f>
        <v>1.1822184985503998</v>
      </c>
      <c r="JL155" s="3">
        <f>$H155*factors!JF$3</f>
        <v>1.2299367023263998</v>
      </c>
      <c r="JM155" s="3">
        <f>$H155*factors!JG$3</f>
        <v>1.1476228008128</v>
      </c>
      <c r="JN155" s="3">
        <f>$H155*factors!JH$3</f>
        <v>1.1476228008128</v>
      </c>
      <c r="JO155" s="3">
        <f>$H155*factors!JI$3</f>
        <v>1.13330733968</v>
      </c>
      <c r="JP155" s="3">
        <f>$H155*factors!JJ$3</f>
        <v>1.2251648819487999</v>
      </c>
      <c r="JQ155" s="3">
        <f>$H155*factors!JK$3</f>
        <v>1.1941480494943999</v>
      </c>
      <c r="JR155" s="3">
        <f>$H155*factors!JL$3</f>
        <v>1.240673298176</v>
      </c>
      <c r="JS155" s="3">
        <f>$H155*factors!JM$3</f>
        <v>1.13330733968</v>
      </c>
      <c r="JT155" s="3">
        <f>$H155*factors!JN$3</f>
        <v>1.1905691842112001</v>
      </c>
      <c r="JU155" s="3">
        <f>$H155*factors!JO$3</f>
        <v>1.1512016660959998</v>
      </c>
      <c r="JV155" s="3">
        <f>$H155*factors!JP$3</f>
        <v>1.1702889476064</v>
      </c>
      <c r="JW155" s="3">
        <f>$H155*factors!JQ$3</f>
        <v>1.2502169389312001</v>
      </c>
      <c r="JX155" s="3">
        <f>$H155*factors!JR$3</f>
        <v>1.2382873879871998</v>
      </c>
      <c r="JY155" s="3">
        <f>$H155*factors!JS$3</f>
        <v>1.1655171272288001</v>
      </c>
      <c r="JZ155" s="3">
        <f>$H155*factors!JT$3</f>
        <v>1.1786396332672</v>
      </c>
      <c r="KA155" s="3">
        <f>$H155*factors!JU$3</f>
        <v>1.1834114536447999</v>
      </c>
      <c r="KB155" s="3">
        <f>$H155*factors!JV$3</f>
        <v>1.1440439355295999</v>
      </c>
      <c r="KC155" s="3">
        <f>$H155*factors!JW$3</f>
        <v>1.1500087110016</v>
      </c>
      <c r="KD155" s="3">
        <f>$H155*factors!JX$3</f>
        <v>1.1512016660959998</v>
      </c>
      <c r="KE155" s="3">
        <f>$H155*factors!JY$3</f>
        <v>1.2251648819487999</v>
      </c>
      <c r="KF155" s="3">
        <f>$H155*factors!JZ$3</f>
        <v>1.2394803430815997</v>
      </c>
      <c r="KG155" s="3">
        <f>$H155*factors!KA$3</f>
        <v>1.1953410045888</v>
      </c>
      <c r="KH155" s="3">
        <f>$H155*factors!KB$3</f>
        <v>1.1690959925119999</v>
      </c>
      <c r="KI155" s="3">
        <f>$H155*factors!KC$3</f>
        <v>1.1583593966623997</v>
      </c>
    </row>
    <row r="156" spans="1:295" x14ac:dyDescent="0.55000000000000004">
      <c r="A156" t="s">
        <v>533</v>
      </c>
      <c r="B156">
        <v>155</v>
      </c>
      <c r="C156">
        <v>230</v>
      </c>
      <c r="D156" t="s">
        <v>377</v>
      </c>
      <c r="E156">
        <v>3.8730000000000001E-3</v>
      </c>
      <c r="F156">
        <v>155</v>
      </c>
      <c r="G156">
        <f>VLOOKUP(D156,demand_forecasted!$A$2:$G$11,2)</f>
        <v>11098</v>
      </c>
      <c r="H156" s="3">
        <f t="shared" si="3"/>
        <v>0.42982554000000001</v>
      </c>
      <c r="I156" s="3">
        <f>$H156*factors!C$3</f>
        <v>0.47581687278000001</v>
      </c>
      <c r="J156" s="3">
        <f>$H156*factors!D$3</f>
        <v>0.45864104420160001</v>
      </c>
      <c r="K156" s="3">
        <f>$H156*factors!E$3</f>
        <v>0.45074944728720001</v>
      </c>
      <c r="L156" s="3">
        <f>$H156*factors!F$3</f>
        <v>0.44935681253760007</v>
      </c>
      <c r="M156" s="3">
        <f>$H156*factors!G$3</f>
        <v>0.44889260095439998</v>
      </c>
      <c r="N156" s="3">
        <f>$H156*factors!H$3</f>
        <v>0.46189052528399999</v>
      </c>
      <c r="O156" s="3">
        <f>$H156*factors!I$3</f>
        <v>0.4721031801144</v>
      </c>
      <c r="P156" s="3">
        <f>$H156*factors!J$3</f>
        <v>0.47767371911280004</v>
      </c>
      <c r="Q156" s="3">
        <f>$H156*factors!K$3</f>
        <v>0.4484283893712</v>
      </c>
      <c r="R156" s="3">
        <f>$H156*factors!L$3</f>
        <v>0.44100100404000003</v>
      </c>
      <c r="S156" s="3">
        <f>$H156*factors!M$3</f>
        <v>0.45910525578479999</v>
      </c>
      <c r="T156" s="3">
        <f>$H156*factors!N$3</f>
        <v>0.47488844961360005</v>
      </c>
      <c r="U156" s="3">
        <f>$H156*factors!O$3</f>
        <v>0.44982102412080005</v>
      </c>
      <c r="V156" s="3">
        <f>$H156*factors!P$3</f>
        <v>0.46792527586560001</v>
      </c>
      <c r="W156" s="3">
        <f>$H156*factors!Q$3</f>
        <v>0.4721031801144</v>
      </c>
      <c r="X156" s="3">
        <f>$H156*factors!R$3</f>
        <v>0.45167787045360003</v>
      </c>
      <c r="Y156" s="3">
        <f>$H156*factors!S$3</f>
        <v>0.44749996620480004</v>
      </c>
      <c r="Z156" s="3">
        <f>$H156*factors!T$3</f>
        <v>0.48278004652800011</v>
      </c>
      <c r="AA156" s="3">
        <f>$H156*factors!U$3</f>
        <v>0.45585577470239996</v>
      </c>
      <c r="AB156" s="3">
        <f>$H156*factors!V$3</f>
        <v>0.45631998628560005</v>
      </c>
      <c r="AC156" s="3">
        <f>$H156*factors!W$3</f>
        <v>0.45678419786880003</v>
      </c>
      <c r="AD156" s="3">
        <f>$H156*factors!X$3</f>
        <v>0.44703575462160006</v>
      </c>
      <c r="AE156" s="3">
        <f>$H156*factors!Y$3</f>
        <v>0.45074944728720001</v>
      </c>
      <c r="AF156" s="3">
        <f>$H156*factors!Z$3</f>
        <v>0.46003367895120006</v>
      </c>
      <c r="AG156" s="3">
        <f>$H156*factors!AA$3</f>
        <v>0.4484283893712</v>
      </c>
      <c r="AH156" s="3">
        <f>$H156*factors!AB$3</f>
        <v>0.44657154303840008</v>
      </c>
      <c r="AI156" s="3">
        <f>$H156*factors!AC$3</f>
        <v>0.46096210211760003</v>
      </c>
      <c r="AJ156" s="3">
        <f>$H156*factors!AD$3</f>
        <v>0.4786021422792</v>
      </c>
      <c r="AK156" s="3">
        <f>$H156*factors!AE$3</f>
        <v>0.46049789053440005</v>
      </c>
      <c r="AL156" s="3">
        <f>$H156*factors!AF$3</f>
        <v>0.44239363878959997</v>
      </c>
      <c r="AM156" s="3">
        <f>$H156*factors!AG$3</f>
        <v>0.454927351536</v>
      </c>
      <c r="AN156" s="3">
        <f>$H156*factors!AH$3</f>
        <v>0.44749996620480004</v>
      </c>
      <c r="AO156" s="3">
        <f>$H156*factors!AI$3</f>
        <v>0.46885369903200003</v>
      </c>
      <c r="AP156" s="3">
        <f>$H156*factors!AJ$3</f>
        <v>0.44935681253760007</v>
      </c>
      <c r="AQ156" s="3">
        <f>$H156*factors!AK$3</f>
        <v>0.46374737161680007</v>
      </c>
      <c r="AR156" s="3">
        <f>$H156*factors!AL$3</f>
        <v>0.45353471678640006</v>
      </c>
      <c r="AS156" s="3">
        <f>$H156*factors!AM$3</f>
        <v>0.44239363878959997</v>
      </c>
      <c r="AT156" s="3">
        <f>$H156*factors!AN$3</f>
        <v>0.45631998628560005</v>
      </c>
      <c r="AU156" s="3">
        <f>$H156*factors!AO$3</f>
        <v>0.48324425811119998</v>
      </c>
      <c r="AV156" s="3">
        <f>$H156*factors!AP$3</f>
        <v>0.45678419786880003</v>
      </c>
      <c r="AW156" s="3">
        <f>$H156*factors!AQ$3</f>
        <v>0.45214208203680001</v>
      </c>
      <c r="AX156" s="3">
        <f>$H156*factors!AR$3</f>
        <v>0.47813793069600002</v>
      </c>
      <c r="AY156" s="3">
        <f>$H156*factors!AS$3</f>
        <v>0.44100100404000003</v>
      </c>
      <c r="AZ156" s="3">
        <f>$H156*factors!AT$3</f>
        <v>0.47256739169760009</v>
      </c>
      <c r="BA156" s="3">
        <f>$H156*factors!AU$3</f>
        <v>0.46235473686719997</v>
      </c>
      <c r="BB156" s="3">
        <f>$H156*factors!AV$3</f>
        <v>0.45631998628560005</v>
      </c>
      <c r="BC156" s="3">
        <f>$H156*factors!AW$3</f>
        <v>0.48278004652800011</v>
      </c>
      <c r="BD156" s="3">
        <f>$H156*factors!AX$3</f>
        <v>0.445643119872</v>
      </c>
      <c r="BE156" s="3">
        <f>$H156*factors!AY$3</f>
        <v>0.52393154372759998</v>
      </c>
      <c r="BF156" s="3">
        <f>$H156*factors!AZ$3</f>
        <v>0.4879207599864</v>
      </c>
      <c r="BG156" s="3">
        <f>$H156*factors!BA$3</f>
        <v>0.49502147790719991</v>
      </c>
      <c r="BH156" s="3">
        <f>$H156*factors!BB$3</f>
        <v>0.50161500169079998</v>
      </c>
      <c r="BI156" s="3">
        <f>$H156*factors!BC$3</f>
        <v>0.51987399062999995</v>
      </c>
      <c r="BJ156" s="3">
        <f>$H156*factors!BD$3</f>
        <v>0.49654306031879997</v>
      </c>
      <c r="BK156" s="3">
        <f>$H156*factors!BE$3</f>
        <v>0.49755744859319995</v>
      </c>
      <c r="BL156" s="3">
        <f>$H156*factors!BF$3</f>
        <v>0.49197831308399992</v>
      </c>
      <c r="BM156" s="3">
        <f>$H156*factors!BG$3</f>
        <v>0.52545312613920003</v>
      </c>
      <c r="BN156" s="3">
        <f>$H156*factors!BH$3</f>
        <v>0.51885960235559991</v>
      </c>
      <c r="BO156" s="3">
        <f>$H156*factors!BI$3</f>
        <v>0.4879207599864</v>
      </c>
      <c r="BP156" s="3">
        <f>$H156*factors!BJ$3</f>
        <v>0.48639917757479995</v>
      </c>
      <c r="BQ156" s="3">
        <f>$H156*factors!BK$3</f>
        <v>0.49451428376999995</v>
      </c>
      <c r="BR156" s="3">
        <f>$H156*factors!BL$3</f>
        <v>0.51226607857200002</v>
      </c>
      <c r="BS156" s="3">
        <f>$H156*factors!BM$3</f>
        <v>0.52038118476719997</v>
      </c>
      <c r="BT156" s="3">
        <f>$H156*factors!BN$3</f>
        <v>0.52190276717879991</v>
      </c>
      <c r="BU156" s="3">
        <f>$H156*factors!BO$3</f>
        <v>0.53052506751119999</v>
      </c>
      <c r="BV156" s="3">
        <f>$H156*factors!BP$3</f>
        <v>0.49349989549559997</v>
      </c>
      <c r="BW156" s="3">
        <f>$H156*factors!BQ$3</f>
        <v>0.50465816651399997</v>
      </c>
      <c r="BX156" s="3">
        <f>$H156*factors!BR$3</f>
        <v>0.49502147790719991</v>
      </c>
      <c r="BY156" s="3">
        <f>$H156*factors!BS$3</f>
        <v>0.51784521408119988</v>
      </c>
      <c r="BZ156" s="3">
        <f>$H156*factors!BT$3</f>
        <v>0.50820852547439999</v>
      </c>
      <c r="CA156" s="3">
        <f>$H156*factors!BU$3</f>
        <v>0.50161500169079998</v>
      </c>
      <c r="CB156" s="3">
        <f>$H156*factors!BV$3</f>
        <v>0.48538478930039997</v>
      </c>
      <c r="CC156" s="3">
        <f>$H156*factors!BW$3</f>
        <v>0.49958622514199996</v>
      </c>
      <c r="CD156" s="3">
        <f>$H156*factors!BX$3</f>
        <v>0.50110780755359996</v>
      </c>
      <c r="CE156" s="3">
        <f>$H156*factors!BY$3</f>
        <v>0.50820852547439999</v>
      </c>
      <c r="CF156" s="3">
        <f>$H156*factors!BZ$3</f>
        <v>0.50060061341640005</v>
      </c>
      <c r="CG156" s="3">
        <f>$H156*factors!CA$3</f>
        <v>0.48386320688879991</v>
      </c>
      <c r="CH156" s="3">
        <f>$H156*factors!CB$3</f>
        <v>0.48437040102599993</v>
      </c>
      <c r="CI156" s="3">
        <f>$H156*factors!CC$3</f>
        <v>0.48183443034000001</v>
      </c>
      <c r="CJ156" s="3">
        <f>$H156*factors!CD$3</f>
        <v>0.50161500169079998</v>
      </c>
      <c r="CK156" s="3">
        <f>$H156*factors!CE$3</f>
        <v>0.52393154372759998</v>
      </c>
      <c r="CL156" s="3">
        <f>$H156*factors!CF$3</f>
        <v>0.49096392480959999</v>
      </c>
      <c r="CM156" s="3">
        <f>$H156*factors!CG$3</f>
        <v>0.5026293899651999</v>
      </c>
      <c r="CN156" s="3">
        <f>$H156*factors!CH$3</f>
        <v>0.48589198343759998</v>
      </c>
      <c r="CO156" s="3">
        <f>$H156*factors!CI$3</f>
        <v>0.48944234239799994</v>
      </c>
      <c r="CP156" s="3">
        <f>$H156*factors!CJ$3</f>
        <v>0.51277327270919992</v>
      </c>
      <c r="CQ156" s="3">
        <f>$H156*factors!CK$3</f>
        <v>0.49755744859319995</v>
      </c>
      <c r="CR156" s="3">
        <f>$H156*factors!CL$3</f>
        <v>0.51328046684639994</v>
      </c>
      <c r="CS156" s="3">
        <f>$H156*factors!CM$3</f>
        <v>0.52951067923679995</v>
      </c>
      <c r="CT156" s="3">
        <f>$H156*factors!CN$3</f>
        <v>0.52342434959039996</v>
      </c>
      <c r="CU156" s="3">
        <f>$H156*factors!CO$3</f>
        <v>0.51175888443479989</v>
      </c>
      <c r="CV156" s="3">
        <f>$H156*factors!CP$3</f>
        <v>0.53255384405999995</v>
      </c>
      <c r="CW156" s="3">
        <f>$H156*factors!CQ$3</f>
        <v>0.50364377823960005</v>
      </c>
      <c r="CX156" s="3">
        <f>$H156*factors!CR$3</f>
        <v>0.4960358661816</v>
      </c>
      <c r="CY156" s="3">
        <f>$H156*factors!CS$3</f>
        <v>0.49147111894679996</v>
      </c>
      <c r="CZ156" s="3">
        <f>$H156*factors!CT$3</f>
        <v>0.48437040102599993</v>
      </c>
      <c r="DA156" s="3">
        <f>$H156*factors!CU$3</f>
        <v>0.5028958818</v>
      </c>
      <c r="DB156" s="3">
        <f>$H156*factors!CV$3</f>
        <v>0.53539069262400008</v>
      </c>
      <c r="DC156" s="3">
        <f>$H156*factors!CW$3</f>
        <v>0.51269590411199994</v>
      </c>
      <c r="DD156" s="3">
        <f>$H156*factors!CX$3</f>
        <v>0.50908536957599992</v>
      </c>
      <c r="DE156" s="3">
        <f>$H156*factors!CY$3</f>
        <v>0.52404329836800001</v>
      </c>
      <c r="DF156" s="3">
        <f>$H156*factors!CZ$3</f>
        <v>0.523011717072</v>
      </c>
      <c r="DG156" s="3">
        <f>$H156*factors!DA$3</f>
        <v>0.52094855447999999</v>
      </c>
      <c r="DH156" s="3">
        <f>$H156*factors!DB$3</f>
        <v>0.52094855447999999</v>
      </c>
      <c r="DI156" s="3">
        <f>$H156*factors!DC$3</f>
        <v>0.50134850985599999</v>
      </c>
      <c r="DJ156" s="3">
        <f>$H156*factors!DD$3</f>
        <v>0.53126436744000005</v>
      </c>
      <c r="DK156" s="3">
        <f>$H156*factors!DE$3</f>
        <v>0.53126436744000005</v>
      </c>
      <c r="DL156" s="3">
        <f>$H156*factors!DF$3</f>
        <v>0.52507487966400002</v>
      </c>
      <c r="DM156" s="3">
        <f>$H156*factors!DG$3</f>
        <v>0.49464323143199995</v>
      </c>
      <c r="DN156" s="3">
        <f>$H156*factors!DH$3</f>
        <v>0.51888539188799998</v>
      </c>
      <c r="DO156" s="3">
        <f>$H156*factors!DI$3</f>
        <v>0.53590648327199997</v>
      </c>
      <c r="DP156" s="3">
        <f>$H156*factors!DJ$3</f>
        <v>0.53126436744000005</v>
      </c>
      <c r="DQ156" s="3">
        <f>$H156*factors!DK$3</f>
        <v>0.50650641633599991</v>
      </c>
      <c r="DR156" s="3">
        <f>$H156*factors!DL$3</f>
        <v>0.50083271920799999</v>
      </c>
      <c r="DS156" s="3">
        <f>$H156*factors!DM$3</f>
        <v>0.541064389752</v>
      </c>
      <c r="DT156" s="3">
        <f>$H156*factors!DN$3</f>
        <v>0.50856957892800003</v>
      </c>
      <c r="DU156" s="3">
        <f>$H156*factors!DO$3</f>
        <v>0.53229594873599995</v>
      </c>
      <c r="DV156" s="3">
        <f>$H156*factors!DP$3</f>
        <v>0.51991697318399999</v>
      </c>
      <c r="DW156" s="3">
        <f>$H156*factors!DQ$3</f>
        <v>0.49619060337599996</v>
      </c>
      <c r="DX156" s="3">
        <f>$H156*factors!DR$3</f>
        <v>0.52559067031199991</v>
      </c>
      <c r="DY156" s="3">
        <f>$H156*factors!DS$3</f>
        <v>0.49876955661599998</v>
      </c>
      <c r="DZ156" s="3">
        <f>$H156*factors!DT$3</f>
        <v>0.53332753003199995</v>
      </c>
      <c r="EA156" s="3">
        <f>$H156*factors!DU$3</f>
        <v>0.50238009115199989</v>
      </c>
      <c r="EB156" s="3">
        <f>$H156*factors!DV$3</f>
        <v>0.49000111559999998</v>
      </c>
      <c r="EC156" s="3">
        <f>$H156*factors!DW$3</f>
        <v>0.52713804225600003</v>
      </c>
      <c r="ED156" s="3">
        <f>$H156*factors!DX$3</f>
        <v>0.49464323143199995</v>
      </c>
      <c r="EE156" s="3">
        <f>$H156*factors!DY$3</f>
        <v>0.49876955661599998</v>
      </c>
      <c r="EF156" s="3">
        <f>$H156*factors!DZ$3</f>
        <v>0.541064389752</v>
      </c>
      <c r="EG156" s="3">
        <f>$H156*factors!EA$3</f>
        <v>0.50547483504000001</v>
      </c>
      <c r="EH156" s="3">
        <f>$H156*factors!EB$3</f>
        <v>0.50702220698400002</v>
      </c>
      <c r="EI156" s="3">
        <f>$H156*factors!EC$3</f>
        <v>0.50599062568800002</v>
      </c>
      <c r="EJ156" s="3">
        <f>$H156*factors!ED$3</f>
        <v>0.493095859488</v>
      </c>
      <c r="EK156" s="3">
        <f>$H156*factors!EE$3</f>
        <v>0.52713804225600003</v>
      </c>
      <c r="EL156" s="3">
        <f>$H156*factors!EF$3</f>
        <v>0.50134850985599999</v>
      </c>
      <c r="EM156" s="3">
        <f>$H156*factors!EG$3</f>
        <v>0.52146434512799988</v>
      </c>
      <c r="EN156" s="3">
        <f>$H156*factors!EH$3</f>
        <v>0.49000111559999998</v>
      </c>
      <c r="EO156" s="3">
        <f>$H156*factors!EI$3</f>
        <v>0.49722218467199991</v>
      </c>
      <c r="EP156" s="3">
        <f>$H156*factors!EJ$3</f>
        <v>0.52455908901600001</v>
      </c>
      <c r="EQ156" s="3">
        <f>$H156*factors!EK$3</f>
        <v>0.51011695087199993</v>
      </c>
      <c r="ER156" s="3">
        <f>$H156*factors!EL$3</f>
        <v>0.53126436744000005</v>
      </c>
      <c r="ES156" s="3">
        <f>$H156*factors!EM$3</f>
        <v>0.52455908901600001</v>
      </c>
      <c r="ET156" s="3">
        <f>$H156*factors!EN$3</f>
        <v>0.53642227391999997</v>
      </c>
      <c r="EU156" s="3">
        <f>$H156*factors!EO$3</f>
        <v>0.5415801804</v>
      </c>
      <c r="EV156" s="3">
        <f>$H156*factors!EP$3</f>
        <v>0.50753799763199992</v>
      </c>
      <c r="EW156" s="3">
        <f>$H156*factors!EQ$3</f>
        <v>0.55823592007499989</v>
      </c>
      <c r="EX156" s="3">
        <f>$H156*factors!ER$3</f>
        <v>0.5523258189000001</v>
      </c>
      <c r="EY156" s="3">
        <f>$H156*factors!ES$3</f>
        <v>0.56360873932499989</v>
      </c>
      <c r="EZ156" s="3">
        <f>$H156*factors!ET$3</f>
        <v>0.55823592007499989</v>
      </c>
      <c r="FA156" s="3">
        <f>$H156*factors!EU$3</f>
        <v>0.51310423837499997</v>
      </c>
      <c r="FB156" s="3">
        <f>$H156*factors!EV$3</f>
        <v>0.53620736115000001</v>
      </c>
      <c r="FC156" s="3">
        <f>$H156*factors!EW$3</f>
        <v>0.55125125504999994</v>
      </c>
      <c r="FD156" s="3">
        <f>$H156*factors!EX$3</f>
        <v>0.53190910575000006</v>
      </c>
      <c r="FE156" s="3">
        <f>$H156*factors!EY$3</f>
        <v>0.56038504777499998</v>
      </c>
      <c r="FF156" s="3">
        <f>$H156*factors!EZ$3</f>
        <v>0.56092232970000011</v>
      </c>
      <c r="FG156" s="3">
        <f>$H156*factors!FA$3</f>
        <v>0.51310423837499997</v>
      </c>
      <c r="FH156" s="3">
        <f>$H156*factors!FB$3</f>
        <v>0.53996833462499993</v>
      </c>
      <c r="FI156" s="3">
        <f>$H156*factors!FC$3</f>
        <v>0.56253417547499995</v>
      </c>
      <c r="FJ156" s="3">
        <f>$H156*factors!FD$3</f>
        <v>0.53996833462499993</v>
      </c>
      <c r="FK156" s="3">
        <f>$H156*factors!FE$3</f>
        <v>0.54910212735000008</v>
      </c>
      <c r="FL156" s="3">
        <f>$H156*factors!FF$3</f>
        <v>0.55071397312500003</v>
      </c>
      <c r="FM156" s="3">
        <f>$H156*factors!FG$3</f>
        <v>0.55662407429999994</v>
      </c>
      <c r="FN156" s="3">
        <f>$H156*factors!FH$3</f>
        <v>0.52062618532499993</v>
      </c>
      <c r="FO156" s="3">
        <f>$H156*factors!FI$3</f>
        <v>0.55286310082500001</v>
      </c>
      <c r="FP156" s="3">
        <f>$H156*factors!FJ$3</f>
        <v>0.53728192500000005</v>
      </c>
      <c r="FQ156" s="3">
        <f>$H156*factors!FK$3</f>
        <v>0.53190910575000006</v>
      </c>
      <c r="FR156" s="3">
        <f>$H156*factors!FL$3</f>
        <v>0.54265474425000004</v>
      </c>
      <c r="FS156" s="3">
        <f>$H156*factors!FM$3</f>
        <v>0.53943105269999991</v>
      </c>
      <c r="FT156" s="3">
        <f>$H156*factors!FN$3</f>
        <v>0.55125125504999994</v>
      </c>
      <c r="FU156" s="3">
        <f>$H156*factors!FO$3</f>
        <v>0.52975997804999997</v>
      </c>
      <c r="FV156" s="3">
        <f>$H156*factors!FP$3</f>
        <v>0.52546172265000002</v>
      </c>
      <c r="FW156" s="3">
        <f>$H156*factors!FQ$3</f>
        <v>0.56253417547499995</v>
      </c>
      <c r="FX156" s="3">
        <f>$H156*factors!FR$3</f>
        <v>0.5523258189000001</v>
      </c>
      <c r="FY156" s="3">
        <f>$H156*factors!FS$3</f>
        <v>0.54104289847499998</v>
      </c>
      <c r="FZ156" s="3">
        <f>$H156*factors!FT$3</f>
        <v>0.51417880222500001</v>
      </c>
      <c r="GA156" s="3">
        <f>$H156*factors!FU$3</f>
        <v>0.54104289847499998</v>
      </c>
      <c r="GB156" s="3">
        <f>$H156*factors!FV$3</f>
        <v>0.56092232970000011</v>
      </c>
      <c r="GC156" s="3">
        <f>$H156*factors!FW$3</f>
        <v>0.52546172265000002</v>
      </c>
      <c r="GD156" s="3">
        <f>$H156*factors!FX$3</f>
        <v>0.53459551537499994</v>
      </c>
      <c r="GE156" s="3">
        <f>$H156*factors!FY$3</f>
        <v>0.53459551537499994</v>
      </c>
      <c r="GF156" s="3">
        <f>$H156*factors!FZ$3</f>
        <v>0.53298366959999999</v>
      </c>
      <c r="GG156" s="3">
        <f>$H156*factors!GA$3</f>
        <v>0.51202967452499992</v>
      </c>
      <c r="GH156" s="3">
        <f>$H156*factors!GB$3</f>
        <v>0.54480387195000002</v>
      </c>
      <c r="GI156" s="3">
        <f>$H156*factors!GC$3</f>
        <v>0.51095511067499999</v>
      </c>
      <c r="GJ156" s="3">
        <f>$H156*factors!GD$3</f>
        <v>0.51202967452499992</v>
      </c>
      <c r="GK156" s="3">
        <f>$H156*factors!GE$3</f>
        <v>0.524924440725</v>
      </c>
      <c r="GL156" s="3">
        <f>$H156*factors!GF$3</f>
        <v>0.55608679237500003</v>
      </c>
      <c r="GM156" s="3">
        <f>$H156*factors!GG$3</f>
        <v>0.52707356842500008</v>
      </c>
      <c r="GN156" s="3">
        <f>$H156*factors!GH$3</f>
        <v>0.54372930810000009</v>
      </c>
      <c r="GO156" s="3">
        <f>$H156*factors!GI$3</f>
        <v>0.51364152029999999</v>
      </c>
      <c r="GP156" s="3">
        <f>$H156*factors!GJ$3</f>
        <v>0.55071397312500003</v>
      </c>
      <c r="GQ156" s="3">
        <f>$H156*factors!GK$3</f>
        <v>0.56199689355000004</v>
      </c>
      <c r="GR156" s="3">
        <f>$H156*factors!GL$3</f>
        <v>0.55125125504999994</v>
      </c>
      <c r="GS156" s="3">
        <f>$H156*factors!GM$3</f>
        <v>0.52131390618899998</v>
      </c>
      <c r="GT156" s="3">
        <f>$H156*factors!GN$3</f>
        <v>0.53332323177660002</v>
      </c>
      <c r="GU156" s="3">
        <f>$H156*factors!GO$3</f>
        <v>0.54587843580000006</v>
      </c>
      <c r="GV156" s="3">
        <f>$H156*factors!GP$3</f>
        <v>0.52404329836800001</v>
      </c>
      <c r="GW156" s="3">
        <f>$H156*factors!GQ$3</f>
        <v>0.54260316518520002</v>
      </c>
      <c r="GX156" s="3">
        <f>$H156*factors!GR$3</f>
        <v>0.53386911021240002</v>
      </c>
      <c r="GY156" s="3">
        <f>$H156*factors!GS$3</f>
        <v>0.5311397180334001</v>
      </c>
      <c r="GZ156" s="3">
        <f>$H156*factors!GT$3</f>
        <v>0.5507913417221999</v>
      </c>
      <c r="HA156" s="3">
        <f>$H156*factors!GU$3</f>
        <v>0.53277735334080001</v>
      </c>
      <c r="HB156" s="3">
        <f>$H156*factors!GV$3</f>
        <v>0.5507913417221999</v>
      </c>
      <c r="HC156" s="3">
        <f>$H156*factors!GW$3</f>
        <v>0.53714438082719995</v>
      </c>
      <c r="HD156" s="3">
        <f>$H156*factors!GX$3</f>
        <v>0.55297485546539993</v>
      </c>
      <c r="HE156" s="3">
        <f>$H156*factors!GY$3</f>
        <v>0.54587843580000006</v>
      </c>
      <c r="HF156" s="3">
        <f>$H156*factors!GZ$3</f>
        <v>0.56280066730979994</v>
      </c>
      <c r="HG156" s="3">
        <f>$H156*factors!HA$3</f>
        <v>0.5409655298778</v>
      </c>
      <c r="HH156" s="3">
        <f>$H156*factors!HB$3</f>
        <v>0.53386911021240002</v>
      </c>
      <c r="HI156" s="3">
        <f>$H156*factors!HC$3</f>
        <v>0.52731856898280005</v>
      </c>
      <c r="HJ156" s="3">
        <f>$H156*factors!HD$3</f>
        <v>0.52131390618899998</v>
      </c>
      <c r="HK156" s="3">
        <f>$H156*factors!HE$3</f>
        <v>0.55133722015800002</v>
      </c>
      <c r="HL156" s="3">
        <f>$H156*factors!HF$3</f>
        <v>0.51967627088159996</v>
      </c>
      <c r="HM156" s="3">
        <f>$H156*factors!HG$3</f>
        <v>0.52513505523960002</v>
      </c>
      <c r="HN156" s="3">
        <f>$H156*factors!HH$3</f>
        <v>0.56007127513080002</v>
      </c>
      <c r="HO156" s="3">
        <f>$H156*factors!HI$3</f>
        <v>0.53714438082719995</v>
      </c>
      <c r="HP156" s="3">
        <f>$H156*factors!HJ$3</f>
        <v>0.57317235759000007</v>
      </c>
      <c r="HQ156" s="3">
        <f>$H156*factors!HK$3</f>
        <v>0.52404329836800001</v>
      </c>
      <c r="HR156" s="3">
        <f>$H156*factors!HL$3</f>
        <v>0.55570424764440007</v>
      </c>
      <c r="HS156" s="3">
        <f>$H156*factors!HM$3</f>
        <v>0.56553005948879997</v>
      </c>
      <c r="HT156" s="3">
        <f>$H156*factors!HN$3</f>
        <v>0.52731856898280005</v>
      </c>
      <c r="HU156" s="3">
        <f>$H156*factors!HO$3</f>
        <v>0.53277735334080001</v>
      </c>
      <c r="HV156" s="3">
        <f>$H156*factors!HP$3</f>
        <v>0.53932789457040009</v>
      </c>
      <c r="HW156" s="3">
        <f>$H156*factors!HQ$3</f>
        <v>0.54697019267159996</v>
      </c>
      <c r="HX156" s="3">
        <f>$H156*factors!HR$3</f>
        <v>0.56935120853939991</v>
      </c>
      <c r="HY156" s="3">
        <f>$H156*factors!HS$3</f>
        <v>0.5409655298778</v>
      </c>
      <c r="HZ156" s="3">
        <f>$H156*factors!HT$3</f>
        <v>0.56170891043819993</v>
      </c>
      <c r="IA156" s="3">
        <f>$H156*factors!HU$3</f>
        <v>0.53441498864820003</v>
      </c>
      <c r="IB156" s="3">
        <f>$H156*factors!HV$3</f>
        <v>0.55297485546539993</v>
      </c>
      <c r="IC156" s="3">
        <f>$H156*factors!HW$3</f>
        <v>0.5584336398234</v>
      </c>
      <c r="ID156" s="3">
        <f>$H156*factors!HX$3</f>
        <v>0.51858451400999994</v>
      </c>
      <c r="IE156" s="3">
        <f>$H156*factors!HY$3</f>
        <v>0.5507913417221999</v>
      </c>
      <c r="IF156" s="3">
        <f>$H156*factors!HZ$3</f>
        <v>0.54751607110739997</v>
      </c>
      <c r="IG156" s="3">
        <f>$H156*factors!IA$3</f>
        <v>0.54260316518520002</v>
      </c>
      <c r="IH156" s="3">
        <f>$H156*factors!IB$3</f>
        <v>0.56280066730979994</v>
      </c>
      <c r="II156" s="3">
        <f>$H156*factors!IC$3</f>
        <v>0.53878201613459997</v>
      </c>
      <c r="IJ156" s="3">
        <f>$H156*factors!ID$3</f>
        <v>0.54369492205680003</v>
      </c>
      <c r="IK156" s="3">
        <f>$H156*factors!IE$3</f>
        <v>0.56334654574560006</v>
      </c>
      <c r="IL156" s="3">
        <f>$H156*factors!IF$3</f>
        <v>0.53932789457040009</v>
      </c>
      <c r="IM156" s="3">
        <f>$H156*factors!IG$3</f>
        <v>0.53441498864820003</v>
      </c>
      <c r="IN156" s="3">
        <f>$H156*factors!IH$3</f>
        <v>0.53769025926299996</v>
      </c>
      <c r="IO156" s="3">
        <f>$H156*factors!II$3</f>
        <v>0.54314904362100003</v>
      </c>
      <c r="IP156" s="3">
        <f>$H156*factors!IJ$3</f>
        <v>0.52513505523960002</v>
      </c>
      <c r="IQ156" s="3">
        <f>$H156*factors!IK$3</f>
        <v>0.5234974199322</v>
      </c>
      <c r="IR156" s="3">
        <f>$H156*factors!IL$3</f>
        <v>0.53878201613459997</v>
      </c>
      <c r="IS156" s="3">
        <f>$H156*factors!IM$3</f>
        <v>0.54314904362100003</v>
      </c>
      <c r="IT156" s="3">
        <f>$H156*factors!IN$3</f>
        <v>0.54697019267159996</v>
      </c>
      <c r="IU156" s="3">
        <f>$H156*factors!IO$3</f>
        <v>0.5589795182592</v>
      </c>
      <c r="IV156" s="3">
        <f>$H156*factors!IP$3</f>
        <v>0.56607593792459998</v>
      </c>
      <c r="IW156" s="3">
        <f>$H156*factors!IQ$3</f>
        <v>0.53496086708399992</v>
      </c>
      <c r="IX156" s="3">
        <f>$H156*factors!IR$3</f>
        <v>0.5589795182592</v>
      </c>
      <c r="IY156" s="3">
        <f>$H156*factors!IS$3</f>
        <v>0.5507913417221999</v>
      </c>
      <c r="IZ156" s="3">
        <f>$H156*factors!IT$3</f>
        <v>0.56007127513080002</v>
      </c>
      <c r="JA156" s="3">
        <f>$H156*factors!IU$3</f>
        <v>0.52895620429019996</v>
      </c>
      <c r="JB156" s="3">
        <f>$H156*factors!IV$3</f>
        <v>0.53878201613459997</v>
      </c>
      <c r="JC156" s="3">
        <f>$H156*factors!IW$3</f>
        <v>0.52622681211120004</v>
      </c>
      <c r="JD156" s="3">
        <f>$H156*factors!IX$3</f>
        <v>0.57317235759000007</v>
      </c>
      <c r="JE156" s="3">
        <f>$H156*factors!IY$3</f>
        <v>0.52786444741859995</v>
      </c>
      <c r="JF156" s="3">
        <f>$H156*factors!IZ$3</f>
        <v>0.55406661233699994</v>
      </c>
      <c r="JG156" s="3">
        <f>$H156*factors!JA$3</f>
        <v>0.54424080049259993</v>
      </c>
      <c r="JH156" s="3">
        <f>$H156*factors!JB$3</f>
        <v>0.55461249077280006</v>
      </c>
      <c r="JI156" s="3">
        <f>$H156*factors!JC$3</f>
        <v>0.51913039244580006</v>
      </c>
      <c r="JJ156" s="3">
        <f>$H156*factors!JD$3</f>
        <v>0.5589795182592</v>
      </c>
      <c r="JK156" s="3">
        <f>$H156*factors!JE$3</f>
        <v>0.5409655298778</v>
      </c>
      <c r="JL156" s="3">
        <f>$H156*factors!JF$3</f>
        <v>0.56280066730979994</v>
      </c>
      <c r="JM156" s="3">
        <f>$H156*factors!JG$3</f>
        <v>0.52513505523960002</v>
      </c>
      <c r="JN156" s="3">
        <f>$H156*factors!JH$3</f>
        <v>0.52513505523960002</v>
      </c>
      <c r="JO156" s="3">
        <f>$H156*factors!JI$3</f>
        <v>0.51858451400999994</v>
      </c>
      <c r="JP156" s="3">
        <f>$H156*factors!JJ$3</f>
        <v>0.56061715356660002</v>
      </c>
      <c r="JQ156" s="3">
        <f>$H156*factors!JK$3</f>
        <v>0.54642431423579996</v>
      </c>
      <c r="JR156" s="3">
        <f>$H156*factors!JL$3</f>
        <v>0.567713573232</v>
      </c>
      <c r="JS156" s="3">
        <f>$H156*factors!JM$3</f>
        <v>0.51858451400999994</v>
      </c>
      <c r="JT156" s="3">
        <f>$H156*factors!JN$3</f>
        <v>0.54478667892840005</v>
      </c>
      <c r="JU156" s="3">
        <f>$H156*factors!JO$3</f>
        <v>0.52677269054699993</v>
      </c>
      <c r="JV156" s="3">
        <f>$H156*factors!JP$3</f>
        <v>0.53550674551980004</v>
      </c>
      <c r="JW156" s="3">
        <f>$H156*factors!JQ$3</f>
        <v>0.57208060071840006</v>
      </c>
      <c r="JX156" s="3">
        <f>$H156*factors!JR$3</f>
        <v>0.56662181636039999</v>
      </c>
      <c r="JY156" s="3">
        <f>$H156*factors!JS$3</f>
        <v>0.53332323177660002</v>
      </c>
      <c r="JZ156" s="3">
        <f>$H156*factors!JT$3</f>
        <v>0.53932789457040009</v>
      </c>
      <c r="KA156" s="3">
        <f>$H156*factors!JU$3</f>
        <v>0.54151140831360001</v>
      </c>
      <c r="KB156" s="3">
        <f>$H156*factors!JV$3</f>
        <v>0.5234974199322</v>
      </c>
      <c r="KC156" s="3">
        <f>$H156*factors!JW$3</f>
        <v>0.52622681211120004</v>
      </c>
      <c r="KD156" s="3">
        <f>$H156*factors!JX$3</f>
        <v>0.52677269054699993</v>
      </c>
      <c r="KE156" s="3">
        <f>$H156*factors!JY$3</f>
        <v>0.56061715356660002</v>
      </c>
      <c r="KF156" s="3">
        <f>$H156*factors!JZ$3</f>
        <v>0.56716769479619999</v>
      </c>
      <c r="KG156" s="3">
        <f>$H156*factors!KA$3</f>
        <v>0.54697019267159996</v>
      </c>
      <c r="KH156" s="3">
        <f>$H156*factors!KB$3</f>
        <v>0.53496086708399992</v>
      </c>
      <c r="KI156" s="3">
        <f>$H156*factors!KC$3</f>
        <v>0.53004796116179997</v>
      </c>
    </row>
    <row r="157" spans="1:295" x14ac:dyDescent="0.55000000000000004">
      <c r="A157" t="s">
        <v>534</v>
      </c>
      <c r="B157">
        <v>156</v>
      </c>
      <c r="C157">
        <v>230</v>
      </c>
      <c r="D157" t="s">
        <v>377</v>
      </c>
      <c r="E157">
        <v>3.9179999999999996E-3</v>
      </c>
      <c r="F157">
        <v>156</v>
      </c>
      <c r="G157">
        <f>VLOOKUP(D157,demand_forecasted!$A$2:$G$11,2)</f>
        <v>11098</v>
      </c>
      <c r="H157" s="3">
        <f t="shared" si="3"/>
        <v>0.43481963999999995</v>
      </c>
      <c r="I157" s="3">
        <f>$H157*factors!C$3</f>
        <v>0.48134534147999997</v>
      </c>
      <c r="J157" s="3">
        <f>$H157*factors!D$3</f>
        <v>0.46396994866559993</v>
      </c>
      <c r="K157" s="3">
        <f>$H157*factors!E$3</f>
        <v>0.4559866600752</v>
      </c>
      <c r="L157" s="3">
        <f>$H157*factors!F$3</f>
        <v>0.45457784444159999</v>
      </c>
      <c r="M157" s="3">
        <f>$H157*factors!G$3</f>
        <v>0.45410823923039995</v>
      </c>
      <c r="N157" s="3">
        <f>$H157*factors!H$3</f>
        <v>0.46725718514399994</v>
      </c>
      <c r="O157" s="3">
        <f>$H157*factors!I$3</f>
        <v>0.47758849979039997</v>
      </c>
      <c r="P157" s="3">
        <f>$H157*factors!J$3</f>
        <v>0.48322376232479997</v>
      </c>
      <c r="Q157" s="3">
        <f>$H157*factors!K$3</f>
        <v>0.45363863401919996</v>
      </c>
      <c r="R157" s="3">
        <f>$H157*factors!L$3</f>
        <v>0.44612495063999996</v>
      </c>
      <c r="S157" s="3">
        <f>$H157*factors!M$3</f>
        <v>0.46443955387679992</v>
      </c>
      <c r="T157" s="3">
        <f>$H157*factors!N$3</f>
        <v>0.48040613105759994</v>
      </c>
      <c r="U157" s="3">
        <f>$H157*factors!O$3</f>
        <v>0.45504744965279997</v>
      </c>
      <c r="V157" s="3">
        <f>$H157*factors!P$3</f>
        <v>0.47336205288959998</v>
      </c>
      <c r="W157" s="3">
        <f>$H157*factors!Q$3</f>
        <v>0.47758849979039997</v>
      </c>
      <c r="X157" s="3">
        <f>$H157*factors!R$3</f>
        <v>0.45692587049759997</v>
      </c>
      <c r="Y157" s="3">
        <f>$H157*factors!S$3</f>
        <v>0.45269942359679999</v>
      </c>
      <c r="Z157" s="3">
        <f>$H157*factors!T$3</f>
        <v>0.48838941964800003</v>
      </c>
      <c r="AA157" s="3">
        <f>$H157*factors!U$3</f>
        <v>0.4611523173983999</v>
      </c>
      <c r="AB157" s="3">
        <f>$H157*factors!V$3</f>
        <v>0.4616219226096</v>
      </c>
      <c r="AC157" s="3">
        <f>$H157*factors!W$3</f>
        <v>0.46209152782079999</v>
      </c>
      <c r="AD157" s="3">
        <f>$H157*factors!X$3</f>
        <v>0.4522298183856</v>
      </c>
      <c r="AE157" s="3">
        <f>$H157*factors!Y$3</f>
        <v>0.4559866600752</v>
      </c>
      <c r="AF157" s="3">
        <f>$H157*factors!Z$3</f>
        <v>0.4653787642992</v>
      </c>
      <c r="AG157" s="3">
        <f>$H157*factors!AA$3</f>
        <v>0.45363863401919996</v>
      </c>
      <c r="AH157" s="3">
        <f>$H157*factors!AB$3</f>
        <v>0.45176021317440002</v>
      </c>
      <c r="AI157" s="3">
        <f>$H157*factors!AC$3</f>
        <v>0.46631797472159997</v>
      </c>
      <c r="AJ157" s="3">
        <f>$H157*factors!AD$3</f>
        <v>0.48416297274719994</v>
      </c>
      <c r="AK157" s="3">
        <f>$H157*factors!AE$3</f>
        <v>0.46584836951039998</v>
      </c>
      <c r="AL157" s="3">
        <f>$H157*factors!AF$3</f>
        <v>0.44753376627359992</v>
      </c>
      <c r="AM157" s="3">
        <f>$H157*factors!AG$3</f>
        <v>0.46021310697599993</v>
      </c>
      <c r="AN157" s="3">
        <f>$H157*factors!AH$3</f>
        <v>0.45269942359679999</v>
      </c>
      <c r="AO157" s="3">
        <f>$H157*factors!AI$3</f>
        <v>0.47430126331199995</v>
      </c>
      <c r="AP157" s="3">
        <f>$H157*factors!AJ$3</f>
        <v>0.45457784444159999</v>
      </c>
      <c r="AQ157" s="3">
        <f>$H157*factors!AK$3</f>
        <v>0.4691356059888</v>
      </c>
      <c r="AR157" s="3">
        <f>$H157*factors!AL$3</f>
        <v>0.45880429134239997</v>
      </c>
      <c r="AS157" s="3">
        <f>$H157*factors!AM$3</f>
        <v>0.44753376627359992</v>
      </c>
      <c r="AT157" s="3">
        <f>$H157*factors!AN$3</f>
        <v>0.4616219226096</v>
      </c>
      <c r="AU157" s="3">
        <f>$H157*factors!AO$3</f>
        <v>0.48885902485919991</v>
      </c>
      <c r="AV157" s="3">
        <f>$H157*factors!AP$3</f>
        <v>0.46209152782079999</v>
      </c>
      <c r="AW157" s="3">
        <f>$H157*factors!AQ$3</f>
        <v>0.45739547570879996</v>
      </c>
      <c r="AX157" s="3">
        <f>$H157*factors!AR$3</f>
        <v>0.48369336753599995</v>
      </c>
      <c r="AY157" s="3">
        <f>$H157*factors!AS$3</f>
        <v>0.44612495063999996</v>
      </c>
      <c r="AZ157" s="3">
        <f>$H157*factors!AT$3</f>
        <v>0.47805810500160001</v>
      </c>
      <c r="BA157" s="3">
        <f>$H157*factors!AU$3</f>
        <v>0.46772679035519993</v>
      </c>
      <c r="BB157" s="3">
        <f>$H157*factors!AV$3</f>
        <v>0.4616219226096</v>
      </c>
      <c r="BC157" s="3">
        <f>$H157*factors!AW$3</f>
        <v>0.48838941964800003</v>
      </c>
      <c r="BD157" s="3">
        <f>$H157*factors!AX$3</f>
        <v>0.45082100275199993</v>
      </c>
      <c r="BE157" s="3">
        <f>$H157*factors!AY$3</f>
        <v>0.53001905198159993</v>
      </c>
      <c r="BF157" s="3">
        <f>$H157*factors!AZ$3</f>
        <v>0.49358986254239995</v>
      </c>
      <c r="BG157" s="3">
        <f>$H157*factors!BA$3</f>
        <v>0.50077308299519985</v>
      </c>
      <c r="BH157" s="3">
        <f>$H157*factors!BB$3</f>
        <v>0.50744321627279987</v>
      </c>
      <c r="BI157" s="3">
        <f>$H157*factors!BC$3</f>
        <v>0.5259143545799998</v>
      </c>
      <c r="BJ157" s="3">
        <f>$H157*factors!BD$3</f>
        <v>0.50231234452079987</v>
      </c>
      <c r="BK157" s="3">
        <f>$H157*factors!BE$3</f>
        <v>0.50333851887119985</v>
      </c>
      <c r="BL157" s="3">
        <f>$H157*factors!BF$3</f>
        <v>0.49769455994399986</v>
      </c>
      <c r="BM157" s="3">
        <f>$H157*factors!BG$3</f>
        <v>0.53155831350719995</v>
      </c>
      <c r="BN157" s="3">
        <f>$H157*factors!BH$3</f>
        <v>0.52488818022959993</v>
      </c>
      <c r="BO157" s="3">
        <f>$H157*factors!BI$3</f>
        <v>0.49358986254239995</v>
      </c>
      <c r="BP157" s="3">
        <f>$H157*factors!BJ$3</f>
        <v>0.49205060101679987</v>
      </c>
      <c r="BQ157" s="3">
        <f>$H157*factors!BK$3</f>
        <v>0.50025999581999991</v>
      </c>
      <c r="BR157" s="3">
        <f>$H157*factors!BL$3</f>
        <v>0.51821804695199991</v>
      </c>
      <c r="BS157" s="3">
        <f>$H157*factors!BM$3</f>
        <v>0.52642744175519995</v>
      </c>
      <c r="BT157" s="3">
        <f>$H157*factors!BN$3</f>
        <v>0.52796670328079987</v>
      </c>
      <c r="BU157" s="3">
        <f>$H157*factors!BO$3</f>
        <v>0.53668918525919995</v>
      </c>
      <c r="BV157" s="3">
        <f>$H157*factors!BP$3</f>
        <v>0.49923382146959994</v>
      </c>
      <c r="BW157" s="3">
        <f>$H157*factors!BQ$3</f>
        <v>0.51052173932399991</v>
      </c>
      <c r="BX157" s="3">
        <f>$H157*factors!BR$3</f>
        <v>0.50077308299519985</v>
      </c>
      <c r="BY157" s="3">
        <f>$H157*factors!BS$3</f>
        <v>0.52386200587919984</v>
      </c>
      <c r="BZ157" s="3">
        <f>$H157*factors!BT$3</f>
        <v>0.51411334955039989</v>
      </c>
      <c r="CA157" s="3">
        <f>$H157*factors!BU$3</f>
        <v>0.50744321627279987</v>
      </c>
      <c r="CB157" s="3">
        <f>$H157*factors!BV$3</f>
        <v>0.49102442666639989</v>
      </c>
      <c r="CC157" s="3">
        <f>$H157*factors!BW$3</f>
        <v>0.50539086757199991</v>
      </c>
      <c r="CD157" s="3">
        <f>$H157*factors!BX$3</f>
        <v>0.50693012909759994</v>
      </c>
      <c r="CE157" s="3">
        <f>$H157*factors!BY$3</f>
        <v>0.51411334955039989</v>
      </c>
      <c r="CF157" s="3">
        <f>$H157*factors!BZ$3</f>
        <v>0.5064170419224</v>
      </c>
      <c r="CG157" s="3">
        <f>$H157*factors!CA$3</f>
        <v>0.48948516514079987</v>
      </c>
      <c r="CH157" s="3">
        <f>$H157*factors!CB$3</f>
        <v>0.48999825231599986</v>
      </c>
      <c r="CI157" s="3">
        <f>$H157*factors!CC$3</f>
        <v>0.48743281643999997</v>
      </c>
      <c r="CJ157" s="3">
        <f>$H157*factors!CD$3</f>
        <v>0.50744321627279987</v>
      </c>
      <c r="CK157" s="3">
        <f>$H157*factors!CE$3</f>
        <v>0.53001905198159993</v>
      </c>
      <c r="CL157" s="3">
        <f>$H157*factors!CF$3</f>
        <v>0.49666838559359994</v>
      </c>
      <c r="CM157" s="3">
        <f>$H157*factors!CG$3</f>
        <v>0.50846939062319985</v>
      </c>
      <c r="CN157" s="3">
        <f>$H157*factors!CH$3</f>
        <v>0.49153751384159988</v>
      </c>
      <c r="CO157" s="3">
        <f>$H157*factors!CI$3</f>
        <v>0.49512912406799986</v>
      </c>
      <c r="CP157" s="3">
        <f>$H157*factors!CJ$3</f>
        <v>0.51873113412719984</v>
      </c>
      <c r="CQ157" s="3">
        <f>$H157*factors!CK$3</f>
        <v>0.50333851887119985</v>
      </c>
      <c r="CR157" s="3">
        <f>$H157*factors!CL$3</f>
        <v>0.51924422130239989</v>
      </c>
      <c r="CS157" s="3">
        <f>$H157*factors!CM$3</f>
        <v>0.53566301090879986</v>
      </c>
      <c r="CT157" s="3">
        <f>$H157*factors!CN$3</f>
        <v>0.52950596480639989</v>
      </c>
      <c r="CU157" s="3">
        <f>$H157*factors!CO$3</f>
        <v>0.51770495977679987</v>
      </c>
      <c r="CV157" s="3">
        <f>$H157*factors!CP$3</f>
        <v>0.53874153395999991</v>
      </c>
      <c r="CW157" s="3">
        <f>$H157*factors!CQ$3</f>
        <v>0.50949556497359993</v>
      </c>
      <c r="CX157" s="3">
        <f>$H157*factors!CR$3</f>
        <v>0.50179925734559994</v>
      </c>
      <c r="CY157" s="3">
        <f>$H157*factors!CS$3</f>
        <v>0.49718147276879987</v>
      </c>
      <c r="CZ157" s="3">
        <f>$H157*factors!CT$3</f>
        <v>0.48999825231599986</v>
      </c>
      <c r="DA157" s="3">
        <f>$H157*factors!CU$3</f>
        <v>0.50873897879999996</v>
      </c>
      <c r="DB157" s="3">
        <f>$H157*factors!CV$3</f>
        <v>0.54161134358399998</v>
      </c>
      <c r="DC157" s="3">
        <f>$H157*factors!CW$3</f>
        <v>0.51865286659199983</v>
      </c>
      <c r="DD157" s="3">
        <f>$H157*factors!CX$3</f>
        <v>0.51500038161599992</v>
      </c>
      <c r="DE157" s="3">
        <f>$H157*factors!CY$3</f>
        <v>0.53013210508800002</v>
      </c>
      <c r="DF157" s="3">
        <f>$H157*factors!CZ$3</f>
        <v>0.52908853795199984</v>
      </c>
      <c r="DG157" s="3">
        <f>$H157*factors!DA$3</f>
        <v>0.52700140367999992</v>
      </c>
      <c r="DH157" s="3">
        <f>$H157*factors!DB$3</f>
        <v>0.52700140367999992</v>
      </c>
      <c r="DI157" s="3">
        <f>$H157*factors!DC$3</f>
        <v>0.50717362809599986</v>
      </c>
      <c r="DJ157" s="3">
        <f>$H157*factors!DD$3</f>
        <v>0.53743707503999993</v>
      </c>
      <c r="DK157" s="3">
        <f>$H157*factors!DE$3</f>
        <v>0.53743707503999993</v>
      </c>
      <c r="DL157" s="3">
        <f>$H157*factors!DF$3</f>
        <v>0.53117567222399997</v>
      </c>
      <c r="DM157" s="3">
        <f>$H157*factors!DG$3</f>
        <v>0.50039044171199987</v>
      </c>
      <c r="DN157" s="3">
        <f>$H157*factors!DH$3</f>
        <v>0.52491426940800001</v>
      </c>
      <c r="DO157" s="3">
        <f>$H157*factors!DI$3</f>
        <v>0.54213312715199991</v>
      </c>
      <c r="DP157" s="3">
        <f>$H157*factors!DJ$3</f>
        <v>0.53743707503999993</v>
      </c>
      <c r="DQ157" s="3">
        <f>$H157*factors!DK$3</f>
        <v>0.51239146377599987</v>
      </c>
      <c r="DR157" s="3">
        <f>$H157*factors!DL$3</f>
        <v>0.50665184452799994</v>
      </c>
      <c r="DS157" s="3">
        <f>$H157*factors!DM$3</f>
        <v>0.54735096283199991</v>
      </c>
      <c r="DT157" s="3">
        <f>$H157*factors!DN$3</f>
        <v>0.514478598048</v>
      </c>
      <c r="DU157" s="3">
        <f>$H157*factors!DO$3</f>
        <v>0.53848064217599989</v>
      </c>
      <c r="DV157" s="3">
        <f>$H157*factors!DP$3</f>
        <v>0.52595783654399997</v>
      </c>
      <c r="DW157" s="3">
        <f>$H157*factors!DQ$3</f>
        <v>0.50195579241599986</v>
      </c>
      <c r="DX157" s="3">
        <f>$H157*factors!DR$3</f>
        <v>0.5316974557919999</v>
      </c>
      <c r="DY157" s="3">
        <f>$H157*factors!DS$3</f>
        <v>0.50456471025599992</v>
      </c>
      <c r="DZ157" s="3">
        <f>$H157*factors!DT$3</f>
        <v>0.53952420931199985</v>
      </c>
      <c r="EA157" s="3">
        <f>$H157*factors!DU$3</f>
        <v>0.50821719523199982</v>
      </c>
      <c r="EB157" s="3">
        <f>$H157*factors!DV$3</f>
        <v>0.4956943895999999</v>
      </c>
      <c r="EC157" s="3">
        <f>$H157*factors!DW$3</f>
        <v>0.53326280649599989</v>
      </c>
      <c r="ED157" s="3">
        <f>$H157*factors!DX$3</f>
        <v>0.50039044171199987</v>
      </c>
      <c r="EE157" s="3">
        <f>$H157*factors!DY$3</f>
        <v>0.50456471025599992</v>
      </c>
      <c r="EF157" s="3">
        <f>$H157*factors!DZ$3</f>
        <v>0.54735096283199991</v>
      </c>
      <c r="EG157" s="3">
        <f>$H157*factors!EA$3</f>
        <v>0.51134789663999991</v>
      </c>
      <c r="EH157" s="3">
        <f>$H157*factors!EB$3</f>
        <v>0.5129132473439999</v>
      </c>
      <c r="EI157" s="3">
        <f>$H157*factors!EC$3</f>
        <v>0.51186968020799994</v>
      </c>
      <c r="EJ157" s="3">
        <f>$H157*factors!ED$3</f>
        <v>0.49882509100799993</v>
      </c>
      <c r="EK157" s="3">
        <f>$H157*factors!EE$3</f>
        <v>0.53326280649599989</v>
      </c>
      <c r="EL157" s="3">
        <f>$H157*factors!EF$3</f>
        <v>0.50717362809599986</v>
      </c>
      <c r="EM157" s="3">
        <f>$H157*factors!EG$3</f>
        <v>0.52752318724799985</v>
      </c>
      <c r="EN157" s="3">
        <f>$H157*factors!EH$3</f>
        <v>0.4956943895999999</v>
      </c>
      <c r="EO157" s="3">
        <f>$H157*factors!EI$3</f>
        <v>0.50299935955199992</v>
      </c>
      <c r="EP157" s="3">
        <f>$H157*factors!EJ$3</f>
        <v>0.53065388865599994</v>
      </c>
      <c r="EQ157" s="3">
        <f>$H157*factors!EK$3</f>
        <v>0.51604394875199988</v>
      </c>
      <c r="ER157" s="3">
        <f>$H157*factors!EL$3</f>
        <v>0.53743707503999993</v>
      </c>
      <c r="ES157" s="3">
        <f>$H157*factors!EM$3</f>
        <v>0.53065388865599994</v>
      </c>
      <c r="ET157" s="3">
        <f>$H157*factors!EN$3</f>
        <v>0.54265491071999994</v>
      </c>
      <c r="EU157" s="3">
        <f>$H157*factors!EO$3</f>
        <v>0.54787274639999994</v>
      </c>
      <c r="EV157" s="3">
        <f>$H157*factors!EP$3</f>
        <v>0.51343503091199982</v>
      </c>
      <c r="EW157" s="3">
        <f>$H157*factors!EQ$3</f>
        <v>0.5647220074499999</v>
      </c>
      <c r="EX157" s="3">
        <f>$H157*factors!ER$3</f>
        <v>0.55874323739999998</v>
      </c>
      <c r="EY157" s="3">
        <f>$H157*factors!ES$3</f>
        <v>0.57015725294999986</v>
      </c>
      <c r="EZ157" s="3">
        <f>$H157*factors!ET$3</f>
        <v>0.5647220074499999</v>
      </c>
      <c r="FA157" s="3">
        <f>$H157*factors!EU$3</f>
        <v>0.51906594524999994</v>
      </c>
      <c r="FB157" s="3">
        <f>$H157*factors!EV$3</f>
        <v>0.54243750089999998</v>
      </c>
      <c r="FC157" s="3">
        <f>$H157*factors!EW$3</f>
        <v>0.55765618829999997</v>
      </c>
      <c r="FD157" s="3">
        <f>$H157*factors!EX$3</f>
        <v>0.53808930449999992</v>
      </c>
      <c r="FE157" s="3">
        <f>$H157*factors!EY$3</f>
        <v>0.56689610564999993</v>
      </c>
      <c r="FF157" s="3">
        <f>$H157*factors!EZ$3</f>
        <v>0.56743963019999999</v>
      </c>
      <c r="FG157" s="3">
        <f>$H157*factors!FA$3</f>
        <v>0.51906594524999994</v>
      </c>
      <c r="FH157" s="3">
        <f>$H157*factors!FB$3</f>
        <v>0.54624217274999987</v>
      </c>
      <c r="FI157" s="3">
        <f>$H157*factors!FC$3</f>
        <v>0.56907020384999984</v>
      </c>
      <c r="FJ157" s="3">
        <f>$H157*factors!FD$3</f>
        <v>0.54624217274999987</v>
      </c>
      <c r="FK157" s="3">
        <f>$H157*factors!FE$3</f>
        <v>0.55548209009999994</v>
      </c>
      <c r="FL157" s="3">
        <f>$H157*factors!FF$3</f>
        <v>0.5571126637499999</v>
      </c>
      <c r="FM157" s="3">
        <f>$H157*factors!FG$3</f>
        <v>0.56309143379999993</v>
      </c>
      <c r="FN157" s="3">
        <f>$H157*factors!FH$3</f>
        <v>0.52667528894999993</v>
      </c>
      <c r="FO157" s="3">
        <f>$H157*factors!FI$3</f>
        <v>0.55928676194999993</v>
      </c>
      <c r="FP157" s="3">
        <f>$H157*factors!FJ$3</f>
        <v>0.54352454999999988</v>
      </c>
      <c r="FQ157" s="3">
        <f>$H157*factors!FK$3</f>
        <v>0.53808930449999992</v>
      </c>
      <c r="FR157" s="3">
        <f>$H157*factors!FL$3</f>
        <v>0.54895979549999996</v>
      </c>
      <c r="FS157" s="3">
        <f>$H157*factors!FM$3</f>
        <v>0.54569864819999991</v>
      </c>
      <c r="FT157" s="3">
        <f>$H157*factors!FN$3</f>
        <v>0.55765618829999997</v>
      </c>
      <c r="FU157" s="3">
        <f>$H157*factors!FO$3</f>
        <v>0.53591520629999989</v>
      </c>
      <c r="FV157" s="3">
        <f>$H157*factors!FP$3</f>
        <v>0.53156700989999994</v>
      </c>
      <c r="FW157" s="3">
        <f>$H157*factors!FQ$3</f>
        <v>0.56907020384999984</v>
      </c>
      <c r="FX157" s="3">
        <f>$H157*factors!FR$3</f>
        <v>0.55874323739999998</v>
      </c>
      <c r="FY157" s="3">
        <f>$H157*factors!FS$3</f>
        <v>0.54732922184999988</v>
      </c>
      <c r="FZ157" s="3">
        <f>$H157*factors!FT$3</f>
        <v>0.52015299434999995</v>
      </c>
      <c r="GA157" s="3">
        <f>$H157*factors!FU$3</f>
        <v>0.54732922184999988</v>
      </c>
      <c r="GB157" s="3">
        <f>$H157*factors!FV$3</f>
        <v>0.56743963019999999</v>
      </c>
      <c r="GC157" s="3">
        <f>$H157*factors!FW$3</f>
        <v>0.53156700989999994</v>
      </c>
      <c r="GD157" s="3">
        <f>$H157*factors!FX$3</f>
        <v>0.5408069272499999</v>
      </c>
      <c r="GE157" s="3">
        <f>$H157*factors!FY$3</f>
        <v>0.5408069272499999</v>
      </c>
      <c r="GF157" s="3">
        <f>$H157*factors!FZ$3</f>
        <v>0.53917635359999994</v>
      </c>
      <c r="GG157" s="3">
        <f>$H157*factors!GA$3</f>
        <v>0.51797889614999992</v>
      </c>
      <c r="GH157" s="3">
        <f>$H157*factors!GB$3</f>
        <v>0.55113389369999999</v>
      </c>
      <c r="GI157" s="3">
        <f>$H157*factors!GC$3</f>
        <v>0.51689184704999991</v>
      </c>
      <c r="GJ157" s="3">
        <f>$H157*factors!GD$3</f>
        <v>0.51797889614999992</v>
      </c>
      <c r="GK157" s="3">
        <f>$H157*factors!GE$3</f>
        <v>0.53102348534999988</v>
      </c>
      <c r="GL157" s="3">
        <f>$H157*factors!GF$3</f>
        <v>0.56254790924999987</v>
      </c>
      <c r="GM157" s="3">
        <f>$H157*factors!GG$3</f>
        <v>0.53319758355000002</v>
      </c>
      <c r="GN157" s="3">
        <f>$H157*factors!GH$3</f>
        <v>0.55004684459999997</v>
      </c>
      <c r="GO157" s="3">
        <f>$H157*factors!GI$3</f>
        <v>0.51960946979999989</v>
      </c>
      <c r="GP157" s="3">
        <f>$H157*factors!GJ$3</f>
        <v>0.5571126637499999</v>
      </c>
      <c r="GQ157" s="3">
        <f>$H157*factors!GK$3</f>
        <v>0.5685266793</v>
      </c>
      <c r="GR157" s="3">
        <f>$H157*factors!GL$3</f>
        <v>0.55765618829999997</v>
      </c>
      <c r="GS157" s="3">
        <f>$H157*factors!GM$3</f>
        <v>0.52737100037399998</v>
      </c>
      <c r="GT157" s="3">
        <f>$H157*factors!GN$3</f>
        <v>0.53951986111560002</v>
      </c>
      <c r="GU157" s="3">
        <f>$H157*factors!GO$3</f>
        <v>0.55222094279999989</v>
      </c>
      <c r="GV157" s="3">
        <f>$H157*factors!GP$3</f>
        <v>0.53013210508800002</v>
      </c>
      <c r="GW157" s="3">
        <f>$H157*factors!GQ$3</f>
        <v>0.54890761714319991</v>
      </c>
      <c r="GX157" s="3">
        <f>$H157*factors!GR$3</f>
        <v>0.54007208205839996</v>
      </c>
      <c r="GY157" s="3">
        <f>$H157*factors!GS$3</f>
        <v>0.53731097734440003</v>
      </c>
      <c r="GZ157" s="3">
        <f>$H157*factors!GT$3</f>
        <v>0.55719093128519992</v>
      </c>
      <c r="HA157" s="3">
        <f>$H157*factors!GU$3</f>
        <v>0.53896764017279997</v>
      </c>
      <c r="HB157" s="3">
        <f>$H157*factors!GV$3</f>
        <v>0.55719093128519992</v>
      </c>
      <c r="HC157" s="3">
        <f>$H157*factors!GW$3</f>
        <v>0.54338540771519994</v>
      </c>
      <c r="HD157" s="3">
        <f>$H157*factors!GX$3</f>
        <v>0.55939981505639991</v>
      </c>
      <c r="HE157" s="3">
        <f>$H157*factors!GY$3</f>
        <v>0.55222094279999989</v>
      </c>
      <c r="HF157" s="3">
        <f>$H157*factors!GZ$3</f>
        <v>0.56933979202679985</v>
      </c>
      <c r="HG157" s="3">
        <f>$H157*factors!HA$3</f>
        <v>0.54725095431479998</v>
      </c>
      <c r="HH157" s="3">
        <f>$H157*factors!HB$3</f>
        <v>0.54007208205839996</v>
      </c>
      <c r="HI157" s="3">
        <f>$H157*factors!HC$3</f>
        <v>0.5334454307448</v>
      </c>
      <c r="HJ157" s="3">
        <f>$H157*factors!HD$3</f>
        <v>0.52737100037399998</v>
      </c>
      <c r="HK157" s="3">
        <f>$H157*factors!HE$3</f>
        <v>0.55774315222799997</v>
      </c>
      <c r="HL157" s="3">
        <f>$H157*factors!HF$3</f>
        <v>0.52571433754559993</v>
      </c>
      <c r="HM157" s="3">
        <f>$H157*factors!HG$3</f>
        <v>0.53123654697360001</v>
      </c>
      <c r="HN157" s="3">
        <f>$H157*factors!HH$3</f>
        <v>0.56657868731279992</v>
      </c>
      <c r="HO157" s="3">
        <f>$H157*factors!HI$3</f>
        <v>0.54338540771519994</v>
      </c>
      <c r="HP157" s="3">
        <f>$H157*factors!HJ$3</f>
        <v>0.57983198993999996</v>
      </c>
      <c r="HQ157" s="3">
        <f>$H157*factors!HK$3</f>
        <v>0.53013210508800002</v>
      </c>
      <c r="HR157" s="3">
        <f>$H157*factors!HL$3</f>
        <v>0.56216091977039995</v>
      </c>
      <c r="HS157" s="3">
        <f>$H157*factors!HM$3</f>
        <v>0.57210089674079989</v>
      </c>
      <c r="HT157" s="3">
        <f>$H157*factors!HN$3</f>
        <v>0.5334454307448</v>
      </c>
      <c r="HU157" s="3">
        <f>$H157*factors!HO$3</f>
        <v>0.53896764017279997</v>
      </c>
      <c r="HV157" s="3">
        <f>$H157*factors!HP$3</f>
        <v>0.54559429148639993</v>
      </c>
      <c r="HW157" s="3">
        <f>$H157*factors!HQ$3</f>
        <v>0.55332538468559989</v>
      </c>
      <c r="HX157" s="3">
        <f>$H157*factors!HR$3</f>
        <v>0.57596644334039981</v>
      </c>
      <c r="HY157" s="3">
        <f>$H157*factors!HS$3</f>
        <v>0.54725095431479998</v>
      </c>
      <c r="HZ157" s="3">
        <f>$H157*factors!HT$3</f>
        <v>0.56823535014119986</v>
      </c>
      <c r="IA157" s="3">
        <f>$H157*factors!HU$3</f>
        <v>0.54062430300120001</v>
      </c>
      <c r="IB157" s="3">
        <f>$H157*factors!HV$3</f>
        <v>0.55939981505639991</v>
      </c>
      <c r="IC157" s="3">
        <f>$H157*factors!HW$3</f>
        <v>0.56492202448439988</v>
      </c>
      <c r="ID157" s="3">
        <f>$H157*factors!HX$3</f>
        <v>0.52460989565999994</v>
      </c>
      <c r="IE157" s="3">
        <f>$H157*factors!HY$3</f>
        <v>0.55719093128519992</v>
      </c>
      <c r="IF157" s="3">
        <f>$H157*factors!HZ$3</f>
        <v>0.55387760562839994</v>
      </c>
      <c r="IG157" s="3">
        <f>$H157*factors!IA$3</f>
        <v>0.54890761714319991</v>
      </c>
      <c r="IH157" s="3">
        <f>$H157*factors!IB$3</f>
        <v>0.56933979202679985</v>
      </c>
      <c r="II157" s="3">
        <f>$H157*factors!IC$3</f>
        <v>0.54504207054359999</v>
      </c>
      <c r="IJ157" s="3">
        <f>$H157*factors!ID$3</f>
        <v>0.5500120590287999</v>
      </c>
      <c r="IK157" s="3">
        <f>$H157*factors!IE$3</f>
        <v>0.5698920129695999</v>
      </c>
      <c r="IL157" s="3">
        <f>$H157*factors!IF$3</f>
        <v>0.54559429148639993</v>
      </c>
      <c r="IM157" s="3">
        <f>$H157*factors!IG$3</f>
        <v>0.54062430300120001</v>
      </c>
      <c r="IN157" s="3">
        <f>$H157*factors!IH$3</f>
        <v>0.54393762865799999</v>
      </c>
      <c r="IO157" s="3">
        <f>$H157*factors!II$3</f>
        <v>0.54945983808599996</v>
      </c>
      <c r="IP157" s="3">
        <f>$H157*factors!IJ$3</f>
        <v>0.53123654697360001</v>
      </c>
      <c r="IQ157" s="3">
        <f>$H157*factors!IK$3</f>
        <v>0.52957988414519996</v>
      </c>
      <c r="IR157" s="3">
        <f>$H157*factors!IL$3</f>
        <v>0.54504207054359999</v>
      </c>
      <c r="IS157" s="3">
        <f>$H157*factors!IM$3</f>
        <v>0.54945983808599996</v>
      </c>
      <c r="IT157" s="3">
        <f>$H157*factors!IN$3</f>
        <v>0.55332538468559989</v>
      </c>
      <c r="IU157" s="3">
        <f>$H157*factors!IO$3</f>
        <v>0.56547424542719993</v>
      </c>
      <c r="IV157" s="3">
        <f>$H157*factors!IP$3</f>
        <v>0.57265311768359983</v>
      </c>
      <c r="IW157" s="3">
        <f>$H157*factors!IQ$3</f>
        <v>0.54117652394399995</v>
      </c>
      <c r="IX157" s="3">
        <f>$H157*factors!IR$3</f>
        <v>0.56547424542719993</v>
      </c>
      <c r="IY157" s="3">
        <f>$H157*factors!IS$3</f>
        <v>0.55719093128519992</v>
      </c>
      <c r="IZ157" s="3">
        <f>$H157*factors!IT$3</f>
        <v>0.56657868731279992</v>
      </c>
      <c r="JA157" s="3">
        <f>$H157*factors!IU$3</f>
        <v>0.53510209357319993</v>
      </c>
      <c r="JB157" s="3">
        <f>$H157*factors!IV$3</f>
        <v>0.54504207054359999</v>
      </c>
      <c r="JC157" s="3">
        <f>$H157*factors!IW$3</f>
        <v>0.5323409888592</v>
      </c>
      <c r="JD157" s="3">
        <f>$H157*factors!IX$3</f>
        <v>0.57983198993999996</v>
      </c>
      <c r="JE157" s="3">
        <f>$H157*factors!IY$3</f>
        <v>0.53399765168759994</v>
      </c>
      <c r="JF157" s="3">
        <f>$H157*factors!IZ$3</f>
        <v>0.5605042569419999</v>
      </c>
      <c r="JG157" s="3">
        <f>$H157*factors!JA$3</f>
        <v>0.55056427997159996</v>
      </c>
      <c r="JH157" s="3">
        <f>$H157*factors!JB$3</f>
        <v>0.56105647788479995</v>
      </c>
      <c r="JI157" s="3">
        <f>$H157*factors!JC$3</f>
        <v>0.52516211660279999</v>
      </c>
      <c r="JJ157" s="3">
        <f>$H157*factors!JD$3</f>
        <v>0.56547424542719993</v>
      </c>
      <c r="JK157" s="3">
        <f>$H157*factors!JE$3</f>
        <v>0.54725095431479998</v>
      </c>
      <c r="JL157" s="3">
        <f>$H157*factors!JF$3</f>
        <v>0.56933979202679985</v>
      </c>
      <c r="JM157" s="3">
        <f>$H157*factors!JG$3</f>
        <v>0.53123654697360001</v>
      </c>
      <c r="JN157" s="3">
        <f>$H157*factors!JH$3</f>
        <v>0.53123654697360001</v>
      </c>
      <c r="JO157" s="3">
        <f>$H157*factors!JI$3</f>
        <v>0.52460989565999994</v>
      </c>
      <c r="JP157" s="3">
        <f>$H157*factors!JJ$3</f>
        <v>0.56713090825559986</v>
      </c>
      <c r="JQ157" s="3">
        <f>$H157*factors!JK$3</f>
        <v>0.55277316374279994</v>
      </c>
      <c r="JR157" s="3">
        <f>$H157*factors!JL$3</f>
        <v>0.57430978051199988</v>
      </c>
      <c r="JS157" s="3">
        <f>$H157*factors!JM$3</f>
        <v>0.52460989565999994</v>
      </c>
      <c r="JT157" s="3">
        <f>$H157*factors!JN$3</f>
        <v>0.5511165009143999</v>
      </c>
      <c r="JU157" s="3">
        <f>$H157*factors!JO$3</f>
        <v>0.53289320980199995</v>
      </c>
      <c r="JV157" s="3">
        <f>$H157*factors!JP$3</f>
        <v>0.54172874488680001</v>
      </c>
      <c r="JW157" s="3">
        <f>$H157*factors!JQ$3</f>
        <v>0.57872754805439997</v>
      </c>
      <c r="JX157" s="3">
        <f>$H157*factors!JR$3</f>
        <v>0.57320533862639989</v>
      </c>
      <c r="JY157" s="3">
        <f>$H157*factors!JS$3</f>
        <v>0.53951986111560002</v>
      </c>
      <c r="JZ157" s="3">
        <f>$H157*factors!JT$3</f>
        <v>0.54559429148639993</v>
      </c>
      <c r="KA157" s="3">
        <f>$H157*factors!JU$3</f>
        <v>0.54780317525759992</v>
      </c>
      <c r="KB157" s="3">
        <f>$H157*factors!JV$3</f>
        <v>0.52957988414519996</v>
      </c>
      <c r="KC157" s="3">
        <f>$H157*factors!JW$3</f>
        <v>0.5323409888592</v>
      </c>
      <c r="KD157" s="3">
        <f>$H157*factors!JX$3</f>
        <v>0.53289320980199995</v>
      </c>
      <c r="KE157" s="3">
        <f>$H157*factors!JY$3</f>
        <v>0.56713090825559986</v>
      </c>
      <c r="KF157" s="3">
        <f>$H157*factors!JZ$3</f>
        <v>0.57375755956919983</v>
      </c>
      <c r="KG157" s="3">
        <f>$H157*factors!KA$3</f>
        <v>0.55332538468559989</v>
      </c>
      <c r="KH157" s="3">
        <f>$H157*factors!KB$3</f>
        <v>0.54117652394399995</v>
      </c>
      <c r="KI157" s="3">
        <f>$H157*factors!KC$3</f>
        <v>0.53620653545879993</v>
      </c>
    </row>
    <row r="158" spans="1:295" x14ac:dyDescent="0.55000000000000004">
      <c r="A158" t="s">
        <v>535</v>
      </c>
      <c r="B158">
        <v>157</v>
      </c>
      <c r="C158">
        <v>287</v>
      </c>
      <c r="D158" t="s">
        <v>377</v>
      </c>
      <c r="E158">
        <v>3.431E-3</v>
      </c>
      <c r="F158">
        <v>157</v>
      </c>
      <c r="G158">
        <f>VLOOKUP(D158,demand_forecasted!$A$2:$G$11,2)</f>
        <v>11098</v>
      </c>
      <c r="H158" s="3">
        <f t="shared" si="3"/>
        <v>0.38077238000000002</v>
      </c>
      <c r="I158" s="3">
        <f>$H158*factors!C$3</f>
        <v>0.42151502466000002</v>
      </c>
      <c r="J158" s="3">
        <f>$H158*factors!D$3</f>
        <v>0.40629936035520003</v>
      </c>
      <c r="K158" s="3">
        <f>$H158*factors!E$3</f>
        <v>0.39930837945840003</v>
      </c>
      <c r="L158" s="3">
        <f>$H158*factors!F$3</f>
        <v>0.39807467694720006</v>
      </c>
      <c r="M158" s="3">
        <f>$H158*factors!G$3</f>
        <v>0.39766344277679999</v>
      </c>
      <c r="N158" s="3">
        <f>$H158*factors!H$3</f>
        <v>0.40917799954800005</v>
      </c>
      <c r="O158" s="3">
        <f>$H158*factors!I$3</f>
        <v>0.41822515129680005</v>
      </c>
      <c r="P158" s="3">
        <f>$H158*factors!J$3</f>
        <v>0.42315996134160005</v>
      </c>
      <c r="Q158" s="3">
        <f>$H158*factors!K$3</f>
        <v>0.39725220860640004</v>
      </c>
      <c r="R158" s="3">
        <f>$H158*factors!L$3</f>
        <v>0.39067246188000004</v>
      </c>
      <c r="S158" s="3">
        <f>$H158*factors!M$3</f>
        <v>0.40671059452559999</v>
      </c>
      <c r="T158" s="3">
        <f>$H158*factors!N$3</f>
        <v>0.42069255631920005</v>
      </c>
      <c r="U158" s="3">
        <f>$H158*factors!O$3</f>
        <v>0.39848591111760007</v>
      </c>
      <c r="V158" s="3">
        <f>$H158*factors!P$3</f>
        <v>0.41452404376320007</v>
      </c>
      <c r="W158" s="3">
        <f>$H158*factors!Q$3</f>
        <v>0.41822515129680005</v>
      </c>
      <c r="X158" s="3">
        <f>$H158*factors!R$3</f>
        <v>0.4001308477992</v>
      </c>
      <c r="Y158" s="3">
        <f>$H158*factors!S$3</f>
        <v>0.39642974026560002</v>
      </c>
      <c r="Z158" s="3">
        <f>$H158*factors!T$3</f>
        <v>0.42768353721600011</v>
      </c>
      <c r="AA158" s="3">
        <f>$H158*factors!U$3</f>
        <v>0.40383195533280003</v>
      </c>
      <c r="AB158" s="3">
        <f>$H158*factors!V$3</f>
        <v>0.4042431895032001</v>
      </c>
      <c r="AC158" s="3">
        <f>$H158*factors!W$3</f>
        <v>0.40465442367360005</v>
      </c>
      <c r="AD158" s="3">
        <f>$H158*factors!X$3</f>
        <v>0.39601850609520006</v>
      </c>
      <c r="AE158" s="3">
        <f>$H158*factors!Y$3</f>
        <v>0.39930837945840003</v>
      </c>
      <c r="AF158" s="3">
        <f>$H158*factors!Z$3</f>
        <v>0.40753306286640006</v>
      </c>
      <c r="AG158" s="3">
        <f>$H158*factors!AA$3</f>
        <v>0.39725220860640004</v>
      </c>
      <c r="AH158" s="3">
        <f>$H158*factors!AB$3</f>
        <v>0.39560727192480005</v>
      </c>
      <c r="AI158" s="3">
        <f>$H158*factors!AC$3</f>
        <v>0.40835553120720003</v>
      </c>
      <c r="AJ158" s="3">
        <f>$H158*factors!AD$3</f>
        <v>0.42398242968240002</v>
      </c>
      <c r="AK158" s="3">
        <f>$H158*factors!AE$3</f>
        <v>0.40794429703680007</v>
      </c>
      <c r="AL158" s="3">
        <f>$H158*factors!AF$3</f>
        <v>0.39190616439120002</v>
      </c>
      <c r="AM158" s="3">
        <f>$H158*factors!AG$3</f>
        <v>0.40300948699200001</v>
      </c>
      <c r="AN158" s="3">
        <f>$H158*factors!AH$3</f>
        <v>0.39642974026560002</v>
      </c>
      <c r="AO158" s="3">
        <f>$H158*factors!AI$3</f>
        <v>0.41534651210400003</v>
      </c>
      <c r="AP158" s="3">
        <f>$H158*factors!AJ$3</f>
        <v>0.39807467694720006</v>
      </c>
      <c r="AQ158" s="3">
        <f>$H158*factors!AK$3</f>
        <v>0.41082293622960009</v>
      </c>
      <c r="AR158" s="3">
        <f>$H158*factors!AL$3</f>
        <v>0.40177578448080004</v>
      </c>
      <c r="AS158" s="3">
        <f>$H158*factors!AM$3</f>
        <v>0.39190616439120002</v>
      </c>
      <c r="AT158" s="3">
        <f>$H158*factors!AN$3</f>
        <v>0.4042431895032001</v>
      </c>
      <c r="AU158" s="3">
        <f>$H158*factors!AO$3</f>
        <v>0.42809477138640001</v>
      </c>
      <c r="AV158" s="3">
        <f>$H158*factors!AP$3</f>
        <v>0.40465442367360005</v>
      </c>
      <c r="AW158" s="3">
        <f>$H158*factors!AQ$3</f>
        <v>0.40054208196960001</v>
      </c>
      <c r="AX158" s="3">
        <f>$H158*factors!AR$3</f>
        <v>0.42357119551200006</v>
      </c>
      <c r="AY158" s="3">
        <f>$H158*factors!AS$3</f>
        <v>0.39067246188000004</v>
      </c>
      <c r="AZ158" s="3">
        <f>$H158*factors!AT$3</f>
        <v>0.41863638546720011</v>
      </c>
      <c r="BA158" s="3">
        <f>$H158*factors!AU$3</f>
        <v>0.4095892337184</v>
      </c>
      <c r="BB158" s="3">
        <f>$H158*factors!AV$3</f>
        <v>0.4042431895032001</v>
      </c>
      <c r="BC158" s="3">
        <f>$H158*factors!AW$3</f>
        <v>0.42768353721600011</v>
      </c>
      <c r="BD158" s="3">
        <f>$H158*factors!AX$3</f>
        <v>0.39478480358399998</v>
      </c>
      <c r="BE158" s="3">
        <f>$H158*factors!AY$3</f>
        <v>0.4641386848772</v>
      </c>
      <c r="BF158" s="3">
        <f>$H158*factors!AZ$3</f>
        <v>0.4322375748808</v>
      </c>
      <c r="BG158" s="3">
        <f>$H158*factors!BA$3</f>
        <v>0.43852793459839995</v>
      </c>
      <c r="BH158" s="3">
        <f>$H158*factors!BB$3</f>
        <v>0.44436898290760002</v>
      </c>
      <c r="BI158" s="3">
        <f>$H158*factors!BC$3</f>
        <v>0.46054419360999993</v>
      </c>
      <c r="BJ158" s="3">
        <f>$H158*factors!BD$3</f>
        <v>0.43987586882359997</v>
      </c>
      <c r="BK158" s="3">
        <f>$H158*factors!BE$3</f>
        <v>0.44077449164039995</v>
      </c>
      <c r="BL158" s="3">
        <f>$H158*factors!BF$3</f>
        <v>0.43583206614799996</v>
      </c>
      <c r="BM158" s="3">
        <f>$H158*factors!BG$3</f>
        <v>0.46548661910240002</v>
      </c>
      <c r="BN158" s="3">
        <f>$H158*factors!BH$3</f>
        <v>0.45964557079319995</v>
      </c>
      <c r="BO158" s="3">
        <f>$H158*factors!BI$3</f>
        <v>0.4322375748808</v>
      </c>
      <c r="BP158" s="3">
        <f>$H158*factors!BJ$3</f>
        <v>0.43088964065559998</v>
      </c>
      <c r="BQ158" s="3">
        <f>$H158*factors!BK$3</f>
        <v>0.43807862318999996</v>
      </c>
      <c r="BR158" s="3">
        <f>$H158*factors!BL$3</f>
        <v>0.45380452248399999</v>
      </c>
      <c r="BS158" s="3">
        <f>$H158*factors!BM$3</f>
        <v>0.46099350501840003</v>
      </c>
      <c r="BT158" s="3">
        <f>$H158*factors!BN$3</f>
        <v>0.46234143924359999</v>
      </c>
      <c r="BU158" s="3">
        <f>$H158*factors!BO$3</f>
        <v>0.46997973318640002</v>
      </c>
      <c r="BV158" s="3">
        <f>$H158*factors!BP$3</f>
        <v>0.43718000037319998</v>
      </c>
      <c r="BW158" s="3">
        <f>$H158*factors!BQ$3</f>
        <v>0.447064851358</v>
      </c>
      <c r="BX158" s="3">
        <f>$H158*factors!BR$3</f>
        <v>0.43852793459839995</v>
      </c>
      <c r="BY158" s="3">
        <f>$H158*factors!BS$3</f>
        <v>0.45874694797639992</v>
      </c>
      <c r="BZ158" s="3">
        <f>$H158*factors!BT$3</f>
        <v>0.45021003121679998</v>
      </c>
      <c r="CA158" s="3">
        <f>$H158*factors!BU$3</f>
        <v>0.44436898290760002</v>
      </c>
      <c r="CB158" s="3">
        <f>$H158*factors!BV$3</f>
        <v>0.4299910178388</v>
      </c>
      <c r="CC158" s="3">
        <f>$H158*factors!BW$3</f>
        <v>0.44257173727400001</v>
      </c>
      <c r="CD158" s="3">
        <f>$H158*factors!BX$3</f>
        <v>0.44391967149920003</v>
      </c>
      <c r="CE158" s="3">
        <f>$H158*factors!BY$3</f>
        <v>0.45021003121679998</v>
      </c>
      <c r="CF158" s="3">
        <f>$H158*factors!BZ$3</f>
        <v>0.44347036009080004</v>
      </c>
      <c r="CG158" s="3">
        <f>$H158*factors!CA$3</f>
        <v>0.42864308361359998</v>
      </c>
      <c r="CH158" s="3">
        <f>$H158*factors!CB$3</f>
        <v>0.42909239502199992</v>
      </c>
      <c r="CI158" s="3">
        <f>$H158*factors!CC$3</f>
        <v>0.42684583798000003</v>
      </c>
      <c r="CJ158" s="3">
        <f>$H158*factors!CD$3</f>
        <v>0.44436898290760002</v>
      </c>
      <c r="CK158" s="3">
        <f>$H158*factors!CE$3</f>
        <v>0.4641386848772</v>
      </c>
      <c r="CL158" s="3">
        <f>$H158*factors!CF$3</f>
        <v>0.43493344333119999</v>
      </c>
      <c r="CM158" s="3">
        <f>$H158*factors!CG$3</f>
        <v>0.4452676057244</v>
      </c>
      <c r="CN158" s="3">
        <f>$H158*factors!CH$3</f>
        <v>0.43044032924719999</v>
      </c>
      <c r="CO158" s="3">
        <f>$H158*factors!CI$3</f>
        <v>0.43358550910599997</v>
      </c>
      <c r="CP158" s="3">
        <f>$H158*factors!CJ$3</f>
        <v>0.45425383389239993</v>
      </c>
      <c r="CQ158" s="3">
        <f>$H158*factors!CK$3</f>
        <v>0.44077449164039995</v>
      </c>
      <c r="CR158" s="3">
        <f>$H158*factors!CL$3</f>
        <v>0.45470314530079997</v>
      </c>
      <c r="CS158" s="3">
        <f>$H158*factors!CM$3</f>
        <v>0.46908111036959999</v>
      </c>
      <c r="CT158" s="3">
        <f>$H158*factors!CN$3</f>
        <v>0.46368937346880001</v>
      </c>
      <c r="CU158" s="3">
        <f>$H158*factors!CO$3</f>
        <v>0.45335521107559995</v>
      </c>
      <c r="CV158" s="3">
        <f>$H158*factors!CP$3</f>
        <v>0.47177697881999997</v>
      </c>
      <c r="CW158" s="3">
        <f>$H158*factors!CQ$3</f>
        <v>0.44616622854120003</v>
      </c>
      <c r="CX158" s="3">
        <f>$H158*factors!CR$3</f>
        <v>0.43942655741519998</v>
      </c>
      <c r="CY158" s="3">
        <f>$H158*factors!CS$3</f>
        <v>0.43538275473959998</v>
      </c>
      <c r="CZ158" s="3">
        <f>$H158*factors!CT$3</f>
        <v>0.42909239502199992</v>
      </c>
      <c r="DA158" s="3">
        <f>$H158*factors!CU$3</f>
        <v>0.44550368460000001</v>
      </c>
      <c r="DB158" s="3">
        <f>$H158*factors!CV$3</f>
        <v>0.47429007652800004</v>
      </c>
      <c r="DC158" s="3">
        <f>$H158*factors!CW$3</f>
        <v>0.454185294864</v>
      </c>
      <c r="DD158" s="3">
        <f>$H158*factors!CX$3</f>
        <v>0.45098680687199999</v>
      </c>
      <c r="DE158" s="3">
        <f>$H158*factors!CY$3</f>
        <v>0.46423768569600005</v>
      </c>
      <c r="DF158" s="3">
        <f>$H158*factors!CZ$3</f>
        <v>0.46332383198399996</v>
      </c>
      <c r="DG158" s="3">
        <f>$H158*factors!DA$3</f>
        <v>0.46149612456</v>
      </c>
      <c r="DH158" s="3">
        <f>$H158*factors!DB$3</f>
        <v>0.46149612456</v>
      </c>
      <c r="DI158" s="3">
        <f>$H158*factors!DC$3</f>
        <v>0.44413290403199995</v>
      </c>
      <c r="DJ158" s="3">
        <f>$H158*factors!DD$3</f>
        <v>0.47063466168000001</v>
      </c>
      <c r="DK158" s="3">
        <f>$H158*factors!DE$3</f>
        <v>0.47063466168000001</v>
      </c>
      <c r="DL158" s="3">
        <f>$H158*factors!DF$3</f>
        <v>0.46515153940800003</v>
      </c>
      <c r="DM158" s="3">
        <f>$H158*factors!DG$3</f>
        <v>0.43819285490399995</v>
      </c>
      <c r="DN158" s="3">
        <f>$H158*factors!DH$3</f>
        <v>0.45966841713600004</v>
      </c>
      <c r="DO158" s="3">
        <f>$H158*factors!DI$3</f>
        <v>0.474747003384</v>
      </c>
      <c r="DP158" s="3">
        <f>$H158*factors!DJ$3</f>
        <v>0.47063466168000001</v>
      </c>
      <c r="DQ158" s="3">
        <f>$H158*factors!DK$3</f>
        <v>0.44870217259199996</v>
      </c>
      <c r="DR158" s="3">
        <f>$H158*factors!DL$3</f>
        <v>0.44367597717600005</v>
      </c>
      <c r="DS158" s="3">
        <f>$H158*factors!DM$3</f>
        <v>0.47931627194400001</v>
      </c>
      <c r="DT158" s="3">
        <f>$H158*factors!DN$3</f>
        <v>0.45052988001600003</v>
      </c>
      <c r="DU158" s="3">
        <f>$H158*factors!DO$3</f>
        <v>0.47154851539199999</v>
      </c>
      <c r="DV158" s="3">
        <f>$H158*factors!DP$3</f>
        <v>0.46058227084800002</v>
      </c>
      <c r="DW158" s="3">
        <f>$H158*factors!DQ$3</f>
        <v>0.439563635472</v>
      </c>
      <c r="DX158" s="3">
        <f>$H158*factors!DR$3</f>
        <v>0.46560846626399999</v>
      </c>
      <c r="DY158" s="3">
        <f>$H158*factors!DS$3</f>
        <v>0.44184826975199998</v>
      </c>
      <c r="DZ158" s="3">
        <f>$H158*factors!DT$3</f>
        <v>0.47246236910399997</v>
      </c>
      <c r="EA158" s="3">
        <f>$H158*factors!DU$3</f>
        <v>0.44504675774399999</v>
      </c>
      <c r="EB158" s="3">
        <f>$H158*factors!DV$3</f>
        <v>0.43408051319999996</v>
      </c>
      <c r="EC158" s="3">
        <f>$H158*factors!DW$3</f>
        <v>0.46697924683199998</v>
      </c>
      <c r="ED158" s="3">
        <f>$H158*factors!DX$3</f>
        <v>0.43819285490399995</v>
      </c>
      <c r="EE158" s="3">
        <f>$H158*factors!DY$3</f>
        <v>0.44184826975199998</v>
      </c>
      <c r="EF158" s="3">
        <f>$H158*factors!DZ$3</f>
        <v>0.47931627194400001</v>
      </c>
      <c r="EG158" s="3">
        <f>$H158*factors!EA$3</f>
        <v>0.44778831887999998</v>
      </c>
      <c r="EH158" s="3">
        <f>$H158*factors!EB$3</f>
        <v>0.44915909944800003</v>
      </c>
      <c r="EI158" s="3">
        <f>$H158*factors!EC$3</f>
        <v>0.44824524573600005</v>
      </c>
      <c r="EJ158" s="3">
        <f>$H158*factors!ED$3</f>
        <v>0.43682207433600001</v>
      </c>
      <c r="EK158" s="3">
        <f>$H158*factors!EE$3</f>
        <v>0.46697924683199998</v>
      </c>
      <c r="EL158" s="3">
        <f>$H158*factors!EF$3</f>
        <v>0.44413290403199995</v>
      </c>
      <c r="EM158" s="3">
        <f>$H158*factors!EG$3</f>
        <v>0.46195305141599996</v>
      </c>
      <c r="EN158" s="3">
        <f>$H158*factors!EH$3</f>
        <v>0.43408051319999996</v>
      </c>
      <c r="EO158" s="3">
        <f>$H158*factors!EI$3</f>
        <v>0.44047748918399998</v>
      </c>
      <c r="EP158" s="3">
        <f>$H158*factors!EJ$3</f>
        <v>0.46469461255200001</v>
      </c>
      <c r="EQ158" s="3">
        <f>$H158*factors!EK$3</f>
        <v>0.45190066058399997</v>
      </c>
      <c r="ER158" s="3">
        <f>$H158*factors!EL$3</f>
        <v>0.47063466168000001</v>
      </c>
      <c r="ES158" s="3">
        <f>$H158*factors!EM$3</f>
        <v>0.46469461255200001</v>
      </c>
      <c r="ET158" s="3">
        <f>$H158*factors!EN$3</f>
        <v>0.47520393024000002</v>
      </c>
      <c r="EU158" s="3">
        <f>$H158*factors!EO$3</f>
        <v>0.47977319880000002</v>
      </c>
      <c r="EV158" s="3">
        <f>$H158*factors!EP$3</f>
        <v>0.44961602630399999</v>
      </c>
      <c r="EW158" s="3">
        <f>$H158*factors!EQ$3</f>
        <v>0.49452812852499994</v>
      </c>
      <c r="EX158" s="3">
        <f>$H158*factors!ER$3</f>
        <v>0.4892925083000001</v>
      </c>
      <c r="EY158" s="3">
        <f>$H158*factors!ES$3</f>
        <v>0.49928778327499995</v>
      </c>
      <c r="EZ158" s="3">
        <f>$H158*factors!ET$3</f>
        <v>0.49452812852499994</v>
      </c>
      <c r="FA158" s="3">
        <f>$H158*factors!EU$3</f>
        <v>0.45454702862499996</v>
      </c>
      <c r="FB158" s="3">
        <f>$H158*factors!EV$3</f>
        <v>0.47501354405000007</v>
      </c>
      <c r="FC158" s="3">
        <f>$H158*factors!EW$3</f>
        <v>0.48834057735000003</v>
      </c>
      <c r="FD158" s="3">
        <f>$H158*factors!EX$3</f>
        <v>0.47120582025000002</v>
      </c>
      <c r="FE158" s="3">
        <f>$H158*factors!EY$3</f>
        <v>0.49643199042500002</v>
      </c>
      <c r="FF158" s="3">
        <f>$H158*factors!EZ$3</f>
        <v>0.49690795590000009</v>
      </c>
      <c r="FG158" s="3">
        <f>$H158*factors!FA$3</f>
        <v>0.45454702862499996</v>
      </c>
      <c r="FH158" s="3">
        <f>$H158*factors!FB$3</f>
        <v>0.478345302375</v>
      </c>
      <c r="FI158" s="3">
        <f>$H158*factors!FC$3</f>
        <v>0.49833585232499999</v>
      </c>
      <c r="FJ158" s="3">
        <f>$H158*factors!FD$3</f>
        <v>0.478345302375</v>
      </c>
      <c r="FK158" s="3">
        <f>$H158*factors!FE$3</f>
        <v>0.48643671545000006</v>
      </c>
      <c r="FL158" s="3">
        <f>$H158*factors!FF$3</f>
        <v>0.48786461187500002</v>
      </c>
      <c r="FM158" s="3">
        <f>$H158*factors!FG$3</f>
        <v>0.49310023209999998</v>
      </c>
      <c r="FN158" s="3">
        <f>$H158*factors!FH$3</f>
        <v>0.46121054527499999</v>
      </c>
      <c r="FO158" s="3">
        <f>$H158*factors!FI$3</f>
        <v>0.48976847377499999</v>
      </c>
      <c r="FP158" s="3">
        <f>$H158*factors!FJ$3</f>
        <v>0.47596547500000003</v>
      </c>
      <c r="FQ158" s="3">
        <f>$H158*factors!FK$3</f>
        <v>0.47120582025000002</v>
      </c>
      <c r="FR158" s="3">
        <f>$H158*factors!FL$3</f>
        <v>0.48072512975000004</v>
      </c>
      <c r="FS158" s="3">
        <f>$H158*factors!FM$3</f>
        <v>0.4778693369</v>
      </c>
      <c r="FT158" s="3">
        <f>$H158*factors!FN$3</f>
        <v>0.48834057735000003</v>
      </c>
      <c r="FU158" s="3">
        <f>$H158*factors!FO$3</f>
        <v>0.46930195834999999</v>
      </c>
      <c r="FV158" s="3">
        <f>$H158*factors!FP$3</f>
        <v>0.46549423455</v>
      </c>
      <c r="FW158" s="3">
        <f>$H158*factors!FQ$3</f>
        <v>0.49833585232499999</v>
      </c>
      <c r="FX158" s="3">
        <f>$H158*factors!FR$3</f>
        <v>0.4892925083000001</v>
      </c>
      <c r="FY158" s="3">
        <f>$H158*factors!FS$3</f>
        <v>0.47929723332499996</v>
      </c>
      <c r="FZ158" s="3">
        <f>$H158*factors!FT$3</f>
        <v>0.45549895957500003</v>
      </c>
      <c r="GA158" s="3">
        <f>$H158*factors!FU$3</f>
        <v>0.47929723332499996</v>
      </c>
      <c r="GB158" s="3">
        <f>$H158*factors!FV$3</f>
        <v>0.49690795590000009</v>
      </c>
      <c r="GC158" s="3">
        <f>$H158*factors!FW$3</f>
        <v>0.46549423455</v>
      </c>
      <c r="GD158" s="3">
        <f>$H158*factors!FX$3</f>
        <v>0.47358564762499999</v>
      </c>
      <c r="GE158" s="3">
        <f>$H158*factors!FY$3</f>
        <v>0.47358564762499999</v>
      </c>
      <c r="GF158" s="3">
        <f>$H158*factors!FZ$3</f>
        <v>0.47215775120000003</v>
      </c>
      <c r="GG158" s="3">
        <f>$H158*factors!GA$3</f>
        <v>0.453595097675</v>
      </c>
      <c r="GH158" s="3">
        <f>$H158*factors!GB$3</f>
        <v>0.48262899165000006</v>
      </c>
      <c r="GI158" s="3">
        <f>$H158*factors!GC$3</f>
        <v>0.45264316672499999</v>
      </c>
      <c r="GJ158" s="3">
        <f>$H158*factors!GD$3</f>
        <v>0.453595097675</v>
      </c>
      <c r="GK158" s="3">
        <f>$H158*factors!GE$3</f>
        <v>0.46501826907499999</v>
      </c>
      <c r="GL158" s="3">
        <f>$H158*factors!GF$3</f>
        <v>0.49262426662500003</v>
      </c>
      <c r="GM158" s="3">
        <f>$H158*factors!GG$3</f>
        <v>0.46692213097500007</v>
      </c>
      <c r="GN158" s="3">
        <f>$H158*factors!GH$3</f>
        <v>0.48167706070000005</v>
      </c>
      <c r="GO158" s="3">
        <f>$H158*factors!GI$3</f>
        <v>0.45502299409999997</v>
      </c>
      <c r="GP158" s="3">
        <f>$H158*factors!GJ$3</f>
        <v>0.48786461187500002</v>
      </c>
      <c r="GQ158" s="3">
        <f>$H158*factors!GK$3</f>
        <v>0.49785988685000004</v>
      </c>
      <c r="GR158" s="3">
        <f>$H158*factors!GL$3</f>
        <v>0.48834057735000003</v>
      </c>
      <c r="GS158" s="3">
        <f>$H158*factors!GM$3</f>
        <v>0.46181978108300004</v>
      </c>
      <c r="GT158" s="3">
        <f>$H158*factors!GN$3</f>
        <v>0.47245856138020004</v>
      </c>
      <c r="GU158" s="3">
        <f>$H158*factors!GO$3</f>
        <v>0.48358092260000002</v>
      </c>
      <c r="GV158" s="3">
        <f>$H158*factors!GP$3</f>
        <v>0.46423768569600005</v>
      </c>
      <c r="GW158" s="3">
        <f>$H158*factors!GQ$3</f>
        <v>0.48067943706440003</v>
      </c>
      <c r="GX158" s="3">
        <f>$H158*factors!GR$3</f>
        <v>0.47294214230280002</v>
      </c>
      <c r="GY158" s="3">
        <f>$H158*factors!GS$3</f>
        <v>0.47052423768980006</v>
      </c>
      <c r="GZ158" s="3">
        <f>$H158*factors!GT$3</f>
        <v>0.48793315090339995</v>
      </c>
      <c r="HA158" s="3">
        <f>$H158*factors!GU$3</f>
        <v>0.4719749804576</v>
      </c>
      <c r="HB158" s="3">
        <f>$H158*factors!GV$3</f>
        <v>0.48793315090339995</v>
      </c>
      <c r="HC158" s="3">
        <f>$H158*factors!GW$3</f>
        <v>0.47584362783840001</v>
      </c>
      <c r="HD158" s="3">
        <f>$H158*factors!GX$3</f>
        <v>0.48986747459379998</v>
      </c>
      <c r="HE158" s="3">
        <f>$H158*factors!GY$3</f>
        <v>0.48358092260000002</v>
      </c>
      <c r="HF158" s="3">
        <f>$H158*factors!GZ$3</f>
        <v>0.4985719312006</v>
      </c>
      <c r="HG158" s="3">
        <f>$H158*factors!HA$3</f>
        <v>0.47922869429660003</v>
      </c>
      <c r="HH158" s="3">
        <f>$H158*factors!HB$3</f>
        <v>0.47294214230280002</v>
      </c>
      <c r="HI158" s="3">
        <f>$H158*factors!HC$3</f>
        <v>0.46713917123160004</v>
      </c>
      <c r="HJ158" s="3">
        <f>$H158*factors!HD$3</f>
        <v>0.46181978108300004</v>
      </c>
      <c r="HK158" s="3">
        <f>$H158*factors!HE$3</f>
        <v>0.48841673182599998</v>
      </c>
      <c r="HL158" s="3">
        <f>$H158*factors!HF$3</f>
        <v>0.46036903831519999</v>
      </c>
      <c r="HM158" s="3">
        <f>$H158*factors!HG$3</f>
        <v>0.46520484754120006</v>
      </c>
      <c r="HN158" s="3">
        <f>$H158*factors!HH$3</f>
        <v>0.49615402658760005</v>
      </c>
      <c r="HO158" s="3">
        <f>$H158*factors!HI$3</f>
        <v>0.47584362783840001</v>
      </c>
      <c r="HP158" s="3">
        <f>$H158*factors!HJ$3</f>
        <v>0.50775996873000007</v>
      </c>
      <c r="HQ158" s="3">
        <f>$H158*factors!HK$3</f>
        <v>0.46423768569600005</v>
      </c>
      <c r="HR158" s="3">
        <f>$H158*factors!HL$3</f>
        <v>0.4922853792068001</v>
      </c>
      <c r="HS158" s="3">
        <f>$H158*factors!HM$3</f>
        <v>0.50098983581360002</v>
      </c>
      <c r="HT158" s="3">
        <f>$H158*factors!HN$3</f>
        <v>0.46713917123160004</v>
      </c>
      <c r="HU158" s="3">
        <f>$H158*factors!HO$3</f>
        <v>0.4719749804576</v>
      </c>
      <c r="HV158" s="3">
        <f>$H158*factors!HP$3</f>
        <v>0.47777795152880004</v>
      </c>
      <c r="HW158" s="3">
        <f>$H158*factors!HQ$3</f>
        <v>0.48454808444520003</v>
      </c>
      <c r="HX158" s="3">
        <f>$H158*factors!HR$3</f>
        <v>0.50437490227179993</v>
      </c>
      <c r="HY158" s="3">
        <f>$H158*factors!HS$3</f>
        <v>0.47922869429660003</v>
      </c>
      <c r="HZ158" s="3">
        <f>$H158*factors!HT$3</f>
        <v>0.49760476935539999</v>
      </c>
      <c r="IA158" s="3">
        <f>$H158*factors!HU$3</f>
        <v>0.47342572322540005</v>
      </c>
      <c r="IB158" s="3">
        <f>$H158*factors!HV$3</f>
        <v>0.48986747459379998</v>
      </c>
      <c r="IC158" s="3">
        <f>$H158*factors!HW$3</f>
        <v>0.4947032838198</v>
      </c>
      <c r="ID158" s="3">
        <f>$H158*factors!HX$3</f>
        <v>0.45940187646999997</v>
      </c>
      <c r="IE158" s="3">
        <f>$H158*factors!HY$3</f>
        <v>0.48793315090339995</v>
      </c>
      <c r="IF158" s="3">
        <f>$H158*factors!HZ$3</f>
        <v>0.48503166536779996</v>
      </c>
      <c r="IG158" s="3">
        <f>$H158*factors!IA$3</f>
        <v>0.48067943706440003</v>
      </c>
      <c r="IH158" s="3">
        <f>$H158*factors!IB$3</f>
        <v>0.4985719312006</v>
      </c>
      <c r="II158" s="3">
        <f>$H158*factors!IC$3</f>
        <v>0.4772943706062</v>
      </c>
      <c r="IJ158" s="3">
        <f>$H158*factors!ID$3</f>
        <v>0.48164659890960004</v>
      </c>
      <c r="IK158" s="3">
        <f>$H158*factors!IE$3</f>
        <v>0.49905551212320004</v>
      </c>
      <c r="IL158" s="3">
        <f>$H158*factors!IF$3</f>
        <v>0.47777795152880004</v>
      </c>
      <c r="IM158" s="3">
        <f>$H158*factors!IG$3</f>
        <v>0.47342572322540005</v>
      </c>
      <c r="IN158" s="3">
        <f>$H158*factors!IH$3</f>
        <v>0.47632720876100004</v>
      </c>
      <c r="IO158" s="3">
        <f>$H158*factors!II$3</f>
        <v>0.48116301798700001</v>
      </c>
      <c r="IP158" s="3">
        <f>$H158*factors!IJ$3</f>
        <v>0.46520484754120006</v>
      </c>
      <c r="IQ158" s="3">
        <f>$H158*factors!IK$3</f>
        <v>0.46375410477340001</v>
      </c>
      <c r="IR158" s="3">
        <f>$H158*factors!IL$3</f>
        <v>0.4772943706062</v>
      </c>
      <c r="IS158" s="3">
        <f>$H158*factors!IM$3</f>
        <v>0.48116301798700001</v>
      </c>
      <c r="IT158" s="3">
        <f>$H158*factors!IN$3</f>
        <v>0.48454808444520003</v>
      </c>
      <c r="IU158" s="3">
        <f>$H158*factors!IO$3</f>
        <v>0.49518686474240003</v>
      </c>
      <c r="IV158" s="3">
        <f>$H158*factors!IP$3</f>
        <v>0.50147341673619994</v>
      </c>
      <c r="IW158" s="3">
        <f>$H158*factors!IQ$3</f>
        <v>0.47390930414799998</v>
      </c>
      <c r="IX158" s="3">
        <f>$H158*factors!IR$3</f>
        <v>0.49518686474240003</v>
      </c>
      <c r="IY158" s="3">
        <f>$H158*factors!IS$3</f>
        <v>0.48793315090339995</v>
      </c>
      <c r="IZ158" s="3">
        <f>$H158*factors!IT$3</f>
        <v>0.49615402658760005</v>
      </c>
      <c r="JA158" s="3">
        <f>$H158*factors!IU$3</f>
        <v>0.46858991399939998</v>
      </c>
      <c r="JB158" s="3">
        <f>$H158*factors!IV$3</f>
        <v>0.4772943706062</v>
      </c>
      <c r="JC158" s="3">
        <f>$H158*factors!IW$3</f>
        <v>0.46617200938640002</v>
      </c>
      <c r="JD158" s="3">
        <f>$H158*factors!IX$3</f>
        <v>0.50775996873000007</v>
      </c>
      <c r="JE158" s="3">
        <f>$H158*factors!IY$3</f>
        <v>0.46762275215420002</v>
      </c>
      <c r="JF158" s="3">
        <f>$H158*factors!IZ$3</f>
        <v>0.49083463643899994</v>
      </c>
      <c r="JG158" s="3">
        <f>$H158*factors!JA$3</f>
        <v>0.48213017983220002</v>
      </c>
      <c r="JH158" s="3">
        <f>$H158*factors!JB$3</f>
        <v>0.49131821736160008</v>
      </c>
      <c r="JI158" s="3">
        <f>$H158*factors!JC$3</f>
        <v>0.45988545739260001</v>
      </c>
      <c r="JJ158" s="3">
        <f>$H158*factors!JD$3</f>
        <v>0.49518686474240003</v>
      </c>
      <c r="JK158" s="3">
        <f>$H158*factors!JE$3</f>
        <v>0.47922869429660003</v>
      </c>
      <c r="JL158" s="3">
        <f>$H158*factors!JF$3</f>
        <v>0.4985719312006</v>
      </c>
      <c r="JM158" s="3">
        <f>$H158*factors!JG$3</f>
        <v>0.46520484754120006</v>
      </c>
      <c r="JN158" s="3">
        <f>$H158*factors!JH$3</f>
        <v>0.46520484754120006</v>
      </c>
      <c r="JO158" s="3">
        <f>$H158*factors!JI$3</f>
        <v>0.45940187646999997</v>
      </c>
      <c r="JP158" s="3">
        <f>$H158*factors!JJ$3</f>
        <v>0.49663760751020003</v>
      </c>
      <c r="JQ158" s="3">
        <f>$H158*factors!JK$3</f>
        <v>0.4840645035226</v>
      </c>
      <c r="JR158" s="3">
        <f>$H158*factors!JL$3</f>
        <v>0.50292415950400005</v>
      </c>
      <c r="JS158" s="3">
        <f>$H158*factors!JM$3</f>
        <v>0.45940187646999997</v>
      </c>
      <c r="JT158" s="3">
        <f>$H158*factors!JN$3</f>
        <v>0.48261376075480006</v>
      </c>
      <c r="JU158" s="3">
        <f>$H158*factors!JO$3</f>
        <v>0.466655590309</v>
      </c>
      <c r="JV158" s="3">
        <f>$H158*factors!JP$3</f>
        <v>0.47439288507060001</v>
      </c>
      <c r="JW158" s="3">
        <f>$H158*factors!JQ$3</f>
        <v>0.50679280688480011</v>
      </c>
      <c r="JX158" s="3">
        <f>$H158*factors!JR$3</f>
        <v>0.50195699765879997</v>
      </c>
      <c r="JY158" s="3">
        <f>$H158*factors!JS$3</f>
        <v>0.47245856138020004</v>
      </c>
      <c r="JZ158" s="3">
        <f>$H158*factors!JT$3</f>
        <v>0.47777795152880004</v>
      </c>
      <c r="KA158" s="3">
        <f>$H158*factors!JU$3</f>
        <v>0.47971227521920007</v>
      </c>
      <c r="KB158" s="3">
        <f>$H158*factors!JV$3</f>
        <v>0.46375410477340001</v>
      </c>
      <c r="KC158" s="3">
        <f>$H158*factors!JW$3</f>
        <v>0.46617200938640002</v>
      </c>
      <c r="KD158" s="3">
        <f>$H158*factors!JX$3</f>
        <v>0.466655590309</v>
      </c>
      <c r="KE158" s="3">
        <f>$H158*factors!JY$3</f>
        <v>0.49663760751020003</v>
      </c>
      <c r="KF158" s="3">
        <f>$H158*factors!JZ$3</f>
        <v>0.50244057858140001</v>
      </c>
      <c r="KG158" s="3">
        <f>$H158*factors!KA$3</f>
        <v>0.48454808444520003</v>
      </c>
      <c r="KH158" s="3">
        <f>$H158*factors!KB$3</f>
        <v>0.47390930414799998</v>
      </c>
      <c r="KI158" s="3">
        <f>$H158*factors!KC$3</f>
        <v>0.46955707584459999</v>
      </c>
    </row>
    <row r="159" spans="1:295" x14ac:dyDescent="0.55000000000000004">
      <c r="A159" t="s">
        <v>536</v>
      </c>
      <c r="B159">
        <v>158</v>
      </c>
      <c r="C159">
        <v>287</v>
      </c>
      <c r="D159" t="s">
        <v>377</v>
      </c>
      <c r="E159">
        <v>3.431E-3</v>
      </c>
      <c r="F159">
        <v>158</v>
      </c>
      <c r="G159">
        <f>VLOOKUP(D159,demand_forecasted!$A$2:$G$11,2)</f>
        <v>11098</v>
      </c>
      <c r="H159" s="3">
        <f t="shared" si="3"/>
        <v>0.38077238000000002</v>
      </c>
      <c r="I159" s="3">
        <f>$H159*factors!C$3</f>
        <v>0.42151502466000002</v>
      </c>
      <c r="J159" s="3">
        <f>$H159*factors!D$3</f>
        <v>0.40629936035520003</v>
      </c>
      <c r="K159" s="3">
        <f>$H159*factors!E$3</f>
        <v>0.39930837945840003</v>
      </c>
      <c r="L159" s="3">
        <f>$H159*factors!F$3</f>
        <v>0.39807467694720006</v>
      </c>
      <c r="M159" s="3">
        <f>$H159*factors!G$3</f>
        <v>0.39766344277679999</v>
      </c>
      <c r="N159" s="3">
        <f>$H159*factors!H$3</f>
        <v>0.40917799954800005</v>
      </c>
      <c r="O159" s="3">
        <f>$H159*factors!I$3</f>
        <v>0.41822515129680005</v>
      </c>
      <c r="P159" s="3">
        <f>$H159*factors!J$3</f>
        <v>0.42315996134160005</v>
      </c>
      <c r="Q159" s="3">
        <f>$H159*factors!K$3</f>
        <v>0.39725220860640004</v>
      </c>
      <c r="R159" s="3">
        <f>$H159*factors!L$3</f>
        <v>0.39067246188000004</v>
      </c>
      <c r="S159" s="3">
        <f>$H159*factors!M$3</f>
        <v>0.40671059452559999</v>
      </c>
      <c r="T159" s="3">
        <f>$H159*factors!N$3</f>
        <v>0.42069255631920005</v>
      </c>
      <c r="U159" s="3">
        <f>$H159*factors!O$3</f>
        <v>0.39848591111760007</v>
      </c>
      <c r="V159" s="3">
        <f>$H159*factors!P$3</f>
        <v>0.41452404376320007</v>
      </c>
      <c r="W159" s="3">
        <f>$H159*factors!Q$3</f>
        <v>0.41822515129680005</v>
      </c>
      <c r="X159" s="3">
        <f>$H159*factors!R$3</f>
        <v>0.4001308477992</v>
      </c>
      <c r="Y159" s="3">
        <f>$H159*factors!S$3</f>
        <v>0.39642974026560002</v>
      </c>
      <c r="Z159" s="3">
        <f>$H159*factors!T$3</f>
        <v>0.42768353721600011</v>
      </c>
      <c r="AA159" s="3">
        <f>$H159*factors!U$3</f>
        <v>0.40383195533280003</v>
      </c>
      <c r="AB159" s="3">
        <f>$H159*factors!V$3</f>
        <v>0.4042431895032001</v>
      </c>
      <c r="AC159" s="3">
        <f>$H159*factors!W$3</f>
        <v>0.40465442367360005</v>
      </c>
      <c r="AD159" s="3">
        <f>$H159*factors!X$3</f>
        <v>0.39601850609520006</v>
      </c>
      <c r="AE159" s="3">
        <f>$H159*factors!Y$3</f>
        <v>0.39930837945840003</v>
      </c>
      <c r="AF159" s="3">
        <f>$H159*factors!Z$3</f>
        <v>0.40753306286640006</v>
      </c>
      <c r="AG159" s="3">
        <f>$H159*factors!AA$3</f>
        <v>0.39725220860640004</v>
      </c>
      <c r="AH159" s="3">
        <f>$H159*factors!AB$3</f>
        <v>0.39560727192480005</v>
      </c>
      <c r="AI159" s="3">
        <f>$H159*factors!AC$3</f>
        <v>0.40835553120720003</v>
      </c>
      <c r="AJ159" s="3">
        <f>$H159*factors!AD$3</f>
        <v>0.42398242968240002</v>
      </c>
      <c r="AK159" s="3">
        <f>$H159*factors!AE$3</f>
        <v>0.40794429703680007</v>
      </c>
      <c r="AL159" s="3">
        <f>$H159*factors!AF$3</f>
        <v>0.39190616439120002</v>
      </c>
      <c r="AM159" s="3">
        <f>$H159*factors!AG$3</f>
        <v>0.40300948699200001</v>
      </c>
      <c r="AN159" s="3">
        <f>$H159*factors!AH$3</f>
        <v>0.39642974026560002</v>
      </c>
      <c r="AO159" s="3">
        <f>$H159*factors!AI$3</f>
        <v>0.41534651210400003</v>
      </c>
      <c r="AP159" s="3">
        <f>$H159*factors!AJ$3</f>
        <v>0.39807467694720006</v>
      </c>
      <c r="AQ159" s="3">
        <f>$H159*factors!AK$3</f>
        <v>0.41082293622960009</v>
      </c>
      <c r="AR159" s="3">
        <f>$H159*factors!AL$3</f>
        <v>0.40177578448080004</v>
      </c>
      <c r="AS159" s="3">
        <f>$H159*factors!AM$3</f>
        <v>0.39190616439120002</v>
      </c>
      <c r="AT159" s="3">
        <f>$H159*factors!AN$3</f>
        <v>0.4042431895032001</v>
      </c>
      <c r="AU159" s="3">
        <f>$H159*factors!AO$3</f>
        <v>0.42809477138640001</v>
      </c>
      <c r="AV159" s="3">
        <f>$H159*factors!AP$3</f>
        <v>0.40465442367360005</v>
      </c>
      <c r="AW159" s="3">
        <f>$H159*factors!AQ$3</f>
        <v>0.40054208196960001</v>
      </c>
      <c r="AX159" s="3">
        <f>$H159*factors!AR$3</f>
        <v>0.42357119551200006</v>
      </c>
      <c r="AY159" s="3">
        <f>$H159*factors!AS$3</f>
        <v>0.39067246188000004</v>
      </c>
      <c r="AZ159" s="3">
        <f>$H159*factors!AT$3</f>
        <v>0.41863638546720011</v>
      </c>
      <c r="BA159" s="3">
        <f>$H159*factors!AU$3</f>
        <v>0.4095892337184</v>
      </c>
      <c r="BB159" s="3">
        <f>$H159*factors!AV$3</f>
        <v>0.4042431895032001</v>
      </c>
      <c r="BC159" s="3">
        <f>$H159*factors!AW$3</f>
        <v>0.42768353721600011</v>
      </c>
      <c r="BD159" s="3">
        <f>$H159*factors!AX$3</f>
        <v>0.39478480358399998</v>
      </c>
      <c r="BE159" s="3">
        <f>$H159*factors!AY$3</f>
        <v>0.4641386848772</v>
      </c>
      <c r="BF159" s="3">
        <f>$H159*factors!AZ$3</f>
        <v>0.4322375748808</v>
      </c>
      <c r="BG159" s="3">
        <f>$H159*factors!BA$3</f>
        <v>0.43852793459839995</v>
      </c>
      <c r="BH159" s="3">
        <f>$H159*factors!BB$3</f>
        <v>0.44436898290760002</v>
      </c>
      <c r="BI159" s="3">
        <f>$H159*factors!BC$3</f>
        <v>0.46054419360999993</v>
      </c>
      <c r="BJ159" s="3">
        <f>$H159*factors!BD$3</f>
        <v>0.43987586882359997</v>
      </c>
      <c r="BK159" s="3">
        <f>$H159*factors!BE$3</f>
        <v>0.44077449164039995</v>
      </c>
      <c r="BL159" s="3">
        <f>$H159*factors!BF$3</f>
        <v>0.43583206614799996</v>
      </c>
      <c r="BM159" s="3">
        <f>$H159*factors!BG$3</f>
        <v>0.46548661910240002</v>
      </c>
      <c r="BN159" s="3">
        <f>$H159*factors!BH$3</f>
        <v>0.45964557079319995</v>
      </c>
      <c r="BO159" s="3">
        <f>$H159*factors!BI$3</f>
        <v>0.4322375748808</v>
      </c>
      <c r="BP159" s="3">
        <f>$H159*factors!BJ$3</f>
        <v>0.43088964065559998</v>
      </c>
      <c r="BQ159" s="3">
        <f>$H159*factors!BK$3</f>
        <v>0.43807862318999996</v>
      </c>
      <c r="BR159" s="3">
        <f>$H159*factors!BL$3</f>
        <v>0.45380452248399999</v>
      </c>
      <c r="BS159" s="3">
        <f>$H159*factors!BM$3</f>
        <v>0.46099350501840003</v>
      </c>
      <c r="BT159" s="3">
        <f>$H159*factors!BN$3</f>
        <v>0.46234143924359999</v>
      </c>
      <c r="BU159" s="3">
        <f>$H159*factors!BO$3</f>
        <v>0.46997973318640002</v>
      </c>
      <c r="BV159" s="3">
        <f>$H159*factors!BP$3</f>
        <v>0.43718000037319998</v>
      </c>
      <c r="BW159" s="3">
        <f>$H159*factors!BQ$3</f>
        <v>0.447064851358</v>
      </c>
      <c r="BX159" s="3">
        <f>$H159*factors!BR$3</f>
        <v>0.43852793459839995</v>
      </c>
      <c r="BY159" s="3">
        <f>$H159*factors!BS$3</f>
        <v>0.45874694797639992</v>
      </c>
      <c r="BZ159" s="3">
        <f>$H159*factors!BT$3</f>
        <v>0.45021003121679998</v>
      </c>
      <c r="CA159" s="3">
        <f>$H159*factors!BU$3</f>
        <v>0.44436898290760002</v>
      </c>
      <c r="CB159" s="3">
        <f>$H159*factors!BV$3</f>
        <v>0.4299910178388</v>
      </c>
      <c r="CC159" s="3">
        <f>$H159*factors!BW$3</f>
        <v>0.44257173727400001</v>
      </c>
      <c r="CD159" s="3">
        <f>$H159*factors!BX$3</f>
        <v>0.44391967149920003</v>
      </c>
      <c r="CE159" s="3">
        <f>$H159*factors!BY$3</f>
        <v>0.45021003121679998</v>
      </c>
      <c r="CF159" s="3">
        <f>$H159*factors!BZ$3</f>
        <v>0.44347036009080004</v>
      </c>
      <c r="CG159" s="3">
        <f>$H159*factors!CA$3</f>
        <v>0.42864308361359998</v>
      </c>
      <c r="CH159" s="3">
        <f>$H159*factors!CB$3</f>
        <v>0.42909239502199992</v>
      </c>
      <c r="CI159" s="3">
        <f>$H159*factors!CC$3</f>
        <v>0.42684583798000003</v>
      </c>
      <c r="CJ159" s="3">
        <f>$H159*factors!CD$3</f>
        <v>0.44436898290760002</v>
      </c>
      <c r="CK159" s="3">
        <f>$H159*factors!CE$3</f>
        <v>0.4641386848772</v>
      </c>
      <c r="CL159" s="3">
        <f>$H159*factors!CF$3</f>
        <v>0.43493344333119999</v>
      </c>
      <c r="CM159" s="3">
        <f>$H159*factors!CG$3</f>
        <v>0.4452676057244</v>
      </c>
      <c r="CN159" s="3">
        <f>$H159*factors!CH$3</f>
        <v>0.43044032924719999</v>
      </c>
      <c r="CO159" s="3">
        <f>$H159*factors!CI$3</f>
        <v>0.43358550910599997</v>
      </c>
      <c r="CP159" s="3">
        <f>$H159*factors!CJ$3</f>
        <v>0.45425383389239993</v>
      </c>
      <c r="CQ159" s="3">
        <f>$H159*factors!CK$3</f>
        <v>0.44077449164039995</v>
      </c>
      <c r="CR159" s="3">
        <f>$H159*factors!CL$3</f>
        <v>0.45470314530079997</v>
      </c>
      <c r="CS159" s="3">
        <f>$H159*factors!CM$3</f>
        <v>0.46908111036959999</v>
      </c>
      <c r="CT159" s="3">
        <f>$H159*factors!CN$3</f>
        <v>0.46368937346880001</v>
      </c>
      <c r="CU159" s="3">
        <f>$H159*factors!CO$3</f>
        <v>0.45335521107559995</v>
      </c>
      <c r="CV159" s="3">
        <f>$H159*factors!CP$3</f>
        <v>0.47177697881999997</v>
      </c>
      <c r="CW159" s="3">
        <f>$H159*factors!CQ$3</f>
        <v>0.44616622854120003</v>
      </c>
      <c r="CX159" s="3">
        <f>$H159*factors!CR$3</f>
        <v>0.43942655741519998</v>
      </c>
      <c r="CY159" s="3">
        <f>$H159*factors!CS$3</f>
        <v>0.43538275473959998</v>
      </c>
      <c r="CZ159" s="3">
        <f>$H159*factors!CT$3</f>
        <v>0.42909239502199992</v>
      </c>
      <c r="DA159" s="3">
        <f>$H159*factors!CU$3</f>
        <v>0.44550368460000001</v>
      </c>
      <c r="DB159" s="3">
        <f>$H159*factors!CV$3</f>
        <v>0.47429007652800004</v>
      </c>
      <c r="DC159" s="3">
        <f>$H159*factors!CW$3</f>
        <v>0.454185294864</v>
      </c>
      <c r="DD159" s="3">
        <f>$H159*factors!CX$3</f>
        <v>0.45098680687199999</v>
      </c>
      <c r="DE159" s="3">
        <f>$H159*factors!CY$3</f>
        <v>0.46423768569600005</v>
      </c>
      <c r="DF159" s="3">
        <f>$H159*factors!CZ$3</f>
        <v>0.46332383198399996</v>
      </c>
      <c r="DG159" s="3">
        <f>$H159*factors!DA$3</f>
        <v>0.46149612456</v>
      </c>
      <c r="DH159" s="3">
        <f>$H159*factors!DB$3</f>
        <v>0.46149612456</v>
      </c>
      <c r="DI159" s="3">
        <f>$H159*factors!DC$3</f>
        <v>0.44413290403199995</v>
      </c>
      <c r="DJ159" s="3">
        <f>$H159*factors!DD$3</f>
        <v>0.47063466168000001</v>
      </c>
      <c r="DK159" s="3">
        <f>$H159*factors!DE$3</f>
        <v>0.47063466168000001</v>
      </c>
      <c r="DL159" s="3">
        <f>$H159*factors!DF$3</f>
        <v>0.46515153940800003</v>
      </c>
      <c r="DM159" s="3">
        <f>$H159*factors!DG$3</f>
        <v>0.43819285490399995</v>
      </c>
      <c r="DN159" s="3">
        <f>$H159*factors!DH$3</f>
        <v>0.45966841713600004</v>
      </c>
      <c r="DO159" s="3">
        <f>$H159*factors!DI$3</f>
        <v>0.474747003384</v>
      </c>
      <c r="DP159" s="3">
        <f>$H159*factors!DJ$3</f>
        <v>0.47063466168000001</v>
      </c>
      <c r="DQ159" s="3">
        <f>$H159*factors!DK$3</f>
        <v>0.44870217259199996</v>
      </c>
      <c r="DR159" s="3">
        <f>$H159*factors!DL$3</f>
        <v>0.44367597717600005</v>
      </c>
      <c r="DS159" s="3">
        <f>$H159*factors!DM$3</f>
        <v>0.47931627194400001</v>
      </c>
      <c r="DT159" s="3">
        <f>$H159*factors!DN$3</f>
        <v>0.45052988001600003</v>
      </c>
      <c r="DU159" s="3">
        <f>$H159*factors!DO$3</f>
        <v>0.47154851539199999</v>
      </c>
      <c r="DV159" s="3">
        <f>$H159*factors!DP$3</f>
        <v>0.46058227084800002</v>
      </c>
      <c r="DW159" s="3">
        <f>$H159*factors!DQ$3</f>
        <v>0.439563635472</v>
      </c>
      <c r="DX159" s="3">
        <f>$H159*factors!DR$3</f>
        <v>0.46560846626399999</v>
      </c>
      <c r="DY159" s="3">
        <f>$H159*factors!DS$3</f>
        <v>0.44184826975199998</v>
      </c>
      <c r="DZ159" s="3">
        <f>$H159*factors!DT$3</f>
        <v>0.47246236910399997</v>
      </c>
      <c r="EA159" s="3">
        <f>$H159*factors!DU$3</f>
        <v>0.44504675774399999</v>
      </c>
      <c r="EB159" s="3">
        <f>$H159*factors!DV$3</f>
        <v>0.43408051319999996</v>
      </c>
      <c r="EC159" s="3">
        <f>$H159*factors!DW$3</f>
        <v>0.46697924683199998</v>
      </c>
      <c r="ED159" s="3">
        <f>$H159*factors!DX$3</f>
        <v>0.43819285490399995</v>
      </c>
      <c r="EE159" s="3">
        <f>$H159*factors!DY$3</f>
        <v>0.44184826975199998</v>
      </c>
      <c r="EF159" s="3">
        <f>$H159*factors!DZ$3</f>
        <v>0.47931627194400001</v>
      </c>
      <c r="EG159" s="3">
        <f>$H159*factors!EA$3</f>
        <v>0.44778831887999998</v>
      </c>
      <c r="EH159" s="3">
        <f>$H159*factors!EB$3</f>
        <v>0.44915909944800003</v>
      </c>
      <c r="EI159" s="3">
        <f>$H159*factors!EC$3</f>
        <v>0.44824524573600005</v>
      </c>
      <c r="EJ159" s="3">
        <f>$H159*factors!ED$3</f>
        <v>0.43682207433600001</v>
      </c>
      <c r="EK159" s="3">
        <f>$H159*factors!EE$3</f>
        <v>0.46697924683199998</v>
      </c>
      <c r="EL159" s="3">
        <f>$H159*factors!EF$3</f>
        <v>0.44413290403199995</v>
      </c>
      <c r="EM159" s="3">
        <f>$H159*factors!EG$3</f>
        <v>0.46195305141599996</v>
      </c>
      <c r="EN159" s="3">
        <f>$H159*factors!EH$3</f>
        <v>0.43408051319999996</v>
      </c>
      <c r="EO159" s="3">
        <f>$H159*factors!EI$3</f>
        <v>0.44047748918399998</v>
      </c>
      <c r="EP159" s="3">
        <f>$H159*factors!EJ$3</f>
        <v>0.46469461255200001</v>
      </c>
      <c r="EQ159" s="3">
        <f>$H159*factors!EK$3</f>
        <v>0.45190066058399997</v>
      </c>
      <c r="ER159" s="3">
        <f>$H159*factors!EL$3</f>
        <v>0.47063466168000001</v>
      </c>
      <c r="ES159" s="3">
        <f>$H159*factors!EM$3</f>
        <v>0.46469461255200001</v>
      </c>
      <c r="ET159" s="3">
        <f>$H159*factors!EN$3</f>
        <v>0.47520393024000002</v>
      </c>
      <c r="EU159" s="3">
        <f>$H159*factors!EO$3</f>
        <v>0.47977319880000002</v>
      </c>
      <c r="EV159" s="3">
        <f>$H159*factors!EP$3</f>
        <v>0.44961602630399999</v>
      </c>
      <c r="EW159" s="3">
        <f>$H159*factors!EQ$3</f>
        <v>0.49452812852499994</v>
      </c>
      <c r="EX159" s="3">
        <f>$H159*factors!ER$3</f>
        <v>0.4892925083000001</v>
      </c>
      <c r="EY159" s="3">
        <f>$H159*factors!ES$3</f>
        <v>0.49928778327499995</v>
      </c>
      <c r="EZ159" s="3">
        <f>$H159*factors!ET$3</f>
        <v>0.49452812852499994</v>
      </c>
      <c r="FA159" s="3">
        <f>$H159*factors!EU$3</f>
        <v>0.45454702862499996</v>
      </c>
      <c r="FB159" s="3">
        <f>$H159*factors!EV$3</f>
        <v>0.47501354405000007</v>
      </c>
      <c r="FC159" s="3">
        <f>$H159*factors!EW$3</f>
        <v>0.48834057735000003</v>
      </c>
      <c r="FD159" s="3">
        <f>$H159*factors!EX$3</f>
        <v>0.47120582025000002</v>
      </c>
      <c r="FE159" s="3">
        <f>$H159*factors!EY$3</f>
        <v>0.49643199042500002</v>
      </c>
      <c r="FF159" s="3">
        <f>$H159*factors!EZ$3</f>
        <v>0.49690795590000009</v>
      </c>
      <c r="FG159" s="3">
        <f>$H159*factors!FA$3</f>
        <v>0.45454702862499996</v>
      </c>
      <c r="FH159" s="3">
        <f>$H159*factors!FB$3</f>
        <v>0.478345302375</v>
      </c>
      <c r="FI159" s="3">
        <f>$H159*factors!FC$3</f>
        <v>0.49833585232499999</v>
      </c>
      <c r="FJ159" s="3">
        <f>$H159*factors!FD$3</f>
        <v>0.478345302375</v>
      </c>
      <c r="FK159" s="3">
        <f>$H159*factors!FE$3</f>
        <v>0.48643671545000006</v>
      </c>
      <c r="FL159" s="3">
        <f>$H159*factors!FF$3</f>
        <v>0.48786461187500002</v>
      </c>
      <c r="FM159" s="3">
        <f>$H159*factors!FG$3</f>
        <v>0.49310023209999998</v>
      </c>
      <c r="FN159" s="3">
        <f>$H159*factors!FH$3</f>
        <v>0.46121054527499999</v>
      </c>
      <c r="FO159" s="3">
        <f>$H159*factors!FI$3</f>
        <v>0.48976847377499999</v>
      </c>
      <c r="FP159" s="3">
        <f>$H159*factors!FJ$3</f>
        <v>0.47596547500000003</v>
      </c>
      <c r="FQ159" s="3">
        <f>$H159*factors!FK$3</f>
        <v>0.47120582025000002</v>
      </c>
      <c r="FR159" s="3">
        <f>$H159*factors!FL$3</f>
        <v>0.48072512975000004</v>
      </c>
      <c r="FS159" s="3">
        <f>$H159*factors!FM$3</f>
        <v>0.4778693369</v>
      </c>
      <c r="FT159" s="3">
        <f>$H159*factors!FN$3</f>
        <v>0.48834057735000003</v>
      </c>
      <c r="FU159" s="3">
        <f>$H159*factors!FO$3</f>
        <v>0.46930195834999999</v>
      </c>
      <c r="FV159" s="3">
        <f>$H159*factors!FP$3</f>
        <v>0.46549423455</v>
      </c>
      <c r="FW159" s="3">
        <f>$H159*factors!FQ$3</f>
        <v>0.49833585232499999</v>
      </c>
      <c r="FX159" s="3">
        <f>$H159*factors!FR$3</f>
        <v>0.4892925083000001</v>
      </c>
      <c r="FY159" s="3">
        <f>$H159*factors!FS$3</f>
        <v>0.47929723332499996</v>
      </c>
      <c r="FZ159" s="3">
        <f>$H159*factors!FT$3</f>
        <v>0.45549895957500003</v>
      </c>
      <c r="GA159" s="3">
        <f>$H159*factors!FU$3</f>
        <v>0.47929723332499996</v>
      </c>
      <c r="GB159" s="3">
        <f>$H159*factors!FV$3</f>
        <v>0.49690795590000009</v>
      </c>
      <c r="GC159" s="3">
        <f>$H159*factors!FW$3</f>
        <v>0.46549423455</v>
      </c>
      <c r="GD159" s="3">
        <f>$H159*factors!FX$3</f>
        <v>0.47358564762499999</v>
      </c>
      <c r="GE159" s="3">
        <f>$H159*factors!FY$3</f>
        <v>0.47358564762499999</v>
      </c>
      <c r="GF159" s="3">
        <f>$H159*factors!FZ$3</f>
        <v>0.47215775120000003</v>
      </c>
      <c r="GG159" s="3">
        <f>$H159*factors!GA$3</f>
        <v>0.453595097675</v>
      </c>
      <c r="GH159" s="3">
        <f>$H159*factors!GB$3</f>
        <v>0.48262899165000006</v>
      </c>
      <c r="GI159" s="3">
        <f>$H159*factors!GC$3</f>
        <v>0.45264316672499999</v>
      </c>
      <c r="GJ159" s="3">
        <f>$H159*factors!GD$3</f>
        <v>0.453595097675</v>
      </c>
      <c r="GK159" s="3">
        <f>$H159*factors!GE$3</f>
        <v>0.46501826907499999</v>
      </c>
      <c r="GL159" s="3">
        <f>$H159*factors!GF$3</f>
        <v>0.49262426662500003</v>
      </c>
      <c r="GM159" s="3">
        <f>$H159*factors!GG$3</f>
        <v>0.46692213097500007</v>
      </c>
      <c r="GN159" s="3">
        <f>$H159*factors!GH$3</f>
        <v>0.48167706070000005</v>
      </c>
      <c r="GO159" s="3">
        <f>$H159*factors!GI$3</f>
        <v>0.45502299409999997</v>
      </c>
      <c r="GP159" s="3">
        <f>$H159*factors!GJ$3</f>
        <v>0.48786461187500002</v>
      </c>
      <c r="GQ159" s="3">
        <f>$H159*factors!GK$3</f>
        <v>0.49785988685000004</v>
      </c>
      <c r="GR159" s="3">
        <f>$H159*factors!GL$3</f>
        <v>0.48834057735000003</v>
      </c>
      <c r="GS159" s="3">
        <f>$H159*factors!GM$3</f>
        <v>0.46181978108300004</v>
      </c>
      <c r="GT159" s="3">
        <f>$H159*factors!GN$3</f>
        <v>0.47245856138020004</v>
      </c>
      <c r="GU159" s="3">
        <f>$H159*factors!GO$3</f>
        <v>0.48358092260000002</v>
      </c>
      <c r="GV159" s="3">
        <f>$H159*factors!GP$3</f>
        <v>0.46423768569600005</v>
      </c>
      <c r="GW159" s="3">
        <f>$H159*factors!GQ$3</f>
        <v>0.48067943706440003</v>
      </c>
      <c r="GX159" s="3">
        <f>$H159*factors!GR$3</f>
        <v>0.47294214230280002</v>
      </c>
      <c r="GY159" s="3">
        <f>$H159*factors!GS$3</f>
        <v>0.47052423768980006</v>
      </c>
      <c r="GZ159" s="3">
        <f>$H159*factors!GT$3</f>
        <v>0.48793315090339995</v>
      </c>
      <c r="HA159" s="3">
        <f>$H159*factors!GU$3</f>
        <v>0.4719749804576</v>
      </c>
      <c r="HB159" s="3">
        <f>$H159*factors!GV$3</f>
        <v>0.48793315090339995</v>
      </c>
      <c r="HC159" s="3">
        <f>$H159*factors!GW$3</f>
        <v>0.47584362783840001</v>
      </c>
      <c r="HD159" s="3">
        <f>$H159*factors!GX$3</f>
        <v>0.48986747459379998</v>
      </c>
      <c r="HE159" s="3">
        <f>$H159*factors!GY$3</f>
        <v>0.48358092260000002</v>
      </c>
      <c r="HF159" s="3">
        <f>$H159*factors!GZ$3</f>
        <v>0.4985719312006</v>
      </c>
      <c r="HG159" s="3">
        <f>$H159*factors!HA$3</f>
        <v>0.47922869429660003</v>
      </c>
      <c r="HH159" s="3">
        <f>$H159*factors!HB$3</f>
        <v>0.47294214230280002</v>
      </c>
      <c r="HI159" s="3">
        <f>$H159*factors!HC$3</f>
        <v>0.46713917123160004</v>
      </c>
      <c r="HJ159" s="3">
        <f>$H159*factors!HD$3</f>
        <v>0.46181978108300004</v>
      </c>
      <c r="HK159" s="3">
        <f>$H159*factors!HE$3</f>
        <v>0.48841673182599998</v>
      </c>
      <c r="HL159" s="3">
        <f>$H159*factors!HF$3</f>
        <v>0.46036903831519999</v>
      </c>
      <c r="HM159" s="3">
        <f>$H159*factors!HG$3</f>
        <v>0.46520484754120006</v>
      </c>
      <c r="HN159" s="3">
        <f>$H159*factors!HH$3</f>
        <v>0.49615402658760005</v>
      </c>
      <c r="HO159" s="3">
        <f>$H159*factors!HI$3</f>
        <v>0.47584362783840001</v>
      </c>
      <c r="HP159" s="3">
        <f>$H159*factors!HJ$3</f>
        <v>0.50775996873000007</v>
      </c>
      <c r="HQ159" s="3">
        <f>$H159*factors!HK$3</f>
        <v>0.46423768569600005</v>
      </c>
      <c r="HR159" s="3">
        <f>$H159*factors!HL$3</f>
        <v>0.4922853792068001</v>
      </c>
      <c r="HS159" s="3">
        <f>$H159*factors!HM$3</f>
        <v>0.50098983581360002</v>
      </c>
      <c r="HT159" s="3">
        <f>$H159*factors!HN$3</f>
        <v>0.46713917123160004</v>
      </c>
      <c r="HU159" s="3">
        <f>$H159*factors!HO$3</f>
        <v>0.4719749804576</v>
      </c>
      <c r="HV159" s="3">
        <f>$H159*factors!HP$3</f>
        <v>0.47777795152880004</v>
      </c>
      <c r="HW159" s="3">
        <f>$H159*factors!HQ$3</f>
        <v>0.48454808444520003</v>
      </c>
      <c r="HX159" s="3">
        <f>$H159*factors!HR$3</f>
        <v>0.50437490227179993</v>
      </c>
      <c r="HY159" s="3">
        <f>$H159*factors!HS$3</f>
        <v>0.47922869429660003</v>
      </c>
      <c r="HZ159" s="3">
        <f>$H159*factors!HT$3</f>
        <v>0.49760476935539999</v>
      </c>
      <c r="IA159" s="3">
        <f>$H159*factors!HU$3</f>
        <v>0.47342572322540005</v>
      </c>
      <c r="IB159" s="3">
        <f>$H159*factors!HV$3</f>
        <v>0.48986747459379998</v>
      </c>
      <c r="IC159" s="3">
        <f>$H159*factors!HW$3</f>
        <v>0.4947032838198</v>
      </c>
      <c r="ID159" s="3">
        <f>$H159*factors!HX$3</f>
        <v>0.45940187646999997</v>
      </c>
      <c r="IE159" s="3">
        <f>$H159*factors!HY$3</f>
        <v>0.48793315090339995</v>
      </c>
      <c r="IF159" s="3">
        <f>$H159*factors!HZ$3</f>
        <v>0.48503166536779996</v>
      </c>
      <c r="IG159" s="3">
        <f>$H159*factors!IA$3</f>
        <v>0.48067943706440003</v>
      </c>
      <c r="IH159" s="3">
        <f>$H159*factors!IB$3</f>
        <v>0.4985719312006</v>
      </c>
      <c r="II159" s="3">
        <f>$H159*factors!IC$3</f>
        <v>0.4772943706062</v>
      </c>
      <c r="IJ159" s="3">
        <f>$H159*factors!ID$3</f>
        <v>0.48164659890960004</v>
      </c>
      <c r="IK159" s="3">
        <f>$H159*factors!IE$3</f>
        <v>0.49905551212320004</v>
      </c>
      <c r="IL159" s="3">
        <f>$H159*factors!IF$3</f>
        <v>0.47777795152880004</v>
      </c>
      <c r="IM159" s="3">
        <f>$H159*factors!IG$3</f>
        <v>0.47342572322540005</v>
      </c>
      <c r="IN159" s="3">
        <f>$H159*factors!IH$3</f>
        <v>0.47632720876100004</v>
      </c>
      <c r="IO159" s="3">
        <f>$H159*factors!II$3</f>
        <v>0.48116301798700001</v>
      </c>
      <c r="IP159" s="3">
        <f>$H159*factors!IJ$3</f>
        <v>0.46520484754120006</v>
      </c>
      <c r="IQ159" s="3">
        <f>$H159*factors!IK$3</f>
        <v>0.46375410477340001</v>
      </c>
      <c r="IR159" s="3">
        <f>$H159*factors!IL$3</f>
        <v>0.4772943706062</v>
      </c>
      <c r="IS159" s="3">
        <f>$H159*factors!IM$3</f>
        <v>0.48116301798700001</v>
      </c>
      <c r="IT159" s="3">
        <f>$H159*factors!IN$3</f>
        <v>0.48454808444520003</v>
      </c>
      <c r="IU159" s="3">
        <f>$H159*factors!IO$3</f>
        <v>0.49518686474240003</v>
      </c>
      <c r="IV159" s="3">
        <f>$H159*factors!IP$3</f>
        <v>0.50147341673619994</v>
      </c>
      <c r="IW159" s="3">
        <f>$H159*factors!IQ$3</f>
        <v>0.47390930414799998</v>
      </c>
      <c r="IX159" s="3">
        <f>$H159*factors!IR$3</f>
        <v>0.49518686474240003</v>
      </c>
      <c r="IY159" s="3">
        <f>$H159*factors!IS$3</f>
        <v>0.48793315090339995</v>
      </c>
      <c r="IZ159" s="3">
        <f>$H159*factors!IT$3</f>
        <v>0.49615402658760005</v>
      </c>
      <c r="JA159" s="3">
        <f>$H159*factors!IU$3</f>
        <v>0.46858991399939998</v>
      </c>
      <c r="JB159" s="3">
        <f>$H159*factors!IV$3</f>
        <v>0.4772943706062</v>
      </c>
      <c r="JC159" s="3">
        <f>$H159*factors!IW$3</f>
        <v>0.46617200938640002</v>
      </c>
      <c r="JD159" s="3">
        <f>$H159*factors!IX$3</f>
        <v>0.50775996873000007</v>
      </c>
      <c r="JE159" s="3">
        <f>$H159*factors!IY$3</f>
        <v>0.46762275215420002</v>
      </c>
      <c r="JF159" s="3">
        <f>$H159*factors!IZ$3</f>
        <v>0.49083463643899994</v>
      </c>
      <c r="JG159" s="3">
        <f>$H159*factors!JA$3</f>
        <v>0.48213017983220002</v>
      </c>
      <c r="JH159" s="3">
        <f>$H159*factors!JB$3</f>
        <v>0.49131821736160008</v>
      </c>
      <c r="JI159" s="3">
        <f>$H159*factors!JC$3</f>
        <v>0.45988545739260001</v>
      </c>
      <c r="JJ159" s="3">
        <f>$H159*factors!JD$3</f>
        <v>0.49518686474240003</v>
      </c>
      <c r="JK159" s="3">
        <f>$H159*factors!JE$3</f>
        <v>0.47922869429660003</v>
      </c>
      <c r="JL159" s="3">
        <f>$H159*factors!JF$3</f>
        <v>0.4985719312006</v>
      </c>
      <c r="JM159" s="3">
        <f>$H159*factors!JG$3</f>
        <v>0.46520484754120006</v>
      </c>
      <c r="JN159" s="3">
        <f>$H159*factors!JH$3</f>
        <v>0.46520484754120006</v>
      </c>
      <c r="JO159" s="3">
        <f>$H159*factors!JI$3</f>
        <v>0.45940187646999997</v>
      </c>
      <c r="JP159" s="3">
        <f>$H159*factors!JJ$3</f>
        <v>0.49663760751020003</v>
      </c>
      <c r="JQ159" s="3">
        <f>$H159*factors!JK$3</f>
        <v>0.4840645035226</v>
      </c>
      <c r="JR159" s="3">
        <f>$H159*factors!JL$3</f>
        <v>0.50292415950400005</v>
      </c>
      <c r="JS159" s="3">
        <f>$H159*factors!JM$3</f>
        <v>0.45940187646999997</v>
      </c>
      <c r="JT159" s="3">
        <f>$H159*factors!JN$3</f>
        <v>0.48261376075480006</v>
      </c>
      <c r="JU159" s="3">
        <f>$H159*factors!JO$3</f>
        <v>0.466655590309</v>
      </c>
      <c r="JV159" s="3">
        <f>$H159*factors!JP$3</f>
        <v>0.47439288507060001</v>
      </c>
      <c r="JW159" s="3">
        <f>$H159*factors!JQ$3</f>
        <v>0.50679280688480011</v>
      </c>
      <c r="JX159" s="3">
        <f>$H159*factors!JR$3</f>
        <v>0.50195699765879997</v>
      </c>
      <c r="JY159" s="3">
        <f>$H159*factors!JS$3</f>
        <v>0.47245856138020004</v>
      </c>
      <c r="JZ159" s="3">
        <f>$H159*factors!JT$3</f>
        <v>0.47777795152880004</v>
      </c>
      <c r="KA159" s="3">
        <f>$H159*factors!JU$3</f>
        <v>0.47971227521920007</v>
      </c>
      <c r="KB159" s="3">
        <f>$H159*factors!JV$3</f>
        <v>0.46375410477340001</v>
      </c>
      <c r="KC159" s="3">
        <f>$H159*factors!JW$3</f>
        <v>0.46617200938640002</v>
      </c>
      <c r="KD159" s="3">
        <f>$H159*factors!JX$3</f>
        <v>0.466655590309</v>
      </c>
      <c r="KE159" s="3">
        <f>$H159*factors!JY$3</f>
        <v>0.49663760751020003</v>
      </c>
      <c r="KF159" s="3">
        <f>$H159*factors!JZ$3</f>
        <v>0.50244057858140001</v>
      </c>
      <c r="KG159" s="3">
        <f>$H159*factors!KA$3</f>
        <v>0.48454808444520003</v>
      </c>
      <c r="KH159" s="3">
        <f>$H159*factors!KB$3</f>
        <v>0.47390930414799998</v>
      </c>
      <c r="KI159" s="3">
        <f>$H159*factors!KC$3</f>
        <v>0.46955707584459999</v>
      </c>
    </row>
    <row r="160" spans="1:295" x14ac:dyDescent="0.55000000000000004">
      <c r="A160" t="s">
        <v>537</v>
      </c>
      <c r="B160">
        <v>159</v>
      </c>
      <c r="C160">
        <v>230</v>
      </c>
      <c r="D160" t="s">
        <v>377</v>
      </c>
      <c r="E160">
        <v>4.6909999999999999E-3</v>
      </c>
      <c r="F160">
        <v>159</v>
      </c>
      <c r="G160">
        <f>VLOOKUP(D160,demand_forecasted!$A$2:$G$11,2)</f>
        <v>11098</v>
      </c>
      <c r="H160" s="3">
        <f t="shared" si="3"/>
        <v>0.52060718000000006</v>
      </c>
      <c r="I160" s="3">
        <f>$H160*factors!C$3</f>
        <v>0.5763121482600001</v>
      </c>
      <c r="J160" s="3">
        <f>$H160*factors!D$3</f>
        <v>0.5555086853472001</v>
      </c>
      <c r="K160" s="3">
        <f>$H160*factors!E$3</f>
        <v>0.54595033752240008</v>
      </c>
      <c r="L160" s="3">
        <f>$H160*factors!F$3</f>
        <v>0.54426357025920014</v>
      </c>
      <c r="M160" s="3">
        <f>$H160*factors!G$3</f>
        <v>0.54370131450480008</v>
      </c>
      <c r="N160" s="3">
        <f>$H160*factors!H$3</f>
        <v>0.55944447562800004</v>
      </c>
      <c r="O160" s="3">
        <f>$H160*factors!I$3</f>
        <v>0.57181410222480011</v>
      </c>
      <c r="P160" s="3">
        <f>$H160*factors!J$3</f>
        <v>0.57856117127760009</v>
      </c>
      <c r="Q160" s="3">
        <f>$H160*factors!K$3</f>
        <v>0.54313905875040003</v>
      </c>
      <c r="R160" s="3">
        <f>$H160*factors!L$3</f>
        <v>0.53414296668000005</v>
      </c>
      <c r="S160" s="3">
        <f>$H160*factors!M$3</f>
        <v>0.55607094110160005</v>
      </c>
      <c r="T160" s="3">
        <f>$H160*factors!N$3</f>
        <v>0.5751876367512001</v>
      </c>
      <c r="U160" s="3">
        <f>$H160*factors!O$3</f>
        <v>0.54482582601360008</v>
      </c>
      <c r="V160" s="3">
        <f>$H160*factors!P$3</f>
        <v>0.56675380043520007</v>
      </c>
      <c r="W160" s="3">
        <f>$H160*factors!Q$3</f>
        <v>0.57181410222480011</v>
      </c>
      <c r="X160" s="3">
        <f>$H160*factors!R$3</f>
        <v>0.54707484903120007</v>
      </c>
      <c r="Y160" s="3">
        <f>$H160*factors!S$3</f>
        <v>0.54201454724160003</v>
      </c>
      <c r="Z160" s="3">
        <f>$H160*factors!T$3</f>
        <v>0.58474598457600013</v>
      </c>
      <c r="AA160" s="3">
        <f>$H160*factors!U$3</f>
        <v>0.5521351508208</v>
      </c>
      <c r="AB160" s="3">
        <f>$H160*factors!V$3</f>
        <v>0.55269740657520017</v>
      </c>
      <c r="AC160" s="3">
        <f>$H160*factors!W$3</f>
        <v>0.55325966232960011</v>
      </c>
      <c r="AD160" s="3">
        <f>$H160*factors!X$3</f>
        <v>0.54145229148720009</v>
      </c>
      <c r="AE160" s="3">
        <f>$H160*factors!Y$3</f>
        <v>0.54595033752240008</v>
      </c>
      <c r="AF160" s="3">
        <f>$H160*factors!Z$3</f>
        <v>0.55719545261040015</v>
      </c>
      <c r="AG160" s="3">
        <f>$H160*factors!AA$3</f>
        <v>0.54313905875040003</v>
      </c>
      <c r="AH160" s="3">
        <f>$H160*factors!AB$3</f>
        <v>0.54089003573280015</v>
      </c>
      <c r="AI160" s="3">
        <f>$H160*factors!AC$3</f>
        <v>0.55831996411920004</v>
      </c>
      <c r="AJ160" s="3">
        <f>$H160*factors!AD$3</f>
        <v>0.57968568278640009</v>
      </c>
      <c r="AK160" s="3">
        <f>$H160*factors!AE$3</f>
        <v>0.5577577083648001</v>
      </c>
      <c r="AL160" s="3">
        <f>$H160*factors!AF$3</f>
        <v>0.53582973394319999</v>
      </c>
      <c r="AM160" s="3">
        <f>$H160*factors!AG$3</f>
        <v>0.55101063931200012</v>
      </c>
      <c r="AN160" s="3">
        <f>$H160*factors!AH$3</f>
        <v>0.54201454724160003</v>
      </c>
      <c r="AO160" s="3">
        <f>$H160*factors!AI$3</f>
        <v>0.56787831194400007</v>
      </c>
      <c r="AP160" s="3">
        <f>$H160*factors!AJ$3</f>
        <v>0.54426357025920014</v>
      </c>
      <c r="AQ160" s="3">
        <f>$H160*factors!AK$3</f>
        <v>0.56169349864560014</v>
      </c>
      <c r="AR160" s="3">
        <f>$H160*factors!AL$3</f>
        <v>0.54932387204880007</v>
      </c>
      <c r="AS160" s="3">
        <f>$H160*factors!AM$3</f>
        <v>0.53582973394319999</v>
      </c>
      <c r="AT160" s="3">
        <f>$H160*factors!AN$3</f>
        <v>0.55269740657520017</v>
      </c>
      <c r="AU160" s="3">
        <f>$H160*factors!AO$3</f>
        <v>0.58530824033040008</v>
      </c>
      <c r="AV160" s="3">
        <f>$H160*factors!AP$3</f>
        <v>0.55325966232960011</v>
      </c>
      <c r="AW160" s="3">
        <f>$H160*factors!AQ$3</f>
        <v>0.54763710478560002</v>
      </c>
      <c r="AX160" s="3">
        <f>$H160*factors!AR$3</f>
        <v>0.57912342703200015</v>
      </c>
      <c r="AY160" s="3">
        <f>$H160*factors!AS$3</f>
        <v>0.53414296668000005</v>
      </c>
      <c r="AZ160" s="3">
        <f>$H160*factors!AT$3</f>
        <v>0.57237635797920017</v>
      </c>
      <c r="BA160" s="3">
        <f>$H160*factors!AU$3</f>
        <v>0.56000673138240009</v>
      </c>
      <c r="BB160" s="3">
        <f>$H160*factors!AV$3</f>
        <v>0.55269740657520017</v>
      </c>
      <c r="BC160" s="3">
        <f>$H160*factors!AW$3</f>
        <v>0.58474598457600013</v>
      </c>
      <c r="BD160" s="3">
        <f>$H160*factors!AX$3</f>
        <v>0.53976552422400004</v>
      </c>
      <c r="BE160" s="3">
        <f>$H160*factors!AY$3</f>
        <v>0.63458891598919998</v>
      </c>
      <c r="BF160" s="3">
        <f>$H160*factors!AZ$3</f>
        <v>0.59097244644880009</v>
      </c>
      <c r="BG160" s="3">
        <f>$H160*factors!BA$3</f>
        <v>0.59957287706239992</v>
      </c>
      <c r="BH160" s="3">
        <f>$H160*factors!BB$3</f>
        <v>0.60755899120360002</v>
      </c>
      <c r="BI160" s="3">
        <f>$H160*factors!BC$3</f>
        <v>0.62967438420999999</v>
      </c>
      <c r="BJ160" s="3">
        <f>$H160*factors!BD$3</f>
        <v>0.60141582647960001</v>
      </c>
      <c r="BK160" s="3">
        <f>$H160*factors!BE$3</f>
        <v>0.60264445942439993</v>
      </c>
      <c r="BL160" s="3">
        <f>$H160*factors!BF$3</f>
        <v>0.59588697822799996</v>
      </c>
      <c r="BM160" s="3">
        <f>$H160*factors!BG$3</f>
        <v>0.63643186540640007</v>
      </c>
      <c r="BN160" s="3">
        <f>$H160*factors!BH$3</f>
        <v>0.62844575126519997</v>
      </c>
      <c r="BO160" s="3">
        <f>$H160*factors!BI$3</f>
        <v>0.59097244644880009</v>
      </c>
      <c r="BP160" s="3">
        <f>$H160*factors!BJ$3</f>
        <v>0.5891294970316</v>
      </c>
      <c r="BQ160" s="3">
        <f>$H160*factors!BK$3</f>
        <v>0.59895856058999997</v>
      </c>
      <c r="BR160" s="3">
        <f>$H160*factors!BL$3</f>
        <v>0.6204596371240001</v>
      </c>
      <c r="BS160" s="3">
        <f>$H160*factors!BM$3</f>
        <v>0.63028870068240006</v>
      </c>
      <c r="BT160" s="3">
        <f>$H160*factors!BN$3</f>
        <v>0.63213165009960004</v>
      </c>
      <c r="BU160" s="3">
        <f>$H160*factors!BO$3</f>
        <v>0.64257503013040007</v>
      </c>
      <c r="BV160" s="3">
        <f>$H160*factors!BP$3</f>
        <v>0.59772992764520005</v>
      </c>
      <c r="BW160" s="3">
        <f>$H160*factors!BQ$3</f>
        <v>0.61124489003799998</v>
      </c>
      <c r="BX160" s="3">
        <f>$H160*factors!BR$3</f>
        <v>0.59957287706239992</v>
      </c>
      <c r="BY160" s="3">
        <f>$H160*factors!BS$3</f>
        <v>0.62721711832039995</v>
      </c>
      <c r="BZ160" s="3">
        <f>$H160*factors!BT$3</f>
        <v>0.6155451053448</v>
      </c>
      <c r="CA160" s="3">
        <f>$H160*factors!BU$3</f>
        <v>0.60755899120360002</v>
      </c>
      <c r="CB160" s="3">
        <f>$H160*factors!BV$3</f>
        <v>0.58790086408679998</v>
      </c>
      <c r="CC160" s="3">
        <f>$H160*factors!BW$3</f>
        <v>0.60510172531399997</v>
      </c>
      <c r="CD160" s="3">
        <f>$H160*factors!BX$3</f>
        <v>0.60694467473120006</v>
      </c>
      <c r="CE160" s="3">
        <f>$H160*factors!BY$3</f>
        <v>0.6155451053448</v>
      </c>
      <c r="CF160" s="3">
        <f>$H160*factors!BZ$3</f>
        <v>0.60633035825880011</v>
      </c>
      <c r="CG160" s="3">
        <f>$H160*factors!CA$3</f>
        <v>0.5860579146696</v>
      </c>
      <c r="CH160" s="3">
        <f>$H160*factors!CB$3</f>
        <v>0.58667223114199996</v>
      </c>
      <c r="CI160" s="3">
        <f>$H160*factors!CC$3</f>
        <v>0.58360064878000006</v>
      </c>
      <c r="CJ160" s="3">
        <f>$H160*factors!CD$3</f>
        <v>0.60755899120360002</v>
      </c>
      <c r="CK160" s="3">
        <f>$H160*factors!CE$3</f>
        <v>0.63458891598919998</v>
      </c>
      <c r="CL160" s="3">
        <f>$H160*factors!CF$3</f>
        <v>0.59465834528320005</v>
      </c>
      <c r="CM160" s="3">
        <f>$H160*factors!CG$3</f>
        <v>0.60878762414840004</v>
      </c>
      <c r="CN160" s="3">
        <f>$H160*factors!CH$3</f>
        <v>0.58851518055920005</v>
      </c>
      <c r="CO160" s="3">
        <f>$H160*factors!CI$3</f>
        <v>0.59281539586599996</v>
      </c>
      <c r="CP160" s="3">
        <f>$H160*factors!CJ$3</f>
        <v>0.62107395359639994</v>
      </c>
      <c r="CQ160" s="3">
        <f>$H160*factors!CK$3</f>
        <v>0.60264445942439993</v>
      </c>
      <c r="CR160" s="3">
        <f>$H160*factors!CL$3</f>
        <v>0.62168827006880001</v>
      </c>
      <c r="CS160" s="3">
        <f>$H160*factors!CM$3</f>
        <v>0.64134639718560005</v>
      </c>
      <c r="CT160" s="3">
        <f>$H160*factors!CN$3</f>
        <v>0.63397459951680002</v>
      </c>
      <c r="CU160" s="3">
        <f>$H160*factors!CO$3</f>
        <v>0.61984532065159992</v>
      </c>
      <c r="CV160" s="3">
        <f>$H160*factors!CP$3</f>
        <v>0.64503229602000001</v>
      </c>
      <c r="CW160" s="3">
        <f>$H160*factors!CQ$3</f>
        <v>0.61001625709320006</v>
      </c>
      <c r="CX160" s="3">
        <f>$H160*factors!CR$3</f>
        <v>0.60080151000720006</v>
      </c>
      <c r="CY160" s="3">
        <f>$H160*factors!CS$3</f>
        <v>0.59527266175560001</v>
      </c>
      <c r="CZ160" s="3">
        <f>$H160*factors!CT$3</f>
        <v>0.58667223114199996</v>
      </c>
      <c r="DA160" s="3">
        <f>$H160*factors!CU$3</f>
        <v>0.60911040059999999</v>
      </c>
      <c r="DB160" s="3">
        <f>$H160*factors!CV$3</f>
        <v>0.6484683034080001</v>
      </c>
      <c r="DC160" s="3">
        <f>$H160*factors!CW$3</f>
        <v>0.62098024430400001</v>
      </c>
      <c r="DD160" s="3">
        <f>$H160*factors!CX$3</f>
        <v>0.61660714399200001</v>
      </c>
      <c r="DE160" s="3">
        <f>$H160*factors!CY$3</f>
        <v>0.63472427385600005</v>
      </c>
      <c r="DF160" s="3">
        <f>$H160*factors!CZ$3</f>
        <v>0.63347481662399996</v>
      </c>
      <c r="DG160" s="3">
        <f>$H160*factors!DA$3</f>
        <v>0.6309759021600001</v>
      </c>
      <c r="DH160" s="3">
        <f>$H160*factors!DB$3</f>
        <v>0.6309759021600001</v>
      </c>
      <c r="DI160" s="3">
        <f>$H160*factors!DC$3</f>
        <v>0.60723621475199996</v>
      </c>
      <c r="DJ160" s="3">
        <f>$H160*factors!DD$3</f>
        <v>0.64347047448000005</v>
      </c>
      <c r="DK160" s="3">
        <f>$H160*factors!DE$3</f>
        <v>0.64347047448000005</v>
      </c>
      <c r="DL160" s="3">
        <f>$H160*factors!DF$3</f>
        <v>0.63597373108800004</v>
      </c>
      <c r="DM160" s="3">
        <f>$H160*factors!DG$3</f>
        <v>0.59911474274400001</v>
      </c>
      <c r="DN160" s="3">
        <f>$H160*factors!DH$3</f>
        <v>0.62847698769600013</v>
      </c>
      <c r="DO160" s="3">
        <f>$H160*factors!DI$3</f>
        <v>0.64909303202400004</v>
      </c>
      <c r="DP160" s="3">
        <f>$H160*factors!DJ$3</f>
        <v>0.64347047448000005</v>
      </c>
      <c r="DQ160" s="3">
        <f>$H160*factors!DK$3</f>
        <v>0.61348350091199999</v>
      </c>
      <c r="DR160" s="3">
        <f>$H160*factors!DL$3</f>
        <v>0.60661148613600002</v>
      </c>
      <c r="DS160" s="3">
        <f>$H160*factors!DM$3</f>
        <v>0.65534031818400007</v>
      </c>
      <c r="DT160" s="3">
        <f>$H160*factors!DN$3</f>
        <v>0.61598241537600007</v>
      </c>
      <c r="DU160" s="3">
        <f>$H160*factors!DO$3</f>
        <v>0.64471993171200004</v>
      </c>
      <c r="DV160" s="3">
        <f>$H160*factors!DP$3</f>
        <v>0.62972644492800012</v>
      </c>
      <c r="DW160" s="3">
        <f>$H160*factors!DQ$3</f>
        <v>0.60098892859200004</v>
      </c>
      <c r="DX160" s="3">
        <f>$H160*factors!DR$3</f>
        <v>0.63659845970399997</v>
      </c>
      <c r="DY160" s="3">
        <f>$H160*factors!DS$3</f>
        <v>0.60411257167200005</v>
      </c>
      <c r="DZ160" s="3">
        <f>$H160*factors!DT$3</f>
        <v>0.64596938894400002</v>
      </c>
      <c r="EA160" s="3">
        <f>$H160*factors!DU$3</f>
        <v>0.60848567198399994</v>
      </c>
      <c r="EB160" s="3">
        <f>$H160*factors!DV$3</f>
        <v>0.59349218520000002</v>
      </c>
      <c r="EC160" s="3">
        <f>$H160*factors!DW$3</f>
        <v>0.63847264555200001</v>
      </c>
      <c r="ED160" s="3">
        <f>$H160*factors!DX$3</f>
        <v>0.59911474274400001</v>
      </c>
      <c r="EE160" s="3">
        <f>$H160*factors!DY$3</f>
        <v>0.60411257167200005</v>
      </c>
      <c r="EF160" s="3">
        <f>$H160*factors!DZ$3</f>
        <v>0.65534031818400007</v>
      </c>
      <c r="EG160" s="3">
        <f>$H160*factors!EA$3</f>
        <v>0.61223404368000001</v>
      </c>
      <c r="EH160" s="3">
        <f>$H160*factors!EB$3</f>
        <v>0.61410822952800004</v>
      </c>
      <c r="EI160" s="3">
        <f>$H160*factors!EC$3</f>
        <v>0.61285877229600005</v>
      </c>
      <c r="EJ160" s="3">
        <f>$H160*factors!ED$3</f>
        <v>0.59724055689600009</v>
      </c>
      <c r="EK160" s="3">
        <f>$H160*factors!EE$3</f>
        <v>0.63847264555200001</v>
      </c>
      <c r="EL160" s="3">
        <f>$H160*factors!EF$3</f>
        <v>0.60723621475199996</v>
      </c>
      <c r="EM160" s="3">
        <f>$H160*factors!EG$3</f>
        <v>0.63160063077600004</v>
      </c>
      <c r="EN160" s="3">
        <f>$H160*factors!EH$3</f>
        <v>0.59349218520000002</v>
      </c>
      <c r="EO160" s="3">
        <f>$H160*factors!EI$3</f>
        <v>0.60223838582400002</v>
      </c>
      <c r="EP160" s="3">
        <f>$H160*factors!EJ$3</f>
        <v>0.63534900247199999</v>
      </c>
      <c r="EQ160" s="3">
        <f>$H160*factors!EK$3</f>
        <v>0.61785660122399999</v>
      </c>
      <c r="ER160" s="3">
        <f>$H160*factors!EL$3</f>
        <v>0.64347047448000005</v>
      </c>
      <c r="ES160" s="3">
        <f>$H160*factors!EM$3</f>
        <v>0.63534900247199999</v>
      </c>
      <c r="ET160" s="3">
        <f>$H160*factors!EN$3</f>
        <v>0.64971776064000009</v>
      </c>
      <c r="EU160" s="3">
        <f>$H160*factors!EO$3</f>
        <v>0.65596504680000012</v>
      </c>
      <c r="EV160" s="3">
        <f>$H160*factors!EP$3</f>
        <v>0.61473295814399997</v>
      </c>
      <c r="EW160" s="3">
        <f>$H160*factors!EQ$3</f>
        <v>0.67613857502499997</v>
      </c>
      <c r="EX160" s="3">
        <f>$H160*factors!ER$3</f>
        <v>0.6689802263000002</v>
      </c>
      <c r="EY160" s="3">
        <f>$H160*factors!ES$3</f>
        <v>0.68264616477499995</v>
      </c>
      <c r="EZ160" s="3">
        <f>$H160*factors!ET$3</f>
        <v>0.67613857502499997</v>
      </c>
      <c r="FA160" s="3">
        <f>$H160*factors!EU$3</f>
        <v>0.62147482112499997</v>
      </c>
      <c r="FB160" s="3">
        <f>$H160*factors!EV$3</f>
        <v>0.64945745705000013</v>
      </c>
      <c r="FC160" s="3">
        <f>$H160*factors!EW$3</f>
        <v>0.66767870835000009</v>
      </c>
      <c r="FD160" s="3">
        <f>$H160*factors!EX$3</f>
        <v>0.64425138525000014</v>
      </c>
      <c r="FE160" s="3">
        <f>$H160*factors!EY$3</f>
        <v>0.67874161092500007</v>
      </c>
      <c r="FF160" s="3">
        <f>$H160*factors!EZ$3</f>
        <v>0.67939236990000018</v>
      </c>
      <c r="FG160" s="3">
        <f>$H160*factors!FA$3</f>
        <v>0.62147482112499997</v>
      </c>
      <c r="FH160" s="3">
        <f>$H160*factors!FB$3</f>
        <v>0.65401276987500001</v>
      </c>
      <c r="FI160" s="3">
        <f>$H160*factors!FC$3</f>
        <v>0.68134464682499996</v>
      </c>
      <c r="FJ160" s="3">
        <f>$H160*factors!FD$3</f>
        <v>0.65401276987500001</v>
      </c>
      <c r="FK160" s="3">
        <f>$H160*factors!FE$3</f>
        <v>0.6650756724500001</v>
      </c>
      <c r="FL160" s="3">
        <f>$H160*factors!FF$3</f>
        <v>0.6670279493750001</v>
      </c>
      <c r="FM160" s="3">
        <f>$H160*factors!FG$3</f>
        <v>0.67418629810000008</v>
      </c>
      <c r="FN160" s="3">
        <f>$H160*factors!FH$3</f>
        <v>0.63058544677500006</v>
      </c>
      <c r="FO160" s="3">
        <f>$H160*factors!FI$3</f>
        <v>0.66963098527499998</v>
      </c>
      <c r="FP160" s="3">
        <f>$H160*factors!FJ$3</f>
        <v>0.65075897500000002</v>
      </c>
      <c r="FQ160" s="3">
        <f>$H160*factors!FK$3</f>
        <v>0.64425138525000014</v>
      </c>
      <c r="FR160" s="3">
        <f>$H160*factors!FL$3</f>
        <v>0.65726656475</v>
      </c>
      <c r="FS160" s="3">
        <f>$H160*factors!FM$3</f>
        <v>0.65336201090000001</v>
      </c>
      <c r="FT160" s="3">
        <f>$H160*factors!FN$3</f>
        <v>0.66767870835000009</v>
      </c>
      <c r="FU160" s="3">
        <f>$H160*factors!FO$3</f>
        <v>0.64164834935000004</v>
      </c>
      <c r="FV160" s="3">
        <f>$H160*factors!FP$3</f>
        <v>0.63644227755000005</v>
      </c>
      <c r="FW160" s="3">
        <f>$H160*factors!FQ$3</f>
        <v>0.68134464682499996</v>
      </c>
      <c r="FX160" s="3">
        <f>$H160*factors!FR$3</f>
        <v>0.6689802263000002</v>
      </c>
      <c r="FY160" s="3">
        <f>$H160*factors!FS$3</f>
        <v>0.65531428782500001</v>
      </c>
      <c r="FZ160" s="3">
        <f>$H160*factors!FT$3</f>
        <v>0.62277633907500007</v>
      </c>
      <c r="GA160" s="3">
        <f>$H160*factors!FU$3</f>
        <v>0.65531428782500001</v>
      </c>
      <c r="GB160" s="3">
        <f>$H160*factors!FV$3</f>
        <v>0.67939236990000018</v>
      </c>
      <c r="GC160" s="3">
        <f>$H160*factors!FW$3</f>
        <v>0.63644227755000005</v>
      </c>
      <c r="GD160" s="3">
        <f>$H160*factors!FX$3</f>
        <v>0.64750518012500002</v>
      </c>
      <c r="GE160" s="3">
        <f>$H160*factors!FY$3</f>
        <v>0.64750518012500002</v>
      </c>
      <c r="GF160" s="3">
        <f>$H160*factors!FZ$3</f>
        <v>0.64555290320000003</v>
      </c>
      <c r="GG160" s="3">
        <f>$H160*factors!GA$3</f>
        <v>0.62017330317500008</v>
      </c>
      <c r="GH160" s="3">
        <f>$H160*factors!GB$3</f>
        <v>0.65986960065000011</v>
      </c>
      <c r="GI160" s="3">
        <f>$H160*factors!GC$3</f>
        <v>0.61887178522500008</v>
      </c>
      <c r="GJ160" s="3">
        <f>$H160*factors!GD$3</f>
        <v>0.62017330317500008</v>
      </c>
      <c r="GK160" s="3">
        <f>$H160*factors!GE$3</f>
        <v>0.63579151857500005</v>
      </c>
      <c r="GL160" s="3">
        <f>$H160*factors!GF$3</f>
        <v>0.67353553912500008</v>
      </c>
      <c r="GM160" s="3">
        <f>$H160*factors!GG$3</f>
        <v>0.63839455447500015</v>
      </c>
      <c r="GN160" s="3">
        <f>$H160*factors!GH$3</f>
        <v>0.65856808270000011</v>
      </c>
      <c r="GO160" s="3">
        <f>$H160*factors!GI$3</f>
        <v>0.62212558009999996</v>
      </c>
      <c r="GP160" s="3">
        <f>$H160*factors!GJ$3</f>
        <v>0.6670279493750001</v>
      </c>
      <c r="GQ160" s="3">
        <f>$H160*factors!GK$3</f>
        <v>0.68069388785000018</v>
      </c>
      <c r="GR160" s="3">
        <f>$H160*factors!GL$3</f>
        <v>0.66767870835000009</v>
      </c>
      <c r="GS160" s="3">
        <f>$H160*factors!GM$3</f>
        <v>0.63141841826300005</v>
      </c>
      <c r="GT160" s="3">
        <f>$H160*factors!GN$3</f>
        <v>0.64596418287220014</v>
      </c>
      <c r="GU160" s="3">
        <f>$H160*factors!GO$3</f>
        <v>0.66117111860000011</v>
      </c>
      <c r="GV160" s="3">
        <f>$H160*factors!GP$3</f>
        <v>0.63472427385600005</v>
      </c>
      <c r="GW160" s="3">
        <f>$H160*factors!GQ$3</f>
        <v>0.65720409188840012</v>
      </c>
      <c r="GX160" s="3">
        <f>$H160*factors!GR$3</f>
        <v>0.64662535399080001</v>
      </c>
      <c r="GY160" s="3">
        <f>$H160*factors!GS$3</f>
        <v>0.64331949839780012</v>
      </c>
      <c r="GZ160" s="3">
        <f>$H160*factors!GT$3</f>
        <v>0.66712165866740003</v>
      </c>
      <c r="HA160" s="3">
        <f>$H160*factors!GU$3</f>
        <v>0.64530301175360005</v>
      </c>
      <c r="HB160" s="3">
        <f>$H160*factors!GV$3</f>
        <v>0.66712165866740003</v>
      </c>
      <c r="HC160" s="3">
        <f>$H160*factors!GW$3</f>
        <v>0.6505923807024</v>
      </c>
      <c r="HD160" s="3">
        <f>$H160*factors!GX$3</f>
        <v>0.66976634314179995</v>
      </c>
      <c r="HE160" s="3">
        <f>$H160*factors!GY$3</f>
        <v>0.66117111860000011</v>
      </c>
      <c r="HF160" s="3">
        <f>$H160*factors!GZ$3</f>
        <v>0.68166742327660002</v>
      </c>
      <c r="HG160" s="3">
        <f>$H160*factors!HA$3</f>
        <v>0.65522057853260007</v>
      </c>
      <c r="HH160" s="3">
        <f>$H160*factors!HB$3</f>
        <v>0.64662535399080001</v>
      </c>
      <c r="HI160" s="3">
        <f>$H160*factors!HC$3</f>
        <v>0.63869130056760004</v>
      </c>
      <c r="HJ160" s="3">
        <f>$H160*factors!HD$3</f>
        <v>0.63141841826300005</v>
      </c>
      <c r="HK160" s="3">
        <f>$H160*factors!HE$3</f>
        <v>0.66778282978600001</v>
      </c>
      <c r="HL160" s="3">
        <f>$H160*factors!HF$3</f>
        <v>0.6294349049072</v>
      </c>
      <c r="HM160" s="3">
        <f>$H160*factors!HG$3</f>
        <v>0.63604661609320012</v>
      </c>
      <c r="HN160" s="3">
        <f>$H160*factors!HH$3</f>
        <v>0.67836156768360012</v>
      </c>
      <c r="HO160" s="3">
        <f>$H160*factors!HI$3</f>
        <v>0.6505923807024</v>
      </c>
      <c r="HP160" s="3">
        <f>$H160*factors!HJ$3</f>
        <v>0.69422967453000017</v>
      </c>
      <c r="HQ160" s="3">
        <f>$H160*factors!HK$3</f>
        <v>0.63472427385600005</v>
      </c>
      <c r="HR160" s="3">
        <f>$H160*factors!HL$3</f>
        <v>0.67307219873480018</v>
      </c>
      <c r="HS160" s="3">
        <f>$H160*factors!HM$3</f>
        <v>0.68497327886960002</v>
      </c>
      <c r="HT160" s="3">
        <f>$H160*factors!HN$3</f>
        <v>0.63869130056760004</v>
      </c>
      <c r="HU160" s="3">
        <f>$H160*factors!HO$3</f>
        <v>0.64530301175360005</v>
      </c>
      <c r="HV160" s="3">
        <f>$H160*factors!HP$3</f>
        <v>0.65323706517680014</v>
      </c>
      <c r="HW160" s="3">
        <f>$H160*factors!HQ$3</f>
        <v>0.66249346083720007</v>
      </c>
      <c r="HX160" s="3">
        <f>$H160*factors!HR$3</f>
        <v>0.68960147669979999</v>
      </c>
      <c r="HY160" s="3">
        <f>$H160*factors!HS$3</f>
        <v>0.65522057853260007</v>
      </c>
      <c r="HZ160" s="3">
        <f>$H160*factors!HT$3</f>
        <v>0.68034508103940006</v>
      </c>
      <c r="IA160" s="3">
        <f>$H160*factors!HU$3</f>
        <v>0.6472865251094001</v>
      </c>
      <c r="IB160" s="3">
        <f>$H160*factors!HV$3</f>
        <v>0.66976634314179995</v>
      </c>
      <c r="IC160" s="3">
        <f>$H160*factors!HW$3</f>
        <v>0.67637805432780007</v>
      </c>
      <c r="ID160" s="3">
        <f>$H160*factors!HX$3</f>
        <v>0.62811256267000004</v>
      </c>
      <c r="IE160" s="3">
        <f>$H160*factors!HY$3</f>
        <v>0.66712165866740003</v>
      </c>
      <c r="IF160" s="3">
        <f>$H160*factors!HZ$3</f>
        <v>0.66315463195580004</v>
      </c>
      <c r="IG160" s="3">
        <f>$H160*factors!IA$3</f>
        <v>0.65720409188840012</v>
      </c>
      <c r="IH160" s="3">
        <f>$H160*factors!IB$3</f>
        <v>0.68166742327660002</v>
      </c>
      <c r="II160" s="3">
        <f>$H160*factors!IC$3</f>
        <v>0.65257589405820005</v>
      </c>
      <c r="IJ160" s="3">
        <f>$H160*factors!ID$3</f>
        <v>0.65852643412560008</v>
      </c>
      <c r="IK160" s="3">
        <f>$H160*factors!IE$3</f>
        <v>0.68232859439520011</v>
      </c>
      <c r="IL160" s="3">
        <f>$H160*factors!IF$3</f>
        <v>0.65323706517680014</v>
      </c>
      <c r="IM160" s="3">
        <f>$H160*factors!IG$3</f>
        <v>0.6472865251094001</v>
      </c>
      <c r="IN160" s="3">
        <f>$H160*factors!IH$3</f>
        <v>0.65125355182100009</v>
      </c>
      <c r="IO160" s="3">
        <f>$H160*factors!II$3</f>
        <v>0.65786526300699999</v>
      </c>
      <c r="IP160" s="3">
        <f>$H160*factors!IJ$3</f>
        <v>0.63604661609320012</v>
      </c>
      <c r="IQ160" s="3">
        <f>$H160*factors!IK$3</f>
        <v>0.63406310273740007</v>
      </c>
      <c r="IR160" s="3">
        <f>$H160*factors!IL$3</f>
        <v>0.65257589405820005</v>
      </c>
      <c r="IS160" s="3">
        <f>$H160*factors!IM$3</f>
        <v>0.65786526300699999</v>
      </c>
      <c r="IT160" s="3">
        <f>$H160*factors!IN$3</f>
        <v>0.66249346083720007</v>
      </c>
      <c r="IU160" s="3">
        <f>$H160*factors!IO$3</f>
        <v>0.67703922544640016</v>
      </c>
      <c r="IV160" s="3">
        <f>$H160*factors!IP$3</f>
        <v>0.6856344499882</v>
      </c>
      <c r="IW160" s="3">
        <f>$H160*factors!IQ$3</f>
        <v>0.64794769622800008</v>
      </c>
      <c r="IX160" s="3">
        <f>$H160*factors!IR$3</f>
        <v>0.67703922544640016</v>
      </c>
      <c r="IY160" s="3">
        <f>$H160*factors!IS$3</f>
        <v>0.66712165866740003</v>
      </c>
      <c r="IZ160" s="3">
        <f>$H160*factors!IT$3</f>
        <v>0.67836156768360012</v>
      </c>
      <c r="JA160" s="3">
        <f>$H160*factors!IU$3</f>
        <v>0.64067481392339998</v>
      </c>
      <c r="JB160" s="3">
        <f>$H160*factors!IV$3</f>
        <v>0.65257589405820005</v>
      </c>
      <c r="JC160" s="3">
        <f>$H160*factors!IW$3</f>
        <v>0.63736895833040008</v>
      </c>
      <c r="JD160" s="3">
        <f>$H160*factors!IX$3</f>
        <v>0.69422967453000017</v>
      </c>
      <c r="JE160" s="3">
        <f>$H160*factors!IY$3</f>
        <v>0.63935247168620002</v>
      </c>
      <c r="JF160" s="3">
        <f>$H160*factors!IZ$3</f>
        <v>0.67108868537900002</v>
      </c>
      <c r="JG160" s="3">
        <f>$H160*factors!JA$3</f>
        <v>0.65918760524420006</v>
      </c>
      <c r="JH160" s="3">
        <f>$H160*factors!JB$3</f>
        <v>0.67174985649760011</v>
      </c>
      <c r="JI160" s="3">
        <f>$H160*factors!JC$3</f>
        <v>0.62877373378860013</v>
      </c>
      <c r="JJ160" s="3">
        <f>$H160*factors!JD$3</f>
        <v>0.67703922544640016</v>
      </c>
      <c r="JK160" s="3">
        <f>$H160*factors!JE$3</f>
        <v>0.65522057853260007</v>
      </c>
      <c r="JL160" s="3">
        <f>$H160*factors!JF$3</f>
        <v>0.68166742327660002</v>
      </c>
      <c r="JM160" s="3">
        <f>$H160*factors!JG$3</f>
        <v>0.63604661609320012</v>
      </c>
      <c r="JN160" s="3">
        <f>$H160*factors!JH$3</f>
        <v>0.63604661609320012</v>
      </c>
      <c r="JO160" s="3">
        <f>$H160*factors!JI$3</f>
        <v>0.62811256267000004</v>
      </c>
      <c r="JP160" s="3">
        <f>$H160*factors!JJ$3</f>
        <v>0.6790227388022001</v>
      </c>
      <c r="JQ160" s="3">
        <f>$H160*factors!JK$3</f>
        <v>0.66183228971859998</v>
      </c>
      <c r="JR160" s="3">
        <f>$H160*factors!JL$3</f>
        <v>0.68761796334400005</v>
      </c>
      <c r="JS160" s="3">
        <f>$H160*factors!JM$3</f>
        <v>0.62811256267000004</v>
      </c>
      <c r="JT160" s="3">
        <f>$H160*factors!JN$3</f>
        <v>0.65984877636280004</v>
      </c>
      <c r="JU160" s="3">
        <f>$H160*factors!JO$3</f>
        <v>0.63803012944900006</v>
      </c>
      <c r="JV160" s="3">
        <f>$H160*factors!JP$3</f>
        <v>0.64860886734660006</v>
      </c>
      <c r="JW160" s="3">
        <f>$H160*factors!JQ$3</f>
        <v>0.6929073322928001</v>
      </c>
      <c r="JX160" s="3">
        <f>$H160*factors!JR$3</f>
        <v>0.68629562110680009</v>
      </c>
      <c r="JY160" s="3">
        <f>$H160*factors!JS$3</f>
        <v>0.64596418287220014</v>
      </c>
      <c r="JZ160" s="3">
        <f>$H160*factors!JT$3</f>
        <v>0.65323706517680014</v>
      </c>
      <c r="KA160" s="3">
        <f>$H160*factors!JU$3</f>
        <v>0.65588174965120016</v>
      </c>
      <c r="KB160" s="3">
        <f>$H160*factors!JV$3</f>
        <v>0.63406310273740007</v>
      </c>
      <c r="KC160" s="3">
        <f>$H160*factors!JW$3</f>
        <v>0.63736895833040008</v>
      </c>
      <c r="KD160" s="3">
        <f>$H160*factors!JX$3</f>
        <v>0.63803012944900006</v>
      </c>
      <c r="KE160" s="3">
        <f>$H160*factors!JY$3</f>
        <v>0.6790227388022001</v>
      </c>
      <c r="KF160" s="3">
        <f>$H160*factors!JZ$3</f>
        <v>0.68695679222539996</v>
      </c>
      <c r="KG160" s="3">
        <f>$H160*factors!KA$3</f>
        <v>0.66249346083720007</v>
      </c>
      <c r="KH160" s="3">
        <f>$H160*factors!KB$3</f>
        <v>0.64794769622800008</v>
      </c>
      <c r="KI160" s="3">
        <f>$H160*factors!KC$3</f>
        <v>0.64199715616060005</v>
      </c>
    </row>
    <row r="161" spans="1:295" x14ac:dyDescent="0.55000000000000004">
      <c r="A161" t="s">
        <v>538</v>
      </c>
      <c r="B161">
        <v>160</v>
      </c>
      <c r="C161">
        <v>360</v>
      </c>
      <c r="D161" t="s">
        <v>377</v>
      </c>
      <c r="E161">
        <v>1.0163999999999999E-2</v>
      </c>
      <c r="F161">
        <v>160</v>
      </c>
      <c r="G161">
        <f>VLOOKUP(D161,demand_forecasted!$A$2:$G$11,2)</f>
        <v>11098</v>
      </c>
      <c r="H161" s="3">
        <f t="shared" si="3"/>
        <v>1.12800072</v>
      </c>
      <c r="I161" s="3">
        <f>$H161*factors!C$3</f>
        <v>1.24869679704</v>
      </c>
      <c r="J161" s="3">
        <f>$H161*factors!D$3</f>
        <v>1.2036218882687999</v>
      </c>
      <c r="K161" s="3">
        <f>$H161*factors!E$3</f>
        <v>1.1829117950496</v>
      </c>
      <c r="L161" s="3">
        <f>$H161*factors!F$3</f>
        <v>1.1792570727168001</v>
      </c>
      <c r="M161" s="3">
        <f>$H161*factors!G$3</f>
        <v>1.1780388319391999</v>
      </c>
      <c r="N161" s="3">
        <f>$H161*factors!H$3</f>
        <v>1.2121495737120001</v>
      </c>
      <c r="O161" s="3">
        <f>$H161*factors!I$3</f>
        <v>1.2389508708191999</v>
      </c>
      <c r="P161" s="3">
        <f>$H161*factors!J$3</f>
        <v>1.2535697601504001</v>
      </c>
      <c r="Q161" s="3">
        <f>$H161*factors!K$3</f>
        <v>1.1768205911615999</v>
      </c>
      <c r="R161" s="3">
        <f>$H161*factors!L$3</f>
        <v>1.15732873872</v>
      </c>
      <c r="S161" s="3">
        <f>$H161*factors!M$3</f>
        <v>1.2048401290463999</v>
      </c>
      <c r="T161" s="3">
        <f>$H161*factors!N$3</f>
        <v>1.2462603154848</v>
      </c>
      <c r="U161" s="3">
        <f>$H161*factors!O$3</f>
        <v>1.1804753134944002</v>
      </c>
      <c r="V161" s="3">
        <f>$H161*factors!P$3</f>
        <v>1.2279867038208001</v>
      </c>
      <c r="W161" s="3">
        <f>$H161*factors!Q$3</f>
        <v>1.2389508708191999</v>
      </c>
      <c r="X161" s="3">
        <f>$H161*factors!R$3</f>
        <v>1.1853482766048</v>
      </c>
      <c r="Y161" s="3">
        <f>$H161*factors!S$3</f>
        <v>1.1743841096064001</v>
      </c>
      <c r="Z161" s="3">
        <f>$H161*factors!T$3</f>
        <v>1.2669704087040001</v>
      </c>
      <c r="AA161" s="3">
        <f>$H161*factors!U$3</f>
        <v>1.1963124436032</v>
      </c>
      <c r="AB161" s="3">
        <f>$H161*factors!V$3</f>
        <v>1.1975306843808</v>
      </c>
      <c r="AC161" s="3">
        <f>$H161*factors!W$3</f>
        <v>1.1987489251584</v>
      </c>
      <c r="AD161" s="3">
        <f>$H161*factors!X$3</f>
        <v>1.1731658688288</v>
      </c>
      <c r="AE161" s="3">
        <f>$H161*factors!Y$3</f>
        <v>1.1829117950496</v>
      </c>
      <c r="AF161" s="3">
        <f>$H161*factors!Z$3</f>
        <v>1.2072766106016002</v>
      </c>
      <c r="AG161" s="3">
        <f>$H161*factors!AA$3</f>
        <v>1.1768205911615999</v>
      </c>
      <c r="AH161" s="3">
        <f>$H161*factors!AB$3</f>
        <v>1.1719476280512</v>
      </c>
      <c r="AI161" s="3">
        <f>$H161*factors!AC$3</f>
        <v>1.2097130921568</v>
      </c>
      <c r="AJ161" s="3">
        <f>$H161*factors!AD$3</f>
        <v>1.2560062417055999</v>
      </c>
      <c r="AK161" s="3">
        <f>$H161*factors!AE$3</f>
        <v>1.2084948513792</v>
      </c>
      <c r="AL161" s="3">
        <f>$H161*factors!AF$3</f>
        <v>1.1609834610527998</v>
      </c>
      <c r="AM161" s="3">
        <f>$H161*factors!AG$3</f>
        <v>1.193875962048</v>
      </c>
      <c r="AN161" s="3">
        <f>$H161*factors!AH$3</f>
        <v>1.1743841096064001</v>
      </c>
      <c r="AO161" s="3">
        <f>$H161*factors!AI$3</f>
        <v>1.2304231853759999</v>
      </c>
      <c r="AP161" s="3">
        <f>$H161*factors!AJ$3</f>
        <v>1.1792570727168001</v>
      </c>
      <c r="AQ161" s="3">
        <f>$H161*factors!AK$3</f>
        <v>1.2170225368224001</v>
      </c>
      <c r="AR161" s="3">
        <f>$H161*factors!AL$3</f>
        <v>1.1902212397152001</v>
      </c>
      <c r="AS161" s="3">
        <f>$H161*factors!AM$3</f>
        <v>1.1609834610527998</v>
      </c>
      <c r="AT161" s="3">
        <f>$H161*factors!AN$3</f>
        <v>1.1975306843808</v>
      </c>
      <c r="AU161" s="3">
        <f>$H161*factors!AO$3</f>
        <v>1.2681886494815999</v>
      </c>
      <c r="AV161" s="3">
        <f>$H161*factors!AP$3</f>
        <v>1.1987489251584</v>
      </c>
      <c r="AW161" s="3">
        <f>$H161*factors!AQ$3</f>
        <v>1.1865665173823998</v>
      </c>
      <c r="AX161" s="3">
        <f>$H161*factors!AR$3</f>
        <v>1.2547880009279999</v>
      </c>
      <c r="AY161" s="3">
        <f>$H161*factors!AS$3</f>
        <v>1.15732873872</v>
      </c>
      <c r="AZ161" s="3">
        <f>$H161*factors!AT$3</f>
        <v>1.2401691115968001</v>
      </c>
      <c r="BA161" s="3">
        <f>$H161*factors!AU$3</f>
        <v>1.2133678144895998</v>
      </c>
      <c r="BB161" s="3">
        <f>$H161*factors!AV$3</f>
        <v>1.1975306843808</v>
      </c>
      <c r="BC161" s="3">
        <f>$H161*factors!AW$3</f>
        <v>1.2669704087040001</v>
      </c>
      <c r="BD161" s="3">
        <f>$H161*factors!AX$3</f>
        <v>1.169511146496</v>
      </c>
      <c r="BE161" s="3">
        <f>$H161*factors!AY$3</f>
        <v>1.3749651976367998</v>
      </c>
      <c r="BF161" s="3">
        <f>$H161*factors!AZ$3</f>
        <v>1.2804612973151999</v>
      </c>
      <c r="BG161" s="3">
        <f>$H161*factors!BA$3</f>
        <v>1.2990958692095997</v>
      </c>
      <c r="BH161" s="3">
        <f>$H161*factors!BB$3</f>
        <v>1.3163994002543999</v>
      </c>
      <c r="BI161" s="3">
        <f>$H161*factors!BC$3</f>
        <v>1.3643168708399998</v>
      </c>
      <c r="BJ161" s="3">
        <f>$H161*factors!BD$3</f>
        <v>1.3030889917583999</v>
      </c>
      <c r="BK161" s="3">
        <f>$H161*factors!BE$3</f>
        <v>1.3057510734575997</v>
      </c>
      <c r="BL161" s="3">
        <f>$H161*factors!BF$3</f>
        <v>1.2911096241119997</v>
      </c>
      <c r="BM161" s="3">
        <f>$H161*factors!BG$3</f>
        <v>1.3789583201855999</v>
      </c>
      <c r="BN161" s="3">
        <f>$H161*factors!BH$3</f>
        <v>1.3616547891407997</v>
      </c>
      <c r="BO161" s="3">
        <f>$H161*factors!BI$3</f>
        <v>1.2804612973151999</v>
      </c>
      <c r="BP161" s="3">
        <f>$H161*factors!BJ$3</f>
        <v>1.2764681747663997</v>
      </c>
      <c r="BQ161" s="3">
        <f>$H161*factors!BK$3</f>
        <v>1.2977648283599998</v>
      </c>
      <c r="BR161" s="3">
        <f>$H161*factors!BL$3</f>
        <v>1.344351258096</v>
      </c>
      <c r="BS161" s="3">
        <f>$H161*factors!BM$3</f>
        <v>1.3656479116895999</v>
      </c>
      <c r="BT161" s="3">
        <f>$H161*factors!BN$3</f>
        <v>1.3696410342383998</v>
      </c>
      <c r="BU161" s="3">
        <f>$H161*factors!BO$3</f>
        <v>1.3922687286816</v>
      </c>
      <c r="BV161" s="3">
        <f>$H161*factors!BP$3</f>
        <v>1.2951027466607998</v>
      </c>
      <c r="BW161" s="3">
        <f>$H161*factors!BQ$3</f>
        <v>1.3243856453519998</v>
      </c>
      <c r="BX161" s="3">
        <f>$H161*factors!BR$3</f>
        <v>1.2990958692095997</v>
      </c>
      <c r="BY161" s="3">
        <f>$H161*factors!BS$3</f>
        <v>1.3589927074415997</v>
      </c>
      <c r="BZ161" s="3">
        <f>$H161*factors!BT$3</f>
        <v>1.3337029312991997</v>
      </c>
      <c r="CA161" s="3">
        <f>$H161*factors!BU$3</f>
        <v>1.3163994002543999</v>
      </c>
      <c r="CB161" s="3">
        <f>$H161*factors!BV$3</f>
        <v>1.2738060930671999</v>
      </c>
      <c r="CC161" s="3">
        <f>$H161*factors!BW$3</f>
        <v>1.3110752368559999</v>
      </c>
      <c r="CD161" s="3">
        <f>$H161*factors!BX$3</f>
        <v>1.3150683594047998</v>
      </c>
      <c r="CE161" s="3">
        <f>$H161*factors!BY$3</f>
        <v>1.3337029312991997</v>
      </c>
      <c r="CF161" s="3">
        <f>$H161*factors!BZ$3</f>
        <v>1.3137373185551999</v>
      </c>
      <c r="CG161" s="3">
        <f>$H161*factors!CA$3</f>
        <v>1.2698129705183998</v>
      </c>
      <c r="CH161" s="3">
        <f>$H161*factors!CB$3</f>
        <v>1.2711440113679997</v>
      </c>
      <c r="CI161" s="3">
        <f>$H161*factors!CC$3</f>
        <v>1.26448880712</v>
      </c>
      <c r="CJ161" s="3">
        <f>$H161*factors!CD$3</f>
        <v>1.3163994002543999</v>
      </c>
      <c r="CK161" s="3">
        <f>$H161*factors!CE$3</f>
        <v>1.3749651976367998</v>
      </c>
      <c r="CL161" s="3">
        <f>$H161*factors!CF$3</f>
        <v>1.2884475424127999</v>
      </c>
      <c r="CM161" s="3">
        <f>$H161*factors!CG$3</f>
        <v>1.3190614819535997</v>
      </c>
      <c r="CN161" s="3">
        <f>$H161*factors!CH$3</f>
        <v>1.2751371339167998</v>
      </c>
      <c r="CO161" s="3">
        <f>$H161*factors!CI$3</f>
        <v>1.2844544198639998</v>
      </c>
      <c r="CP161" s="3">
        <f>$H161*factors!CJ$3</f>
        <v>1.3456822989455997</v>
      </c>
      <c r="CQ161" s="3">
        <f>$H161*factors!CK$3</f>
        <v>1.3057510734575997</v>
      </c>
      <c r="CR161" s="3">
        <f>$H161*factors!CL$3</f>
        <v>1.3470133397951998</v>
      </c>
      <c r="CS161" s="3">
        <f>$H161*factors!CM$3</f>
        <v>1.3896066469823998</v>
      </c>
      <c r="CT161" s="3">
        <f>$H161*factors!CN$3</f>
        <v>1.3736341567871999</v>
      </c>
      <c r="CU161" s="3">
        <f>$H161*factors!CO$3</f>
        <v>1.3430202172463996</v>
      </c>
      <c r="CV161" s="3">
        <f>$H161*factors!CP$3</f>
        <v>1.3975928920799998</v>
      </c>
      <c r="CW161" s="3">
        <f>$H161*factors!CQ$3</f>
        <v>1.3217235636528</v>
      </c>
      <c r="CX161" s="3">
        <f>$H161*factors!CR$3</f>
        <v>1.3017579509088</v>
      </c>
      <c r="CY161" s="3">
        <f>$H161*factors!CS$3</f>
        <v>1.2897785832623998</v>
      </c>
      <c r="CZ161" s="3">
        <f>$H161*factors!CT$3</f>
        <v>1.2711440113679997</v>
      </c>
      <c r="DA161" s="3">
        <f>$H161*factors!CU$3</f>
        <v>1.3197608423999998</v>
      </c>
      <c r="DB161" s="3">
        <f>$H161*factors!CV$3</f>
        <v>1.405037696832</v>
      </c>
      <c r="DC161" s="3">
        <f>$H161*factors!CW$3</f>
        <v>1.3454792588159998</v>
      </c>
      <c r="DD161" s="3">
        <f>$H161*factors!CX$3</f>
        <v>1.3360040527679999</v>
      </c>
      <c r="DE161" s="3">
        <f>$H161*factors!CY$3</f>
        <v>1.375258477824</v>
      </c>
      <c r="DF161" s="3">
        <f>$H161*factors!CZ$3</f>
        <v>1.3725512760959999</v>
      </c>
      <c r="DG161" s="3">
        <f>$H161*factors!DA$3</f>
        <v>1.3671368726399999</v>
      </c>
      <c r="DH161" s="3">
        <f>$H161*factors!DB$3</f>
        <v>1.3671368726399999</v>
      </c>
      <c r="DI161" s="3">
        <f>$H161*factors!DC$3</f>
        <v>1.3157000398079999</v>
      </c>
      <c r="DJ161" s="3">
        <f>$H161*factors!DD$3</f>
        <v>1.39420888992</v>
      </c>
      <c r="DK161" s="3">
        <f>$H161*factors!DE$3</f>
        <v>1.39420888992</v>
      </c>
      <c r="DL161" s="3">
        <f>$H161*factors!DF$3</f>
        <v>1.3779656795519999</v>
      </c>
      <c r="DM161" s="3">
        <f>$H161*factors!DG$3</f>
        <v>1.2981032285759997</v>
      </c>
      <c r="DN161" s="3">
        <f>$H161*factors!DH$3</f>
        <v>1.361722469184</v>
      </c>
      <c r="DO161" s="3">
        <f>$H161*factors!DI$3</f>
        <v>1.4063912976959998</v>
      </c>
      <c r="DP161" s="3">
        <f>$H161*factors!DJ$3</f>
        <v>1.39420888992</v>
      </c>
      <c r="DQ161" s="3">
        <f>$H161*factors!DK$3</f>
        <v>1.3292360484479999</v>
      </c>
      <c r="DR161" s="3">
        <f>$H161*factors!DL$3</f>
        <v>1.3143464389440001</v>
      </c>
      <c r="DS161" s="3">
        <f>$H161*factors!DM$3</f>
        <v>1.4199273063359998</v>
      </c>
      <c r="DT161" s="3">
        <f>$H161*factors!DN$3</f>
        <v>1.3346504519039999</v>
      </c>
      <c r="DU161" s="3">
        <f>$H161*factors!DO$3</f>
        <v>1.3969160916479999</v>
      </c>
      <c r="DV161" s="3">
        <f>$H161*factors!DP$3</f>
        <v>1.3644296709119998</v>
      </c>
      <c r="DW161" s="3">
        <f>$H161*factors!DQ$3</f>
        <v>1.3021640311679998</v>
      </c>
      <c r="DX161" s="3">
        <f>$H161*factors!DR$3</f>
        <v>1.3793192804159997</v>
      </c>
      <c r="DY161" s="3">
        <f>$H161*factors!DS$3</f>
        <v>1.3089320354879999</v>
      </c>
      <c r="DZ161" s="3">
        <f>$H161*factors!DT$3</f>
        <v>1.3996232933759998</v>
      </c>
      <c r="EA161" s="3">
        <f>$H161*factors!DU$3</f>
        <v>1.3184072415359998</v>
      </c>
      <c r="EB161" s="3">
        <f>$H161*factors!DV$3</f>
        <v>1.2859208207999999</v>
      </c>
      <c r="EC161" s="3">
        <f>$H161*factors!DW$3</f>
        <v>1.3833800830079999</v>
      </c>
      <c r="ED161" s="3">
        <f>$H161*factors!DX$3</f>
        <v>1.2981032285759997</v>
      </c>
      <c r="EE161" s="3">
        <f>$H161*factors!DY$3</f>
        <v>1.3089320354879999</v>
      </c>
      <c r="EF161" s="3">
        <f>$H161*factors!DZ$3</f>
        <v>1.4199273063359998</v>
      </c>
      <c r="EG161" s="3">
        <f>$H161*factors!EA$3</f>
        <v>1.3265288467199998</v>
      </c>
      <c r="EH161" s="3">
        <f>$H161*factors!EB$3</f>
        <v>1.330589649312</v>
      </c>
      <c r="EI161" s="3">
        <f>$H161*factors!EC$3</f>
        <v>1.3278824475839999</v>
      </c>
      <c r="EJ161" s="3">
        <f>$H161*factors!ED$3</f>
        <v>1.294042425984</v>
      </c>
      <c r="EK161" s="3">
        <f>$H161*factors!EE$3</f>
        <v>1.3833800830079999</v>
      </c>
      <c r="EL161" s="3">
        <f>$H161*factors!EF$3</f>
        <v>1.3157000398079999</v>
      </c>
      <c r="EM161" s="3">
        <f>$H161*factors!EG$3</f>
        <v>1.3684904735039998</v>
      </c>
      <c r="EN161" s="3">
        <f>$H161*factors!EH$3</f>
        <v>1.2859208207999999</v>
      </c>
      <c r="EO161" s="3">
        <f>$H161*factors!EI$3</f>
        <v>1.3048712328959997</v>
      </c>
      <c r="EP161" s="3">
        <f>$H161*factors!EJ$3</f>
        <v>1.3766120786879998</v>
      </c>
      <c r="EQ161" s="3">
        <f>$H161*factors!EK$3</f>
        <v>1.3387112544959998</v>
      </c>
      <c r="ER161" s="3">
        <f>$H161*factors!EL$3</f>
        <v>1.39420888992</v>
      </c>
      <c r="ES161" s="3">
        <f>$H161*factors!EM$3</f>
        <v>1.3766120786879998</v>
      </c>
      <c r="ET161" s="3">
        <f>$H161*factors!EN$3</f>
        <v>1.4077448985599998</v>
      </c>
      <c r="EU161" s="3">
        <f>$H161*factors!EO$3</f>
        <v>1.4212809071999999</v>
      </c>
      <c r="EV161" s="3">
        <f>$H161*factors!EP$3</f>
        <v>1.3319432501759998</v>
      </c>
      <c r="EW161" s="3">
        <f>$H161*factors!EQ$3</f>
        <v>1.4649909350999997</v>
      </c>
      <c r="EX161" s="3">
        <f>$H161*factors!ER$3</f>
        <v>1.4494809252</v>
      </c>
      <c r="EY161" s="3">
        <f>$H161*factors!ES$3</f>
        <v>1.4790909440999997</v>
      </c>
      <c r="EZ161" s="3">
        <f>$H161*factors!ET$3</f>
        <v>1.4649909350999997</v>
      </c>
      <c r="FA161" s="3">
        <f>$H161*factors!EU$3</f>
        <v>1.3465508594999998</v>
      </c>
      <c r="FB161" s="3">
        <f>$H161*factors!EV$3</f>
        <v>1.4071808982</v>
      </c>
      <c r="FC161" s="3">
        <f>$H161*factors!EW$3</f>
        <v>1.4466609233999999</v>
      </c>
      <c r="FD161" s="3">
        <f>$H161*factors!EX$3</f>
        <v>1.3959008909999999</v>
      </c>
      <c r="FE161" s="3">
        <f>$H161*factors!EY$3</f>
        <v>1.4706309386999998</v>
      </c>
      <c r="FF161" s="3">
        <f>$H161*factors!EZ$3</f>
        <v>1.4720409396</v>
      </c>
      <c r="FG161" s="3">
        <f>$H161*factors!FA$3</f>
        <v>1.3465508594999998</v>
      </c>
      <c r="FH161" s="3">
        <f>$H161*factors!FB$3</f>
        <v>1.4170509044999997</v>
      </c>
      <c r="FI161" s="3">
        <f>$H161*factors!FC$3</f>
        <v>1.4762709422999998</v>
      </c>
      <c r="FJ161" s="3">
        <f>$H161*factors!FD$3</f>
        <v>1.4170509044999997</v>
      </c>
      <c r="FK161" s="3">
        <f>$H161*factors!FE$3</f>
        <v>1.4410209198000001</v>
      </c>
      <c r="FL161" s="3">
        <f>$H161*factors!FF$3</f>
        <v>1.4452509224999999</v>
      </c>
      <c r="FM161" s="3">
        <f>$H161*factors!FG$3</f>
        <v>1.4607609323999999</v>
      </c>
      <c r="FN161" s="3">
        <f>$H161*factors!FH$3</f>
        <v>1.3662908720999998</v>
      </c>
      <c r="FO161" s="3">
        <f>$H161*factors!FI$3</f>
        <v>1.4508909260999998</v>
      </c>
      <c r="FP161" s="3">
        <f>$H161*factors!FJ$3</f>
        <v>1.4100009</v>
      </c>
      <c r="FQ161" s="3">
        <f>$H161*factors!FK$3</f>
        <v>1.3959008909999999</v>
      </c>
      <c r="FR161" s="3">
        <f>$H161*factors!FL$3</f>
        <v>1.4241009089999999</v>
      </c>
      <c r="FS161" s="3">
        <f>$H161*factors!FM$3</f>
        <v>1.4156409035999997</v>
      </c>
      <c r="FT161" s="3">
        <f>$H161*factors!FN$3</f>
        <v>1.4466609233999999</v>
      </c>
      <c r="FU161" s="3">
        <f>$H161*factors!FO$3</f>
        <v>1.3902608873999998</v>
      </c>
      <c r="FV161" s="3">
        <f>$H161*factors!FP$3</f>
        <v>1.3789808801999999</v>
      </c>
      <c r="FW161" s="3">
        <f>$H161*factors!FQ$3</f>
        <v>1.4762709422999998</v>
      </c>
      <c r="FX161" s="3">
        <f>$H161*factors!FR$3</f>
        <v>1.4494809252</v>
      </c>
      <c r="FY161" s="3">
        <f>$H161*factors!FS$3</f>
        <v>1.4198709062999997</v>
      </c>
      <c r="FZ161" s="3">
        <f>$H161*factors!FT$3</f>
        <v>1.3493708612999999</v>
      </c>
      <c r="GA161" s="3">
        <f>$H161*factors!FU$3</f>
        <v>1.4198709062999997</v>
      </c>
      <c r="GB161" s="3">
        <f>$H161*factors!FV$3</f>
        <v>1.4720409396</v>
      </c>
      <c r="GC161" s="3">
        <f>$H161*factors!FW$3</f>
        <v>1.3789808801999999</v>
      </c>
      <c r="GD161" s="3">
        <f>$H161*factors!FX$3</f>
        <v>1.4029508954999999</v>
      </c>
      <c r="GE161" s="3">
        <f>$H161*factors!FY$3</f>
        <v>1.4029508954999999</v>
      </c>
      <c r="GF161" s="3">
        <f>$H161*factors!FZ$3</f>
        <v>1.3987208927999999</v>
      </c>
      <c r="GG161" s="3">
        <f>$H161*factors!GA$3</f>
        <v>1.3437308576999998</v>
      </c>
      <c r="GH161" s="3">
        <f>$H161*factors!GB$3</f>
        <v>1.4297409126</v>
      </c>
      <c r="GI161" s="3">
        <f>$H161*factors!GC$3</f>
        <v>1.3409108558999998</v>
      </c>
      <c r="GJ161" s="3">
        <f>$H161*factors!GD$3</f>
        <v>1.3437308576999998</v>
      </c>
      <c r="GK161" s="3">
        <f>$H161*factors!GE$3</f>
        <v>1.3775708792999999</v>
      </c>
      <c r="GL161" s="3">
        <f>$H161*factors!GF$3</f>
        <v>1.4593509314999999</v>
      </c>
      <c r="GM161" s="3">
        <f>$H161*factors!GG$3</f>
        <v>1.3832108829</v>
      </c>
      <c r="GN161" s="3">
        <f>$H161*factors!GH$3</f>
        <v>1.4269209108000001</v>
      </c>
      <c r="GO161" s="3">
        <f>$H161*factors!GI$3</f>
        <v>1.3479608603999997</v>
      </c>
      <c r="GP161" s="3">
        <f>$H161*factors!GJ$3</f>
        <v>1.4452509224999999</v>
      </c>
      <c r="GQ161" s="3">
        <f>$H161*factors!GK$3</f>
        <v>1.4748609414</v>
      </c>
      <c r="GR161" s="3">
        <f>$H161*factors!GL$3</f>
        <v>1.4466609233999999</v>
      </c>
      <c r="GS161" s="3">
        <f>$H161*factors!GM$3</f>
        <v>1.368095673252</v>
      </c>
      <c r="GT161" s="3">
        <f>$H161*factors!GN$3</f>
        <v>1.3996120133687999</v>
      </c>
      <c r="GU161" s="3">
        <f>$H161*factors!GO$3</f>
        <v>1.4325609144</v>
      </c>
      <c r="GV161" s="3">
        <f>$H161*factors!GP$3</f>
        <v>1.375258477824</v>
      </c>
      <c r="GW161" s="3">
        <f>$H161*factors!GQ$3</f>
        <v>1.4239655489136001</v>
      </c>
      <c r="GX161" s="3">
        <f>$H161*factors!GR$3</f>
        <v>1.4010445742831998</v>
      </c>
      <c r="GY161" s="3">
        <f>$H161*factors!GS$3</f>
        <v>1.3938817697112</v>
      </c>
      <c r="GZ161" s="3">
        <f>$H161*factors!GT$3</f>
        <v>1.4454539626295997</v>
      </c>
      <c r="HA161" s="3">
        <f>$H161*factors!GU$3</f>
        <v>1.3981794524543998</v>
      </c>
      <c r="HB161" s="3">
        <f>$H161*factors!GV$3</f>
        <v>1.4454539626295997</v>
      </c>
      <c r="HC161" s="3">
        <f>$H161*factors!GW$3</f>
        <v>1.4096399397695998</v>
      </c>
      <c r="HD161" s="3">
        <f>$H161*factors!GX$3</f>
        <v>1.4511842062871998</v>
      </c>
      <c r="HE161" s="3">
        <f>$H161*factors!GY$3</f>
        <v>1.4325609144</v>
      </c>
      <c r="HF161" s="3">
        <f>$H161*factors!GZ$3</f>
        <v>1.4769703027463998</v>
      </c>
      <c r="HG161" s="3">
        <f>$H161*factors!HA$3</f>
        <v>1.4196678661703999</v>
      </c>
      <c r="HH161" s="3">
        <f>$H161*factors!HB$3</f>
        <v>1.4010445742831998</v>
      </c>
      <c r="HI161" s="3">
        <f>$H161*factors!HC$3</f>
        <v>1.3838538433104</v>
      </c>
      <c r="HJ161" s="3">
        <f>$H161*factors!HD$3</f>
        <v>1.368095673252</v>
      </c>
      <c r="HK161" s="3">
        <f>$H161*factors!HE$3</f>
        <v>1.4468865235439998</v>
      </c>
      <c r="HL161" s="3">
        <f>$H161*factors!HF$3</f>
        <v>1.3637979905087998</v>
      </c>
      <c r="HM161" s="3">
        <f>$H161*factors!HG$3</f>
        <v>1.3781235996528001</v>
      </c>
      <c r="HN161" s="3">
        <f>$H161*factors!HH$3</f>
        <v>1.4698074981744</v>
      </c>
      <c r="HO161" s="3">
        <f>$H161*factors!HI$3</f>
        <v>1.4096399397695998</v>
      </c>
      <c r="HP161" s="3">
        <f>$H161*factors!HJ$3</f>
        <v>1.50418896012</v>
      </c>
      <c r="HQ161" s="3">
        <f>$H161*factors!HK$3</f>
        <v>1.375258477824</v>
      </c>
      <c r="HR161" s="3">
        <f>$H161*factors!HL$3</f>
        <v>1.4583470108592</v>
      </c>
      <c r="HS161" s="3">
        <f>$H161*factors!HM$3</f>
        <v>1.4841331073183999</v>
      </c>
      <c r="HT161" s="3">
        <f>$H161*factors!HN$3</f>
        <v>1.3838538433104</v>
      </c>
      <c r="HU161" s="3">
        <f>$H161*factors!HO$3</f>
        <v>1.3981794524543998</v>
      </c>
      <c r="HV161" s="3">
        <f>$H161*factors!HP$3</f>
        <v>1.4153701834272001</v>
      </c>
      <c r="HW161" s="3">
        <f>$H161*factors!HQ$3</f>
        <v>1.4354260362288001</v>
      </c>
      <c r="HX161" s="3">
        <f>$H161*factors!HR$3</f>
        <v>1.4941610337191997</v>
      </c>
      <c r="HY161" s="3">
        <f>$H161*factors!HS$3</f>
        <v>1.4196678661703999</v>
      </c>
      <c r="HZ161" s="3">
        <f>$H161*factors!HT$3</f>
        <v>1.4741051809175998</v>
      </c>
      <c r="IA161" s="3">
        <f>$H161*factors!HU$3</f>
        <v>1.4024771351976</v>
      </c>
      <c r="IB161" s="3">
        <f>$H161*factors!HV$3</f>
        <v>1.4511842062871998</v>
      </c>
      <c r="IC161" s="3">
        <f>$H161*factors!HW$3</f>
        <v>1.4655098154311998</v>
      </c>
      <c r="ID161" s="3">
        <f>$H161*factors!HX$3</f>
        <v>1.3609328686799997</v>
      </c>
      <c r="IE161" s="3">
        <f>$H161*factors!HY$3</f>
        <v>1.4454539626295997</v>
      </c>
      <c r="IF161" s="3">
        <f>$H161*factors!HZ$3</f>
        <v>1.4368585971431997</v>
      </c>
      <c r="IG161" s="3">
        <f>$H161*factors!IA$3</f>
        <v>1.4239655489136001</v>
      </c>
      <c r="IH161" s="3">
        <f>$H161*factors!IB$3</f>
        <v>1.4769703027463998</v>
      </c>
      <c r="II161" s="3">
        <f>$H161*factors!IC$3</f>
        <v>1.4139376225128</v>
      </c>
      <c r="IJ161" s="3">
        <f>$H161*factors!ID$3</f>
        <v>1.4268306707423999</v>
      </c>
      <c r="IK161" s="3">
        <f>$H161*factors!IE$3</f>
        <v>1.4784028636608</v>
      </c>
      <c r="IL161" s="3">
        <f>$H161*factors!IF$3</f>
        <v>1.4153701834272001</v>
      </c>
      <c r="IM161" s="3">
        <f>$H161*factors!IG$3</f>
        <v>1.4024771351976</v>
      </c>
      <c r="IN161" s="3">
        <f>$H161*factors!IH$3</f>
        <v>1.4110725006839999</v>
      </c>
      <c r="IO161" s="3">
        <f>$H161*factors!II$3</f>
        <v>1.425398109828</v>
      </c>
      <c r="IP161" s="3">
        <f>$H161*factors!IJ$3</f>
        <v>1.3781235996528001</v>
      </c>
      <c r="IQ161" s="3">
        <f>$H161*factors!IK$3</f>
        <v>1.3738259169095999</v>
      </c>
      <c r="IR161" s="3">
        <f>$H161*factors!IL$3</f>
        <v>1.4139376225128</v>
      </c>
      <c r="IS161" s="3">
        <f>$H161*factors!IM$3</f>
        <v>1.425398109828</v>
      </c>
      <c r="IT161" s="3">
        <f>$H161*factors!IN$3</f>
        <v>1.4354260362288001</v>
      </c>
      <c r="IU161" s="3">
        <f>$H161*factors!IO$3</f>
        <v>1.4669423763456</v>
      </c>
      <c r="IV161" s="3">
        <f>$H161*factors!IP$3</f>
        <v>1.4855656682327998</v>
      </c>
      <c r="IW161" s="3">
        <f>$H161*factors!IQ$3</f>
        <v>1.4039096961119999</v>
      </c>
      <c r="IX161" s="3">
        <f>$H161*factors!IR$3</f>
        <v>1.4669423763456</v>
      </c>
      <c r="IY161" s="3">
        <f>$H161*factors!IS$3</f>
        <v>1.4454539626295997</v>
      </c>
      <c r="IZ161" s="3">
        <f>$H161*factors!IT$3</f>
        <v>1.4698074981744</v>
      </c>
      <c r="JA161" s="3">
        <f>$H161*factors!IU$3</f>
        <v>1.3881515260535999</v>
      </c>
      <c r="JB161" s="3">
        <f>$H161*factors!IV$3</f>
        <v>1.4139376225128</v>
      </c>
      <c r="JC161" s="3">
        <f>$H161*factors!IW$3</f>
        <v>1.3809887214815999</v>
      </c>
      <c r="JD161" s="3">
        <f>$H161*factors!IX$3</f>
        <v>1.50418896012</v>
      </c>
      <c r="JE161" s="3">
        <f>$H161*factors!IY$3</f>
        <v>1.3852864042247999</v>
      </c>
      <c r="JF161" s="3">
        <f>$H161*factors!IZ$3</f>
        <v>1.4540493281159996</v>
      </c>
      <c r="JG161" s="3">
        <f>$H161*factors!JA$3</f>
        <v>1.4282632316567998</v>
      </c>
      <c r="JH161" s="3">
        <f>$H161*factors!JB$3</f>
        <v>1.4554818890304</v>
      </c>
      <c r="JI161" s="3">
        <f>$H161*factors!JC$3</f>
        <v>1.3623654295943999</v>
      </c>
      <c r="JJ161" s="3">
        <f>$H161*factors!JD$3</f>
        <v>1.4669423763456</v>
      </c>
      <c r="JK161" s="3">
        <f>$H161*factors!JE$3</f>
        <v>1.4196678661703999</v>
      </c>
      <c r="JL161" s="3">
        <f>$H161*factors!JF$3</f>
        <v>1.4769703027463998</v>
      </c>
      <c r="JM161" s="3">
        <f>$H161*factors!JG$3</f>
        <v>1.3781235996528001</v>
      </c>
      <c r="JN161" s="3">
        <f>$H161*factors!JH$3</f>
        <v>1.3781235996528001</v>
      </c>
      <c r="JO161" s="3">
        <f>$H161*factors!JI$3</f>
        <v>1.3609328686799997</v>
      </c>
      <c r="JP161" s="3">
        <f>$H161*factors!JJ$3</f>
        <v>1.4712400590888</v>
      </c>
      <c r="JQ161" s="3">
        <f>$H161*factors!JK$3</f>
        <v>1.4339934753143999</v>
      </c>
      <c r="JR161" s="3">
        <f>$H161*factors!JL$3</f>
        <v>1.489863350976</v>
      </c>
      <c r="JS161" s="3">
        <f>$H161*factors!JM$3</f>
        <v>1.3609328686799997</v>
      </c>
      <c r="JT161" s="3">
        <f>$H161*factors!JN$3</f>
        <v>1.4296957925711999</v>
      </c>
      <c r="JU161" s="3">
        <f>$H161*factors!JO$3</f>
        <v>1.3824212823959998</v>
      </c>
      <c r="JV161" s="3">
        <f>$H161*factors!JP$3</f>
        <v>1.4053422570264</v>
      </c>
      <c r="JW161" s="3">
        <f>$H161*factors!JQ$3</f>
        <v>1.5013238382912002</v>
      </c>
      <c r="JX161" s="3">
        <f>$H161*factors!JR$3</f>
        <v>1.4869982291471999</v>
      </c>
      <c r="JY161" s="3">
        <f>$H161*factors!JS$3</f>
        <v>1.3996120133687999</v>
      </c>
      <c r="JZ161" s="3">
        <f>$H161*factors!JT$3</f>
        <v>1.4153701834272001</v>
      </c>
      <c r="KA161" s="3">
        <f>$H161*factors!JU$3</f>
        <v>1.4211004270848</v>
      </c>
      <c r="KB161" s="3">
        <f>$H161*factors!JV$3</f>
        <v>1.3738259169095999</v>
      </c>
      <c r="KC161" s="3">
        <f>$H161*factors!JW$3</f>
        <v>1.3809887214815999</v>
      </c>
      <c r="KD161" s="3">
        <f>$H161*factors!JX$3</f>
        <v>1.3824212823959998</v>
      </c>
      <c r="KE161" s="3">
        <f>$H161*factors!JY$3</f>
        <v>1.4712400590888</v>
      </c>
      <c r="KF161" s="3">
        <f>$H161*factors!JZ$3</f>
        <v>1.4884307900615998</v>
      </c>
      <c r="KG161" s="3">
        <f>$H161*factors!KA$3</f>
        <v>1.4354260362288001</v>
      </c>
      <c r="KH161" s="3">
        <f>$H161*factors!KB$3</f>
        <v>1.4039096961119999</v>
      </c>
      <c r="KI161" s="3">
        <f>$H161*factors!KC$3</f>
        <v>1.3910166478823998</v>
      </c>
    </row>
    <row r="162" spans="1:295" x14ac:dyDescent="0.55000000000000004">
      <c r="A162" t="s">
        <v>539</v>
      </c>
      <c r="B162">
        <v>161</v>
      </c>
      <c r="C162">
        <v>230</v>
      </c>
      <c r="D162" t="s">
        <v>377</v>
      </c>
      <c r="E162">
        <v>2.6090000000000002E-3</v>
      </c>
      <c r="F162">
        <v>161</v>
      </c>
      <c r="G162">
        <f>VLOOKUP(D162,demand_forecasted!$A$2:$G$11,2)</f>
        <v>11098</v>
      </c>
      <c r="H162" s="3">
        <f t="shared" si="3"/>
        <v>0.28954682000000004</v>
      </c>
      <c r="I162" s="3">
        <f>$H162*factors!C$3</f>
        <v>0.32052832974000006</v>
      </c>
      <c r="J162" s="3">
        <f>$H162*factors!D$3</f>
        <v>0.30895803881280004</v>
      </c>
      <c r="K162" s="3">
        <f>$H162*factors!E$3</f>
        <v>0.30364195919760006</v>
      </c>
      <c r="L162" s="3">
        <f>$H162*factors!F$3</f>
        <v>0.3027038275008001</v>
      </c>
      <c r="M162" s="3">
        <f>$H162*factors!G$3</f>
        <v>0.30239111693520004</v>
      </c>
      <c r="N162" s="3">
        <f>$H162*factors!H$3</f>
        <v>0.31114701277200002</v>
      </c>
      <c r="O162" s="3">
        <f>$H162*factors!I$3</f>
        <v>0.31802664521520002</v>
      </c>
      <c r="P162" s="3">
        <f>$H162*factors!J$3</f>
        <v>0.32177917200240008</v>
      </c>
      <c r="Q162" s="3">
        <f>$H162*factors!K$3</f>
        <v>0.30207840636960004</v>
      </c>
      <c r="R162" s="3">
        <f>$H162*factors!L$3</f>
        <v>0.29707503732000007</v>
      </c>
      <c r="S162" s="3">
        <f>$H162*factors!M$3</f>
        <v>0.30927074937840004</v>
      </c>
      <c r="T162" s="3">
        <f>$H162*factors!N$3</f>
        <v>0.31990290860880005</v>
      </c>
      <c r="U162" s="3">
        <f>$H162*factors!O$3</f>
        <v>0.30301653806640005</v>
      </c>
      <c r="V162" s="3">
        <f>$H162*factors!P$3</f>
        <v>0.31521225012480003</v>
      </c>
      <c r="W162" s="3">
        <f>$H162*factors!Q$3</f>
        <v>0.31802664521520002</v>
      </c>
      <c r="X162" s="3">
        <f>$H162*factors!R$3</f>
        <v>0.30426738032880002</v>
      </c>
      <c r="Y162" s="3">
        <f>$H162*factors!S$3</f>
        <v>0.30145298523840003</v>
      </c>
      <c r="Z162" s="3">
        <f>$H162*factors!T$3</f>
        <v>0.32521898822400008</v>
      </c>
      <c r="AA162" s="3">
        <f>$H162*factors!U$3</f>
        <v>0.30708177541920001</v>
      </c>
      <c r="AB162" s="3">
        <f>$H162*factors!V$3</f>
        <v>0.30739448598480007</v>
      </c>
      <c r="AC162" s="3">
        <f>$H162*factors!W$3</f>
        <v>0.30770719655040008</v>
      </c>
      <c r="AD162" s="3">
        <f>$H162*factors!X$3</f>
        <v>0.30114027467280008</v>
      </c>
      <c r="AE162" s="3">
        <f>$H162*factors!Y$3</f>
        <v>0.30364195919760006</v>
      </c>
      <c r="AF162" s="3">
        <f>$H162*factors!Z$3</f>
        <v>0.30989617050960006</v>
      </c>
      <c r="AG162" s="3">
        <f>$H162*factors!AA$3</f>
        <v>0.30207840636960004</v>
      </c>
      <c r="AH162" s="3">
        <f>$H162*factors!AB$3</f>
        <v>0.30082756410720007</v>
      </c>
      <c r="AI162" s="3">
        <f>$H162*factors!AC$3</f>
        <v>0.31052159164080007</v>
      </c>
      <c r="AJ162" s="3">
        <f>$H162*factors!AD$3</f>
        <v>0.32240459313360004</v>
      </c>
      <c r="AK162" s="3">
        <f>$H162*factors!AE$3</f>
        <v>0.31020888107520006</v>
      </c>
      <c r="AL162" s="3">
        <f>$H162*factors!AF$3</f>
        <v>0.29801316901680003</v>
      </c>
      <c r="AM162" s="3">
        <f>$H162*factors!AG$3</f>
        <v>0.30645635428800005</v>
      </c>
      <c r="AN162" s="3">
        <f>$H162*factors!AH$3</f>
        <v>0.30145298523840003</v>
      </c>
      <c r="AO162" s="3">
        <f>$H162*factors!AI$3</f>
        <v>0.31583767125600004</v>
      </c>
      <c r="AP162" s="3">
        <f>$H162*factors!AJ$3</f>
        <v>0.3027038275008001</v>
      </c>
      <c r="AQ162" s="3">
        <f>$H162*factors!AK$3</f>
        <v>0.3123978550344001</v>
      </c>
      <c r="AR162" s="3">
        <f>$H162*factors!AL$3</f>
        <v>0.30551822259120009</v>
      </c>
      <c r="AS162" s="3">
        <f>$H162*factors!AM$3</f>
        <v>0.29801316901680003</v>
      </c>
      <c r="AT162" s="3">
        <f>$H162*factors!AN$3</f>
        <v>0.30739448598480007</v>
      </c>
      <c r="AU162" s="3">
        <f>$H162*factors!AO$3</f>
        <v>0.32553169878960003</v>
      </c>
      <c r="AV162" s="3">
        <f>$H162*factors!AP$3</f>
        <v>0.30770719655040008</v>
      </c>
      <c r="AW162" s="3">
        <f>$H162*factors!AQ$3</f>
        <v>0.30458009089440002</v>
      </c>
      <c r="AX162" s="3">
        <f>$H162*factors!AR$3</f>
        <v>0.32209188256800003</v>
      </c>
      <c r="AY162" s="3">
        <f>$H162*factors!AS$3</f>
        <v>0.29707503732000007</v>
      </c>
      <c r="AZ162" s="3">
        <f>$H162*factors!AT$3</f>
        <v>0.31833935578080008</v>
      </c>
      <c r="BA162" s="3">
        <f>$H162*factors!AU$3</f>
        <v>0.31145972333760003</v>
      </c>
      <c r="BB162" s="3">
        <f>$H162*factors!AV$3</f>
        <v>0.30739448598480007</v>
      </c>
      <c r="BC162" s="3">
        <f>$H162*factors!AW$3</f>
        <v>0.32521898822400008</v>
      </c>
      <c r="BD162" s="3">
        <f>$H162*factors!AX$3</f>
        <v>0.30020214297600001</v>
      </c>
      <c r="BE162" s="3">
        <f>$H162*factors!AY$3</f>
        <v>0.35294020077080002</v>
      </c>
      <c r="BF162" s="3">
        <f>$H162*factors!AZ$3</f>
        <v>0.32868196819120005</v>
      </c>
      <c r="BG162" s="3">
        <f>$H162*factors!BA$3</f>
        <v>0.33346528165759998</v>
      </c>
      <c r="BH162" s="3">
        <f>$H162*factors!BB$3</f>
        <v>0.33790692987640003</v>
      </c>
      <c r="BI162" s="3">
        <f>$H162*factors!BC$3</f>
        <v>0.35020687879000001</v>
      </c>
      <c r="BJ162" s="3">
        <f>$H162*factors!BD$3</f>
        <v>0.33449027740039999</v>
      </c>
      <c r="BK162" s="3">
        <f>$H162*factors!BE$3</f>
        <v>0.33517360789559997</v>
      </c>
      <c r="BL162" s="3">
        <f>$H162*factors!BF$3</f>
        <v>0.331415290172</v>
      </c>
      <c r="BM162" s="3">
        <f>$H162*factors!BG$3</f>
        <v>0.35396519651360003</v>
      </c>
      <c r="BN162" s="3">
        <f>$H162*factors!BH$3</f>
        <v>0.34952354829480003</v>
      </c>
      <c r="BO162" s="3">
        <f>$H162*factors!BI$3</f>
        <v>0.32868196819120005</v>
      </c>
      <c r="BP162" s="3">
        <f>$H162*factors!BJ$3</f>
        <v>0.32765697244839997</v>
      </c>
      <c r="BQ162" s="3">
        <f>$H162*factors!BK$3</f>
        <v>0.33312361640999999</v>
      </c>
      <c r="BR162" s="3">
        <f>$H162*factors!BL$3</f>
        <v>0.34508190007600004</v>
      </c>
      <c r="BS162" s="3">
        <f>$H162*factors!BM$3</f>
        <v>0.35054854403760005</v>
      </c>
      <c r="BT162" s="3">
        <f>$H162*factors!BN$3</f>
        <v>0.35157353978040001</v>
      </c>
      <c r="BU162" s="3">
        <f>$H162*factors!BO$3</f>
        <v>0.35738184898960007</v>
      </c>
      <c r="BV162" s="3">
        <f>$H162*factors!BP$3</f>
        <v>0.33244028591480002</v>
      </c>
      <c r="BW162" s="3">
        <f>$H162*factors!BQ$3</f>
        <v>0.33995692136200001</v>
      </c>
      <c r="BX162" s="3">
        <f>$H162*factors!BR$3</f>
        <v>0.33346528165759998</v>
      </c>
      <c r="BY162" s="3">
        <f>$H162*factors!BS$3</f>
        <v>0.34884021779959995</v>
      </c>
      <c r="BZ162" s="3">
        <f>$H162*factors!BT$3</f>
        <v>0.34234857809520003</v>
      </c>
      <c r="CA162" s="3">
        <f>$H162*factors!BU$3</f>
        <v>0.33790692987640003</v>
      </c>
      <c r="CB162" s="3">
        <f>$H162*factors!BV$3</f>
        <v>0.3269736419532</v>
      </c>
      <c r="CC162" s="3">
        <f>$H162*factors!BW$3</f>
        <v>0.33654026888600003</v>
      </c>
      <c r="CD162" s="3">
        <f>$H162*factors!BX$3</f>
        <v>0.33756526462880004</v>
      </c>
      <c r="CE162" s="3">
        <f>$H162*factors!BY$3</f>
        <v>0.34234857809520003</v>
      </c>
      <c r="CF162" s="3">
        <f>$H162*factors!BZ$3</f>
        <v>0.33722359938120006</v>
      </c>
      <c r="CG162" s="3">
        <f>$H162*factors!CA$3</f>
        <v>0.32594864621039998</v>
      </c>
      <c r="CH162" s="3">
        <f>$H162*factors!CB$3</f>
        <v>0.32629031145799997</v>
      </c>
      <c r="CI162" s="3">
        <f>$H162*factors!CC$3</f>
        <v>0.32458198522000004</v>
      </c>
      <c r="CJ162" s="3">
        <f>$H162*factors!CD$3</f>
        <v>0.33790692987640003</v>
      </c>
      <c r="CK162" s="3">
        <f>$H162*factors!CE$3</f>
        <v>0.35294020077080002</v>
      </c>
      <c r="CL162" s="3">
        <f>$H162*factors!CF$3</f>
        <v>0.33073195967680002</v>
      </c>
      <c r="CM162" s="3">
        <f>$H162*factors!CG$3</f>
        <v>0.3385902603716</v>
      </c>
      <c r="CN162" s="3">
        <f>$H162*factors!CH$3</f>
        <v>0.32731530720079999</v>
      </c>
      <c r="CO162" s="3">
        <f>$H162*factors!CI$3</f>
        <v>0.32970696393400001</v>
      </c>
      <c r="CP162" s="3">
        <f>$H162*factors!CJ$3</f>
        <v>0.34542356532359997</v>
      </c>
      <c r="CQ162" s="3">
        <f>$H162*factors!CK$3</f>
        <v>0.33517360789559997</v>
      </c>
      <c r="CR162" s="3">
        <f>$H162*factors!CL$3</f>
        <v>0.34576523057120001</v>
      </c>
      <c r="CS162" s="3">
        <f>$H162*factors!CM$3</f>
        <v>0.35669851849440004</v>
      </c>
      <c r="CT162" s="3">
        <f>$H162*factors!CN$3</f>
        <v>0.35259853552320003</v>
      </c>
      <c r="CU162" s="3">
        <f>$H162*factors!CO$3</f>
        <v>0.34474023482839999</v>
      </c>
      <c r="CV162" s="3">
        <f>$H162*factors!CP$3</f>
        <v>0.35874850998000002</v>
      </c>
      <c r="CW162" s="3">
        <f>$H162*factors!CQ$3</f>
        <v>0.33927359086680003</v>
      </c>
      <c r="CX162" s="3">
        <f>$H162*factors!CR$3</f>
        <v>0.33414861215280001</v>
      </c>
      <c r="CY162" s="3">
        <f>$H162*factors!CS$3</f>
        <v>0.33107362492440001</v>
      </c>
      <c r="CZ162" s="3">
        <f>$H162*factors!CT$3</f>
        <v>0.32629031145799997</v>
      </c>
      <c r="DA162" s="3">
        <f>$H162*factors!CU$3</f>
        <v>0.33876977940000003</v>
      </c>
      <c r="DB162" s="3">
        <f>$H162*factors!CV$3</f>
        <v>0.36065951899200005</v>
      </c>
      <c r="DC162" s="3">
        <f>$H162*factors!CW$3</f>
        <v>0.34537144689600002</v>
      </c>
      <c r="DD162" s="3">
        <f>$H162*factors!CX$3</f>
        <v>0.34293925360800004</v>
      </c>
      <c r="DE162" s="3">
        <f>$H162*factors!CY$3</f>
        <v>0.35301548294400009</v>
      </c>
      <c r="DF162" s="3">
        <f>$H162*factors!CZ$3</f>
        <v>0.35232057057600003</v>
      </c>
      <c r="DG162" s="3">
        <f>$H162*factors!DA$3</f>
        <v>0.35093074584000006</v>
      </c>
      <c r="DH162" s="3">
        <f>$H162*factors!DB$3</f>
        <v>0.35093074584000006</v>
      </c>
      <c r="DI162" s="3">
        <f>$H162*factors!DC$3</f>
        <v>0.33772741084800001</v>
      </c>
      <c r="DJ162" s="3">
        <f>$H162*factors!DD$3</f>
        <v>0.35787986952000006</v>
      </c>
      <c r="DK162" s="3">
        <f>$H162*factors!DE$3</f>
        <v>0.35787986952000006</v>
      </c>
      <c r="DL162" s="3">
        <f>$H162*factors!DF$3</f>
        <v>0.35371039531200005</v>
      </c>
      <c r="DM162" s="3">
        <f>$H162*factors!DG$3</f>
        <v>0.33321048045599999</v>
      </c>
      <c r="DN162" s="3">
        <f>$H162*factors!DH$3</f>
        <v>0.34954092110400004</v>
      </c>
      <c r="DO162" s="3">
        <f>$H162*factors!DI$3</f>
        <v>0.361006975176</v>
      </c>
      <c r="DP162" s="3">
        <f>$H162*factors!DJ$3</f>
        <v>0.35787986952000006</v>
      </c>
      <c r="DQ162" s="3">
        <f>$H162*factors!DK$3</f>
        <v>0.34120197268800001</v>
      </c>
      <c r="DR162" s="3">
        <f>$H162*factors!DL$3</f>
        <v>0.33737995466400006</v>
      </c>
      <c r="DS162" s="3">
        <f>$H162*factors!DM$3</f>
        <v>0.364481537016</v>
      </c>
      <c r="DT162" s="3">
        <f>$H162*factors!DN$3</f>
        <v>0.34259179742400003</v>
      </c>
      <c r="DU162" s="3">
        <f>$H162*factors!DO$3</f>
        <v>0.35857478188800002</v>
      </c>
      <c r="DV162" s="3">
        <f>$H162*factors!DP$3</f>
        <v>0.35023583347200005</v>
      </c>
      <c r="DW162" s="3">
        <f>$H162*factors!DQ$3</f>
        <v>0.33425284900800001</v>
      </c>
      <c r="DX162" s="3">
        <f>$H162*factors!DR$3</f>
        <v>0.354057851496</v>
      </c>
      <c r="DY162" s="3">
        <f>$H162*factors!DS$3</f>
        <v>0.33599012992799998</v>
      </c>
      <c r="DZ162" s="3">
        <f>$H162*factors!DT$3</f>
        <v>0.35926969425600003</v>
      </c>
      <c r="EA162" s="3">
        <f>$H162*factors!DU$3</f>
        <v>0.33842232321600002</v>
      </c>
      <c r="EB162" s="3">
        <f>$H162*factors!DV$3</f>
        <v>0.3300833748</v>
      </c>
      <c r="EC162" s="3">
        <f>$H162*factors!DW$3</f>
        <v>0.35510022004800001</v>
      </c>
      <c r="ED162" s="3">
        <f>$H162*factors!DX$3</f>
        <v>0.33321048045599999</v>
      </c>
      <c r="EE162" s="3">
        <f>$H162*factors!DY$3</f>
        <v>0.33599012992799998</v>
      </c>
      <c r="EF162" s="3">
        <f>$H162*factors!DZ$3</f>
        <v>0.364481537016</v>
      </c>
      <c r="EG162" s="3">
        <f>$H162*factors!EA$3</f>
        <v>0.34050706032</v>
      </c>
      <c r="EH162" s="3">
        <f>$H162*factors!EB$3</f>
        <v>0.34154942887200002</v>
      </c>
      <c r="EI162" s="3">
        <f>$H162*factors!EC$3</f>
        <v>0.34085451650400006</v>
      </c>
      <c r="EJ162" s="3">
        <f>$H162*factors!ED$3</f>
        <v>0.33216811190400003</v>
      </c>
      <c r="EK162" s="3">
        <f>$H162*factors!EE$3</f>
        <v>0.35510022004800001</v>
      </c>
      <c r="EL162" s="3">
        <f>$H162*factors!EF$3</f>
        <v>0.33772741084800001</v>
      </c>
      <c r="EM162" s="3">
        <f>$H162*factors!EG$3</f>
        <v>0.35127820202400001</v>
      </c>
      <c r="EN162" s="3">
        <f>$H162*factors!EH$3</f>
        <v>0.3300833748</v>
      </c>
      <c r="EO162" s="3">
        <f>$H162*factors!EI$3</f>
        <v>0.33494776137600002</v>
      </c>
      <c r="EP162" s="3">
        <f>$H162*factors!EJ$3</f>
        <v>0.35336293912800004</v>
      </c>
      <c r="EQ162" s="3">
        <f>$H162*factors!EK$3</f>
        <v>0.34363416597599999</v>
      </c>
      <c r="ER162" s="3">
        <f>$H162*factors!EL$3</f>
        <v>0.35787986952000006</v>
      </c>
      <c r="ES162" s="3">
        <f>$H162*factors!EM$3</f>
        <v>0.35336293912800004</v>
      </c>
      <c r="ET162" s="3">
        <f>$H162*factors!EN$3</f>
        <v>0.36135443136000006</v>
      </c>
      <c r="EU162" s="3">
        <f>$H162*factors!EO$3</f>
        <v>0.36482899320000006</v>
      </c>
      <c r="EV162" s="3">
        <f>$H162*factors!EP$3</f>
        <v>0.34189688505600002</v>
      </c>
      <c r="EW162" s="3">
        <f>$H162*factors!EQ$3</f>
        <v>0.37604893247499999</v>
      </c>
      <c r="EX162" s="3">
        <f>$H162*factors!ER$3</f>
        <v>0.37206766370000011</v>
      </c>
      <c r="EY162" s="3">
        <f>$H162*factors!ES$3</f>
        <v>0.37966826772500001</v>
      </c>
      <c r="EZ162" s="3">
        <f>$H162*factors!ET$3</f>
        <v>0.37604893247499999</v>
      </c>
      <c r="FA162" s="3">
        <f>$H162*factors!EU$3</f>
        <v>0.34564651637499999</v>
      </c>
      <c r="FB162" s="3">
        <f>$H162*factors!EV$3</f>
        <v>0.36120965795000004</v>
      </c>
      <c r="FC162" s="3">
        <f>$H162*factors!EW$3</f>
        <v>0.37134379665000006</v>
      </c>
      <c r="FD162" s="3">
        <f>$H162*factors!EX$3</f>
        <v>0.35831418975000007</v>
      </c>
      <c r="FE162" s="3">
        <f>$H162*factors!EY$3</f>
        <v>0.37749666657500003</v>
      </c>
      <c r="FF162" s="3">
        <f>$H162*factors!EZ$3</f>
        <v>0.37785860010000011</v>
      </c>
      <c r="FG162" s="3">
        <f>$H162*factors!FA$3</f>
        <v>0.34564651637499999</v>
      </c>
      <c r="FH162" s="3">
        <f>$H162*factors!FB$3</f>
        <v>0.36374319262499999</v>
      </c>
      <c r="FI162" s="3">
        <f>$H162*factors!FC$3</f>
        <v>0.37894440067500001</v>
      </c>
      <c r="FJ162" s="3">
        <f>$H162*factors!FD$3</f>
        <v>0.36374319262499999</v>
      </c>
      <c r="FK162" s="3">
        <f>$H162*factors!FE$3</f>
        <v>0.36989606255000007</v>
      </c>
      <c r="FL162" s="3">
        <f>$H162*factors!FF$3</f>
        <v>0.37098186312500003</v>
      </c>
      <c r="FM162" s="3">
        <f>$H162*factors!FG$3</f>
        <v>0.37496313190000002</v>
      </c>
      <c r="FN162" s="3">
        <f>$H162*factors!FH$3</f>
        <v>0.35071358572500005</v>
      </c>
      <c r="FO162" s="3">
        <f>$H162*factors!FI$3</f>
        <v>0.37242959722500002</v>
      </c>
      <c r="FP162" s="3">
        <f>$H162*factors!FJ$3</f>
        <v>0.36193352500000003</v>
      </c>
      <c r="FQ162" s="3">
        <f>$H162*factors!FK$3</f>
        <v>0.35831418975000007</v>
      </c>
      <c r="FR162" s="3">
        <f>$H162*factors!FL$3</f>
        <v>0.36555286025000006</v>
      </c>
      <c r="FS162" s="3">
        <f>$H162*factors!FM$3</f>
        <v>0.36338125910000002</v>
      </c>
      <c r="FT162" s="3">
        <f>$H162*factors!FN$3</f>
        <v>0.37134379665000006</v>
      </c>
      <c r="FU162" s="3">
        <f>$H162*factors!FO$3</f>
        <v>0.35686645565000003</v>
      </c>
      <c r="FV162" s="3">
        <f>$H162*factors!FP$3</f>
        <v>0.35397098745</v>
      </c>
      <c r="FW162" s="3">
        <f>$H162*factors!FQ$3</f>
        <v>0.37894440067500001</v>
      </c>
      <c r="FX162" s="3">
        <f>$H162*factors!FR$3</f>
        <v>0.37206766370000011</v>
      </c>
      <c r="FY162" s="3">
        <f>$H162*factors!FS$3</f>
        <v>0.36446705967499998</v>
      </c>
      <c r="FZ162" s="3">
        <f>$H162*factors!FT$3</f>
        <v>0.34637038342500004</v>
      </c>
      <c r="GA162" s="3">
        <f>$H162*factors!FU$3</f>
        <v>0.36446705967499998</v>
      </c>
      <c r="GB162" s="3">
        <f>$H162*factors!FV$3</f>
        <v>0.37785860010000011</v>
      </c>
      <c r="GC162" s="3">
        <f>$H162*factors!FW$3</f>
        <v>0.35397098745</v>
      </c>
      <c r="GD162" s="3">
        <f>$H162*factors!FX$3</f>
        <v>0.36012385737500002</v>
      </c>
      <c r="GE162" s="3">
        <f>$H162*factors!FY$3</f>
        <v>0.36012385737500002</v>
      </c>
      <c r="GF162" s="3">
        <f>$H162*factors!FZ$3</f>
        <v>0.35903805680000006</v>
      </c>
      <c r="GG162" s="3">
        <f>$H162*factors!GA$3</f>
        <v>0.344922649325</v>
      </c>
      <c r="GH162" s="3">
        <f>$H162*factors!GB$3</f>
        <v>0.36700059435000004</v>
      </c>
      <c r="GI162" s="3">
        <f>$H162*factors!GC$3</f>
        <v>0.34419878227500006</v>
      </c>
      <c r="GJ162" s="3">
        <f>$H162*factors!GD$3</f>
        <v>0.344922649325</v>
      </c>
      <c r="GK162" s="3">
        <f>$H162*factors!GE$3</f>
        <v>0.35360905392500003</v>
      </c>
      <c r="GL162" s="3">
        <f>$H162*factors!GF$3</f>
        <v>0.37460119837500006</v>
      </c>
      <c r="GM162" s="3">
        <f>$H162*factors!GG$3</f>
        <v>0.35505678802500007</v>
      </c>
      <c r="GN162" s="3">
        <f>$H162*factors!GH$3</f>
        <v>0.3662767273000001</v>
      </c>
      <c r="GO162" s="3">
        <f>$H162*factors!GI$3</f>
        <v>0.34600844990000001</v>
      </c>
      <c r="GP162" s="3">
        <f>$H162*factors!GJ$3</f>
        <v>0.37098186312500003</v>
      </c>
      <c r="GQ162" s="3">
        <f>$H162*factors!GK$3</f>
        <v>0.3785824671500001</v>
      </c>
      <c r="GR162" s="3">
        <f>$H162*factors!GL$3</f>
        <v>0.37134379665000006</v>
      </c>
      <c r="GS162" s="3">
        <f>$H162*factors!GM$3</f>
        <v>0.35117686063700004</v>
      </c>
      <c r="GT162" s="3">
        <f>$H162*factors!GN$3</f>
        <v>0.35926679878780005</v>
      </c>
      <c r="GU162" s="3">
        <f>$H162*factors!GO$3</f>
        <v>0.36772446140000004</v>
      </c>
      <c r="GV162" s="3">
        <f>$H162*factors!GP$3</f>
        <v>0.35301548294400009</v>
      </c>
      <c r="GW162" s="3">
        <f>$H162*factors!GQ$3</f>
        <v>0.36551811463160006</v>
      </c>
      <c r="GX162" s="3">
        <f>$H162*factors!GR$3</f>
        <v>0.35963452324920003</v>
      </c>
      <c r="GY162" s="3">
        <f>$H162*factors!GS$3</f>
        <v>0.3577959009422001</v>
      </c>
      <c r="GZ162" s="3">
        <f>$H162*factors!GT$3</f>
        <v>0.37103398155259998</v>
      </c>
      <c r="HA162" s="3">
        <f>$H162*factors!GU$3</f>
        <v>0.35889907432640006</v>
      </c>
      <c r="HB162" s="3">
        <f>$H162*factors!GV$3</f>
        <v>0.37103398155259998</v>
      </c>
      <c r="HC162" s="3">
        <f>$H162*factors!GW$3</f>
        <v>0.36184087001760001</v>
      </c>
      <c r="HD162" s="3">
        <f>$H162*factors!GX$3</f>
        <v>0.37250487939819998</v>
      </c>
      <c r="HE162" s="3">
        <f>$H162*factors!GY$3</f>
        <v>0.36772446140000004</v>
      </c>
      <c r="HF162" s="3">
        <f>$H162*factors!GZ$3</f>
        <v>0.37912391970340004</v>
      </c>
      <c r="HG162" s="3">
        <f>$H162*factors!HA$3</f>
        <v>0.36441494124740004</v>
      </c>
      <c r="HH162" s="3">
        <f>$H162*factors!HB$3</f>
        <v>0.35963452324920003</v>
      </c>
      <c r="HI162" s="3">
        <f>$H162*factors!HC$3</f>
        <v>0.35522182971240007</v>
      </c>
      <c r="HJ162" s="3">
        <f>$H162*factors!HD$3</f>
        <v>0.35117686063700004</v>
      </c>
      <c r="HK162" s="3">
        <f>$H162*factors!HE$3</f>
        <v>0.37140170601400002</v>
      </c>
      <c r="HL162" s="3">
        <f>$H162*factors!HF$3</f>
        <v>0.35007368725280003</v>
      </c>
      <c r="HM162" s="3">
        <f>$H162*factors!HG$3</f>
        <v>0.35375093186680007</v>
      </c>
      <c r="HN162" s="3">
        <f>$H162*factors!HH$3</f>
        <v>0.37728529739640004</v>
      </c>
      <c r="HO162" s="3">
        <f>$H162*factors!HI$3</f>
        <v>0.36184087001760001</v>
      </c>
      <c r="HP162" s="3">
        <f>$H162*factors!HJ$3</f>
        <v>0.38611068447000008</v>
      </c>
      <c r="HQ162" s="3">
        <f>$H162*factors!HK$3</f>
        <v>0.35301548294400009</v>
      </c>
      <c r="HR162" s="3">
        <f>$H162*factors!HL$3</f>
        <v>0.37434350170520009</v>
      </c>
      <c r="HS162" s="3">
        <f>$H162*factors!HM$3</f>
        <v>0.38096254201040003</v>
      </c>
      <c r="HT162" s="3">
        <f>$H162*factors!HN$3</f>
        <v>0.35522182971240007</v>
      </c>
      <c r="HU162" s="3">
        <f>$H162*factors!HO$3</f>
        <v>0.35889907432640006</v>
      </c>
      <c r="HV162" s="3">
        <f>$H162*factors!HP$3</f>
        <v>0.36331176786320007</v>
      </c>
      <c r="HW162" s="3">
        <f>$H162*factors!HQ$3</f>
        <v>0.36845991032280007</v>
      </c>
      <c r="HX162" s="3">
        <f>$H162*factors!HR$3</f>
        <v>0.3835366132402</v>
      </c>
      <c r="HY162" s="3">
        <f>$H162*factors!HS$3</f>
        <v>0.36441494124740004</v>
      </c>
      <c r="HZ162" s="3">
        <f>$H162*factors!HT$3</f>
        <v>0.37838847078060001</v>
      </c>
      <c r="IA162" s="3">
        <f>$H162*factors!HU$3</f>
        <v>0.36000224771060008</v>
      </c>
      <c r="IB162" s="3">
        <f>$H162*factors!HV$3</f>
        <v>0.37250487939819998</v>
      </c>
      <c r="IC162" s="3">
        <f>$H162*factors!HW$3</f>
        <v>0.37618212401220003</v>
      </c>
      <c r="ID162" s="3">
        <f>$H162*factors!HX$3</f>
        <v>0.34933823832999999</v>
      </c>
      <c r="IE162" s="3">
        <f>$H162*factors!HY$3</f>
        <v>0.37103398155259998</v>
      </c>
      <c r="IF162" s="3">
        <f>$H162*factors!HZ$3</f>
        <v>0.3688276347842</v>
      </c>
      <c r="IG162" s="3">
        <f>$H162*factors!IA$3</f>
        <v>0.36551811463160006</v>
      </c>
      <c r="IH162" s="3">
        <f>$H162*factors!IB$3</f>
        <v>0.37912391970340004</v>
      </c>
      <c r="II162" s="3">
        <f>$H162*factors!IC$3</f>
        <v>0.36294404340180003</v>
      </c>
      <c r="IJ162" s="3">
        <f>$H162*factors!ID$3</f>
        <v>0.36625356355440009</v>
      </c>
      <c r="IK162" s="3">
        <f>$H162*factors!IE$3</f>
        <v>0.37949164416480008</v>
      </c>
      <c r="IL162" s="3">
        <f>$H162*factors!IF$3</f>
        <v>0.36331176786320007</v>
      </c>
      <c r="IM162" s="3">
        <f>$H162*factors!IG$3</f>
        <v>0.36000224771060008</v>
      </c>
      <c r="IN162" s="3">
        <f>$H162*factors!IH$3</f>
        <v>0.36220859447900006</v>
      </c>
      <c r="IO162" s="3">
        <f>$H162*factors!II$3</f>
        <v>0.36588583909300004</v>
      </c>
      <c r="IP162" s="3">
        <f>$H162*factors!IJ$3</f>
        <v>0.35375093186680007</v>
      </c>
      <c r="IQ162" s="3">
        <f>$H162*factors!IK$3</f>
        <v>0.35264775848260005</v>
      </c>
      <c r="IR162" s="3">
        <f>$H162*factors!IL$3</f>
        <v>0.36294404340180003</v>
      </c>
      <c r="IS162" s="3">
        <f>$H162*factors!IM$3</f>
        <v>0.36588583909300004</v>
      </c>
      <c r="IT162" s="3">
        <f>$H162*factors!IN$3</f>
        <v>0.36845991032280007</v>
      </c>
      <c r="IU162" s="3">
        <f>$H162*factors!IO$3</f>
        <v>0.37654984847360007</v>
      </c>
      <c r="IV162" s="3">
        <f>$H162*factors!IP$3</f>
        <v>0.38133026647180002</v>
      </c>
      <c r="IW162" s="3">
        <f>$H162*factors!IQ$3</f>
        <v>0.36036997217200001</v>
      </c>
      <c r="IX162" s="3">
        <f>$H162*factors!IR$3</f>
        <v>0.37654984847360007</v>
      </c>
      <c r="IY162" s="3">
        <f>$H162*factors!IS$3</f>
        <v>0.37103398155259998</v>
      </c>
      <c r="IZ162" s="3">
        <f>$H162*factors!IT$3</f>
        <v>0.37728529739640004</v>
      </c>
      <c r="JA162" s="3">
        <f>$H162*factors!IU$3</f>
        <v>0.35632500309660003</v>
      </c>
      <c r="JB162" s="3">
        <f>$H162*factors!IV$3</f>
        <v>0.36294404340180003</v>
      </c>
      <c r="JC162" s="3">
        <f>$H162*factors!IW$3</f>
        <v>0.35448638078960004</v>
      </c>
      <c r="JD162" s="3">
        <f>$H162*factors!IX$3</f>
        <v>0.38611068447000008</v>
      </c>
      <c r="JE162" s="3">
        <f>$H162*factors!IY$3</f>
        <v>0.3555895541738</v>
      </c>
      <c r="JF162" s="3">
        <f>$H162*factors!IZ$3</f>
        <v>0.37324032832100001</v>
      </c>
      <c r="JG162" s="3">
        <f>$H162*factors!JA$3</f>
        <v>0.36662128801580002</v>
      </c>
      <c r="JH162" s="3">
        <f>$H162*factors!JB$3</f>
        <v>0.37360805278240011</v>
      </c>
      <c r="JI162" s="3">
        <f>$H162*factors!JC$3</f>
        <v>0.34970596279140004</v>
      </c>
      <c r="JJ162" s="3">
        <f>$H162*factors!JD$3</f>
        <v>0.37654984847360007</v>
      </c>
      <c r="JK162" s="3">
        <f>$H162*factors!JE$3</f>
        <v>0.36441494124740004</v>
      </c>
      <c r="JL162" s="3">
        <f>$H162*factors!JF$3</f>
        <v>0.37912391970340004</v>
      </c>
      <c r="JM162" s="3">
        <f>$H162*factors!JG$3</f>
        <v>0.35375093186680007</v>
      </c>
      <c r="JN162" s="3">
        <f>$H162*factors!JH$3</f>
        <v>0.35375093186680007</v>
      </c>
      <c r="JO162" s="3">
        <f>$H162*factors!JI$3</f>
        <v>0.34933823832999999</v>
      </c>
      <c r="JP162" s="3">
        <f>$H162*factors!JJ$3</f>
        <v>0.37765302185780003</v>
      </c>
      <c r="JQ162" s="3">
        <f>$H162*factors!JK$3</f>
        <v>0.36809218586140002</v>
      </c>
      <c r="JR162" s="3">
        <f>$H162*factors!JL$3</f>
        <v>0.38243343985600003</v>
      </c>
      <c r="JS162" s="3">
        <f>$H162*factors!JM$3</f>
        <v>0.34933823832999999</v>
      </c>
      <c r="JT162" s="3">
        <f>$H162*factors!JN$3</f>
        <v>0.36698901247720006</v>
      </c>
      <c r="JU162" s="3">
        <f>$H162*factors!JO$3</f>
        <v>0.35485410525100003</v>
      </c>
      <c r="JV162" s="3">
        <f>$H162*factors!JP$3</f>
        <v>0.36073769663340005</v>
      </c>
      <c r="JW162" s="3">
        <f>$H162*factors!JQ$3</f>
        <v>0.3853752355472001</v>
      </c>
      <c r="JX162" s="3">
        <f>$H162*factors!JR$3</f>
        <v>0.38169799093320006</v>
      </c>
      <c r="JY162" s="3">
        <f>$H162*factors!JS$3</f>
        <v>0.35926679878780005</v>
      </c>
      <c r="JZ162" s="3">
        <f>$H162*factors!JT$3</f>
        <v>0.36331176786320007</v>
      </c>
      <c r="KA162" s="3">
        <f>$H162*factors!JU$3</f>
        <v>0.36478266570880008</v>
      </c>
      <c r="KB162" s="3">
        <f>$H162*factors!JV$3</f>
        <v>0.35264775848260005</v>
      </c>
      <c r="KC162" s="3">
        <f>$H162*factors!JW$3</f>
        <v>0.35448638078960004</v>
      </c>
      <c r="KD162" s="3">
        <f>$H162*factors!JX$3</f>
        <v>0.35485410525100003</v>
      </c>
      <c r="KE162" s="3">
        <f>$H162*factors!JY$3</f>
        <v>0.37765302185780003</v>
      </c>
      <c r="KF162" s="3">
        <f>$H162*factors!JZ$3</f>
        <v>0.38206571539459999</v>
      </c>
      <c r="KG162" s="3">
        <f>$H162*factors!KA$3</f>
        <v>0.36845991032280007</v>
      </c>
      <c r="KH162" s="3">
        <f>$H162*factors!KB$3</f>
        <v>0.36036997217200001</v>
      </c>
      <c r="KI162" s="3">
        <f>$H162*factors!KC$3</f>
        <v>0.35706045201940001</v>
      </c>
    </row>
    <row r="163" spans="1:295" x14ac:dyDescent="0.55000000000000004">
      <c r="A163" t="s">
        <v>540</v>
      </c>
      <c r="B163">
        <v>162</v>
      </c>
      <c r="C163">
        <v>230</v>
      </c>
      <c r="D163" t="s">
        <v>377</v>
      </c>
      <c r="E163">
        <v>2.6090000000000002E-3</v>
      </c>
      <c r="F163">
        <v>162</v>
      </c>
      <c r="G163">
        <f>VLOOKUP(D163,demand_forecasted!$A$2:$G$11,2)</f>
        <v>11098</v>
      </c>
      <c r="H163" s="3">
        <f t="shared" si="3"/>
        <v>0.28954682000000004</v>
      </c>
      <c r="I163" s="3">
        <f>$H163*factors!C$3</f>
        <v>0.32052832974000006</v>
      </c>
      <c r="J163" s="3">
        <f>$H163*factors!D$3</f>
        <v>0.30895803881280004</v>
      </c>
      <c r="K163" s="3">
        <f>$H163*factors!E$3</f>
        <v>0.30364195919760006</v>
      </c>
      <c r="L163" s="3">
        <f>$H163*factors!F$3</f>
        <v>0.3027038275008001</v>
      </c>
      <c r="M163" s="3">
        <f>$H163*factors!G$3</f>
        <v>0.30239111693520004</v>
      </c>
      <c r="N163" s="3">
        <f>$H163*factors!H$3</f>
        <v>0.31114701277200002</v>
      </c>
      <c r="O163" s="3">
        <f>$H163*factors!I$3</f>
        <v>0.31802664521520002</v>
      </c>
      <c r="P163" s="3">
        <f>$H163*factors!J$3</f>
        <v>0.32177917200240008</v>
      </c>
      <c r="Q163" s="3">
        <f>$H163*factors!K$3</f>
        <v>0.30207840636960004</v>
      </c>
      <c r="R163" s="3">
        <f>$H163*factors!L$3</f>
        <v>0.29707503732000007</v>
      </c>
      <c r="S163" s="3">
        <f>$H163*factors!M$3</f>
        <v>0.30927074937840004</v>
      </c>
      <c r="T163" s="3">
        <f>$H163*factors!N$3</f>
        <v>0.31990290860880005</v>
      </c>
      <c r="U163" s="3">
        <f>$H163*factors!O$3</f>
        <v>0.30301653806640005</v>
      </c>
      <c r="V163" s="3">
        <f>$H163*factors!P$3</f>
        <v>0.31521225012480003</v>
      </c>
      <c r="W163" s="3">
        <f>$H163*factors!Q$3</f>
        <v>0.31802664521520002</v>
      </c>
      <c r="X163" s="3">
        <f>$H163*factors!R$3</f>
        <v>0.30426738032880002</v>
      </c>
      <c r="Y163" s="3">
        <f>$H163*factors!S$3</f>
        <v>0.30145298523840003</v>
      </c>
      <c r="Z163" s="3">
        <f>$H163*factors!T$3</f>
        <v>0.32521898822400008</v>
      </c>
      <c r="AA163" s="3">
        <f>$H163*factors!U$3</f>
        <v>0.30708177541920001</v>
      </c>
      <c r="AB163" s="3">
        <f>$H163*factors!V$3</f>
        <v>0.30739448598480007</v>
      </c>
      <c r="AC163" s="3">
        <f>$H163*factors!W$3</f>
        <v>0.30770719655040008</v>
      </c>
      <c r="AD163" s="3">
        <f>$H163*factors!X$3</f>
        <v>0.30114027467280008</v>
      </c>
      <c r="AE163" s="3">
        <f>$H163*factors!Y$3</f>
        <v>0.30364195919760006</v>
      </c>
      <c r="AF163" s="3">
        <f>$H163*factors!Z$3</f>
        <v>0.30989617050960006</v>
      </c>
      <c r="AG163" s="3">
        <f>$H163*factors!AA$3</f>
        <v>0.30207840636960004</v>
      </c>
      <c r="AH163" s="3">
        <f>$H163*factors!AB$3</f>
        <v>0.30082756410720007</v>
      </c>
      <c r="AI163" s="3">
        <f>$H163*factors!AC$3</f>
        <v>0.31052159164080007</v>
      </c>
      <c r="AJ163" s="3">
        <f>$H163*factors!AD$3</f>
        <v>0.32240459313360004</v>
      </c>
      <c r="AK163" s="3">
        <f>$H163*factors!AE$3</f>
        <v>0.31020888107520006</v>
      </c>
      <c r="AL163" s="3">
        <f>$H163*factors!AF$3</f>
        <v>0.29801316901680003</v>
      </c>
      <c r="AM163" s="3">
        <f>$H163*factors!AG$3</f>
        <v>0.30645635428800005</v>
      </c>
      <c r="AN163" s="3">
        <f>$H163*factors!AH$3</f>
        <v>0.30145298523840003</v>
      </c>
      <c r="AO163" s="3">
        <f>$H163*factors!AI$3</f>
        <v>0.31583767125600004</v>
      </c>
      <c r="AP163" s="3">
        <f>$H163*factors!AJ$3</f>
        <v>0.3027038275008001</v>
      </c>
      <c r="AQ163" s="3">
        <f>$H163*factors!AK$3</f>
        <v>0.3123978550344001</v>
      </c>
      <c r="AR163" s="3">
        <f>$H163*factors!AL$3</f>
        <v>0.30551822259120009</v>
      </c>
      <c r="AS163" s="3">
        <f>$H163*factors!AM$3</f>
        <v>0.29801316901680003</v>
      </c>
      <c r="AT163" s="3">
        <f>$H163*factors!AN$3</f>
        <v>0.30739448598480007</v>
      </c>
      <c r="AU163" s="3">
        <f>$H163*factors!AO$3</f>
        <v>0.32553169878960003</v>
      </c>
      <c r="AV163" s="3">
        <f>$H163*factors!AP$3</f>
        <v>0.30770719655040008</v>
      </c>
      <c r="AW163" s="3">
        <f>$H163*factors!AQ$3</f>
        <v>0.30458009089440002</v>
      </c>
      <c r="AX163" s="3">
        <f>$H163*factors!AR$3</f>
        <v>0.32209188256800003</v>
      </c>
      <c r="AY163" s="3">
        <f>$H163*factors!AS$3</f>
        <v>0.29707503732000007</v>
      </c>
      <c r="AZ163" s="3">
        <f>$H163*factors!AT$3</f>
        <v>0.31833935578080008</v>
      </c>
      <c r="BA163" s="3">
        <f>$H163*factors!AU$3</f>
        <v>0.31145972333760003</v>
      </c>
      <c r="BB163" s="3">
        <f>$H163*factors!AV$3</f>
        <v>0.30739448598480007</v>
      </c>
      <c r="BC163" s="3">
        <f>$H163*factors!AW$3</f>
        <v>0.32521898822400008</v>
      </c>
      <c r="BD163" s="3">
        <f>$H163*factors!AX$3</f>
        <v>0.30020214297600001</v>
      </c>
      <c r="BE163" s="3">
        <f>$H163*factors!AY$3</f>
        <v>0.35294020077080002</v>
      </c>
      <c r="BF163" s="3">
        <f>$H163*factors!AZ$3</f>
        <v>0.32868196819120005</v>
      </c>
      <c r="BG163" s="3">
        <f>$H163*factors!BA$3</f>
        <v>0.33346528165759998</v>
      </c>
      <c r="BH163" s="3">
        <f>$H163*factors!BB$3</f>
        <v>0.33790692987640003</v>
      </c>
      <c r="BI163" s="3">
        <f>$H163*factors!BC$3</f>
        <v>0.35020687879000001</v>
      </c>
      <c r="BJ163" s="3">
        <f>$H163*factors!BD$3</f>
        <v>0.33449027740039999</v>
      </c>
      <c r="BK163" s="3">
        <f>$H163*factors!BE$3</f>
        <v>0.33517360789559997</v>
      </c>
      <c r="BL163" s="3">
        <f>$H163*factors!BF$3</f>
        <v>0.331415290172</v>
      </c>
      <c r="BM163" s="3">
        <f>$H163*factors!BG$3</f>
        <v>0.35396519651360003</v>
      </c>
      <c r="BN163" s="3">
        <f>$H163*factors!BH$3</f>
        <v>0.34952354829480003</v>
      </c>
      <c r="BO163" s="3">
        <f>$H163*factors!BI$3</f>
        <v>0.32868196819120005</v>
      </c>
      <c r="BP163" s="3">
        <f>$H163*factors!BJ$3</f>
        <v>0.32765697244839997</v>
      </c>
      <c r="BQ163" s="3">
        <f>$H163*factors!BK$3</f>
        <v>0.33312361640999999</v>
      </c>
      <c r="BR163" s="3">
        <f>$H163*factors!BL$3</f>
        <v>0.34508190007600004</v>
      </c>
      <c r="BS163" s="3">
        <f>$H163*factors!BM$3</f>
        <v>0.35054854403760005</v>
      </c>
      <c r="BT163" s="3">
        <f>$H163*factors!BN$3</f>
        <v>0.35157353978040001</v>
      </c>
      <c r="BU163" s="3">
        <f>$H163*factors!BO$3</f>
        <v>0.35738184898960007</v>
      </c>
      <c r="BV163" s="3">
        <f>$H163*factors!BP$3</f>
        <v>0.33244028591480002</v>
      </c>
      <c r="BW163" s="3">
        <f>$H163*factors!BQ$3</f>
        <v>0.33995692136200001</v>
      </c>
      <c r="BX163" s="3">
        <f>$H163*factors!BR$3</f>
        <v>0.33346528165759998</v>
      </c>
      <c r="BY163" s="3">
        <f>$H163*factors!BS$3</f>
        <v>0.34884021779959995</v>
      </c>
      <c r="BZ163" s="3">
        <f>$H163*factors!BT$3</f>
        <v>0.34234857809520003</v>
      </c>
      <c r="CA163" s="3">
        <f>$H163*factors!BU$3</f>
        <v>0.33790692987640003</v>
      </c>
      <c r="CB163" s="3">
        <f>$H163*factors!BV$3</f>
        <v>0.3269736419532</v>
      </c>
      <c r="CC163" s="3">
        <f>$H163*factors!BW$3</f>
        <v>0.33654026888600003</v>
      </c>
      <c r="CD163" s="3">
        <f>$H163*factors!BX$3</f>
        <v>0.33756526462880004</v>
      </c>
      <c r="CE163" s="3">
        <f>$H163*factors!BY$3</f>
        <v>0.34234857809520003</v>
      </c>
      <c r="CF163" s="3">
        <f>$H163*factors!BZ$3</f>
        <v>0.33722359938120006</v>
      </c>
      <c r="CG163" s="3">
        <f>$H163*factors!CA$3</f>
        <v>0.32594864621039998</v>
      </c>
      <c r="CH163" s="3">
        <f>$H163*factors!CB$3</f>
        <v>0.32629031145799997</v>
      </c>
      <c r="CI163" s="3">
        <f>$H163*factors!CC$3</f>
        <v>0.32458198522000004</v>
      </c>
      <c r="CJ163" s="3">
        <f>$H163*factors!CD$3</f>
        <v>0.33790692987640003</v>
      </c>
      <c r="CK163" s="3">
        <f>$H163*factors!CE$3</f>
        <v>0.35294020077080002</v>
      </c>
      <c r="CL163" s="3">
        <f>$H163*factors!CF$3</f>
        <v>0.33073195967680002</v>
      </c>
      <c r="CM163" s="3">
        <f>$H163*factors!CG$3</f>
        <v>0.3385902603716</v>
      </c>
      <c r="CN163" s="3">
        <f>$H163*factors!CH$3</f>
        <v>0.32731530720079999</v>
      </c>
      <c r="CO163" s="3">
        <f>$H163*factors!CI$3</f>
        <v>0.32970696393400001</v>
      </c>
      <c r="CP163" s="3">
        <f>$H163*factors!CJ$3</f>
        <v>0.34542356532359997</v>
      </c>
      <c r="CQ163" s="3">
        <f>$H163*factors!CK$3</f>
        <v>0.33517360789559997</v>
      </c>
      <c r="CR163" s="3">
        <f>$H163*factors!CL$3</f>
        <v>0.34576523057120001</v>
      </c>
      <c r="CS163" s="3">
        <f>$H163*factors!CM$3</f>
        <v>0.35669851849440004</v>
      </c>
      <c r="CT163" s="3">
        <f>$H163*factors!CN$3</f>
        <v>0.35259853552320003</v>
      </c>
      <c r="CU163" s="3">
        <f>$H163*factors!CO$3</f>
        <v>0.34474023482839999</v>
      </c>
      <c r="CV163" s="3">
        <f>$H163*factors!CP$3</f>
        <v>0.35874850998000002</v>
      </c>
      <c r="CW163" s="3">
        <f>$H163*factors!CQ$3</f>
        <v>0.33927359086680003</v>
      </c>
      <c r="CX163" s="3">
        <f>$H163*factors!CR$3</f>
        <v>0.33414861215280001</v>
      </c>
      <c r="CY163" s="3">
        <f>$H163*factors!CS$3</f>
        <v>0.33107362492440001</v>
      </c>
      <c r="CZ163" s="3">
        <f>$H163*factors!CT$3</f>
        <v>0.32629031145799997</v>
      </c>
      <c r="DA163" s="3">
        <f>$H163*factors!CU$3</f>
        <v>0.33876977940000003</v>
      </c>
      <c r="DB163" s="3">
        <f>$H163*factors!CV$3</f>
        <v>0.36065951899200005</v>
      </c>
      <c r="DC163" s="3">
        <f>$H163*factors!CW$3</f>
        <v>0.34537144689600002</v>
      </c>
      <c r="DD163" s="3">
        <f>$H163*factors!CX$3</f>
        <v>0.34293925360800004</v>
      </c>
      <c r="DE163" s="3">
        <f>$H163*factors!CY$3</f>
        <v>0.35301548294400009</v>
      </c>
      <c r="DF163" s="3">
        <f>$H163*factors!CZ$3</f>
        <v>0.35232057057600003</v>
      </c>
      <c r="DG163" s="3">
        <f>$H163*factors!DA$3</f>
        <v>0.35093074584000006</v>
      </c>
      <c r="DH163" s="3">
        <f>$H163*factors!DB$3</f>
        <v>0.35093074584000006</v>
      </c>
      <c r="DI163" s="3">
        <f>$H163*factors!DC$3</f>
        <v>0.33772741084800001</v>
      </c>
      <c r="DJ163" s="3">
        <f>$H163*factors!DD$3</f>
        <v>0.35787986952000006</v>
      </c>
      <c r="DK163" s="3">
        <f>$H163*factors!DE$3</f>
        <v>0.35787986952000006</v>
      </c>
      <c r="DL163" s="3">
        <f>$H163*factors!DF$3</f>
        <v>0.35371039531200005</v>
      </c>
      <c r="DM163" s="3">
        <f>$H163*factors!DG$3</f>
        <v>0.33321048045599999</v>
      </c>
      <c r="DN163" s="3">
        <f>$H163*factors!DH$3</f>
        <v>0.34954092110400004</v>
      </c>
      <c r="DO163" s="3">
        <f>$H163*factors!DI$3</f>
        <v>0.361006975176</v>
      </c>
      <c r="DP163" s="3">
        <f>$H163*factors!DJ$3</f>
        <v>0.35787986952000006</v>
      </c>
      <c r="DQ163" s="3">
        <f>$H163*factors!DK$3</f>
        <v>0.34120197268800001</v>
      </c>
      <c r="DR163" s="3">
        <f>$H163*factors!DL$3</f>
        <v>0.33737995466400006</v>
      </c>
      <c r="DS163" s="3">
        <f>$H163*factors!DM$3</f>
        <v>0.364481537016</v>
      </c>
      <c r="DT163" s="3">
        <f>$H163*factors!DN$3</f>
        <v>0.34259179742400003</v>
      </c>
      <c r="DU163" s="3">
        <f>$H163*factors!DO$3</f>
        <v>0.35857478188800002</v>
      </c>
      <c r="DV163" s="3">
        <f>$H163*factors!DP$3</f>
        <v>0.35023583347200005</v>
      </c>
      <c r="DW163" s="3">
        <f>$H163*factors!DQ$3</f>
        <v>0.33425284900800001</v>
      </c>
      <c r="DX163" s="3">
        <f>$H163*factors!DR$3</f>
        <v>0.354057851496</v>
      </c>
      <c r="DY163" s="3">
        <f>$H163*factors!DS$3</f>
        <v>0.33599012992799998</v>
      </c>
      <c r="DZ163" s="3">
        <f>$H163*factors!DT$3</f>
        <v>0.35926969425600003</v>
      </c>
      <c r="EA163" s="3">
        <f>$H163*factors!DU$3</f>
        <v>0.33842232321600002</v>
      </c>
      <c r="EB163" s="3">
        <f>$H163*factors!DV$3</f>
        <v>0.3300833748</v>
      </c>
      <c r="EC163" s="3">
        <f>$H163*factors!DW$3</f>
        <v>0.35510022004800001</v>
      </c>
      <c r="ED163" s="3">
        <f>$H163*factors!DX$3</f>
        <v>0.33321048045599999</v>
      </c>
      <c r="EE163" s="3">
        <f>$H163*factors!DY$3</f>
        <v>0.33599012992799998</v>
      </c>
      <c r="EF163" s="3">
        <f>$H163*factors!DZ$3</f>
        <v>0.364481537016</v>
      </c>
      <c r="EG163" s="3">
        <f>$H163*factors!EA$3</f>
        <v>0.34050706032</v>
      </c>
      <c r="EH163" s="3">
        <f>$H163*factors!EB$3</f>
        <v>0.34154942887200002</v>
      </c>
      <c r="EI163" s="3">
        <f>$H163*factors!EC$3</f>
        <v>0.34085451650400006</v>
      </c>
      <c r="EJ163" s="3">
        <f>$H163*factors!ED$3</f>
        <v>0.33216811190400003</v>
      </c>
      <c r="EK163" s="3">
        <f>$H163*factors!EE$3</f>
        <v>0.35510022004800001</v>
      </c>
      <c r="EL163" s="3">
        <f>$H163*factors!EF$3</f>
        <v>0.33772741084800001</v>
      </c>
      <c r="EM163" s="3">
        <f>$H163*factors!EG$3</f>
        <v>0.35127820202400001</v>
      </c>
      <c r="EN163" s="3">
        <f>$H163*factors!EH$3</f>
        <v>0.3300833748</v>
      </c>
      <c r="EO163" s="3">
        <f>$H163*factors!EI$3</f>
        <v>0.33494776137600002</v>
      </c>
      <c r="EP163" s="3">
        <f>$H163*factors!EJ$3</f>
        <v>0.35336293912800004</v>
      </c>
      <c r="EQ163" s="3">
        <f>$H163*factors!EK$3</f>
        <v>0.34363416597599999</v>
      </c>
      <c r="ER163" s="3">
        <f>$H163*factors!EL$3</f>
        <v>0.35787986952000006</v>
      </c>
      <c r="ES163" s="3">
        <f>$H163*factors!EM$3</f>
        <v>0.35336293912800004</v>
      </c>
      <c r="ET163" s="3">
        <f>$H163*factors!EN$3</f>
        <v>0.36135443136000006</v>
      </c>
      <c r="EU163" s="3">
        <f>$H163*factors!EO$3</f>
        <v>0.36482899320000006</v>
      </c>
      <c r="EV163" s="3">
        <f>$H163*factors!EP$3</f>
        <v>0.34189688505600002</v>
      </c>
      <c r="EW163" s="3">
        <f>$H163*factors!EQ$3</f>
        <v>0.37604893247499999</v>
      </c>
      <c r="EX163" s="3">
        <f>$H163*factors!ER$3</f>
        <v>0.37206766370000011</v>
      </c>
      <c r="EY163" s="3">
        <f>$H163*factors!ES$3</f>
        <v>0.37966826772500001</v>
      </c>
      <c r="EZ163" s="3">
        <f>$H163*factors!ET$3</f>
        <v>0.37604893247499999</v>
      </c>
      <c r="FA163" s="3">
        <f>$H163*factors!EU$3</f>
        <v>0.34564651637499999</v>
      </c>
      <c r="FB163" s="3">
        <f>$H163*factors!EV$3</f>
        <v>0.36120965795000004</v>
      </c>
      <c r="FC163" s="3">
        <f>$H163*factors!EW$3</f>
        <v>0.37134379665000006</v>
      </c>
      <c r="FD163" s="3">
        <f>$H163*factors!EX$3</f>
        <v>0.35831418975000007</v>
      </c>
      <c r="FE163" s="3">
        <f>$H163*factors!EY$3</f>
        <v>0.37749666657500003</v>
      </c>
      <c r="FF163" s="3">
        <f>$H163*factors!EZ$3</f>
        <v>0.37785860010000011</v>
      </c>
      <c r="FG163" s="3">
        <f>$H163*factors!FA$3</f>
        <v>0.34564651637499999</v>
      </c>
      <c r="FH163" s="3">
        <f>$H163*factors!FB$3</f>
        <v>0.36374319262499999</v>
      </c>
      <c r="FI163" s="3">
        <f>$H163*factors!FC$3</f>
        <v>0.37894440067500001</v>
      </c>
      <c r="FJ163" s="3">
        <f>$H163*factors!FD$3</f>
        <v>0.36374319262499999</v>
      </c>
      <c r="FK163" s="3">
        <f>$H163*factors!FE$3</f>
        <v>0.36989606255000007</v>
      </c>
      <c r="FL163" s="3">
        <f>$H163*factors!FF$3</f>
        <v>0.37098186312500003</v>
      </c>
      <c r="FM163" s="3">
        <f>$H163*factors!FG$3</f>
        <v>0.37496313190000002</v>
      </c>
      <c r="FN163" s="3">
        <f>$H163*factors!FH$3</f>
        <v>0.35071358572500005</v>
      </c>
      <c r="FO163" s="3">
        <f>$H163*factors!FI$3</f>
        <v>0.37242959722500002</v>
      </c>
      <c r="FP163" s="3">
        <f>$H163*factors!FJ$3</f>
        <v>0.36193352500000003</v>
      </c>
      <c r="FQ163" s="3">
        <f>$H163*factors!FK$3</f>
        <v>0.35831418975000007</v>
      </c>
      <c r="FR163" s="3">
        <f>$H163*factors!FL$3</f>
        <v>0.36555286025000006</v>
      </c>
      <c r="FS163" s="3">
        <f>$H163*factors!FM$3</f>
        <v>0.36338125910000002</v>
      </c>
      <c r="FT163" s="3">
        <f>$H163*factors!FN$3</f>
        <v>0.37134379665000006</v>
      </c>
      <c r="FU163" s="3">
        <f>$H163*factors!FO$3</f>
        <v>0.35686645565000003</v>
      </c>
      <c r="FV163" s="3">
        <f>$H163*factors!FP$3</f>
        <v>0.35397098745</v>
      </c>
      <c r="FW163" s="3">
        <f>$H163*factors!FQ$3</f>
        <v>0.37894440067500001</v>
      </c>
      <c r="FX163" s="3">
        <f>$H163*factors!FR$3</f>
        <v>0.37206766370000011</v>
      </c>
      <c r="FY163" s="3">
        <f>$H163*factors!FS$3</f>
        <v>0.36446705967499998</v>
      </c>
      <c r="FZ163" s="3">
        <f>$H163*factors!FT$3</f>
        <v>0.34637038342500004</v>
      </c>
      <c r="GA163" s="3">
        <f>$H163*factors!FU$3</f>
        <v>0.36446705967499998</v>
      </c>
      <c r="GB163" s="3">
        <f>$H163*factors!FV$3</f>
        <v>0.37785860010000011</v>
      </c>
      <c r="GC163" s="3">
        <f>$H163*factors!FW$3</f>
        <v>0.35397098745</v>
      </c>
      <c r="GD163" s="3">
        <f>$H163*factors!FX$3</f>
        <v>0.36012385737500002</v>
      </c>
      <c r="GE163" s="3">
        <f>$H163*factors!FY$3</f>
        <v>0.36012385737500002</v>
      </c>
      <c r="GF163" s="3">
        <f>$H163*factors!FZ$3</f>
        <v>0.35903805680000006</v>
      </c>
      <c r="GG163" s="3">
        <f>$H163*factors!GA$3</f>
        <v>0.344922649325</v>
      </c>
      <c r="GH163" s="3">
        <f>$H163*factors!GB$3</f>
        <v>0.36700059435000004</v>
      </c>
      <c r="GI163" s="3">
        <f>$H163*factors!GC$3</f>
        <v>0.34419878227500006</v>
      </c>
      <c r="GJ163" s="3">
        <f>$H163*factors!GD$3</f>
        <v>0.344922649325</v>
      </c>
      <c r="GK163" s="3">
        <f>$H163*factors!GE$3</f>
        <v>0.35360905392500003</v>
      </c>
      <c r="GL163" s="3">
        <f>$H163*factors!GF$3</f>
        <v>0.37460119837500006</v>
      </c>
      <c r="GM163" s="3">
        <f>$H163*factors!GG$3</f>
        <v>0.35505678802500007</v>
      </c>
      <c r="GN163" s="3">
        <f>$H163*factors!GH$3</f>
        <v>0.3662767273000001</v>
      </c>
      <c r="GO163" s="3">
        <f>$H163*factors!GI$3</f>
        <v>0.34600844990000001</v>
      </c>
      <c r="GP163" s="3">
        <f>$H163*factors!GJ$3</f>
        <v>0.37098186312500003</v>
      </c>
      <c r="GQ163" s="3">
        <f>$H163*factors!GK$3</f>
        <v>0.3785824671500001</v>
      </c>
      <c r="GR163" s="3">
        <f>$H163*factors!GL$3</f>
        <v>0.37134379665000006</v>
      </c>
      <c r="GS163" s="3">
        <f>$H163*factors!GM$3</f>
        <v>0.35117686063700004</v>
      </c>
      <c r="GT163" s="3">
        <f>$H163*factors!GN$3</f>
        <v>0.35926679878780005</v>
      </c>
      <c r="GU163" s="3">
        <f>$H163*factors!GO$3</f>
        <v>0.36772446140000004</v>
      </c>
      <c r="GV163" s="3">
        <f>$H163*factors!GP$3</f>
        <v>0.35301548294400009</v>
      </c>
      <c r="GW163" s="3">
        <f>$H163*factors!GQ$3</f>
        <v>0.36551811463160006</v>
      </c>
      <c r="GX163" s="3">
        <f>$H163*factors!GR$3</f>
        <v>0.35963452324920003</v>
      </c>
      <c r="GY163" s="3">
        <f>$H163*factors!GS$3</f>
        <v>0.3577959009422001</v>
      </c>
      <c r="GZ163" s="3">
        <f>$H163*factors!GT$3</f>
        <v>0.37103398155259998</v>
      </c>
      <c r="HA163" s="3">
        <f>$H163*factors!GU$3</f>
        <v>0.35889907432640006</v>
      </c>
      <c r="HB163" s="3">
        <f>$H163*factors!GV$3</f>
        <v>0.37103398155259998</v>
      </c>
      <c r="HC163" s="3">
        <f>$H163*factors!GW$3</f>
        <v>0.36184087001760001</v>
      </c>
      <c r="HD163" s="3">
        <f>$H163*factors!GX$3</f>
        <v>0.37250487939819998</v>
      </c>
      <c r="HE163" s="3">
        <f>$H163*factors!GY$3</f>
        <v>0.36772446140000004</v>
      </c>
      <c r="HF163" s="3">
        <f>$H163*factors!GZ$3</f>
        <v>0.37912391970340004</v>
      </c>
      <c r="HG163" s="3">
        <f>$H163*factors!HA$3</f>
        <v>0.36441494124740004</v>
      </c>
      <c r="HH163" s="3">
        <f>$H163*factors!HB$3</f>
        <v>0.35963452324920003</v>
      </c>
      <c r="HI163" s="3">
        <f>$H163*factors!HC$3</f>
        <v>0.35522182971240007</v>
      </c>
      <c r="HJ163" s="3">
        <f>$H163*factors!HD$3</f>
        <v>0.35117686063700004</v>
      </c>
      <c r="HK163" s="3">
        <f>$H163*factors!HE$3</f>
        <v>0.37140170601400002</v>
      </c>
      <c r="HL163" s="3">
        <f>$H163*factors!HF$3</f>
        <v>0.35007368725280003</v>
      </c>
      <c r="HM163" s="3">
        <f>$H163*factors!HG$3</f>
        <v>0.35375093186680007</v>
      </c>
      <c r="HN163" s="3">
        <f>$H163*factors!HH$3</f>
        <v>0.37728529739640004</v>
      </c>
      <c r="HO163" s="3">
        <f>$H163*factors!HI$3</f>
        <v>0.36184087001760001</v>
      </c>
      <c r="HP163" s="3">
        <f>$H163*factors!HJ$3</f>
        <v>0.38611068447000008</v>
      </c>
      <c r="HQ163" s="3">
        <f>$H163*factors!HK$3</f>
        <v>0.35301548294400009</v>
      </c>
      <c r="HR163" s="3">
        <f>$H163*factors!HL$3</f>
        <v>0.37434350170520009</v>
      </c>
      <c r="HS163" s="3">
        <f>$H163*factors!HM$3</f>
        <v>0.38096254201040003</v>
      </c>
      <c r="HT163" s="3">
        <f>$H163*factors!HN$3</f>
        <v>0.35522182971240007</v>
      </c>
      <c r="HU163" s="3">
        <f>$H163*factors!HO$3</f>
        <v>0.35889907432640006</v>
      </c>
      <c r="HV163" s="3">
        <f>$H163*factors!HP$3</f>
        <v>0.36331176786320007</v>
      </c>
      <c r="HW163" s="3">
        <f>$H163*factors!HQ$3</f>
        <v>0.36845991032280007</v>
      </c>
      <c r="HX163" s="3">
        <f>$H163*factors!HR$3</f>
        <v>0.3835366132402</v>
      </c>
      <c r="HY163" s="3">
        <f>$H163*factors!HS$3</f>
        <v>0.36441494124740004</v>
      </c>
      <c r="HZ163" s="3">
        <f>$H163*factors!HT$3</f>
        <v>0.37838847078060001</v>
      </c>
      <c r="IA163" s="3">
        <f>$H163*factors!HU$3</f>
        <v>0.36000224771060008</v>
      </c>
      <c r="IB163" s="3">
        <f>$H163*factors!HV$3</f>
        <v>0.37250487939819998</v>
      </c>
      <c r="IC163" s="3">
        <f>$H163*factors!HW$3</f>
        <v>0.37618212401220003</v>
      </c>
      <c r="ID163" s="3">
        <f>$H163*factors!HX$3</f>
        <v>0.34933823832999999</v>
      </c>
      <c r="IE163" s="3">
        <f>$H163*factors!HY$3</f>
        <v>0.37103398155259998</v>
      </c>
      <c r="IF163" s="3">
        <f>$H163*factors!HZ$3</f>
        <v>0.3688276347842</v>
      </c>
      <c r="IG163" s="3">
        <f>$H163*factors!IA$3</f>
        <v>0.36551811463160006</v>
      </c>
      <c r="IH163" s="3">
        <f>$H163*factors!IB$3</f>
        <v>0.37912391970340004</v>
      </c>
      <c r="II163" s="3">
        <f>$H163*factors!IC$3</f>
        <v>0.36294404340180003</v>
      </c>
      <c r="IJ163" s="3">
        <f>$H163*factors!ID$3</f>
        <v>0.36625356355440009</v>
      </c>
      <c r="IK163" s="3">
        <f>$H163*factors!IE$3</f>
        <v>0.37949164416480008</v>
      </c>
      <c r="IL163" s="3">
        <f>$H163*factors!IF$3</f>
        <v>0.36331176786320007</v>
      </c>
      <c r="IM163" s="3">
        <f>$H163*factors!IG$3</f>
        <v>0.36000224771060008</v>
      </c>
      <c r="IN163" s="3">
        <f>$H163*factors!IH$3</f>
        <v>0.36220859447900006</v>
      </c>
      <c r="IO163" s="3">
        <f>$H163*factors!II$3</f>
        <v>0.36588583909300004</v>
      </c>
      <c r="IP163" s="3">
        <f>$H163*factors!IJ$3</f>
        <v>0.35375093186680007</v>
      </c>
      <c r="IQ163" s="3">
        <f>$H163*factors!IK$3</f>
        <v>0.35264775848260005</v>
      </c>
      <c r="IR163" s="3">
        <f>$H163*factors!IL$3</f>
        <v>0.36294404340180003</v>
      </c>
      <c r="IS163" s="3">
        <f>$H163*factors!IM$3</f>
        <v>0.36588583909300004</v>
      </c>
      <c r="IT163" s="3">
        <f>$H163*factors!IN$3</f>
        <v>0.36845991032280007</v>
      </c>
      <c r="IU163" s="3">
        <f>$H163*factors!IO$3</f>
        <v>0.37654984847360007</v>
      </c>
      <c r="IV163" s="3">
        <f>$H163*factors!IP$3</f>
        <v>0.38133026647180002</v>
      </c>
      <c r="IW163" s="3">
        <f>$H163*factors!IQ$3</f>
        <v>0.36036997217200001</v>
      </c>
      <c r="IX163" s="3">
        <f>$H163*factors!IR$3</f>
        <v>0.37654984847360007</v>
      </c>
      <c r="IY163" s="3">
        <f>$H163*factors!IS$3</f>
        <v>0.37103398155259998</v>
      </c>
      <c r="IZ163" s="3">
        <f>$H163*factors!IT$3</f>
        <v>0.37728529739640004</v>
      </c>
      <c r="JA163" s="3">
        <f>$H163*factors!IU$3</f>
        <v>0.35632500309660003</v>
      </c>
      <c r="JB163" s="3">
        <f>$H163*factors!IV$3</f>
        <v>0.36294404340180003</v>
      </c>
      <c r="JC163" s="3">
        <f>$H163*factors!IW$3</f>
        <v>0.35448638078960004</v>
      </c>
      <c r="JD163" s="3">
        <f>$H163*factors!IX$3</f>
        <v>0.38611068447000008</v>
      </c>
      <c r="JE163" s="3">
        <f>$H163*factors!IY$3</f>
        <v>0.3555895541738</v>
      </c>
      <c r="JF163" s="3">
        <f>$H163*factors!IZ$3</f>
        <v>0.37324032832100001</v>
      </c>
      <c r="JG163" s="3">
        <f>$H163*factors!JA$3</f>
        <v>0.36662128801580002</v>
      </c>
      <c r="JH163" s="3">
        <f>$H163*factors!JB$3</f>
        <v>0.37360805278240011</v>
      </c>
      <c r="JI163" s="3">
        <f>$H163*factors!JC$3</f>
        <v>0.34970596279140004</v>
      </c>
      <c r="JJ163" s="3">
        <f>$H163*factors!JD$3</f>
        <v>0.37654984847360007</v>
      </c>
      <c r="JK163" s="3">
        <f>$H163*factors!JE$3</f>
        <v>0.36441494124740004</v>
      </c>
      <c r="JL163" s="3">
        <f>$H163*factors!JF$3</f>
        <v>0.37912391970340004</v>
      </c>
      <c r="JM163" s="3">
        <f>$H163*factors!JG$3</f>
        <v>0.35375093186680007</v>
      </c>
      <c r="JN163" s="3">
        <f>$H163*factors!JH$3</f>
        <v>0.35375093186680007</v>
      </c>
      <c r="JO163" s="3">
        <f>$H163*factors!JI$3</f>
        <v>0.34933823832999999</v>
      </c>
      <c r="JP163" s="3">
        <f>$H163*factors!JJ$3</f>
        <v>0.37765302185780003</v>
      </c>
      <c r="JQ163" s="3">
        <f>$H163*factors!JK$3</f>
        <v>0.36809218586140002</v>
      </c>
      <c r="JR163" s="3">
        <f>$H163*factors!JL$3</f>
        <v>0.38243343985600003</v>
      </c>
      <c r="JS163" s="3">
        <f>$H163*factors!JM$3</f>
        <v>0.34933823832999999</v>
      </c>
      <c r="JT163" s="3">
        <f>$H163*factors!JN$3</f>
        <v>0.36698901247720006</v>
      </c>
      <c r="JU163" s="3">
        <f>$H163*factors!JO$3</f>
        <v>0.35485410525100003</v>
      </c>
      <c r="JV163" s="3">
        <f>$H163*factors!JP$3</f>
        <v>0.36073769663340005</v>
      </c>
      <c r="JW163" s="3">
        <f>$H163*factors!JQ$3</f>
        <v>0.3853752355472001</v>
      </c>
      <c r="JX163" s="3">
        <f>$H163*factors!JR$3</f>
        <v>0.38169799093320006</v>
      </c>
      <c r="JY163" s="3">
        <f>$H163*factors!JS$3</f>
        <v>0.35926679878780005</v>
      </c>
      <c r="JZ163" s="3">
        <f>$H163*factors!JT$3</f>
        <v>0.36331176786320007</v>
      </c>
      <c r="KA163" s="3">
        <f>$H163*factors!JU$3</f>
        <v>0.36478266570880008</v>
      </c>
      <c r="KB163" s="3">
        <f>$H163*factors!JV$3</f>
        <v>0.35264775848260005</v>
      </c>
      <c r="KC163" s="3">
        <f>$H163*factors!JW$3</f>
        <v>0.35448638078960004</v>
      </c>
      <c r="KD163" s="3">
        <f>$H163*factors!JX$3</f>
        <v>0.35485410525100003</v>
      </c>
      <c r="KE163" s="3">
        <f>$H163*factors!JY$3</f>
        <v>0.37765302185780003</v>
      </c>
      <c r="KF163" s="3">
        <f>$H163*factors!JZ$3</f>
        <v>0.38206571539459999</v>
      </c>
      <c r="KG163" s="3">
        <f>$H163*factors!KA$3</f>
        <v>0.36845991032280007</v>
      </c>
      <c r="KH163" s="3">
        <f>$H163*factors!KB$3</f>
        <v>0.36036997217200001</v>
      </c>
      <c r="KI163" s="3">
        <f>$H163*factors!KC$3</f>
        <v>0.35706045201940001</v>
      </c>
    </row>
    <row r="164" spans="1:295" x14ac:dyDescent="0.55000000000000004">
      <c r="A164" t="s">
        <v>541</v>
      </c>
      <c r="B164">
        <v>163</v>
      </c>
      <c r="C164">
        <v>230</v>
      </c>
      <c r="D164" t="s">
        <v>377</v>
      </c>
      <c r="E164">
        <v>1.5035E-2</v>
      </c>
      <c r="F164">
        <v>163</v>
      </c>
      <c r="G164">
        <f>VLOOKUP(D164,demand_forecasted!$A$2:$G$11,2)</f>
        <v>11098</v>
      </c>
      <c r="H164" s="3">
        <f t="shared" si="3"/>
        <v>1.6685843</v>
      </c>
      <c r="I164" s="3">
        <f>$H164*factors!C$3</f>
        <v>1.8471228201000001</v>
      </c>
      <c r="J164" s="3">
        <f>$H164*factors!D$3</f>
        <v>1.780446191472</v>
      </c>
      <c r="K164" s="3">
        <f>$H164*factors!E$3</f>
        <v>1.7498109837240001</v>
      </c>
      <c r="L164" s="3">
        <f>$H164*factors!F$3</f>
        <v>1.7444047705920003</v>
      </c>
      <c r="M164" s="3">
        <f>$H164*factors!G$3</f>
        <v>1.742602699548</v>
      </c>
      <c r="N164" s="3">
        <f>$H164*factors!H$3</f>
        <v>1.79306068878</v>
      </c>
      <c r="O164" s="3">
        <f>$H164*factors!I$3</f>
        <v>1.8327062517479999</v>
      </c>
      <c r="P164" s="3">
        <f>$H164*factors!J$3</f>
        <v>1.8543311042760002</v>
      </c>
      <c r="Q164" s="3">
        <f>$H164*factors!K$3</f>
        <v>1.7408006285040001</v>
      </c>
      <c r="R164" s="3">
        <f>$H164*factors!L$3</f>
        <v>1.7119674918000001</v>
      </c>
      <c r="S164" s="3">
        <f>$H164*factors!M$3</f>
        <v>1.7822482625159999</v>
      </c>
      <c r="T164" s="3">
        <f>$H164*factors!N$3</f>
        <v>1.8435186780120001</v>
      </c>
      <c r="U164" s="3">
        <f>$H164*factors!O$3</f>
        <v>1.7462068416360002</v>
      </c>
      <c r="V164" s="3">
        <f>$H164*factors!P$3</f>
        <v>1.8164876123520002</v>
      </c>
      <c r="W164" s="3">
        <f>$H164*factors!Q$3</f>
        <v>1.8327062517479999</v>
      </c>
      <c r="X164" s="3">
        <f>$H164*factors!R$3</f>
        <v>1.7534151258120001</v>
      </c>
      <c r="Y164" s="3">
        <f>$H164*factors!S$3</f>
        <v>1.7371964864160001</v>
      </c>
      <c r="Z164" s="3">
        <f>$H164*factors!T$3</f>
        <v>1.8741538857600004</v>
      </c>
      <c r="AA164" s="3">
        <f>$H164*factors!U$3</f>
        <v>1.7696337652079999</v>
      </c>
      <c r="AB164" s="3">
        <f>$H164*factors!V$3</f>
        <v>1.7714358362520002</v>
      </c>
      <c r="AC164" s="3">
        <f>$H164*factors!W$3</f>
        <v>1.7732379072960003</v>
      </c>
      <c r="AD164" s="3">
        <f>$H164*factors!X$3</f>
        <v>1.7353944153720002</v>
      </c>
      <c r="AE164" s="3">
        <f>$H164*factors!Y$3</f>
        <v>1.7498109837240001</v>
      </c>
      <c r="AF164" s="3">
        <f>$H164*factors!Z$3</f>
        <v>1.7858524046040003</v>
      </c>
      <c r="AG164" s="3">
        <f>$H164*factors!AA$3</f>
        <v>1.7408006285040001</v>
      </c>
      <c r="AH164" s="3">
        <f>$H164*factors!AB$3</f>
        <v>1.7335923443280001</v>
      </c>
      <c r="AI164" s="3">
        <f>$H164*factors!AC$3</f>
        <v>1.789456546692</v>
      </c>
      <c r="AJ164" s="3">
        <f>$H164*factors!AD$3</f>
        <v>1.857935246364</v>
      </c>
      <c r="AK164" s="3">
        <f>$H164*factors!AE$3</f>
        <v>1.7876544756480002</v>
      </c>
      <c r="AL164" s="3">
        <f>$H164*factors!AF$3</f>
        <v>1.7173737049319999</v>
      </c>
      <c r="AM164" s="3">
        <f>$H164*factors!AG$3</f>
        <v>1.7660296231200001</v>
      </c>
      <c r="AN164" s="3">
        <f>$H164*factors!AH$3</f>
        <v>1.7371964864160001</v>
      </c>
      <c r="AO164" s="3">
        <f>$H164*factors!AI$3</f>
        <v>1.8200917544399999</v>
      </c>
      <c r="AP164" s="3">
        <f>$H164*factors!AJ$3</f>
        <v>1.7444047705920003</v>
      </c>
      <c r="AQ164" s="3">
        <f>$H164*factors!AK$3</f>
        <v>1.8002689729560002</v>
      </c>
      <c r="AR164" s="3">
        <f>$H164*factors!AL$3</f>
        <v>1.7606234099880003</v>
      </c>
      <c r="AS164" s="3">
        <f>$H164*factors!AM$3</f>
        <v>1.7173737049319999</v>
      </c>
      <c r="AT164" s="3">
        <f>$H164*factors!AN$3</f>
        <v>1.7714358362520002</v>
      </c>
      <c r="AU164" s="3">
        <f>$H164*factors!AO$3</f>
        <v>1.8759559568039998</v>
      </c>
      <c r="AV164" s="3">
        <f>$H164*factors!AP$3</f>
        <v>1.7732379072960003</v>
      </c>
      <c r="AW164" s="3">
        <f>$H164*factors!AQ$3</f>
        <v>1.755217196856</v>
      </c>
      <c r="AX164" s="3">
        <f>$H164*factors!AR$3</f>
        <v>1.8561331753200001</v>
      </c>
      <c r="AY164" s="3">
        <f>$H164*factors!AS$3</f>
        <v>1.7119674918000001</v>
      </c>
      <c r="AZ164" s="3">
        <f>$H164*factors!AT$3</f>
        <v>1.8345083227920003</v>
      </c>
      <c r="BA164" s="3">
        <f>$H164*factors!AU$3</f>
        <v>1.7948627598239999</v>
      </c>
      <c r="BB164" s="3">
        <f>$H164*factors!AV$3</f>
        <v>1.7714358362520002</v>
      </c>
      <c r="BC164" s="3">
        <f>$H164*factors!AW$3</f>
        <v>1.8741538857600004</v>
      </c>
      <c r="BD164" s="3">
        <f>$H164*factors!AX$3</f>
        <v>1.7299882022399999</v>
      </c>
      <c r="BE164" s="3">
        <f>$H164*factors!AY$3</f>
        <v>2.033904146642</v>
      </c>
      <c r="BF164" s="3">
        <f>$H164*factors!AZ$3</f>
        <v>1.8941101539879999</v>
      </c>
      <c r="BG164" s="3">
        <f>$H164*factors!BA$3</f>
        <v>1.9216751666239997</v>
      </c>
      <c r="BH164" s="3">
        <f>$H164*factors!BB$3</f>
        <v>1.9472712497859999</v>
      </c>
      <c r="BI164" s="3">
        <f>$H164*factors!BC$3</f>
        <v>2.0181527108499995</v>
      </c>
      <c r="BJ164" s="3">
        <f>$H164*factors!BD$3</f>
        <v>1.9275819550459998</v>
      </c>
      <c r="BK164" s="3">
        <f>$H164*factors!BE$3</f>
        <v>1.9315198139939997</v>
      </c>
      <c r="BL164" s="3">
        <f>$H164*factors!BF$3</f>
        <v>1.9098615897799998</v>
      </c>
      <c r="BM164" s="3">
        <f>$H164*factors!BG$3</f>
        <v>2.0398109350640001</v>
      </c>
      <c r="BN164" s="3">
        <f>$H164*factors!BH$3</f>
        <v>2.014214851902</v>
      </c>
      <c r="BO164" s="3">
        <f>$H164*factors!BI$3</f>
        <v>1.8941101539879999</v>
      </c>
      <c r="BP164" s="3">
        <f>$H164*factors!BJ$3</f>
        <v>1.8882033655659998</v>
      </c>
      <c r="BQ164" s="3">
        <f>$H164*factors!BK$3</f>
        <v>1.9197062371499998</v>
      </c>
      <c r="BR164" s="3">
        <f>$H164*factors!BL$3</f>
        <v>1.9886187687399999</v>
      </c>
      <c r="BS164" s="3">
        <f>$H164*factors!BM$3</f>
        <v>2.0201216403240001</v>
      </c>
      <c r="BT164" s="3">
        <f>$H164*factors!BN$3</f>
        <v>2.0260284287459998</v>
      </c>
      <c r="BU164" s="3">
        <f>$H164*factors!BO$3</f>
        <v>2.0595002298040002</v>
      </c>
      <c r="BV164" s="3">
        <f>$H164*factors!BP$3</f>
        <v>1.9157683782019999</v>
      </c>
      <c r="BW164" s="3">
        <f>$H164*factors!BQ$3</f>
        <v>1.9590848266299998</v>
      </c>
      <c r="BX164" s="3">
        <f>$H164*factors!BR$3</f>
        <v>1.9216751666239997</v>
      </c>
      <c r="BY164" s="3">
        <f>$H164*factors!BS$3</f>
        <v>2.0102769929539996</v>
      </c>
      <c r="BZ164" s="3">
        <f>$H164*factors!BT$3</f>
        <v>1.9728673329479998</v>
      </c>
      <c r="CA164" s="3">
        <f>$H164*factors!BU$3</f>
        <v>1.9472712497859999</v>
      </c>
      <c r="CB164" s="3">
        <f>$H164*factors!BV$3</f>
        <v>1.8842655066179999</v>
      </c>
      <c r="CC164" s="3">
        <f>$H164*factors!BW$3</f>
        <v>1.9393955318899998</v>
      </c>
      <c r="CD164" s="3">
        <f>$H164*factors!BX$3</f>
        <v>1.9453023203119999</v>
      </c>
      <c r="CE164" s="3">
        <f>$H164*factors!BY$3</f>
        <v>1.9728673329479998</v>
      </c>
      <c r="CF164" s="3">
        <f>$H164*factors!BZ$3</f>
        <v>1.9433333908380002</v>
      </c>
      <c r="CG164" s="3">
        <f>$H164*factors!CA$3</f>
        <v>1.8783587181959998</v>
      </c>
      <c r="CH164" s="3">
        <f>$H164*factors!CB$3</f>
        <v>1.8803276476699997</v>
      </c>
      <c r="CI164" s="3">
        <f>$H164*factors!CC$3</f>
        <v>1.8704830002999999</v>
      </c>
      <c r="CJ164" s="3">
        <f>$H164*factors!CD$3</f>
        <v>1.9472712497859999</v>
      </c>
      <c r="CK164" s="3">
        <f>$H164*factors!CE$3</f>
        <v>2.033904146642</v>
      </c>
      <c r="CL164" s="3">
        <f>$H164*factors!CF$3</f>
        <v>1.9059237308319998</v>
      </c>
      <c r="CM164" s="3">
        <f>$H164*factors!CG$3</f>
        <v>1.9512091087339998</v>
      </c>
      <c r="CN164" s="3">
        <f>$H164*factors!CH$3</f>
        <v>1.8862344360919998</v>
      </c>
      <c r="CO164" s="3">
        <f>$H164*factors!CI$3</f>
        <v>1.9000169424099997</v>
      </c>
      <c r="CP164" s="3">
        <f>$H164*factors!CJ$3</f>
        <v>1.9905876982139996</v>
      </c>
      <c r="CQ164" s="3">
        <f>$H164*factors!CK$3</f>
        <v>1.9315198139939997</v>
      </c>
      <c r="CR164" s="3">
        <f>$H164*factors!CL$3</f>
        <v>1.9925566276879998</v>
      </c>
      <c r="CS164" s="3">
        <f>$H164*factors!CM$3</f>
        <v>2.0555623708559998</v>
      </c>
      <c r="CT164" s="3">
        <f>$H164*factors!CN$3</f>
        <v>2.0319352171679999</v>
      </c>
      <c r="CU164" s="3">
        <f>$H164*factors!CO$3</f>
        <v>1.9866498392659997</v>
      </c>
      <c r="CV164" s="3">
        <f>$H164*factors!CP$3</f>
        <v>2.0673759477</v>
      </c>
      <c r="CW164" s="3">
        <f>$H164*factors!CQ$3</f>
        <v>1.9551469676820001</v>
      </c>
      <c r="CX164" s="3">
        <f>$H164*factors!CR$3</f>
        <v>1.9256130255719999</v>
      </c>
      <c r="CY164" s="3">
        <f>$H164*factors!CS$3</f>
        <v>1.9078926603059998</v>
      </c>
      <c r="CZ164" s="3">
        <f>$H164*factors!CT$3</f>
        <v>1.8803276476699997</v>
      </c>
      <c r="DA164" s="3">
        <f>$H164*factors!CU$3</f>
        <v>1.952243631</v>
      </c>
      <c r="DB164" s="3">
        <f>$H164*factors!CV$3</f>
        <v>2.0783886040800001</v>
      </c>
      <c r="DC164" s="3">
        <f>$H164*factors!CW$3</f>
        <v>1.9902873530399998</v>
      </c>
      <c r="DD164" s="3">
        <f>$H164*factors!CX$3</f>
        <v>1.9762712449199999</v>
      </c>
      <c r="DE164" s="3">
        <f>$H164*factors!CY$3</f>
        <v>2.03433797856</v>
      </c>
      <c r="DF164" s="3">
        <f>$H164*factors!CZ$3</f>
        <v>2.0303333762399998</v>
      </c>
      <c r="DG164" s="3">
        <f>$H164*factors!DA$3</f>
        <v>2.0223241715999998</v>
      </c>
      <c r="DH164" s="3">
        <f>$H164*factors!DB$3</f>
        <v>2.0223241715999998</v>
      </c>
      <c r="DI164" s="3">
        <f>$H164*factors!DC$3</f>
        <v>1.9462367275199999</v>
      </c>
      <c r="DJ164" s="3">
        <f>$H164*factors!DD$3</f>
        <v>2.0623701948000002</v>
      </c>
      <c r="DK164" s="3">
        <f>$H164*factors!DE$3</f>
        <v>2.0623701948000002</v>
      </c>
      <c r="DL164" s="3">
        <f>$H164*factors!DF$3</f>
        <v>2.0383425808800002</v>
      </c>
      <c r="DM164" s="3">
        <f>$H164*factors!DG$3</f>
        <v>1.9202068124399998</v>
      </c>
      <c r="DN164" s="3">
        <f>$H164*factors!DH$3</f>
        <v>2.0143149669600002</v>
      </c>
      <c r="DO164" s="3">
        <f>$H164*factors!DI$3</f>
        <v>2.0803909052399998</v>
      </c>
      <c r="DP164" s="3">
        <f>$H164*factors!DJ$3</f>
        <v>2.0623701948000002</v>
      </c>
      <c r="DQ164" s="3">
        <f>$H164*factors!DK$3</f>
        <v>1.9662597391199998</v>
      </c>
      <c r="DR164" s="3">
        <f>$H164*factors!DL$3</f>
        <v>1.94423442636</v>
      </c>
      <c r="DS164" s="3">
        <f>$H164*factors!DM$3</f>
        <v>2.10041391684</v>
      </c>
      <c r="DT164" s="3">
        <f>$H164*factors!DN$3</f>
        <v>1.9742689437600001</v>
      </c>
      <c r="DU164" s="3">
        <f>$H164*factors!DO$3</f>
        <v>2.0663747971199999</v>
      </c>
      <c r="DV164" s="3">
        <f>$H164*factors!DP$3</f>
        <v>2.01831956928</v>
      </c>
      <c r="DW164" s="3">
        <f>$H164*factors!DQ$3</f>
        <v>1.9262137159199999</v>
      </c>
      <c r="DX164" s="3">
        <f>$H164*factors!DR$3</f>
        <v>2.0403448820399999</v>
      </c>
      <c r="DY164" s="3">
        <f>$H164*factors!DS$3</f>
        <v>1.9362252217199998</v>
      </c>
      <c r="DZ164" s="3">
        <f>$H164*factors!DT$3</f>
        <v>2.0703793994399997</v>
      </c>
      <c r="EA164" s="3">
        <f>$H164*factors!DU$3</f>
        <v>1.9502413298399996</v>
      </c>
      <c r="EB164" s="3">
        <f>$H164*factors!DV$3</f>
        <v>1.9021861019999999</v>
      </c>
      <c r="EC164" s="3">
        <f>$H164*factors!DW$3</f>
        <v>2.0463517855199997</v>
      </c>
      <c r="ED164" s="3">
        <f>$H164*factors!DX$3</f>
        <v>1.9202068124399998</v>
      </c>
      <c r="EE164" s="3">
        <f>$H164*factors!DY$3</f>
        <v>1.9362252217199998</v>
      </c>
      <c r="EF164" s="3">
        <f>$H164*factors!DZ$3</f>
        <v>2.10041391684</v>
      </c>
      <c r="EG164" s="3">
        <f>$H164*factors!EA$3</f>
        <v>1.9622551367999999</v>
      </c>
      <c r="EH164" s="3">
        <f>$H164*factors!EB$3</f>
        <v>1.96826204028</v>
      </c>
      <c r="EI164" s="3">
        <f>$H164*factors!EC$3</f>
        <v>1.96425743796</v>
      </c>
      <c r="EJ164" s="3">
        <f>$H164*factors!ED$3</f>
        <v>1.9141999089599999</v>
      </c>
      <c r="EK164" s="3">
        <f>$H164*factors!EE$3</f>
        <v>2.0463517855199997</v>
      </c>
      <c r="EL164" s="3">
        <f>$H164*factors!EF$3</f>
        <v>1.9462367275199999</v>
      </c>
      <c r="EM164" s="3">
        <f>$H164*factors!EG$3</f>
        <v>2.0243264727599999</v>
      </c>
      <c r="EN164" s="3">
        <f>$H164*factors!EH$3</f>
        <v>1.9021861019999999</v>
      </c>
      <c r="EO164" s="3">
        <f>$H164*factors!EI$3</f>
        <v>1.9302183182399997</v>
      </c>
      <c r="EP164" s="3">
        <f>$H164*factors!EJ$3</f>
        <v>2.0363402797200001</v>
      </c>
      <c r="EQ164" s="3">
        <f>$H164*factors!EK$3</f>
        <v>1.9802758472399997</v>
      </c>
      <c r="ER164" s="3">
        <f>$H164*factors!EL$3</f>
        <v>2.0623701948000002</v>
      </c>
      <c r="ES164" s="3">
        <f>$H164*factors!EM$3</f>
        <v>2.0363402797200001</v>
      </c>
      <c r="ET164" s="3">
        <f>$H164*factors!EN$3</f>
        <v>2.0823932063999999</v>
      </c>
      <c r="EU164" s="3">
        <f>$H164*factors!EO$3</f>
        <v>2.1024162180000001</v>
      </c>
      <c r="EV164" s="3">
        <f>$H164*factors!EP$3</f>
        <v>1.9702643414399998</v>
      </c>
      <c r="EW164" s="3">
        <f>$H164*factors!EQ$3</f>
        <v>2.1670738596249999</v>
      </c>
      <c r="EX164" s="3">
        <f>$H164*factors!ER$3</f>
        <v>2.1441308255000004</v>
      </c>
      <c r="EY164" s="3">
        <f>$H164*factors!ES$3</f>
        <v>2.1879311633749996</v>
      </c>
      <c r="EZ164" s="3">
        <f>$H164*factors!ET$3</f>
        <v>2.1670738596249999</v>
      </c>
      <c r="FA164" s="3">
        <f>$H164*factors!EU$3</f>
        <v>1.9918725081249997</v>
      </c>
      <c r="FB164" s="3">
        <f>$H164*factors!EV$3</f>
        <v>2.0815589142499999</v>
      </c>
      <c r="FC164" s="3">
        <f>$H164*factors!EW$3</f>
        <v>2.1399593647500001</v>
      </c>
      <c r="FD164" s="3">
        <f>$H164*factors!EX$3</f>
        <v>2.0648730712500001</v>
      </c>
      <c r="FE164" s="3">
        <f>$H164*factors!EY$3</f>
        <v>2.175416781125</v>
      </c>
      <c r="FF164" s="3">
        <f>$H164*factors!EZ$3</f>
        <v>2.1775025115000002</v>
      </c>
      <c r="FG164" s="3">
        <f>$H164*factors!FA$3</f>
        <v>1.9918725081249997</v>
      </c>
      <c r="FH164" s="3">
        <f>$H164*factors!FB$3</f>
        <v>2.0961590268749997</v>
      </c>
      <c r="FI164" s="3">
        <f>$H164*factors!FC$3</f>
        <v>2.1837597026249997</v>
      </c>
      <c r="FJ164" s="3">
        <f>$H164*factors!FD$3</f>
        <v>2.0961590268749997</v>
      </c>
      <c r="FK164" s="3">
        <f>$H164*factors!FE$3</f>
        <v>2.13161644325</v>
      </c>
      <c r="FL164" s="3">
        <f>$H164*factors!FF$3</f>
        <v>2.137873634375</v>
      </c>
      <c r="FM164" s="3">
        <f>$H164*factors!FG$3</f>
        <v>2.1608166684999999</v>
      </c>
      <c r="FN164" s="3">
        <f>$H164*factors!FH$3</f>
        <v>2.021072733375</v>
      </c>
      <c r="FO164" s="3">
        <f>$H164*factors!FI$3</f>
        <v>2.1462165558749997</v>
      </c>
      <c r="FP164" s="3">
        <f>$H164*factors!FJ$3</f>
        <v>2.0857303749999998</v>
      </c>
      <c r="FQ164" s="3">
        <f>$H164*factors!FK$3</f>
        <v>2.0648730712500001</v>
      </c>
      <c r="FR164" s="3">
        <f>$H164*factors!FL$3</f>
        <v>2.10658767875</v>
      </c>
      <c r="FS164" s="3">
        <f>$H164*factors!FM$3</f>
        <v>2.0940732965</v>
      </c>
      <c r="FT164" s="3">
        <f>$H164*factors!FN$3</f>
        <v>2.1399593647500001</v>
      </c>
      <c r="FU164" s="3">
        <f>$H164*factors!FO$3</f>
        <v>2.0565301497499999</v>
      </c>
      <c r="FV164" s="3">
        <f>$H164*factors!FP$3</f>
        <v>2.0398443067500001</v>
      </c>
      <c r="FW164" s="3">
        <f>$H164*factors!FQ$3</f>
        <v>2.1837597026249997</v>
      </c>
      <c r="FX164" s="3">
        <f>$H164*factors!FR$3</f>
        <v>2.1441308255000004</v>
      </c>
      <c r="FY164" s="3">
        <f>$H164*factors!FS$3</f>
        <v>2.1003304876249995</v>
      </c>
      <c r="FZ164" s="3">
        <f>$H164*factors!FT$3</f>
        <v>1.996043968875</v>
      </c>
      <c r="GA164" s="3">
        <f>$H164*factors!FU$3</f>
        <v>2.1003304876249995</v>
      </c>
      <c r="GB164" s="3">
        <f>$H164*factors!FV$3</f>
        <v>2.1775025115000002</v>
      </c>
      <c r="GC164" s="3">
        <f>$H164*factors!FW$3</f>
        <v>2.0398443067500001</v>
      </c>
      <c r="GD164" s="3">
        <f>$H164*factors!FX$3</f>
        <v>2.0753017231249999</v>
      </c>
      <c r="GE164" s="3">
        <f>$H164*factors!FY$3</f>
        <v>2.0753017231249999</v>
      </c>
      <c r="GF164" s="3">
        <f>$H164*factors!FZ$3</f>
        <v>2.0690445319999999</v>
      </c>
      <c r="GG164" s="3">
        <f>$H164*factors!GA$3</f>
        <v>1.9877010473749999</v>
      </c>
      <c r="GH164" s="3">
        <f>$H164*factors!GB$3</f>
        <v>2.1149306002500001</v>
      </c>
      <c r="GI164" s="3">
        <f>$H164*factors!GC$3</f>
        <v>1.983529586625</v>
      </c>
      <c r="GJ164" s="3">
        <f>$H164*factors!GD$3</f>
        <v>1.9877010473749999</v>
      </c>
      <c r="GK164" s="3">
        <f>$H164*factors!GE$3</f>
        <v>2.0377585763749999</v>
      </c>
      <c r="GL164" s="3">
        <f>$H164*factors!GF$3</f>
        <v>2.1587309381250002</v>
      </c>
      <c r="GM164" s="3">
        <f>$H164*factors!GG$3</f>
        <v>2.0461014978750001</v>
      </c>
      <c r="GN164" s="3">
        <f>$H164*factors!GH$3</f>
        <v>2.1107591395000003</v>
      </c>
      <c r="GO164" s="3">
        <f>$H164*factors!GI$3</f>
        <v>1.9939582384999996</v>
      </c>
      <c r="GP164" s="3">
        <f>$H164*factors!GJ$3</f>
        <v>2.137873634375</v>
      </c>
      <c r="GQ164" s="3">
        <f>$H164*factors!GK$3</f>
        <v>2.18167397225</v>
      </c>
      <c r="GR164" s="3">
        <f>$H164*factors!GL$3</f>
        <v>2.1399593647500001</v>
      </c>
      <c r="GS164" s="3">
        <f>$H164*factors!GM$3</f>
        <v>2.023742468255</v>
      </c>
      <c r="GT164" s="3">
        <f>$H164*factors!GN$3</f>
        <v>2.070362713597</v>
      </c>
      <c r="GU164" s="3">
        <f>$H164*factors!GO$3</f>
        <v>2.119102061</v>
      </c>
      <c r="GV164" s="3">
        <f>$H164*factors!GP$3</f>
        <v>2.03433797856</v>
      </c>
      <c r="GW164" s="3">
        <f>$H164*factors!GQ$3</f>
        <v>2.106387448634</v>
      </c>
      <c r="GX164" s="3">
        <f>$H164*factors!GR$3</f>
        <v>2.072481815658</v>
      </c>
      <c r="GY164" s="3">
        <f>$H164*factors!GS$3</f>
        <v>2.0618863053530001</v>
      </c>
      <c r="GZ164" s="3">
        <f>$H164*factors!GT$3</f>
        <v>2.1381739795489998</v>
      </c>
      <c r="HA164" s="3">
        <f>$H164*factors!GU$3</f>
        <v>2.0682436115359999</v>
      </c>
      <c r="HB164" s="3">
        <f>$H164*factors!GV$3</f>
        <v>2.1381739795489998</v>
      </c>
      <c r="HC164" s="3">
        <f>$H164*factors!GW$3</f>
        <v>2.0851964280240001</v>
      </c>
      <c r="HD164" s="3">
        <f>$H164*factors!GX$3</f>
        <v>2.1466503877929997</v>
      </c>
      <c r="HE164" s="3">
        <f>$H164*factors!GY$3</f>
        <v>2.119102061</v>
      </c>
      <c r="HF164" s="3">
        <f>$H164*factors!GZ$3</f>
        <v>2.1847942248909997</v>
      </c>
      <c r="HG164" s="3">
        <f>$H164*factors!HA$3</f>
        <v>2.1000301424510002</v>
      </c>
      <c r="HH164" s="3">
        <f>$H164*factors!HB$3</f>
        <v>2.072481815658</v>
      </c>
      <c r="HI164" s="3">
        <f>$H164*factors!HC$3</f>
        <v>2.047052590926</v>
      </c>
      <c r="HJ164" s="3">
        <f>$H164*factors!HD$3</f>
        <v>2.023742468255</v>
      </c>
      <c r="HK164" s="3">
        <f>$H164*factors!HE$3</f>
        <v>2.1402930816099999</v>
      </c>
      <c r="HL164" s="3">
        <f>$H164*factors!HF$3</f>
        <v>2.0173851620719998</v>
      </c>
      <c r="HM164" s="3">
        <f>$H164*factors!HG$3</f>
        <v>2.0385761826820001</v>
      </c>
      <c r="HN164" s="3">
        <f>$H164*factors!HH$3</f>
        <v>2.1741987145860002</v>
      </c>
      <c r="HO164" s="3">
        <f>$H164*factors!HI$3</f>
        <v>2.0851964280240001</v>
      </c>
      <c r="HP164" s="3">
        <f>$H164*factors!HJ$3</f>
        <v>2.2250571640500003</v>
      </c>
      <c r="HQ164" s="3">
        <f>$H164*factors!HK$3</f>
        <v>2.03433797856</v>
      </c>
      <c r="HR164" s="3">
        <f>$H164*factors!HL$3</f>
        <v>2.157245898098</v>
      </c>
      <c r="HS164" s="3">
        <f>$H164*factors!HM$3</f>
        <v>2.1953897351960001</v>
      </c>
      <c r="HT164" s="3">
        <f>$H164*factors!HN$3</f>
        <v>2.047052590926</v>
      </c>
      <c r="HU164" s="3">
        <f>$H164*factors!HO$3</f>
        <v>2.0682436115359999</v>
      </c>
      <c r="HV164" s="3">
        <f>$H164*factors!HP$3</f>
        <v>2.0936728362680004</v>
      </c>
      <c r="HW164" s="3">
        <f>$H164*factors!HQ$3</f>
        <v>2.1233402651220001</v>
      </c>
      <c r="HX164" s="3">
        <f>$H164*factors!HR$3</f>
        <v>2.2102234496229998</v>
      </c>
      <c r="HY164" s="3">
        <f>$H164*factors!HS$3</f>
        <v>2.1000301424510002</v>
      </c>
      <c r="HZ164" s="3">
        <f>$H164*factors!HT$3</f>
        <v>2.180556020769</v>
      </c>
      <c r="IA164" s="3">
        <f>$H164*factors!HU$3</f>
        <v>2.0746009177190001</v>
      </c>
      <c r="IB164" s="3">
        <f>$H164*factors!HV$3</f>
        <v>2.1466503877929997</v>
      </c>
      <c r="IC164" s="3">
        <f>$H164*factors!HW$3</f>
        <v>2.167841408403</v>
      </c>
      <c r="ID164" s="3">
        <f>$H164*factors!HX$3</f>
        <v>2.0131469579499996</v>
      </c>
      <c r="IE164" s="3">
        <f>$H164*factors!HY$3</f>
        <v>2.1381739795489998</v>
      </c>
      <c r="IF164" s="3">
        <f>$H164*factors!HZ$3</f>
        <v>2.1254593671829998</v>
      </c>
      <c r="IG164" s="3">
        <f>$H164*factors!IA$3</f>
        <v>2.106387448634</v>
      </c>
      <c r="IH164" s="3">
        <f>$H164*factors!IB$3</f>
        <v>2.1847942248909997</v>
      </c>
      <c r="II164" s="3">
        <f>$H164*factors!IC$3</f>
        <v>2.0915537342069999</v>
      </c>
      <c r="IJ164" s="3">
        <f>$H164*factors!ID$3</f>
        <v>2.1106256527560001</v>
      </c>
      <c r="IK164" s="3">
        <f>$H164*factors!IE$3</f>
        <v>2.1869133269520002</v>
      </c>
      <c r="IL164" s="3">
        <f>$H164*factors!IF$3</f>
        <v>2.0936728362680004</v>
      </c>
      <c r="IM164" s="3">
        <f>$H164*factors!IG$3</f>
        <v>2.0746009177190001</v>
      </c>
      <c r="IN164" s="3">
        <f>$H164*factors!IH$3</f>
        <v>2.0873155300850001</v>
      </c>
      <c r="IO164" s="3">
        <f>$H164*factors!II$3</f>
        <v>2.108506550695</v>
      </c>
      <c r="IP164" s="3">
        <f>$H164*factors!IJ$3</f>
        <v>2.0385761826820001</v>
      </c>
      <c r="IQ164" s="3">
        <f>$H164*factors!IK$3</f>
        <v>2.0322188764989999</v>
      </c>
      <c r="IR164" s="3">
        <f>$H164*factors!IL$3</f>
        <v>2.0915537342069999</v>
      </c>
      <c r="IS164" s="3">
        <f>$H164*factors!IM$3</f>
        <v>2.108506550695</v>
      </c>
      <c r="IT164" s="3">
        <f>$H164*factors!IN$3</f>
        <v>2.1233402651220001</v>
      </c>
      <c r="IU164" s="3">
        <f>$H164*factors!IO$3</f>
        <v>2.1699605104640001</v>
      </c>
      <c r="IV164" s="3">
        <f>$H164*factors!IP$3</f>
        <v>2.1975088372569997</v>
      </c>
      <c r="IW164" s="3">
        <f>$H164*factors!IQ$3</f>
        <v>2.0767200197799998</v>
      </c>
      <c r="IX164" s="3">
        <f>$H164*factors!IR$3</f>
        <v>2.1699605104640001</v>
      </c>
      <c r="IY164" s="3">
        <f>$H164*factors!IS$3</f>
        <v>2.1381739795489998</v>
      </c>
      <c r="IZ164" s="3">
        <f>$H164*factors!IT$3</f>
        <v>2.1741987145860002</v>
      </c>
      <c r="JA164" s="3">
        <f>$H164*factors!IU$3</f>
        <v>2.0534098971089998</v>
      </c>
      <c r="JB164" s="3">
        <f>$H164*factors!IV$3</f>
        <v>2.0915537342069999</v>
      </c>
      <c r="JC164" s="3">
        <f>$H164*factors!IW$3</f>
        <v>2.0428143868040003</v>
      </c>
      <c r="JD164" s="3">
        <f>$H164*factors!IX$3</f>
        <v>2.2250571640500003</v>
      </c>
      <c r="JE164" s="3">
        <f>$H164*factors!IY$3</f>
        <v>2.0491716929870001</v>
      </c>
      <c r="JF164" s="3">
        <f>$H164*factors!IZ$3</f>
        <v>2.1508885919149998</v>
      </c>
      <c r="JG164" s="3">
        <f>$H164*factors!JA$3</f>
        <v>2.1127447548169997</v>
      </c>
      <c r="JH164" s="3">
        <f>$H164*factors!JB$3</f>
        <v>2.1530076939760003</v>
      </c>
      <c r="JI164" s="3">
        <f>$H164*factors!JC$3</f>
        <v>2.0152660600110002</v>
      </c>
      <c r="JJ164" s="3">
        <f>$H164*factors!JD$3</f>
        <v>2.1699605104640001</v>
      </c>
      <c r="JK164" s="3">
        <f>$H164*factors!JE$3</f>
        <v>2.1000301424510002</v>
      </c>
      <c r="JL164" s="3">
        <f>$H164*factors!JF$3</f>
        <v>2.1847942248909997</v>
      </c>
      <c r="JM164" s="3">
        <f>$H164*factors!JG$3</f>
        <v>2.0385761826820001</v>
      </c>
      <c r="JN164" s="3">
        <f>$H164*factors!JH$3</f>
        <v>2.0385761826820001</v>
      </c>
      <c r="JO164" s="3">
        <f>$H164*factors!JI$3</f>
        <v>2.0131469579499996</v>
      </c>
      <c r="JP164" s="3">
        <f>$H164*factors!JJ$3</f>
        <v>2.1763178166469999</v>
      </c>
      <c r="JQ164" s="3">
        <f>$H164*factors!JK$3</f>
        <v>2.1212211630610001</v>
      </c>
      <c r="JR164" s="3">
        <f>$H164*factors!JL$3</f>
        <v>2.20386614344</v>
      </c>
      <c r="JS164" s="3">
        <f>$H164*factors!JM$3</f>
        <v>2.0131469579499996</v>
      </c>
      <c r="JT164" s="3">
        <f>$H164*factors!JN$3</f>
        <v>2.1148638568780003</v>
      </c>
      <c r="JU164" s="3">
        <f>$H164*factors!JO$3</f>
        <v>2.0449334888649999</v>
      </c>
      <c r="JV164" s="3">
        <f>$H164*factors!JP$3</f>
        <v>2.0788391218410003</v>
      </c>
      <c r="JW164" s="3">
        <f>$H164*factors!JQ$3</f>
        <v>2.2208189599280002</v>
      </c>
      <c r="JX164" s="3">
        <f>$H164*factors!JR$3</f>
        <v>2.1996279393179998</v>
      </c>
      <c r="JY164" s="3">
        <f>$H164*factors!JS$3</f>
        <v>2.070362713597</v>
      </c>
      <c r="JZ164" s="3">
        <f>$H164*factors!JT$3</f>
        <v>2.0936728362680004</v>
      </c>
      <c r="KA164" s="3">
        <f>$H164*factors!JU$3</f>
        <v>2.1021492445120002</v>
      </c>
      <c r="KB164" s="3">
        <f>$H164*factors!JV$3</f>
        <v>2.0322188764989999</v>
      </c>
      <c r="KC164" s="3">
        <f>$H164*factors!JW$3</f>
        <v>2.0428143868040003</v>
      </c>
      <c r="KD164" s="3">
        <f>$H164*factors!JX$3</f>
        <v>2.0449334888649999</v>
      </c>
      <c r="KE164" s="3">
        <f>$H164*factors!JY$3</f>
        <v>2.1763178166469999</v>
      </c>
      <c r="KF164" s="3">
        <f>$H164*factors!JZ$3</f>
        <v>2.2017470413789999</v>
      </c>
      <c r="KG164" s="3">
        <f>$H164*factors!KA$3</f>
        <v>2.1233402651220001</v>
      </c>
      <c r="KH164" s="3">
        <f>$H164*factors!KB$3</f>
        <v>2.0767200197799998</v>
      </c>
      <c r="KI164" s="3">
        <f>$H164*factors!KC$3</f>
        <v>2.0576481012309999</v>
      </c>
    </row>
    <row r="165" spans="1:295" x14ac:dyDescent="0.55000000000000004">
      <c r="A165" t="s">
        <v>542</v>
      </c>
      <c r="B165">
        <v>164</v>
      </c>
      <c r="C165">
        <v>230</v>
      </c>
      <c r="D165" t="s">
        <v>377</v>
      </c>
      <c r="E165">
        <v>1.5035E-2</v>
      </c>
      <c r="F165">
        <v>164</v>
      </c>
      <c r="G165">
        <f>VLOOKUP(D165,demand_forecasted!$A$2:$G$11,2)</f>
        <v>11098</v>
      </c>
      <c r="H165" s="3">
        <f t="shared" si="3"/>
        <v>1.6685843</v>
      </c>
      <c r="I165" s="3">
        <f>$H165*factors!C$3</f>
        <v>1.8471228201000001</v>
      </c>
      <c r="J165" s="3">
        <f>$H165*factors!D$3</f>
        <v>1.780446191472</v>
      </c>
      <c r="K165" s="3">
        <f>$H165*factors!E$3</f>
        <v>1.7498109837240001</v>
      </c>
      <c r="L165" s="3">
        <f>$H165*factors!F$3</f>
        <v>1.7444047705920003</v>
      </c>
      <c r="M165" s="3">
        <f>$H165*factors!G$3</f>
        <v>1.742602699548</v>
      </c>
      <c r="N165" s="3">
        <f>$H165*factors!H$3</f>
        <v>1.79306068878</v>
      </c>
      <c r="O165" s="3">
        <f>$H165*factors!I$3</f>
        <v>1.8327062517479999</v>
      </c>
      <c r="P165" s="3">
        <f>$H165*factors!J$3</f>
        <v>1.8543311042760002</v>
      </c>
      <c r="Q165" s="3">
        <f>$H165*factors!K$3</f>
        <v>1.7408006285040001</v>
      </c>
      <c r="R165" s="3">
        <f>$H165*factors!L$3</f>
        <v>1.7119674918000001</v>
      </c>
      <c r="S165" s="3">
        <f>$H165*factors!M$3</f>
        <v>1.7822482625159999</v>
      </c>
      <c r="T165" s="3">
        <f>$H165*factors!N$3</f>
        <v>1.8435186780120001</v>
      </c>
      <c r="U165" s="3">
        <f>$H165*factors!O$3</f>
        <v>1.7462068416360002</v>
      </c>
      <c r="V165" s="3">
        <f>$H165*factors!P$3</f>
        <v>1.8164876123520002</v>
      </c>
      <c r="W165" s="3">
        <f>$H165*factors!Q$3</f>
        <v>1.8327062517479999</v>
      </c>
      <c r="X165" s="3">
        <f>$H165*factors!R$3</f>
        <v>1.7534151258120001</v>
      </c>
      <c r="Y165" s="3">
        <f>$H165*factors!S$3</f>
        <v>1.7371964864160001</v>
      </c>
      <c r="Z165" s="3">
        <f>$H165*factors!T$3</f>
        <v>1.8741538857600004</v>
      </c>
      <c r="AA165" s="3">
        <f>$H165*factors!U$3</f>
        <v>1.7696337652079999</v>
      </c>
      <c r="AB165" s="3">
        <f>$H165*factors!V$3</f>
        <v>1.7714358362520002</v>
      </c>
      <c r="AC165" s="3">
        <f>$H165*factors!W$3</f>
        <v>1.7732379072960003</v>
      </c>
      <c r="AD165" s="3">
        <f>$H165*factors!X$3</f>
        <v>1.7353944153720002</v>
      </c>
      <c r="AE165" s="3">
        <f>$H165*factors!Y$3</f>
        <v>1.7498109837240001</v>
      </c>
      <c r="AF165" s="3">
        <f>$H165*factors!Z$3</f>
        <v>1.7858524046040003</v>
      </c>
      <c r="AG165" s="3">
        <f>$H165*factors!AA$3</f>
        <v>1.7408006285040001</v>
      </c>
      <c r="AH165" s="3">
        <f>$H165*factors!AB$3</f>
        <v>1.7335923443280001</v>
      </c>
      <c r="AI165" s="3">
        <f>$H165*factors!AC$3</f>
        <v>1.789456546692</v>
      </c>
      <c r="AJ165" s="3">
        <f>$H165*factors!AD$3</f>
        <v>1.857935246364</v>
      </c>
      <c r="AK165" s="3">
        <f>$H165*factors!AE$3</f>
        <v>1.7876544756480002</v>
      </c>
      <c r="AL165" s="3">
        <f>$H165*factors!AF$3</f>
        <v>1.7173737049319999</v>
      </c>
      <c r="AM165" s="3">
        <f>$H165*factors!AG$3</f>
        <v>1.7660296231200001</v>
      </c>
      <c r="AN165" s="3">
        <f>$H165*factors!AH$3</f>
        <v>1.7371964864160001</v>
      </c>
      <c r="AO165" s="3">
        <f>$H165*factors!AI$3</f>
        <v>1.8200917544399999</v>
      </c>
      <c r="AP165" s="3">
        <f>$H165*factors!AJ$3</f>
        <v>1.7444047705920003</v>
      </c>
      <c r="AQ165" s="3">
        <f>$H165*factors!AK$3</f>
        <v>1.8002689729560002</v>
      </c>
      <c r="AR165" s="3">
        <f>$H165*factors!AL$3</f>
        <v>1.7606234099880003</v>
      </c>
      <c r="AS165" s="3">
        <f>$H165*factors!AM$3</f>
        <v>1.7173737049319999</v>
      </c>
      <c r="AT165" s="3">
        <f>$H165*factors!AN$3</f>
        <v>1.7714358362520002</v>
      </c>
      <c r="AU165" s="3">
        <f>$H165*factors!AO$3</f>
        <v>1.8759559568039998</v>
      </c>
      <c r="AV165" s="3">
        <f>$H165*factors!AP$3</f>
        <v>1.7732379072960003</v>
      </c>
      <c r="AW165" s="3">
        <f>$H165*factors!AQ$3</f>
        <v>1.755217196856</v>
      </c>
      <c r="AX165" s="3">
        <f>$H165*factors!AR$3</f>
        <v>1.8561331753200001</v>
      </c>
      <c r="AY165" s="3">
        <f>$H165*factors!AS$3</f>
        <v>1.7119674918000001</v>
      </c>
      <c r="AZ165" s="3">
        <f>$H165*factors!AT$3</f>
        <v>1.8345083227920003</v>
      </c>
      <c r="BA165" s="3">
        <f>$H165*factors!AU$3</f>
        <v>1.7948627598239999</v>
      </c>
      <c r="BB165" s="3">
        <f>$H165*factors!AV$3</f>
        <v>1.7714358362520002</v>
      </c>
      <c r="BC165" s="3">
        <f>$H165*factors!AW$3</f>
        <v>1.8741538857600004</v>
      </c>
      <c r="BD165" s="3">
        <f>$H165*factors!AX$3</f>
        <v>1.7299882022399999</v>
      </c>
      <c r="BE165" s="3">
        <f>$H165*factors!AY$3</f>
        <v>2.033904146642</v>
      </c>
      <c r="BF165" s="3">
        <f>$H165*factors!AZ$3</f>
        <v>1.8941101539879999</v>
      </c>
      <c r="BG165" s="3">
        <f>$H165*factors!BA$3</f>
        <v>1.9216751666239997</v>
      </c>
      <c r="BH165" s="3">
        <f>$H165*factors!BB$3</f>
        <v>1.9472712497859999</v>
      </c>
      <c r="BI165" s="3">
        <f>$H165*factors!BC$3</f>
        <v>2.0181527108499995</v>
      </c>
      <c r="BJ165" s="3">
        <f>$H165*factors!BD$3</f>
        <v>1.9275819550459998</v>
      </c>
      <c r="BK165" s="3">
        <f>$H165*factors!BE$3</f>
        <v>1.9315198139939997</v>
      </c>
      <c r="BL165" s="3">
        <f>$H165*factors!BF$3</f>
        <v>1.9098615897799998</v>
      </c>
      <c r="BM165" s="3">
        <f>$H165*factors!BG$3</f>
        <v>2.0398109350640001</v>
      </c>
      <c r="BN165" s="3">
        <f>$H165*factors!BH$3</f>
        <v>2.014214851902</v>
      </c>
      <c r="BO165" s="3">
        <f>$H165*factors!BI$3</f>
        <v>1.8941101539879999</v>
      </c>
      <c r="BP165" s="3">
        <f>$H165*factors!BJ$3</f>
        <v>1.8882033655659998</v>
      </c>
      <c r="BQ165" s="3">
        <f>$H165*factors!BK$3</f>
        <v>1.9197062371499998</v>
      </c>
      <c r="BR165" s="3">
        <f>$H165*factors!BL$3</f>
        <v>1.9886187687399999</v>
      </c>
      <c r="BS165" s="3">
        <f>$H165*factors!BM$3</f>
        <v>2.0201216403240001</v>
      </c>
      <c r="BT165" s="3">
        <f>$H165*factors!BN$3</f>
        <v>2.0260284287459998</v>
      </c>
      <c r="BU165" s="3">
        <f>$H165*factors!BO$3</f>
        <v>2.0595002298040002</v>
      </c>
      <c r="BV165" s="3">
        <f>$H165*factors!BP$3</f>
        <v>1.9157683782019999</v>
      </c>
      <c r="BW165" s="3">
        <f>$H165*factors!BQ$3</f>
        <v>1.9590848266299998</v>
      </c>
      <c r="BX165" s="3">
        <f>$H165*factors!BR$3</f>
        <v>1.9216751666239997</v>
      </c>
      <c r="BY165" s="3">
        <f>$H165*factors!BS$3</f>
        <v>2.0102769929539996</v>
      </c>
      <c r="BZ165" s="3">
        <f>$H165*factors!BT$3</f>
        <v>1.9728673329479998</v>
      </c>
      <c r="CA165" s="3">
        <f>$H165*factors!BU$3</f>
        <v>1.9472712497859999</v>
      </c>
      <c r="CB165" s="3">
        <f>$H165*factors!BV$3</f>
        <v>1.8842655066179999</v>
      </c>
      <c r="CC165" s="3">
        <f>$H165*factors!BW$3</f>
        <v>1.9393955318899998</v>
      </c>
      <c r="CD165" s="3">
        <f>$H165*factors!BX$3</f>
        <v>1.9453023203119999</v>
      </c>
      <c r="CE165" s="3">
        <f>$H165*factors!BY$3</f>
        <v>1.9728673329479998</v>
      </c>
      <c r="CF165" s="3">
        <f>$H165*factors!BZ$3</f>
        <v>1.9433333908380002</v>
      </c>
      <c r="CG165" s="3">
        <f>$H165*factors!CA$3</f>
        <v>1.8783587181959998</v>
      </c>
      <c r="CH165" s="3">
        <f>$H165*factors!CB$3</f>
        <v>1.8803276476699997</v>
      </c>
      <c r="CI165" s="3">
        <f>$H165*factors!CC$3</f>
        <v>1.8704830002999999</v>
      </c>
      <c r="CJ165" s="3">
        <f>$H165*factors!CD$3</f>
        <v>1.9472712497859999</v>
      </c>
      <c r="CK165" s="3">
        <f>$H165*factors!CE$3</f>
        <v>2.033904146642</v>
      </c>
      <c r="CL165" s="3">
        <f>$H165*factors!CF$3</f>
        <v>1.9059237308319998</v>
      </c>
      <c r="CM165" s="3">
        <f>$H165*factors!CG$3</f>
        <v>1.9512091087339998</v>
      </c>
      <c r="CN165" s="3">
        <f>$H165*factors!CH$3</f>
        <v>1.8862344360919998</v>
      </c>
      <c r="CO165" s="3">
        <f>$H165*factors!CI$3</f>
        <v>1.9000169424099997</v>
      </c>
      <c r="CP165" s="3">
        <f>$H165*factors!CJ$3</f>
        <v>1.9905876982139996</v>
      </c>
      <c r="CQ165" s="3">
        <f>$H165*factors!CK$3</f>
        <v>1.9315198139939997</v>
      </c>
      <c r="CR165" s="3">
        <f>$H165*factors!CL$3</f>
        <v>1.9925566276879998</v>
      </c>
      <c r="CS165" s="3">
        <f>$H165*factors!CM$3</f>
        <v>2.0555623708559998</v>
      </c>
      <c r="CT165" s="3">
        <f>$H165*factors!CN$3</f>
        <v>2.0319352171679999</v>
      </c>
      <c r="CU165" s="3">
        <f>$H165*factors!CO$3</f>
        <v>1.9866498392659997</v>
      </c>
      <c r="CV165" s="3">
        <f>$H165*factors!CP$3</f>
        <v>2.0673759477</v>
      </c>
      <c r="CW165" s="3">
        <f>$H165*factors!CQ$3</f>
        <v>1.9551469676820001</v>
      </c>
      <c r="CX165" s="3">
        <f>$H165*factors!CR$3</f>
        <v>1.9256130255719999</v>
      </c>
      <c r="CY165" s="3">
        <f>$H165*factors!CS$3</f>
        <v>1.9078926603059998</v>
      </c>
      <c r="CZ165" s="3">
        <f>$H165*factors!CT$3</f>
        <v>1.8803276476699997</v>
      </c>
      <c r="DA165" s="3">
        <f>$H165*factors!CU$3</f>
        <v>1.952243631</v>
      </c>
      <c r="DB165" s="3">
        <f>$H165*factors!CV$3</f>
        <v>2.0783886040800001</v>
      </c>
      <c r="DC165" s="3">
        <f>$H165*factors!CW$3</f>
        <v>1.9902873530399998</v>
      </c>
      <c r="DD165" s="3">
        <f>$H165*factors!CX$3</f>
        <v>1.9762712449199999</v>
      </c>
      <c r="DE165" s="3">
        <f>$H165*factors!CY$3</f>
        <v>2.03433797856</v>
      </c>
      <c r="DF165" s="3">
        <f>$H165*factors!CZ$3</f>
        <v>2.0303333762399998</v>
      </c>
      <c r="DG165" s="3">
        <f>$H165*factors!DA$3</f>
        <v>2.0223241715999998</v>
      </c>
      <c r="DH165" s="3">
        <f>$H165*factors!DB$3</f>
        <v>2.0223241715999998</v>
      </c>
      <c r="DI165" s="3">
        <f>$H165*factors!DC$3</f>
        <v>1.9462367275199999</v>
      </c>
      <c r="DJ165" s="3">
        <f>$H165*factors!DD$3</f>
        <v>2.0623701948000002</v>
      </c>
      <c r="DK165" s="3">
        <f>$H165*factors!DE$3</f>
        <v>2.0623701948000002</v>
      </c>
      <c r="DL165" s="3">
        <f>$H165*factors!DF$3</f>
        <v>2.0383425808800002</v>
      </c>
      <c r="DM165" s="3">
        <f>$H165*factors!DG$3</f>
        <v>1.9202068124399998</v>
      </c>
      <c r="DN165" s="3">
        <f>$H165*factors!DH$3</f>
        <v>2.0143149669600002</v>
      </c>
      <c r="DO165" s="3">
        <f>$H165*factors!DI$3</f>
        <v>2.0803909052399998</v>
      </c>
      <c r="DP165" s="3">
        <f>$H165*factors!DJ$3</f>
        <v>2.0623701948000002</v>
      </c>
      <c r="DQ165" s="3">
        <f>$H165*factors!DK$3</f>
        <v>1.9662597391199998</v>
      </c>
      <c r="DR165" s="3">
        <f>$H165*factors!DL$3</f>
        <v>1.94423442636</v>
      </c>
      <c r="DS165" s="3">
        <f>$H165*factors!DM$3</f>
        <v>2.10041391684</v>
      </c>
      <c r="DT165" s="3">
        <f>$H165*factors!DN$3</f>
        <v>1.9742689437600001</v>
      </c>
      <c r="DU165" s="3">
        <f>$H165*factors!DO$3</f>
        <v>2.0663747971199999</v>
      </c>
      <c r="DV165" s="3">
        <f>$H165*factors!DP$3</f>
        <v>2.01831956928</v>
      </c>
      <c r="DW165" s="3">
        <f>$H165*factors!DQ$3</f>
        <v>1.9262137159199999</v>
      </c>
      <c r="DX165" s="3">
        <f>$H165*factors!DR$3</f>
        <v>2.0403448820399999</v>
      </c>
      <c r="DY165" s="3">
        <f>$H165*factors!DS$3</f>
        <v>1.9362252217199998</v>
      </c>
      <c r="DZ165" s="3">
        <f>$H165*factors!DT$3</f>
        <v>2.0703793994399997</v>
      </c>
      <c r="EA165" s="3">
        <f>$H165*factors!DU$3</f>
        <v>1.9502413298399996</v>
      </c>
      <c r="EB165" s="3">
        <f>$H165*factors!DV$3</f>
        <v>1.9021861019999999</v>
      </c>
      <c r="EC165" s="3">
        <f>$H165*factors!DW$3</f>
        <v>2.0463517855199997</v>
      </c>
      <c r="ED165" s="3">
        <f>$H165*factors!DX$3</f>
        <v>1.9202068124399998</v>
      </c>
      <c r="EE165" s="3">
        <f>$H165*factors!DY$3</f>
        <v>1.9362252217199998</v>
      </c>
      <c r="EF165" s="3">
        <f>$H165*factors!DZ$3</f>
        <v>2.10041391684</v>
      </c>
      <c r="EG165" s="3">
        <f>$H165*factors!EA$3</f>
        <v>1.9622551367999999</v>
      </c>
      <c r="EH165" s="3">
        <f>$H165*factors!EB$3</f>
        <v>1.96826204028</v>
      </c>
      <c r="EI165" s="3">
        <f>$H165*factors!EC$3</f>
        <v>1.96425743796</v>
      </c>
      <c r="EJ165" s="3">
        <f>$H165*factors!ED$3</f>
        <v>1.9141999089599999</v>
      </c>
      <c r="EK165" s="3">
        <f>$H165*factors!EE$3</f>
        <v>2.0463517855199997</v>
      </c>
      <c r="EL165" s="3">
        <f>$H165*factors!EF$3</f>
        <v>1.9462367275199999</v>
      </c>
      <c r="EM165" s="3">
        <f>$H165*factors!EG$3</f>
        <v>2.0243264727599999</v>
      </c>
      <c r="EN165" s="3">
        <f>$H165*factors!EH$3</f>
        <v>1.9021861019999999</v>
      </c>
      <c r="EO165" s="3">
        <f>$H165*factors!EI$3</f>
        <v>1.9302183182399997</v>
      </c>
      <c r="EP165" s="3">
        <f>$H165*factors!EJ$3</f>
        <v>2.0363402797200001</v>
      </c>
      <c r="EQ165" s="3">
        <f>$H165*factors!EK$3</f>
        <v>1.9802758472399997</v>
      </c>
      <c r="ER165" s="3">
        <f>$H165*factors!EL$3</f>
        <v>2.0623701948000002</v>
      </c>
      <c r="ES165" s="3">
        <f>$H165*factors!EM$3</f>
        <v>2.0363402797200001</v>
      </c>
      <c r="ET165" s="3">
        <f>$H165*factors!EN$3</f>
        <v>2.0823932063999999</v>
      </c>
      <c r="EU165" s="3">
        <f>$H165*factors!EO$3</f>
        <v>2.1024162180000001</v>
      </c>
      <c r="EV165" s="3">
        <f>$H165*factors!EP$3</f>
        <v>1.9702643414399998</v>
      </c>
      <c r="EW165" s="3">
        <f>$H165*factors!EQ$3</f>
        <v>2.1670738596249999</v>
      </c>
      <c r="EX165" s="3">
        <f>$H165*factors!ER$3</f>
        <v>2.1441308255000004</v>
      </c>
      <c r="EY165" s="3">
        <f>$H165*factors!ES$3</f>
        <v>2.1879311633749996</v>
      </c>
      <c r="EZ165" s="3">
        <f>$H165*factors!ET$3</f>
        <v>2.1670738596249999</v>
      </c>
      <c r="FA165" s="3">
        <f>$H165*factors!EU$3</f>
        <v>1.9918725081249997</v>
      </c>
      <c r="FB165" s="3">
        <f>$H165*factors!EV$3</f>
        <v>2.0815589142499999</v>
      </c>
      <c r="FC165" s="3">
        <f>$H165*factors!EW$3</f>
        <v>2.1399593647500001</v>
      </c>
      <c r="FD165" s="3">
        <f>$H165*factors!EX$3</f>
        <v>2.0648730712500001</v>
      </c>
      <c r="FE165" s="3">
        <f>$H165*factors!EY$3</f>
        <v>2.175416781125</v>
      </c>
      <c r="FF165" s="3">
        <f>$H165*factors!EZ$3</f>
        <v>2.1775025115000002</v>
      </c>
      <c r="FG165" s="3">
        <f>$H165*factors!FA$3</f>
        <v>1.9918725081249997</v>
      </c>
      <c r="FH165" s="3">
        <f>$H165*factors!FB$3</f>
        <v>2.0961590268749997</v>
      </c>
      <c r="FI165" s="3">
        <f>$H165*factors!FC$3</f>
        <v>2.1837597026249997</v>
      </c>
      <c r="FJ165" s="3">
        <f>$H165*factors!FD$3</f>
        <v>2.0961590268749997</v>
      </c>
      <c r="FK165" s="3">
        <f>$H165*factors!FE$3</f>
        <v>2.13161644325</v>
      </c>
      <c r="FL165" s="3">
        <f>$H165*factors!FF$3</f>
        <v>2.137873634375</v>
      </c>
      <c r="FM165" s="3">
        <f>$H165*factors!FG$3</f>
        <v>2.1608166684999999</v>
      </c>
      <c r="FN165" s="3">
        <f>$H165*factors!FH$3</f>
        <v>2.021072733375</v>
      </c>
      <c r="FO165" s="3">
        <f>$H165*factors!FI$3</f>
        <v>2.1462165558749997</v>
      </c>
      <c r="FP165" s="3">
        <f>$H165*factors!FJ$3</f>
        <v>2.0857303749999998</v>
      </c>
      <c r="FQ165" s="3">
        <f>$H165*factors!FK$3</f>
        <v>2.0648730712500001</v>
      </c>
      <c r="FR165" s="3">
        <f>$H165*factors!FL$3</f>
        <v>2.10658767875</v>
      </c>
      <c r="FS165" s="3">
        <f>$H165*factors!FM$3</f>
        <v>2.0940732965</v>
      </c>
      <c r="FT165" s="3">
        <f>$H165*factors!FN$3</f>
        <v>2.1399593647500001</v>
      </c>
      <c r="FU165" s="3">
        <f>$H165*factors!FO$3</f>
        <v>2.0565301497499999</v>
      </c>
      <c r="FV165" s="3">
        <f>$H165*factors!FP$3</f>
        <v>2.0398443067500001</v>
      </c>
      <c r="FW165" s="3">
        <f>$H165*factors!FQ$3</f>
        <v>2.1837597026249997</v>
      </c>
      <c r="FX165" s="3">
        <f>$H165*factors!FR$3</f>
        <v>2.1441308255000004</v>
      </c>
      <c r="FY165" s="3">
        <f>$H165*factors!FS$3</f>
        <v>2.1003304876249995</v>
      </c>
      <c r="FZ165" s="3">
        <f>$H165*factors!FT$3</f>
        <v>1.996043968875</v>
      </c>
      <c r="GA165" s="3">
        <f>$H165*factors!FU$3</f>
        <v>2.1003304876249995</v>
      </c>
      <c r="GB165" s="3">
        <f>$H165*factors!FV$3</f>
        <v>2.1775025115000002</v>
      </c>
      <c r="GC165" s="3">
        <f>$H165*factors!FW$3</f>
        <v>2.0398443067500001</v>
      </c>
      <c r="GD165" s="3">
        <f>$H165*factors!FX$3</f>
        <v>2.0753017231249999</v>
      </c>
      <c r="GE165" s="3">
        <f>$H165*factors!FY$3</f>
        <v>2.0753017231249999</v>
      </c>
      <c r="GF165" s="3">
        <f>$H165*factors!FZ$3</f>
        <v>2.0690445319999999</v>
      </c>
      <c r="GG165" s="3">
        <f>$H165*factors!GA$3</f>
        <v>1.9877010473749999</v>
      </c>
      <c r="GH165" s="3">
        <f>$H165*factors!GB$3</f>
        <v>2.1149306002500001</v>
      </c>
      <c r="GI165" s="3">
        <f>$H165*factors!GC$3</f>
        <v>1.983529586625</v>
      </c>
      <c r="GJ165" s="3">
        <f>$H165*factors!GD$3</f>
        <v>1.9877010473749999</v>
      </c>
      <c r="GK165" s="3">
        <f>$H165*factors!GE$3</f>
        <v>2.0377585763749999</v>
      </c>
      <c r="GL165" s="3">
        <f>$H165*factors!GF$3</f>
        <v>2.1587309381250002</v>
      </c>
      <c r="GM165" s="3">
        <f>$H165*factors!GG$3</f>
        <v>2.0461014978750001</v>
      </c>
      <c r="GN165" s="3">
        <f>$H165*factors!GH$3</f>
        <v>2.1107591395000003</v>
      </c>
      <c r="GO165" s="3">
        <f>$H165*factors!GI$3</f>
        <v>1.9939582384999996</v>
      </c>
      <c r="GP165" s="3">
        <f>$H165*factors!GJ$3</f>
        <v>2.137873634375</v>
      </c>
      <c r="GQ165" s="3">
        <f>$H165*factors!GK$3</f>
        <v>2.18167397225</v>
      </c>
      <c r="GR165" s="3">
        <f>$H165*factors!GL$3</f>
        <v>2.1399593647500001</v>
      </c>
      <c r="GS165" s="3">
        <f>$H165*factors!GM$3</f>
        <v>2.023742468255</v>
      </c>
      <c r="GT165" s="3">
        <f>$H165*factors!GN$3</f>
        <v>2.070362713597</v>
      </c>
      <c r="GU165" s="3">
        <f>$H165*factors!GO$3</f>
        <v>2.119102061</v>
      </c>
      <c r="GV165" s="3">
        <f>$H165*factors!GP$3</f>
        <v>2.03433797856</v>
      </c>
      <c r="GW165" s="3">
        <f>$H165*factors!GQ$3</f>
        <v>2.106387448634</v>
      </c>
      <c r="GX165" s="3">
        <f>$H165*factors!GR$3</f>
        <v>2.072481815658</v>
      </c>
      <c r="GY165" s="3">
        <f>$H165*factors!GS$3</f>
        <v>2.0618863053530001</v>
      </c>
      <c r="GZ165" s="3">
        <f>$H165*factors!GT$3</f>
        <v>2.1381739795489998</v>
      </c>
      <c r="HA165" s="3">
        <f>$H165*factors!GU$3</f>
        <v>2.0682436115359999</v>
      </c>
      <c r="HB165" s="3">
        <f>$H165*factors!GV$3</f>
        <v>2.1381739795489998</v>
      </c>
      <c r="HC165" s="3">
        <f>$H165*factors!GW$3</f>
        <v>2.0851964280240001</v>
      </c>
      <c r="HD165" s="3">
        <f>$H165*factors!GX$3</f>
        <v>2.1466503877929997</v>
      </c>
      <c r="HE165" s="3">
        <f>$H165*factors!GY$3</f>
        <v>2.119102061</v>
      </c>
      <c r="HF165" s="3">
        <f>$H165*factors!GZ$3</f>
        <v>2.1847942248909997</v>
      </c>
      <c r="HG165" s="3">
        <f>$H165*factors!HA$3</f>
        <v>2.1000301424510002</v>
      </c>
      <c r="HH165" s="3">
        <f>$H165*factors!HB$3</f>
        <v>2.072481815658</v>
      </c>
      <c r="HI165" s="3">
        <f>$H165*factors!HC$3</f>
        <v>2.047052590926</v>
      </c>
      <c r="HJ165" s="3">
        <f>$H165*factors!HD$3</f>
        <v>2.023742468255</v>
      </c>
      <c r="HK165" s="3">
        <f>$H165*factors!HE$3</f>
        <v>2.1402930816099999</v>
      </c>
      <c r="HL165" s="3">
        <f>$H165*factors!HF$3</f>
        <v>2.0173851620719998</v>
      </c>
      <c r="HM165" s="3">
        <f>$H165*factors!HG$3</f>
        <v>2.0385761826820001</v>
      </c>
      <c r="HN165" s="3">
        <f>$H165*factors!HH$3</f>
        <v>2.1741987145860002</v>
      </c>
      <c r="HO165" s="3">
        <f>$H165*factors!HI$3</f>
        <v>2.0851964280240001</v>
      </c>
      <c r="HP165" s="3">
        <f>$H165*factors!HJ$3</f>
        <v>2.2250571640500003</v>
      </c>
      <c r="HQ165" s="3">
        <f>$H165*factors!HK$3</f>
        <v>2.03433797856</v>
      </c>
      <c r="HR165" s="3">
        <f>$H165*factors!HL$3</f>
        <v>2.157245898098</v>
      </c>
      <c r="HS165" s="3">
        <f>$H165*factors!HM$3</f>
        <v>2.1953897351960001</v>
      </c>
      <c r="HT165" s="3">
        <f>$H165*factors!HN$3</f>
        <v>2.047052590926</v>
      </c>
      <c r="HU165" s="3">
        <f>$H165*factors!HO$3</f>
        <v>2.0682436115359999</v>
      </c>
      <c r="HV165" s="3">
        <f>$H165*factors!HP$3</f>
        <v>2.0936728362680004</v>
      </c>
      <c r="HW165" s="3">
        <f>$H165*factors!HQ$3</f>
        <v>2.1233402651220001</v>
      </c>
      <c r="HX165" s="3">
        <f>$H165*factors!HR$3</f>
        <v>2.2102234496229998</v>
      </c>
      <c r="HY165" s="3">
        <f>$H165*factors!HS$3</f>
        <v>2.1000301424510002</v>
      </c>
      <c r="HZ165" s="3">
        <f>$H165*factors!HT$3</f>
        <v>2.180556020769</v>
      </c>
      <c r="IA165" s="3">
        <f>$H165*factors!HU$3</f>
        <v>2.0746009177190001</v>
      </c>
      <c r="IB165" s="3">
        <f>$H165*factors!HV$3</f>
        <v>2.1466503877929997</v>
      </c>
      <c r="IC165" s="3">
        <f>$H165*factors!HW$3</f>
        <v>2.167841408403</v>
      </c>
      <c r="ID165" s="3">
        <f>$H165*factors!HX$3</f>
        <v>2.0131469579499996</v>
      </c>
      <c r="IE165" s="3">
        <f>$H165*factors!HY$3</f>
        <v>2.1381739795489998</v>
      </c>
      <c r="IF165" s="3">
        <f>$H165*factors!HZ$3</f>
        <v>2.1254593671829998</v>
      </c>
      <c r="IG165" s="3">
        <f>$H165*factors!IA$3</f>
        <v>2.106387448634</v>
      </c>
      <c r="IH165" s="3">
        <f>$H165*factors!IB$3</f>
        <v>2.1847942248909997</v>
      </c>
      <c r="II165" s="3">
        <f>$H165*factors!IC$3</f>
        <v>2.0915537342069999</v>
      </c>
      <c r="IJ165" s="3">
        <f>$H165*factors!ID$3</f>
        <v>2.1106256527560001</v>
      </c>
      <c r="IK165" s="3">
        <f>$H165*factors!IE$3</f>
        <v>2.1869133269520002</v>
      </c>
      <c r="IL165" s="3">
        <f>$H165*factors!IF$3</f>
        <v>2.0936728362680004</v>
      </c>
      <c r="IM165" s="3">
        <f>$H165*factors!IG$3</f>
        <v>2.0746009177190001</v>
      </c>
      <c r="IN165" s="3">
        <f>$H165*factors!IH$3</f>
        <v>2.0873155300850001</v>
      </c>
      <c r="IO165" s="3">
        <f>$H165*factors!II$3</f>
        <v>2.108506550695</v>
      </c>
      <c r="IP165" s="3">
        <f>$H165*factors!IJ$3</f>
        <v>2.0385761826820001</v>
      </c>
      <c r="IQ165" s="3">
        <f>$H165*factors!IK$3</f>
        <v>2.0322188764989999</v>
      </c>
      <c r="IR165" s="3">
        <f>$H165*factors!IL$3</f>
        <v>2.0915537342069999</v>
      </c>
      <c r="IS165" s="3">
        <f>$H165*factors!IM$3</f>
        <v>2.108506550695</v>
      </c>
      <c r="IT165" s="3">
        <f>$H165*factors!IN$3</f>
        <v>2.1233402651220001</v>
      </c>
      <c r="IU165" s="3">
        <f>$H165*factors!IO$3</f>
        <v>2.1699605104640001</v>
      </c>
      <c r="IV165" s="3">
        <f>$H165*factors!IP$3</f>
        <v>2.1975088372569997</v>
      </c>
      <c r="IW165" s="3">
        <f>$H165*factors!IQ$3</f>
        <v>2.0767200197799998</v>
      </c>
      <c r="IX165" s="3">
        <f>$H165*factors!IR$3</f>
        <v>2.1699605104640001</v>
      </c>
      <c r="IY165" s="3">
        <f>$H165*factors!IS$3</f>
        <v>2.1381739795489998</v>
      </c>
      <c r="IZ165" s="3">
        <f>$H165*factors!IT$3</f>
        <v>2.1741987145860002</v>
      </c>
      <c r="JA165" s="3">
        <f>$H165*factors!IU$3</f>
        <v>2.0534098971089998</v>
      </c>
      <c r="JB165" s="3">
        <f>$H165*factors!IV$3</f>
        <v>2.0915537342069999</v>
      </c>
      <c r="JC165" s="3">
        <f>$H165*factors!IW$3</f>
        <v>2.0428143868040003</v>
      </c>
      <c r="JD165" s="3">
        <f>$H165*factors!IX$3</f>
        <v>2.2250571640500003</v>
      </c>
      <c r="JE165" s="3">
        <f>$H165*factors!IY$3</f>
        <v>2.0491716929870001</v>
      </c>
      <c r="JF165" s="3">
        <f>$H165*factors!IZ$3</f>
        <v>2.1508885919149998</v>
      </c>
      <c r="JG165" s="3">
        <f>$H165*factors!JA$3</f>
        <v>2.1127447548169997</v>
      </c>
      <c r="JH165" s="3">
        <f>$H165*factors!JB$3</f>
        <v>2.1530076939760003</v>
      </c>
      <c r="JI165" s="3">
        <f>$H165*factors!JC$3</f>
        <v>2.0152660600110002</v>
      </c>
      <c r="JJ165" s="3">
        <f>$H165*factors!JD$3</f>
        <v>2.1699605104640001</v>
      </c>
      <c r="JK165" s="3">
        <f>$H165*factors!JE$3</f>
        <v>2.1000301424510002</v>
      </c>
      <c r="JL165" s="3">
        <f>$H165*factors!JF$3</f>
        <v>2.1847942248909997</v>
      </c>
      <c r="JM165" s="3">
        <f>$H165*factors!JG$3</f>
        <v>2.0385761826820001</v>
      </c>
      <c r="JN165" s="3">
        <f>$H165*factors!JH$3</f>
        <v>2.0385761826820001</v>
      </c>
      <c r="JO165" s="3">
        <f>$H165*factors!JI$3</f>
        <v>2.0131469579499996</v>
      </c>
      <c r="JP165" s="3">
        <f>$H165*factors!JJ$3</f>
        <v>2.1763178166469999</v>
      </c>
      <c r="JQ165" s="3">
        <f>$H165*factors!JK$3</f>
        <v>2.1212211630610001</v>
      </c>
      <c r="JR165" s="3">
        <f>$H165*factors!JL$3</f>
        <v>2.20386614344</v>
      </c>
      <c r="JS165" s="3">
        <f>$H165*factors!JM$3</f>
        <v>2.0131469579499996</v>
      </c>
      <c r="JT165" s="3">
        <f>$H165*factors!JN$3</f>
        <v>2.1148638568780003</v>
      </c>
      <c r="JU165" s="3">
        <f>$H165*factors!JO$3</f>
        <v>2.0449334888649999</v>
      </c>
      <c r="JV165" s="3">
        <f>$H165*factors!JP$3</f>
        <v>2.0788391218410003</v>
      </c>
      <c r="JW165" s="3">
        <f>$H165*factors!JQ$3</f>
        <v>2.2208189599280002</v>
      </c>
      <c r="JX165" s="3">
        <f>$H165*factors!JR$3</f>
        <v>2.1996279393179998</v>
      </c>
      <c r="JY165" s="3">
        <f>$H165*factors!JS$3</f>
        <v>2.070362713597</v>
      </c>
      <c r="JZ165" s="3">
        <f>$H165*factors!JT$3</f>
        <v>2.0936728362680004</v>
      </c>
      <c r="KA165" s="3">
        <f>$H165*factors!JU$3</f>
        <v>2.1021492445120002</v>
      </c>
      <c r="KB165" s="3">
        <f>$H165*factors!JV$3</f>
        <v>2.0322188764989999</v>
      </c>
      <c r="KC165" s="3">
        <f>$H165*factors!JW$3</f>
        <v>2.0428143868040003</v>
      </c>
      <c r="KD165" s="3">
        <f>$H165*factors!JX$3</f>
        <v>2.0449334888649999</v>
      </c>
      <c r="KE165" s="3">
        <f>$H165*factors!JY$3</f>
        <v>2.1763178166469999</v>
      </c>
      <c r="KF165" s="3">
        <f>$H165*factors!JZ$3</f>
        <v>2.2017470413789999</v>
      </c>
      <c r="KG165" s="3">
        <f>$H165*factors!KA$3</f>
        <v>2.1233402651220001</v>
      </c>
      <c r="KH165" s="3">
        <f>$H165*factors!KB$3</f>
        <v>2.0767200197799998</v>
      </c>
      <c r="KI165" s="3">
        <f>$H165*factors!KC$3</f>
        <v>2.0576481012309999</v>
      </c>
    </row>
    <row r="166" spans="1:295" x14ac:dyDescent="0.55000000000000004">
      <c r="A166" t="s">
        <v>543</v>
      </c>
      <c r="B166">
        <v>165</v>
      </c>
      <c r="C166">
        <v>230</v>
      </c>
      <c r="D166" t="s">
        <v>377</v>
      </c>
      <c r="E166">
        <v>4.0080000000000003E-3</v>
      </c>
      <c r="F166">
        <v>165</v>
      </c>
      <c r="G166">
        <f>VLOOKUP(D166,demand_forecasted!$A$2:$G$11,2)</f>
        <v>11098</v>
      </c>
      <c r="H166" s="3">
        <f t="shared" si="3"/>
        <v>0.44480784000000001</v>
      </c>
      <c r="I166" s="3">
        <f>$H166*factors!C$3</f>
        <v>0.49240227887999999</v>
      </c>
      <c r="J166" s="3">
        <f>$H166*factors!D$3</f>
        <v>0.47462775759359999</v>
      </c>
      <c r="K166" s="3">
        <f>$H166*factors!E$3</f>
        <v>0.46646108565120004</v>
      </c>
      <c r="L166" s="3">
        <f>$H166*factors!F$3</f>
        <v>0.4650199082496001</v>
      </c>
      <c r="M166" s="3">
        <f>$H166*factors!G$3</f>
        <v>0.46453951578239999</v>
      </c>
      <c r="N166" s="3">
        <f>$H166*factors!H$3</f>
        <v>0.47799050486400002</v>
      </c>
      <c r="O166" s="3">
        <f>$H166*factors!I$3</f>
        <v>0.48855913914240001</v>
      </c>
      <c r="P166" s="3">
        <f>$H166*factors!J$3</f>
        <v>0.49432384874880003</v>
      </c>
      <c r="Q166" s="3">
        <f>$H166*factors!K$3</f>
        <v>0.4640591233152</v>
      </c>
      <c r="R166" s="3">
        <f>$H166*factors!L$3</f>
        <v>0.45637284384000004</v>
      </c>
      <c r="S166" s="3">
        <f>$H166*factors!M$3</f>
        <v>0.47510815006079998</v>
      </c>
      <c r="T166" s="3">
        <f>$H166*factors!N$3</f>
        <v>0.49144149394560005</v>
      </c>
      <c r="U166" s="3">
        <f>$H166*factors!O$3</f>
        <v>0.46550030071680004</v>
      </c>
      <c r="V166" s="3">
        <f>$H166*factors!P$3</f>
        <v>0.48423560693760004</v>
      </c>
      <c r="W166" s="3">
        <f>$H166*factors!Q$3</f>
        <v>0.48855913914240001</v>
      </c>
      <c r="X166" s="3">
        <f>$H166*factors!R$3</f>
        <v>0.46742187058560003</v>
      </c>
      <c r="Y166" s="3">
        <f>$H166*factors!S$3</f>
        <v>0.46309833838080006</v>
      </c>
      <c r="Z166" s="3">
        <f>$H166*factors!T$3</f>
        <v>0.49960816588800011</v>
      </c>
      <c r="AA166" s="3">
        <f>$H166*factors!U$3</f>
        <v>0.4717454027904</v>
      </c>
      <c r="AB166" s="3">
        <f>$H166*factors!V$3</f>
        <v>0.47222579525760006</v>
      </c>
      <c r="AC166" s="3">
        <f>$H166*factors!W$3</f>
        <v>0.47270618772480005</v>
      </c>
      <c r="AD166" s="3">
        <f>$H166*factors!X$3</f>
        <v>0.46261794591360006</v>
      </c>
      <c r="AE166" s="3">
        <f>$H166*factors!Y$3</f>
        <v>0.46646108565120004</v>
      </c>
      <c r="AF166" s="3">
        <f>$H166*factors!Z$3</f>
        <v>0.47606893499520009</v>
      </c>
      <c r="AG166" s="3">
        <f>$H166*factors!AA$3</f>
        <v>0.4640591233152</v>
      </c>
      <c r="AH166" s="3">
        <f>$H166*factors!AB$3</f>
        <v>0.46213755344640006</v>
      </c>
      <c r="AI166" s="3">
        <f>$H166*factors!AC$3</f>
        <v>0.47702971992960003</v>
      </c>
      <c r="AJ166" s="3">
        <f>$H166*factors!AD$3</f>
        <v>0.49528463368320003</v>
      </c>
      <c r="AK166" s="3">
        <f>$H166*factors!AE$3</f>
        <v>0.47654932746240003</v>
      </c>
      <c r="AL166" s="3">
        <f>$H166*factors!AF$3</f>
        <v>0.45781402124159998</v>
      </c>
      <c r="AM166" s="3">
        <f>$H166*factors!AG$3</f>
        <v>0.47078461785600001</v>
      </c>
      <c r="AN166" s="3">
        <f>$H166*factors!AH$3</f>
        <v>0.46309833838080006</v>
      </c>
      <c r="AO166" s="3">
        <f>$H166*factors!AI$3</f>
        <v>0.48519639187200003</v>
      </c>
      <c r="AP166" s="3">
        <f>$H166*factors!AJ$3</f>
        <v>0.4650199082496001</v>
      </c>
      <c r="AQ166" s="3">
        <f>$H166*factors!AK$3</f>
        <v>0.47991207473280006</v>
      </c>
      <c r="AR166" s="3">
        <f>$H166*factors!AL$3</f>
        <v>0.46934344045440007</v>
      </c>
      <c r="AS166" s="3">
        <f>$H166*factors!AM$3</f>
        <v>0.45781402124159998</v>
      </c>
      <c r="AT166" s="3">
        <f>$H166*factors!AN$3</f>
        <v>0.47222579525760006</v>
      </c>
      <c r="AU166" s="3">
        <f>$H166*factors!AO$3</f>
        <v>0.50008855835519994</v>
      </c>
      <c r="AV166" s="3">
        <f>$H166*factors!AP$3</f>
        <v>0.47270618772480005</v>
      </c>
      <c r="AW166" s="3">
        <f>$H166*factors!AQ$3</f>
        <v>0.46790226305279997</v>
      </c>
      <c r="AX166" s="3">
        <f>$H166*factors!AR$3</f>
        <v>0.49480424121600003</v>
      </c>
      <c r="AY166" s="3">
        <f>$H166*factors!AS$3</f>
        <v>0.45637284384000004</v>
      </c>
      <c r="AZ166" s="3">
        <f>$H166*factors!AT$3</f>
        <v>0.48903953160960012</v>
      </c>
      <c r="BA166" s="3">
        <f>$H166*factors!AU$3</f>
        <v>0.47847089733120002</v>
      </c>
      <c r="BB166" s="3">
        <f>$H166*factors!AV$3</f>
        <v>0.47222579525760006</v>
      </c>
      <c r="BC166" s="3">
        <f>$H166*factors!AW$3</f>
        <v>0.49960816588800011</v>
      </c>
      <c r="BD166" s="3">
        <f>$H166*factors!AX$3</f>
        <v>0.46117676851200001</v>
      </c>
      <c r="BE166" s="3">
        <f>$H166*factors!AY$3</f>
        <v>0.54219406848959995</v>
      </c>
      <c r="BF166" s="3">
        <f>$H166*factors!AZ$3</f>
        <v>0.50492806765440001</v>
      </c>
      <c r="BG166" s="3">
        <f>$H166*factors!BA$3</f>
        <v>0.51227629317119994</v>
      </c>
      <c r="BH166" s="3">
        <f>$H166*factors!BB$3</f>
        <v>0.51909964543679998</v>
      </c>
      <c r="BI166" s="3">
        <f>$H166*factors!BC$3</f>
        <v>0.53799508247999994</v>
      </c>
      <c r="BJ166" s="3">
        <f>$H166*factors!BD$3</f>
        <v>0.51385091292480001</v>
      </c>
      <c r="BK166" s="3">
        <f>$H166*factors!BE$3</f>
        <v>0.51490065942719998</v>
      </c>
      <c r="BL166" s="3">
        <f>$H166*factors!BF$3</f>
        <v>0.50912705366399991</v>
      </c>
      <c r="BM166" s="3">
        <f>$H166*factors!BG$3</f>
        <v>0.54376868824320002</v>
      </c>
      <c r="BN166" s="3">
        <f>$H166*factors!BH$3</f>
        <v>0.53694533597759997</v>
      </c>
      <c r="BO166" s="3">
        <f>$H166*factors!BI$3</f>
        <v>0.50492806765440001</v>
      </c>
      <c r="BP166" s="3">
        <f>$H166*factors!BJ$3</f>
        <v>0.50335344790079994</v>
      </c>
      <c r="BQ166" s="3">
        <f>$H166*factors!BK$3</f>
        <v>0.51175141991999995</v>
      </c>
      <c r="BR166" s="3">
        <f>$H166*factors!BL$3</f>
        <v>0.53012198371200003</v>
      </c>
      <c r="BS166" s="3">
        <f>$H166*factors!BM$3</f>
        <v>0.53851995573120004</v>
      </c>
      <c r="BT166" s="3">
        <f>$H166*factors!BN$3</f>
        <v>0.5400945754848</v>
      </c>
      <c r="BU166" s="3">
        <f>$H166*factors!BO$3</f>
        <v>0.54901742075519999</v>
      </c>
      <c r="BV166" s="3">
        <f>$H166*factors!BP$3</f>
        <v>0.51070167341759998</v>
      </c>
      <c r="BW166" s="3">
        <f>$H166*factors!BQ$3</f>
        <v>0.52224888494400001</v>
      </c>
      <c r="BX166" s="3">
        <f>$H166*factors!BR$3</f>
        <v>0.51227629317119994</v>
      </c>
      <c r="BY166" s="3">
        <f>$H166*factors!BS$3</f>
        <v>0.53589558947519988</v>
      </c>
      <c r="BZ166" s="3">
        <f>$H166*factors!BT$3</f>
        <v>0.52592299770239992</v>
      </c>
      <c r="CA166" s="3">
        <f>$H166*factors!BU$3</f>
        <v>0.51909964543679998</v>
      </c>
      <c r="CB166" s="3">
        <f>$H166*factors!BV$3</f>
        <v>0.50230370139839997</v>
      </c>
      <c r="CC166" s="3">
        <f>$H166*factors!BW$3</f>
        <v>0.51700015243199993</v>
      </c>
      <c r="CD166" s="3">
        <f>$H166*factors!BX$3</f>
        <v>0.5185747721856</v>
      </c>
      <c r="CE166" s="3">
        <f>$H166*factors!BY$3</f>
        <v>0.52592299770239992</v>
      </c>
      <c r="CF166" s="3">
        <f>$H166*factors!BZ$3</f>
        <v>0.51804989893440001</v>
      </c>
      <c r="CG166" s="3">
        <f>$H166*factors!CA$3</f>
        <v>0.5007290816447999</v>
      </c>
      <c r="CH166" s="3">
        <f>$H166*factors!CB$3</f>
        <v>0.50125395489599989</v>
      </c>
      <c r="CI166" s="3">
        <f>$H166*factors!CC$3</f>
        <v>0.49862958864000001</v>
      </c>
      <c r="CJ166" s="3">
        <f>$H166*factors!CD$3</f>
        <v>0.51909964543679998</v>
      </c>
      <c r="CK166" s="3">
        <f>$H166*factors!CE$3</f>
        <v>0.54219406848959995</v>
      </c>
      <c r="CL166" s="3">
        <f>$H166*factors!CF$3</f>
        <v>0.50807730716159993</v>
      </c>
      <c r="CM166" s="3">
        <f>$H166*factors!CG$3</f>
        <v>0.52014939193919996</v>
      </c>
      <c r="CN166" s="3">
        <f>$H166*factors!CH$3</f>
        <v>0.50282857464959996</v>
      </c>
      <c r="CO166" s="3">
        <f>$H166*factors!CI$3</f>
        <v>0.50650268740799997</v>
      </c>
      <c r="CP166" s="3">
        <f>$H166*factors!CJ$3</f>
        <v>0.53064685696319991</v>
      </c>
      <c r="CQ166" s="3">
        <f>$H166*factors!CK$3</f>
        <v>0.51490065942719998</v>
      </c>
      <c r="CR166" s="3">
        <f>$H166*factors!CL$3</f>
        <v>0.53117173021440001</v>
      </c>
      <c r="CS166" s="3">
        <f>$H166*factors!CM$3</f>
        <v>0.54796767425280002</v>
      </c>
      <c r="CT166" s="3">
        <f>$H166*factors!CN$3</f>
        <v>0.54166919523839996</v>
      </c>
      <c r="CU166" s="3">
        <f>$H166*factors!CO$3</f>
        <v>0.52959711046079994</v>
      </c>
      <c r="CV166" s="3">
        <f>$H166*factors!CP$3</f>
        <v>0.55111691375999994</v>
      </c>
      <c r="CW166" s="3">
        <f>$H166*factors!CQ$3</f>
        <v>0.52119913844160004</v>
      </c>
      <c r="CX166" s="3">
        <f>$H166*factors!CR$3</f>
        <v>0.51332603967360002</v>
      </c>
      <c r="CY166" s="3">
        <f>$H166*factors!CS$3</f>
        <v>0.50860218041279992</v>
      </c>
      <c r="CZ166" s="3">
        <f>$H166*factors!CT$3</f>
        <v>0.50125395489599989</v>
      </c>
      <c r="DA166" s="3">
        <f>$H166*factors!CU$3</f>
        <v>0.5204251728</v>
      </c>
      <c r="DB166" s="3">
        <f>$H166*factors!CV$3</f>
        <v>0.55405264550400002</v>
      </c>
      <c r="DC166" s="3">
        <f>$H166*factors!CW$3</f>
        <v>0.53056679155199993</v>
      </c>
      <c r="DD166" s="3">
        <f>$H166*factors!CX$3</f>
        <v>0.52683040569599993</v>
      </c>
      <c r="DE166" s="3">
        <f>$H166*factors!CY$3</f>
        <v>0.54230971852800003</v>
      </c>
      <c r="DF166" s="3">
        <f>$H166*factors!CZ$3</f>
        <v>0.54124217971199995</v>
      </c>
      <c r="DG166" s="3">
        <f>$H166*factors!DA$3</f>
        <v>0.53910710208000001</v>
      </c>
      <c r="DH166" s="3">
        <f>$H166*factors!DB$3</f>
        <v>0.53910710208000001</v>
      </c>
      <c r="DI166" s="3">
        <f>$H166*factors!DC$3</f>
        <v>0.51882386457599994</v>
      </c>
      <c r="DJ166" s="3">
        <f>$H166*factors!DD$3</f>
        <v>0.54978249024000003</v>
      </c>
      <c r="DK166" s="3">
        <f>$H166*factors!DE$3</f>
        <v>0.54978249024000003</v>
      </c>
      <c r="DL166" s="3">
        <f>$H166*factors!DF$3</f>
        <v>0.543377257344</v>
      </c>
      <c r="DM166" s="3">
        <f>$H166*factors!DG$3</f>
        <v>0.51188486227199992</v>
      </c>
      <c r="DN166" s="3">
        <f>$H166*factors!DH$3</f>
        <v>0.53697202444800007</v>
      </c>
      <c r="DO166" s="3">
        <f>$H166*factors!DI$3</f>
        <v>0.554586414912</v>
      </c>
      <c r="DP166" s="3">
        <f>$H166*factors!DJ$3</f>
        <v>0.54978249024000003</v>
      </c>
      <c r="DQ166" s="3">
        <f>$H166*factors!DK$3</f>
        <v>0.524161558656</v>
      </c>
      <c r="DR166" s="3">
        <f>$H166*factors!DL$3</f>
        <v>0.51829009516800006</v>
      </c>
      <c r="DS166" s="3">
        <f>$H166*factors!DM$3</f>
        <v>0.55992410899199996</v>
      </c>
      <c r="DT166" s="3">
        <f>$H166*factors!DN$3</f>
        <v>0.52629663628800005</v>
      </c>
      <c r="DU166" s="3">
        <f>$H166*factors!DO$3</f>
        <v>0.550850029056</v>
      </c>
      <c r="DV166" s="3">
        <f>$H166*factors!DP$3</f>
        <v>0.53803956326400004</v>
      </c>
      <c r="DW166" s="3">
        <f>$H166*factors!DQ$3</f>
        <v>0.51348617049599998</v>
      </c>
      <c r="DX166" s="3">
        <f>$H166*factors!DR$3</f>
        <v>0.54391102675199998</v>
      </c>
      <c r="DY166" s="3">
        <f>$H166*factors!DS$3</f>
        <v>0.5161550175359999</v>
      </c>
      <c r="DZ166" s="3">
        <f>$H166*factors!DT$3</f>
        <v>0.55191756787199997</v>
      </c>
      <c r="EA166" s="3">
        <f>$H166*factors!DU$3</f>
        <v>0.51989140339199991</v>
      </c>
      <c r="EB166" s="3">
        <f>$H166*factors!DV$3</f>
        <v>0.50708093759999995</v>
      </c>
      <c r="EC166" s="3">
        <f>$H166*factors!DW$3</f>
        <v>0.54551233497599994</v>
      </c>
      <c r="ED166" s="3">
        <f>$H166*factors!DX$3</f>
        <v>0.51188486227199992</v>
      </c>
      <c r="EE166" s="3">
        <f>$H166*factors!DY$3</f>
        <v>0.5161550175359999</v>
      </c>
      <c r="EF166" s="3">
        <f>$H166*factors!DZ$3</f>
        <v>0.55992410899199996</v>
      </c>
      <c r="EG166" s="3">
        <f>$H166*factors!EA$3</f>
        <v>0.52309401984000004</v>
      </c>
      <c r="EH166" s="3">
        <f>$H166*factors!EB$3</f>
        <v>0.52469532806399999</v>
      </c>
      <c r="EI166" s="3">
        <f>$H166*factors!EC$3</f>
        <v>0.52362778924800002</v>
      </c>
      <c r="EJ166" s="3">
        <f>$H166*factors!ED$3</f>
        <v>0.51028355404799997</v>
      </c>
      <c r="EK166" s="3">
        <f>$H166*factors!EE$3</f>
        <v>0.54551233497599994</v>
      </c>
      <c r="EL166" s="3">
        <f>$H166*factors!EF$3</f>
        <v>0.51882386457599994</v>
      </c>
      <c r="EM166" s="3">
        <f>$H166*factors!EG$3</f>
        <v>0.53964087148799988</v>
      </c>
      <c r="EN166" s="3">
        <f>$H166*factors!EH$3</f>
        <v>0.50708093759999995</v>
      </c>
      <c r="EO166" s="3">
        <f>$H166*factors!EI$3</f>
        <v>0.51455370931199995</v>
      </c>
      <c r="EP166" s="3">
        <f>$H166*factors!EJ$3</f>
        <v>0.54284348793600001</v>
      </c>
      <c r="EQ166" s="3">
        <f>$H166*factors!EK$3</f>
        <v>0.52789794451199989</v>
      </c>
      <c r="ER166" s="3">
        <f>$H166*factors!EL$3</f>
        <v>0.54978249024000003</v>
      </c>
      <c r="ES166" s="3">
        <f>$H166*factors!EM$3</f>
        <v>0.54284348793600001</v>
      </c>
      <c r="ET166" s="3">
        <f>$H166*factors!EN$3</f>
        <v>0.55512018431999999</v>
      </c>
      <c r="EU166" s="3">
        <f>$H166*factors!EO$3</f>
        <v>0.56045787840000005</v>
      </c>
      <c r="EV166" s="3">
        <f>$H166*factors!EP$3</f>
        <v>0.52522909747199997</v>
      </c>
      <c r="EW166" s="3">
        <f>$H166*factors!EQ$3</f>
        <v>0.57769418219999991</v>
      </c>
      <c r="EX166" s="3">
        <f>$H166*factors!ER$3</f>
        <v>0.57157807440000008</v>
      </c>
      <c r="EY166" s="3">
        <f>$H166*factors!ES$3</f>
        <v>0.58325428019999992</v>
      </c>
      <c r="EZ166" s="3">
        <f>$H166*factors!ET$3</f>
        <v>0.57769418219999991</v>
      </c>
      <c r="FA166" s="3">
        <f>$H166*factors!EU$3</f>
        <v>0.53098935899999999</v>
      </c>
      <c r="FB166" s="3">
        <f>$H166*factors!EV$3</f>
        <v>0.55489778040000004</v>
      </c>
      <c r="FC166" s="3">
        <f>$H166*factors!EW$3</f>
        <v>0.57046605480000001</v>
      </c>
      <c r="FD166" s="3">
        <f>$H166*factors!EX$3</f>
        <v>0.55044970199999999</v>
      </c>
      <c r="FE166" s="3">
        <f>$H166*factors!EY$3</f>
        <v>0.57991822140000004</v>
      </c>
      <c r="FF166" s="3">
        <f>$H166*factors!EZ$3</f>
        <v>0.58047423120000008</v>
      </c>
      <c r="FG166" s="3">
        <f>$H166*factors!FA$3</f>
        <v>0.53098935899999999</v>
      </c>
      <c r="FH166" s="3">
        <f>$H166*factors!FB$3</f>
        <v>0.55878984899999995</v>
      </c>
      <c r="FI166" s="3">
        <f>$H166*factors!FC$3</f>
        <v>0.58214226059999996</v>
      </c>
      <c r="FJ166" s="3">
        <f>$H166*factors!FD$3</f>
        <v>0.55878984899999995</v>
      </c>
      <c r="FK166" s="3">
        <f>$H166*factors!FE$3</f>
        <v>0.56824201560000009</v>
      </c>
      <c r="FL166" s="3">
        <f>$H166*factors!FF$3</f>
        <v>0.56991004499999998</v>
      </c>
      <c r="FM166" s="3">
        <f>$H166*factors!FG$3</f>
        <v>0.57602615280000002</v>
      </c>
      <c r="FN166" s="3">
        <f>$H166*factors!FH$3</f>
        <v>0.53877349620000003</v>
      </c>
      <c r="FO166" s="3">
        <f>$H166*factors!FI$3</f>
        <v>0.5721340842</v>
      </c>
      <c r="FP166" s="3">
        <f>$H166*factors!FJ$3</f>
        <v>0.5560098</v>
      </c>
      <c r="FQ166" s="3">
        <f>$H166*factors!FK$3</f>
        <v>0.55044970199999999</v>
      </c>
      <c r="FR166" s="3">
        <f>$H166*factors!FL$3</f>
        <v>0.56156989800000001</v>
      </c>
      <c r="FS166" s="3">
        <f>$H166*factors!FM$3</f>
        <v>0.55823383919999991</v>
      </c>
      <c r="FT166" s="3">
        <f>$H166*factors!FN$3</f>
        <v>0.57046605480000001</v>
      </c>
      <c r="FU166" s="3">
        <f>$H166*factors!FO$3</f>
        <v>0.54822566279999996</v>
      </c>
      <c r="FV166" s="3">
        <f>$H166*factors!FP$3</f>
        <v>0.54377758440000001</v>
      </c>
      <c r="FW166" s="3">
        <f>$H166*factors!FQ$3</f>
        <v>0.58214226059999996</v>
      </c>
      <c r="FX166" s="3">
        <f>$H166*factors!FR$3</f>
        <v>0.57157807440000008</v>
      </c>
      <c r="FY166" s="3">
        <f>$H166*factors!FS$3</f>
        <v>0.55990186859999991</v>
      </c>
      <c r="FZ166" s="3">
        <f>$H166*factors!FT$3</f>
        <v>0.53210137860000006</v>
      </c>
      <c r="GA166" s="3">
        <f>$H166*factors!FU$3</f>
        <v>0.55990186859999991</v>
      </c>
      <c r="GB166" s="3">
        <f>$H166*factors!FV$3</f>
        <v>0.58047423120000008</v>
      </c>
      <c r="GC166" s="3">
        <f>$H166*factors!FW$3</f>
        <v>0.54377758440000001</v>
      </c>
      <c r="GD166" s="3">
        <f>$H166*factors!FX$3</f>
        <v>0.55322975099999994</v>
      </c>
      <c r="GE166" s="3">
        <f>$H166*factors!FY$3</f>
        <v>0.55322975099999994</v>
      </c>
      <c r="GF166" s="3">
        <f>$H166*factors!FZ$3</f>
        <v>0.55156172160000005</v>
      </c>
      <c r="GG166" s="3">
        <f>$H166*factors!GA$3</f>
        <v>0.52987733939999992</v>
      </c>
      <c r="GH166" s="3">
        <f>$H166*factors!GB$3</f>
        <v>0.56379393720000004</v>
      </c>
      <c r="GI166" s="3">
        <f>$H166*factors!GC$3</f>
        <v>0.52876531979999997</v>
      </c>
      <c r="GJ166" s="3">
        <f>$H166*factors!GD$3</f>
        <v>0.52987733939999992</v>
      </c>
      <c r="GK166" s="3">
        <f>$H166*factors!GE$3</f>
        <v>0.54322157459999998</v>
      </c>
      <c r="GL166" s="3">
        <f>$H166*factors!GF$3</f>
        <v>0.57547014299999999</v>
      </c>
      <c r="GM166" s="3">
        <f>$H166*factors!GG$3</f>
        <v>0.54544561380000001</v>
      </c>
      <c r="GN166" s="3">
        <f>$H166*factors!GH$3</f>
        <v>0.56268191760000008</v>
      </c>
      <c r="GO166" s="3">
        <f>$H166*factors!GI$3</f>
        <v>0.53154536879999992</v>
      </c>
      <c r="GP166" s="3">
        <f>$H166*factors!GJ$3</f>
        <v>0.56991004499999998</v>
      </c>
      <c r="GQ166" s="3">
        <f>$H166*factors!GK$3</f>
        <v>0.58158625080000004</v>
      </c>
      <c r="GR166" s="3">
        <f>$H166*factors!GL$3</f>
        <v>0.57046605480000001</v>
      </c>
      <c r="GS166" s="3">
        <f>$H166*factors!GM$3</f>
        <v>0.53948518874399998</v>
      </c>
      <c r="GT166" s="3">
        <f>$H166*factors!GN$3</f>
        <v>0.55191311979360003</v>
      </c>
      <c r="GU166" s="3">
        <f>$H166*factors!GO$3</f>
        <v>0.5649059568</v>
      </c>
      <c r="GV166" s="3">
        <f>$H166*factors!GP$3</f>
        <v>0.54230971852800003</v>
      </c>
      <c r="GW166" s="3">
        <f>$H166*factors!GQ$3</f>
        <v>0.56151652105920002</v>
      </c>
      <c r="GX166" s="3">
        <f>$H166*factors!GR$3</f>
        <v>0.55247802575039995</v>
      </c>
      <c r="GY166" s="3">
        <f>$H166*factors!GS$3</f>
        <v>0.54965349596640001</v>
      </c>
      <c r="GZ166" s="3">
        <f>$H166*factors!GT$3</f>
        <v>0.56999011041119996</v>
      </c>
      <c r="HA166" s="3">
        <f>$H166*factors!GU$3</f>
        <v>0.55134821383679999</v>
      </c>
      <c r="HB166" s="3">
        <f>$H166*factors!GV$3</f>
        <v>0.56999011041119996</v>
      </c>
      <c r="HC166" s="3">
        <f>$H166*factors!GW$3</f>
        <v>0.55586746149119992</v>
      </c>
      <c r="HD166" s="3">
        <f>$H166*factors!GX$3</f>
        <v>0.57224973423839998</v>
      </c>
      <c r="HE166" s="3">
        <f>$H166*factors!GY$3</f>
        <v>0.5649059568</v>
      </c>
      <c r="HF166" s="3">
        <f>$H166*factors!GZ$3</f>
        <v>0.58241804146080001</v>
      </c>
      <c r="HG166" s="3">
        <f>$H166*factors!HA$3</f>
        <v>0.55982180318880004</v>
      </c>
      <c r="HH166" s="3">
        <f>$H166*factors!HB$3</f>
        <v>0.55247802575039995</v>
      </c>
      <c r="HI166" s="3">
        <f>$H166*factors!HC$3</f>
        <v>0.5456991542688</v>
      </c>
      <c r="HJ166" s="3">
        <f>$H166*factors!HD$3</f>
        <v>0.53948518874399998</v>
      </c>
      <c r="HK166" s="3">
        <f>$H166*factors!HE$3</f>
        <v>0.57055501636799999</v>
      </c>
      <c r="HL166" s="3">
        <f>$H166*factors!HF$3</f>
        <v>0.53779047087359999</v>
      </c>
      <c r="HM166" s="3">
        <f>$H166*factors!HG$3</f>
        <v>0.54343953044159998</v>
      </c>
      <c r="HN166" s="3">
        <f>$H166*factors!HH$3</f>
        <v>0.57959351167680007</v>
      </c>
      <c r="HO166" s="3">
        <f>$H166*factors!HI$3</f>
        <v>0.55586746149119992</v>
      </c>
      <c r="HP166" s="3">
        <f>$H166*factors!HJ$3</f>
        <v>0.59315125464000007</v>
      </c>
      <c r="HQ166" s="3">
        <f>$H166*factors!HK$3</f>
        <v>0.54230971852800003</v>
      </c>
      <c r="HR166" s="3">
        <f>$H166*factors!HL$3</f>
        <v>0.57507426402240003</v>
      </c>
      <c r="HS166" s="3">
        <f>$H166*factors!HM$3</f>
        <v>0.58524257124480006</v>
      </c>
      <c r="HT166" s="3">
        <f>$H166*factors!HN$3</f>
        <v>0.5456991542688</v>
      </c>
      <c r="HU166" s="3">
        <f>$H166*factors!HO$3</f>
        <v>0.55134821383679999</v>
      </c>
      <c r="HV166" s="3">
        <f>$H166*factors!HP$3</f>
        <v>0.55812708531840005</v>
      </c>
      <c r="HW166" s="3">
        <f>$H166*factors!HQ$3</f>
        <v>0.56603576871360006</v>
      </c>
      <c r="HX166" s="3">
        <f>$H166*factors!HR$3</f>
        <v>0.58919691294239995</v>
      </c>
      <c r="HY166" s="3">
        <f>$H166*factors!HS$3</f>
        <v>0.55982180318880004</v>
      </c>
      <c r="HZ166" s="3">
        <f>$H166*factors!HT$3</f>
        <v>0.58128822954719994</v>
      </c>
      <c r="IA166" s="3">
        <f>$H166*factors!HU$3</f>
        <v>0.55304293170719998</v>
      </c>
      <c r="IB166" s="3">
        <f>$H166*factors!HV$3</f>
        <v>0.57224973423839998</v>
      </c>
      <c r="IC166" s="3">
        <f>$H166*factors!HW$3</f>
        <v>0.57789879380639997</v>
      </c>
      <c r="ID166" s="3">
        <f>$H166*factors!HX$3</f>
        <v>0.53666065895999993</v>
      </c>
      <c r="IE166" s="3">
        <f>$H166*factors!HY$3</f>
        <v>0.56999011041119996</v>
      </c>
      <c r="IF166" s="3">
        <f>$H166*factors!HZ$3</f>
        <v>0.56660067467039998</v>
      </c>
      <c r="IG166" s="3">
        <f>$H166*factors!IA$3</f>
        <v>0.56151652105920002</v>
      </c>
      <c r="IH166" s="3">
        <f>$H166*factors!IB$3</f>
        <v>0.58241804146080001</v>
      </c>
      <c r="II166" s="3">
        <f>$H166*factors!IC$3</f>
        <v>0.55756217936160002</v>
      </c>
      <c r="IJ166" s="3">
        <f>$H166*factors!ID$3</f>
        <v>0.56264633297279998</v>
      </c>
      <c r="IK166" s="3">
        <f>$H166*factors!IE$3</f>
        <v>0.58298294741760004</v>
      </c>
      <c r="IL166" s="3">
        <f>$H166*factors!IF$3</f>
        <v>0.55812708531840005</v>
      </c>
      <c r="IM166" s="3">
        <f>$H166*factors!IG$3</f>
        <v>0.55304293170719998</v>
      </c>
      <c r="IN166" s="3">
        <f>$H166*factors!IH$3</f>
        <v>0.55643236744800006</v>
      </c>
      <c r="IO166" s="3">
        <f>$H166*factors!II$3</f>
        <v>0.56208142701599995</v>
      </c>
      <c r="IP166" s="3">
        <f>$H166*factors!IJ$3</f>
        <v>0.54343953044159998</v>
      </c>
      <c r="IQ166" s="3">
        <f>$H166*factors!IK$3</f>
        <v>0.5417448125712</v>
      </c>
      <c r="IR166" s="3">
        <f>$H166*factors!IL$3</f>
        <v>0.55756217936160002</v>
      </c>
      <c r="IS166" s="3">
        <f>$H166*factors!IM$3</f>
        <v>0.56208142701599995</v>
      </c>
      <c r="IT166" s="3">
        <f>$H166*factors!IN$3</f>
        <v>0.56603576871360006</v>
      </c>
      <c r="IU166" s="3">
        <f>$H166*factors!IO$3</f>
        <v>0.5784636997632</v>
      </c>
      <c r="IV166" s="3">
        <f>$H166*factors!IP$3</f>
        <v>0.58580747720159998</v>
      </c>
      <c r="IW166" s="3">
        <f>$H166*factors!IQ$3</f>
        <v>0.55360783766400001</v>
      </c>
      <c r="IX166" s="3">
        <f>$H166*factors!IR$3</f>
        <v>0.5784636997632</v>
      </c>
      <c r="IY166" s="3">
        <f>$H166*factors!IS$3</f>
        <v>0.56999011041119996</v>
      </c>
      <c r="IZ166" s="3">
        <f>$H166*factors!IT$3</f>
        <v>0.57959351167680007</v>
      </c>
      <c r="JA166" s="3">
        <f>$H166*factors!IU$3</f>
        <v>0.54739387213919999</v>
      </c>
      <c r="JB166" s="3">
        <f>$H166*factors!IV$3</f>
        <v>0.55756217936160002</v>
      </c>
      <c r="JC166" s="3">
        <f>$H166*factors!IW$3</f>
        <v>0.54456934235520005</v>
      </c>
      <c r="JD166" s="3">
        <f>$H166*factors!IX$3</f>
        <v>0.59315125464000007</v>
      </c>
      <c r="JE166" s="3">
        <f>$H166*factors!IY$3</f>
        <v>0.54626406022559992</v>
      </c>
      <c r="JF166" s="3">
        <f>$H166*factors!IZ$3</f>
        <v>0.57337954615199993</v>
      </c>
      <c r="JG166" s="3">
        <f>$H166*factors!JA$3</f>
        <v>0.56321123892960001</v>
      </c>
      <c r="JH166" s="3">
        <f>$H166*factors!JB$3</f>
        <v>0.57394445210880007</v>
      </c>
      <c r="JI166" s="3">
        <f>$H166*factors!JC$3</f>
        <v>0.53722556491680007</v>
      </c>
      <c r="JJ166" s="3">
        <f>$H166*factors!JD$3</f>
        <v>0.5784636997632</v>
      </c>
      <c r="JK166" s="3">
        <f>$H166*factors!JE$3</f>
        <v>0.55982180318880004</v>
      </c>
      <c r="JL166" s="3">
        <f>$H166*factors!JF$3</f>
        <v>0.58241804146080001</v>
      </c>
      <c r="JM166" s="3">
        <f>$H166*factors!JG$3</f>
        <v>0.54343953044159998</v>
      </c>
      <c r="JN166" s="3">
        <f>$H166*factors!JH$3</f>
        <v>0.54343953044159998</v>
      </c>
      <c r="JO166" s="3">
        <f>$H166*factors!JI$3</f>
        <v>0.53666065895999993</v>
      </c>
      <c r="JP166" s="3">
        <f>$H166*factors!JJ$3</f>
        <v>0.58015841763359999</v>
      </c>
      <c r="JQ166" s="3">
        <f>$H166*factors!JK$3</f>
        <v>0.56547086275679992</v>
      </c>
      <c r="JR166" s="3">
        <f>$H166*factors!JL$3</f>
        <v>0.58750219507199997</v>
      </c>
      <c r="JS166" s="3">
        <f>$H166*factors!JM$3</f>
        <v>0.53666065895999993</v>
      </c>
      <c r="JT166" s="3">
        <f>$H166*factors!JN$3</f>
        <v>0.56377614488640004</v>
      </c>
      <c r="JU166" s="3">
        <f>$H166*factors!JO$3</f>
        <v>0.54513424831199997</v>
      </c>
      <c r="JV166" s="3">
        <f>$H166*factors!JP$3</f>
        <v>0.55417274362080005</v>
      </c>
      <c r="JW166" s="3">
        <f>$H166*factors!JQ$3</f>
        <v>0.59202144272640012</v>
      </c>
      <c r="JX166" s="3">
        <f>$H166*factors!JR$3</f>
        <v>0.58637238315840001</v>
      </c>
      <c r="JY166" s="3">
        <f>$H166*factors!JS$3</f>
        <v>0.55191311979360003</v>
      </c>
      <c r="JZ166" s="3">
        <f>$H166*factors!JT$3</f>
        <v>0.55812708531840005</v>
      </c>
      <c r="KA166" s="3">
        <f>$H166*factors!JU$3</f>
        <v>0.56038670914560007</v>
      </c>
      <c r="KB166" s="3">
        <f>$H166*factors!JV$3</f>
        <v>0.5417448125712</v>
      </c>
      <c r="KC166" s="3">
        <f>$H166*factors!JW$3</f>
        <v>0.54456934235520005</v>
      </c>
      <c r="KD166" s="3">
        <f>$H166*factors!JX$3</f>
        <v>0.54513424831199997</v>
      </c>
      <c r="KE166" s="3">
        <f>$H166*factors!JY$3</f>
        <v>0.58015841763359999</v>
      </c>
      <c r="KF166" s="3">
        <f>$H166*factors!JZ$3</f>
        <v>0.58693728911519993</v>
      </c>
      <c r="KG166" s="3">
        <f>$H166*factors!KA$3</f>
        <v>0.56603576871360006</v>
      </c>
      <c r="KH166" s="3">
        <f>$H166*factors!KB$3</f>
        <v>0.55360783766400001</v>
      </c>
      <c r="KI166" s="3">
        <f>$H166*factors!KC$3</f>
        <v>0.54852368405279994</v>
      </c>
    </row>
    <row r="167" spans="1:295" x14ac:dyDescent="0.55000000000000004">
      <c r="A167" t="s">
        <v>544</v>
      </c>
      <c r="B167">
        <v>166</v>
      </c>
      <c r="C167">
        <v>230</v>
      </c>
      <c r="D167" t="s">
        <v>377</v>
      </c>
      <c r="E167">
        <v>2.6090000000000002E-3</v>
      </c>
      <c r="F167">
        <v>166</v>
      </c>
      <c r="G167">
        <f>VLOOKUP(D167,demand_forecasted!$A$2:$G$11,2)</f>
        <v>11098</v>
      </c>
      <c r="H167" s="3">
        <f t="shared" si="3"/>
        <v>0.28954682000000004</v>
      </c>
      <c r="I167" s="3">
        <f>$H167*factors!C$3</f>
        <v>0.32052832974000006</v>
      </c>
      <c r="J167" s="3">
        <f>$H167*factors!D$3</f>
        <v>0.30895803881280004</v>
      </c>
      <c r="K167" s="3">
        <f>$H167*factors!E$3</f>
        <v>0.30364195919760006</v>
      </c>
      <c r="L167" s="3">
        <f>$H167*factors!F$3</f>
        <v>0.3027038275008001</v>
      </c>
      <c r="M167" s="3">
        <f>$H167*factors!G$3</f>
        <v>0.30239111693520004</v>
      </c>
      <c r="N167" s="3">
        <f>$H167*factors!H$3</f>
        <v>0.31114701277200002</v>
      </c>
      <c r="O167" s="3">
        <f>$H167*factors!I$3</f>
        <v>0.31802664521520002</v>
      </c>
      <c r="P167" s="3">
        <f>$H167*factors!J$3</f>
        <v>0.32177917200240008</v>
      </c>
      <c r="Q167" s="3">
        <f>$H167*factors!K$3</f>
        <v>0.30207840636960004</v>
      </c>
      <c r="R167" s="3">
        <f>$H167*factors!L$3</f>
        <v>0.29707503732000007</v>
      </c>
      <c r="S167" s="3">
        <f>$H167*factors!M$3</f>
        <v>0.30927074937840004</v>
      </c>
      <c r="T167" s="3">
        <f>$H167*factors!N$3</f>
        <v>0.31990290860880005</v>
      </c>
      <c r="U167" s="3">
        <f>$H167*factors!O$3</f>
        <v>0.30301653806640005</v>
      </c>
      <c r="V167" s="3">
        <f>$H167*factors!P$3</f>
        <v>0.31521225012480003</v>
      </c>
      <c r="W167" s="3">
        <f>$H167*factors!Q$3</f>
        <v>0.31802664521520002</v>
      </c>
      <c r="X167" s="3">
        <f>$H167*factors!R$3</f>
        <v>0.30426738032880002</v>
      </c>
      <c r="Y167" s="3">
        <f>$H167*factors!S$3</f>
        <v>0.30145298523840003</v>
      </c>
      <c r="Z167" s="3">
        <f>$H167*factors!T$3</f>
        <v>0.32521898822400008</v>
      </c>
      <c r="AA167" s="3">
        <f>$H167*factors!U$3</f>
        <v>0.30708177541920001</v>
      </c>
      <c r="AB167" s="3">
        <f>$H167*factors!V$3</f>
        <v>0.30739448598480007</v>
      </c>
      <c r="AC167" s="3">
        <f>$H167*factors!W$3</f>
        <v>0.30770719655040008</v>
      </c>
      <c r="AD167" s="3">
        <f>$H167*factors!X$3</f>
        <v>0.30114027467280008</v>
      </c>
      <c r="AE167" s="3">
        <f>$H167*factors!Y$3</f>
        <v>0.30364195919760006</v>
      </c>
      <c r="AF167" s="3">
        <f>$H167*factors!Z$3</f>
        <v>0.30989617050960006</v>
      </c>
      <c r="AG167" s="3">
        <f>$H167*factors!AA$3</f>
        <v>0.30207840636960004</v>
      </c>
      <c r="AH167" s="3">
        <f>$H167*factors!AB$3</f>
        <v>0.30082756410720007</v>
      </c>
      <c r="AI167" s="3">
        <f>$H167*factors!AC$3</f>
        <v>0.31052159164080007</v>
      </c>
      <c r="AJ167" s="3">
        <f>$H167*factors!AD$3</f>
        <v>0.32240459313360004</v>
      </c>
      <c r="AK167" s="3">
        <f>$H167*factors!AE$3</f>
        <v>0.31020888107520006</v>
      </c>
      <c r="AL167" s="3">
        <f>$H167*factors!AF$3</f>
        <v>0.29801316901680003</v>
      </c>
      <c r="AM167" s="3">
        <f>$H167*factors!AG$3</f>
        <v>0.30645635428800005</v>
      </c>
      <c r="AN167" s="3">
        <f>$H167*factors!AH$3</f>
        <v>0.30145298523840003</v>
      </c>
      <c r="AO167" s="3">
        <f>$H167*factors!AI$3</f>
        <v>0.31583767125600004</v>
      </c>
      <c r="AP167" s="3">
        <f>$H167*factors!AJ$3</f>
        <v>0.3027038275008001</v>
      </c>
      <c r="AQ167" s="3">
        <f>$H167*factors!AK$3</f>
        <v>0.3123978550344001</v>
      </c>
      <c r="AR167" s="3">
        <f>$H167*factors!AL$3</f>
        <v>0.30551822259120009</v>
      </c>
      <c r="AS167" s="3">
        <f>$H167*factors!AM$3</f>
        <v>0.29801316901680003</v>
      </c>
      <c r="AT167" s="3">
        <f>$H167*factors!AN$3</f>
        <v>0.30739448598480007</v>
      </c>
      <c r="AU167" s="3">
        <f>$H167*factors!AO$3</f>
        <v>0.32553169878960003</v>
      </c>
      <c r="AV167" s="3">
        <f>$H167*factors!AP$3</f>
        <v>0.30770719655040008</v>
      </c>
      <c r="AW167" s="3">
        <f>$H167*factors!AQ$3</f>
        <v>0.30458009089440002</v>
      </c>
      <c r="AX167" s="3">
        <f>$H167*factors!AR$3</f>
        <v>0.32209188256800003</v>
      </c>
      <c r="AY167" s="3">
        <f>$H167*factors!AS$3</f>
        <v>0.29707503732000007</v>
      </c>
      <c r="AZ167" s="3">
        <f>$H167*factors!AT$3</f>
        <v>0.31833935578080008</v>
      </c>
      <c r="BA167" s="3">
        <f>$H167*factors!AU$3</f>
        <v>0.31145972333760003</v>
      </c>
      <c r="BB167" s="3">
        <f>$H167*factors!AV$3</f>
        <v>0.30739448598480007</v>
      </c>
      <c r="BC167" s="3">
        <f>$H167*factors!AW$3</f>
        <v>0.32521898822400008</v>
      </c>
      <c r="BD167" s="3">
        <f>$H167*factors!AX$3</f>
        <v>0.30020214297600001</v>
      </c>
      <c r="BE167" s="3">
        <f>$H167*factors!AY$3</f>
        <v>0.35294020077080002</v>
      </c>
      <c r="BF167" s="3">
        <f>$H167*factors!AZ$3</f>
        <v>0.32868196819120005</v>
      </c>
      <c r="BG167" s="3">
        <f>$H167*factors!BA$3</f>
        <v>0.33346528165759998</v>
      </c>
      <c r="BH167" s="3">
        <f>$H167*factors!BB$3</f>
        <v>0.33790692987640003</v>
      </c>
      <c r="BI167" s="3">
        <f>$H167*factors!BC$3</f>
        <v>0.35020687879000001</v>
      </c>
      <c r="BJ167" s="3">
        <f>$H167*factors!BD$3</f>
        <v>0.33449027740039999</v>
      </c>
      <c r="BK167" s="3">
        <f>$H167*factors!BE$3</f>
        <v>0.33517360789559997</v>
      </c>
      <c r="BL167" s="3">
        <f>$H167*factors!BF$3</f>
        <v>0.331415290172</v>
      </c>
      <c r="BM167" s="3">
        <f>$H167*factors!BG$3</f>
        <v>0.35396519651360003</v>
      </c>
      <c r="BN167" s="3">
        <f>$H167*factors!BH$3</f>
        <v>0.34952354829480003</v>
      </c>
      <c r="BO167" s="3">
        <f>$H167*factors!BI$3</f>
        <v>0.32868196819120005</v>
      </c>
      <c r="BP167" s="3">
        <f>$H167*factors!BJ$3</f>
        <v>0.32765697244839997</v>
      </c>
      <c r="BQ167" s="3">
        <f>$H167*factors!BK$3</f>
        <v>0.33312361640999999</v>
      </c>
      <c r="BR167" s="3">
        <f>$H167*factors!BL$3</f>
        <v>0.34508190007600004</v>
      </c>
      <c r="BS167" s="3">
        <f>$H167*factors!BM$3</f>
        <v>0.35054854403760005</v>
      </c>
      <c r="BT167" s="3">
        <f>$H167*factors!BN$3</f>
        <v>0.35157353978040001</v>
      </c>
      <c r="BU167" s="3">
        <f>$H167*factors!BO$3</f>
        <v>0.35738184898960007</v>
      </c>
      <c r="BV167" s="3">
        <f>$H167*factors!BP$3</f>
        <v>0.33244028591480002</v>
      </c>
      <c r="BW167" s="3">
        <f>$H167*factors!BQ$3</f>
        <v>0.33995692136200001</v>
      </c>
      <c r="BX167" s="3">
        <f>$H167*factors!BR$3</f>
        <v>0.33346528165759998</v>
      </c>
      <c r="BY167" s="3">
        <f>$H167*factors!BS$3</f>
        <v>0.34884021779959995</v>
      </c>
      <c r="BZ167" s="3">
        <f>$H167*factors!BT$3</f>
        <v>0.34234857809520003</v>
      </c>
      <c r="CA167" s="3">
        <f>$H167*factors!BU$3</f>
        <v>0.33790692987640003</v>
      </c>
      <c r="CB167" s="3">
        <f>$H167*factors!BV$3</f>
        <v>0.3269736419532</v>
      </c>
      <c r="CC167" s="3">
        <f>$H167*factors!BW$3</f>
        <v>0.33654026888600003</v>
      </c>
      <c r="CD167" s="3">
        <f>$H167*factors!BX$3</f>
        <v>0.33756526462880004</v>
      </c>
      <c r="CE167" s="3">
        <f>$H167*factors!BY$3</f>
        <v>0.34234857809520003</v>
      </c>
      <c r="CF167" s="3">
        <f>$H167*factors!BZ$3</f>
        <v>0.33722359938120006</v>
      </c>
      <c r="CG167" s="3">
        <f>$H167*factors!CA$3</f>
        <v>0.32594864621039998</v>
      </c>
      <c r="CH167" s="3">
        <f>$H167*factors!CB$3</f>
        <v>0.32629031145799997</v>
      </c>
      <c r="CI167" s="3">
        <f>$H167*factors!CC$3</f>
        <v>0.32458198522000004</v>
      </c>
      <c r="CJ167" s="3">
        <f>$H167*factors!CD$3</f>
        <v>0.33790692987640003</v>
      </c>
      <c r="CK167" s="3">
        <f>$H167*factors!CE$3</f>
        <v>0.35294020077080002</v>
      </c>
      <c r="CL167" s="3">
        <f>$H167*factors!CF$3</f>
        <v>0.33073195967680002</v>
      </c>
      <c r="CM167" s="3">
        <f>$H167*factors!CG$3</f>
        <v>0.3385902603716</v>
      </c>
      <c r="CN167" s="3">
        <f>$H167*factors!CH$3</f>
        <v>0.32731530720079999</v>
      </c>
      <c r="CO167" s="3">
        <f>$H167*factors!CI$3</f>
        <v>0.32970696393400001</v>
      </c>
      <c r="CP167" s="3">
        <f>$H167*factors!CJ$3</f>
        <v>0.34542356532359997</v>
      </c>
      <c r="CQ167" s="3">
        <f>$H167*factors!CK$3</f>
        <v>0.33517360789559997</v>
      </c>
      <c r="CR167" s="3">
        <f>$H167*factors!CL$3</f>
        <v>0.34576523057120001</v>
      </c>
      <c r="CS167" s="3">
        <f>$H167*factors!CM$3</f>
        <v>0.35669851849440004</v>
      </c>
      <c r="CT167" s="3">
        <f>$H167*factors!CN$3</f>
        <v>0.35259853552320003</v>
      </c>
      <c r="CU167" s="3">
        <f>$H167*factors!CO$3</f>
        <v>0.34474023482839999</v>
      </c>
      <c r="CV167" s="3">
        <f>$H167*factors!CP$3</f>
        <v>0.35874850998000002</v>
      </c>
      <c r="CW167" s="3">
        <f>$H167*factors!CQ$3</f>
        <v>0.33927359086680003</v>
      </c>
      <c r="CX167" s="3">
        <f>$H167*factors!CR$3</f>
        <v>0.33414861215280001</v>
      </c>
      <c r="CY167" s="3">
        <f>$H167*factors!CS$3</f>
        <v>0.33107362492440001</v>
      </c>
      <c r="CZ167" s="3">
        <f>$H167*factors!CT$3</f>
        <v>0.32629031145799997</v>
      </c>
      <c r="DA167" s="3">
        <f>$H167*factors!CU$3</f>
        <v>0.33876977940000003</v>
      </c>
      <c r="DB167" s="3">
        <f>$H167*factors!CV$3</f>
        <v>0.36065951899200005</v>
      </c>
      <c r="DC167" s="3">
        <f>$H167*factors!CW$3</f>
        <v>0.34537144689600002</v>
      </c>
      <c r="DD167" s="3">
        <f>$H167*factors!CX$3</f>
        <v>0.34293925360800004</v>
      </c>
      <c r="DE167" s="3">
        <f>$H167*factors!CY$3</f>
        <v>0.35301548294400009</v>
      </c>
      <c r="DF167" s="3">
        <f>$H167*factors!CZ$3</f>
        <v>0.35232057057600003</v>
      </c>
      <c r="DG167" s="3">
        <f>$H167*factors!DA$3</f>
        <v>0.35093074584000006</v>
      </c>
      <c r="DH167" s="3">
        <f>$H167*factors!DB$3</f>
        <v>0.35093074584000006</v>
      </c>
      <c r="DI167" s="3">
        <f>$H167*factors!DC$3</f>
        <v>0.33772741084800001</v>
      </c>
      <c r="DJ167" s="3">
        <f>$H167*factors!DD$3</f>
        <v>0.35787986952000006</v>
      </c>
      <c r="DK167" s="3">
        <f>$H167*factors!DE$3</f>
        <v>0.35787986952000006</v>
      </c>
      <c r="DL167" s="3">
        <f>$H167*factors!DF$3</f>
        <v>0.35371039531200005</v>
      </c>
      <c r="DM167" s="3">
        <f>$H167*factors!DG$3</f>
        <v>0.33321048045599999</v>
      </c>
      <c r="DN167" s="3">
        <f>$H167*factors!DH$3</f>
        <v>0.34954092110400004</v>
      </c>
      <c r="DO167" s="3">
        <f>$H167*factors!DI$3</f>
        <v>0.361006975176</v>
      </c>
      <c r="DP167" s="3">
        <f>$H167*factors!DJ$3</f>
        <v>0.35787986952000006</v>
      </c>
      <c r="DQ167" s="3">
        <f>$H167*factors!DK$3</f>
        <v>0.34120197268800001</v>
      </c>
      <c r="DR167" s="3">
        <f>$H167*factors!DL$3</f>
        <v>0.33737995466400006</v>
      </c>
      <c r="DS167" s="3">
        <f>$H167*factors!DM$3</f>
        <v>0.364481537016</v>
      </c>
      <c r="DT167" s="3">
        <f>$H167*factors!DN$3</f>
        <v>0.34259179742400003</v>
      </c>
      <c r="DU167" s="3">
        <f>$H167*factors!DO$3</f>
        <v>0.35857478188800002</v>
      </c>
      <c r="DV167" s="3">
        <f>$H167*factors!DP$3</f>
        <v>0.35023583347200005</v>
      </c>
      <c r="DW167" s="3">
        <f>$H167*factors!DQ$3</f>
        <v>0.33425284900800001</v>
      </c>
      <c r="DX167" s="3">
        <f>$H167*factors!DR$3</f>
        <v>0.354057851496</v>
      </c>
      <c r="DY167" s="3">
        <f>$H167*factors!DS$3</f>
        <v>0.33599012992799998</v>
      </c>
      <c r="DZ167" s="3">
        <f>$H167*factors!DT$3</f>
        <v>0.35926969425600003</v>
      </c>
      <c r="EA167" s="3">
        <f>$H167*factors!DU$3</f>
        <v>0.33842232321600002</v>
      </c>
      <c r="EB167" s="3">
        <f>$H167*factors!DV$3</f>
        <v>0.3300833748</v>
      </c>
      <c r="EC167" s="3">
        <f>$H167*factors!DW$3</f>
        <v>0.35510022004800001</v>
      </c>
      <c r="ED167" s="3">
        <f>$H167*factors!DX$3</f>
        <v>0.33321048045599999</v>
      </c>
      <c r="EE167" s="3">
        <f>$H167*factors!DY$3</f>
        <v>0.33599012992799998</v>
      </c>
      <c r="EF167" s="3">
        <f>$H167*factors!DZ$3</f>
        <v>0.364481537016</v>
      </c>
      <c r="EG167" s="3">
        <f>$H167*factors!EA$3</f>
        <v>0.34050706032</v>
      </c>
      <c r="EH167" s="3">
        <f>$H167*factors!EB$3</f>
        <v>0.34154942887200002</v>
      </c>
      <c r="EI167" s="3">
        <f>$H167*factors!EC$3</f>
        <v>0.34085451650400006</v>
      </c>
      <c r="EJ167" s="3">
        <f>$H167*factors!ED$3</f>
        <v>0.33216811190400003</v>
      </c>
      <c r="EK167" s="3">
        <f>$H167*factors!EE$3</f>
        <v>0.35510022004800001</v>
      </c>
      <c r="EL167" s="3">
        <f>$H167*factors!EF$3</f>
        <v>0.33772741084800001</v>
      </c>
      <c r="EM167" s="3">
        <f>$H167*factors!EG$3</f>
        <v>0.35127820202400001</v>
      </c>
      <c r="EN167" s="3">
        <f>$H167*factors!EH$3</f>
        <v>0.3300833748</v>
      </c>
      <c r="EO167" s="3">
        <f>$H167*factors!EI$3</f>
        <v>0.33494776137600002</v>
      </c>
      <c r="EP167" s="3">
        <f>$H167*factors!EJ$3</f>
        <v>0.35336293912800004</v>
      </c>
      <c r="EQ167" s="3">
        <f>$H167*factors!EK$3</f>
        <v>0.34363416597599999</v>
      </c>
      <c r="ER167" s="3">
        <f>$H167*factors!EL$3</f>
        <v>0.35787986952000006</v>
      </c>
      <c r="ES167" s="3">
        <f>$H167*factors!EM$3</f>
        <v>0.35336293912800004</v>
      </c>
      <c r="ET167" s="3">
        <f>$H167*factors!EN$3</f>
        <v>0.36135443136000006</v>
      </c>
      <c r="EU167" s="3">
        <f>$H167*factors!EO$3</f>
        <v>0.36482899320000006</v>
      </c>
      <c r="EV167" s="3">
        <f>$H167*factors!EP$3</f>
        <v>0.34189688505600002</v>
      </c>
      <c r="EW167" s="3">
        <f>$H167*factors!EQ$3</f>
        <v>0.37604893247499999</v>
      </c>
      <c r="EX167" s="3">
        <f>$H167*factors!ER$3</f>
        <v>0.37206766370000011</v>
      </c>
      <c r="EY167" s="3">
        <f>$H167*factors!ES$3</f>
        <v>0.37966826772500001</v>
      </c>
      <c r="EZ167" s="3">
        <f>$H167*factors!ET$3</f>
        <v>0.37604893247499999</v>
      </c>
      <c r="FA167" s="3">
        <f>$H167*factors!EU$3</f>
        <v>0.34564651637499999</v>
      </c>
      <c r="FB167" s="3">
        <f>$H167*factors!EV$3</f>
        <v>0.36120965795000004</v>
      </c>
      <c r="FC167" s="3">
        <f>$H167*factors!EW$3</f>
        <v>0.37134379665000006</v>
      </c>
      <c r="FD167" s="3">
        <f>$H167*factors!EX$3</f>
        <v>0.35831418975000007</v>
      </c>
      <c r="FE167" s="3">
        <f>$H167*factors!EY$3</f>
        <v>0.37749666657500003</v>
      </c>
      <c r="FF167" s="3">
        <f>$H167*factors!EZ$3</f>
        <v>0.37785860010000011</v>
      </c>
      <c r="FG167" s="3">
        <f>$H167*factors!FA$3</f>
        <v>0.34564651637499999</v>
      </c>
      <c r="FH167" s="3">
        <f>$H167*factors!FB$3</f>
        <v>0.36374319262499999</v>
      </c>
      <c r="FI167" s="3">
        <f>$H167*factors!FC$3</f>
        <v>0.37894440067500001</v>
      </c>
      <c r="FJ167" s="3">
        <f>$H167*factors!FD$3</f>
        <v>0.36374319262499999</v>
      </c>
      <c r="FK167" s="3">
        <f>$H167*factors!FE$3</f>
        <v>0.36989606255000007</v>
      </c>
      <c r="FL167" s="3">
        <f>$H167*factors!FF$3</f>
        <v>0.37098186312500003</v>
      </c>
      <c r="FM167" s="3">
        <f>$H167*factors!FG$3</f>
        <v>0.37496313190000002</v>
      </c>
      <c r="FN167" s="3">
        <f>$H167*factors!FH$3</f>
        <v>0.35071358572500005</v>
      </c>
      <c r="FO167" s="3">
        <f>$H167*factors!FI$3</f>
        <v>0.37242959722500002</v>
      </c>
      <c r="FP167" s="3">
        <f>$H167*factors!FJ$3</f>
        <v>0.36193352500000003</v>
      </c>
      <c r="FQ167" s="3">
        <f>$H167*factors!FK$3</f>
        <v>0.35831418975000007</v>
      </c>
      <c r="FR167" s="3">
        <f>$H167*factors!FL$3</f>
        <v>0.36555286025000006</v>
      </c>
      <c r="FS167" s="3">
        <f>$H167*factors!FM$3</f>
        <v>0.36338125910000002</v>
      </c>
      <c r="FT167" s="3">
        <f>$H167*factors!FN$3</f>
        <v>0.37134379665000006</v>
      </c>
      <c r="FU167" s="3">
        <f>$H167*factors!FO$3</f>
        <v>0.35686645565000003</v>
      </c>
      <c r="FV167" s="3">
        <f>$H167*factors!FP$3</f>
        <v>0.35397098745</v>
      </c>
      <c r="FW167" s="3">
        <f>$H167*factors!FQ$3</f>
        <v>0.37894440067500001</v>
      </c>
      <c r="FX167" s="3">
        <f>$H167*factors!FR$3</f>
        <v>0.37206766370000011</v>
      </c>
      <c r="FY167" s="3">
        <f>$H167*factors!FS$3</f>
        <v>0.36446705967499998</v>
      </c>
      <c r="FZ167" s="3">
        <f>$H167*factors!FT$3</f>
        <v>0.34637038342500004</v>
      </c>
      <c r="GA167" s="3">
        <f>$H167*factors!FU$3</f>
        <v>0.36446705967499998</v>
      </c>
      <c r="GB167" s="3">
        <f>$H167*factors!FV$3</f>
        <v>0.37785860010000011</v>
      </c>
      <c r="GC167" s="3">
        <f>$H167*factors!FW$3</f>
        <v>0.35397098745</v>
      </c>
      <c r="GD167" s="3">
        <f>$H167*factors!FX$3</f>
        <v>0.36012385737500002</v>
      </c>
      <c r="GE167" s="3">
        <f>$H167*factors!FY$3</f>
        <v>0.36012385737500002</v>
      </c>
      <c r="GF167" s="3">
        <f>$H167*factors!FZ$3</f>
        <v>0.35903805680000006</v>
      </c>
      <c r="GG167" s="3">
        <f>$H167*factors!GA$3</f>
        <v>0.344922649325</v>
      </c>
      <c r="GH167" s="3">
        <f>$H167*factors!GB$3</f>
        <v>0.36700059435000004</v>
      </c>
      <c r="GI167" s="3">
        <f>$H167*factors!GC$3</f>
        <v>0.34419878227500006</v>
      </c>
      <c r="GJ167" s="3">
        <f>$H167*factors!GD$3</f>
        <v>0.344922649325</v>
      </c>
      <c r="GK167" s="3">
        <f>$H167*factors!GE$3</f>
        <v>0.35360905392500003</v>
      </c>
      <c r="GL167" s="3">
        <f>$H167*factors!GF$3</f>
        <v>0.37460119837500006</v>
      </c>
      <c r="GM167" s="3">
        <f>$H167*factors!GG$3</f>
        <v>0.35505678802500007</v>
      </c>
      <c r="GN167" s="3">
        <f>$H167*factors!GH$3</f>
        <v>0.3662767273000001</v>
      </c>
      <c r="GO167" s="3">
        <f>$H167*factors!GI$3</f>
        <v>0.34600844990000001</v>
      </c>
      <c r="GP167" s="3">
        <f>$H167*factors!GJ$3</f>
        <v>0.37098186312500003</v>
      </c>
      <c r="GQ167" s="3">
        <f>$H167*factors!GK$3</f>
        <v>0.3785824671500001</v>
      </c>
      <c r="GR167" s="3">
        <f>$H167*factors!GL$3</f>
        <v>0.37134379665000006</v>
      </c>
      <c r="GS167" s="3">
        <f>$H167*factors!GM$3</f>
        <v>0.35117686063700004</v>
      </c>
      <c r="GT167" s="3">
        <f>$H167*factors!GN$3</f>
        <v>0.35926679878780005</v>
      </c>
      <c r="GU167" s="3">
        <f>$H167*factors!GO$3</f>
        <v>0.36772446140000004</v>
      </c>
      <c r="GV167" s="3">
        <f>$H167*factors!GP$3</f>
        <v>0.35301548294400009</v>
      </c>
      <c r="GW167" s="3">
        <f>$H167*factors!GQ$3</f>
        <v>0.36551811463160006</v>
      </c>
      <c r="GX167" s="3">
        <f>$H167*factors!GR$3</f>
        <v>0.35963452324920003</v>
      </c>
      <c r="GY167" s="3">
        <f>$H167*factors!GS$3</f>
        <v>0.3577959009422001</v>
      </c>
      <c r="GZ167" s="3">
        <f>$H167*factors!GT$3</f>
        <v>0.37103398155259998</v>
      </c>
      <c r="HA167" s="3">
        <f>$H167*factors!GU$3</f>
        <v>0.35889907432640006</v>
      </c>
      <c r="HB167" s="3">
        <f>$H167*factors!GV$3</f>
        <v>0.37103398155259998</v>
      </c>
      <c r="HC167" s="3">
        <f>$H167*factors!GW$3</f>
        <v>0.36184087001760001</v>
      </c>
      <c r="HD167" s="3">
        <f>$H167*factors!GX$3</f>
        <v>0.37250487939819998</v>
      </c>
      <c r="HE167" s="3">
        <f>$H167*factors!GY$3</f>
        <v>0.36772446140000004</v>
      </c>
      <c r="HF167" s="3">
        <f>$H167*factors!GZ$3</f>
        <v>0.37912391970340004</v>
      </c>
      <c r="HG167" s="3">
        <f>$H167*factors!HA$3</f>
        <v>0.36441494124740004</v>
      </c>
      <c r="HH167" s="3">
        <f>$H167*factors!HB$3</f>
        <v>0.35963452324920003</v>
      </c>
      <c r="HI167" s="3">
        <f>$H167*factors!HC$3</f>
        <v>0.35522182971240007</v>
      </c>
      <c r="HJ167" s="3">
        <f>$H167*factors!HD$3</f>
        <v>0.35117686063700004</v>
      </c>
      <c r="HK167" s="3">
        <f>$H167*factors!HE$3</f>
        <v>0.37140170601400002</v>
      </c>
      <c r="HL167" s="3">
        <f>$H167*factors!HF$3</f>
        <v>0.35007368725280003</v>
      </c>
      <c r="HM167" s="3">
        <f>$H167*factors!HG$3</f>
        <v>0.35375093186680007</v>
      </c>
      <c r="HN167" s="3">
        <f>$H167*factors!HH$3</f>
        <v>0.37728529739640004</v>
      </c>
      <c r="HO167" s="3">
        <f>$H167*factors!HI$3</f>
        <v>0.36184087001760001</v>
      </c>
      <c r="HP167" s="3">
        <f>$H167*factors!HJ$3</f>
        <v>0.38611068447000008</v>
      </c>
      <c r="HQ167" s="3">
        <f>$H167*factors!HK$3</f>
        <v>0.35301548294400009</v>
      </c>
      <c r="HR167" s="3">
        <f>$H167*factors!HL$3</f>
        <v>0.37434350170520009</v>
      </c>
      <c r="HS167" s="3">
        <f>$H167*factors!HM$3</f>
        <v>0.38096254201040003</v>
      </c>
      <c r="HT167" s="3">
        <f>$H167*factors!HN$3</f>
        <v>0.35522182971240007</v>
      </c>
      <c r="HU167" s="3">
        <f>$H167*factors!HO$3</f>
        <v>0.35889907432640006</v>
      </c>
      <c r="HV167" s="3">
        <f>$H167*factors!HP$3</f>
        <v>0.36331176786320007</v>
      </c>
      <c r="HW167" s="3">
        <f>$H167*factors!HQ$3</f>
        <v>0.36845991032280007</v>
      </c>
      <c r="HX167" s="3">
        <f>$H167*factors!HR$3</f>
        <v>0.3835366132402</v>
      </c>
      <c r="HY167" s="3">
        <f>$H167*factors!HS$3</f>
        <v>0.36441494124740004</v>
      </c>
      <c r="HZ167" s="3">
        <f>$H167*factors!HT$3</f>
        <v>0.37838847078060001</v>
      </c>
      <c r="IA167" s="3">
        <f>$H167*factors!HU$3</f>
        <v>0.36000224771060008</v>
      </c>
      <c r="IB167" s="3">
        <f>$H167*factors!HV$3</f>
        <v>0.37250487939819998</v>
      </c>
      <c r="IC167" s="3">
        <f>$H167*factors!HW$3</f>
        <v>0.37618212401220003</v>
      </c>
      <c r="ID167" s="3">
        <f>$H167*factors!HX$3</f>
        <v>0.34933823832999999</v>
      </c>
      <c r="IE167" s="3">
        <f>$H167*factors!HY$3</f>
        <v>0.37103398155259998</v>
      </c>
      <c r="IF167" s="3">
        <f>$H167*factors!HZ$3</f>
        <v>0.3688276347842</v>
      </c>
      <c r="IG167" s="3">
        <f>$H167*factors!IA$3</f>
        <v>0.36551811463160006</v>
      </c>
      <c r="IH167" s="3">
        <f>$H167*factors!IB$3</f>
        <v>0.37912391970340004</v>
      </c>
      <c r="II167" s="3">
        <f>$H167*factors!IC$3</f>
        <v>0.36294404340180003</v>
      </c>
      <c r="IJ167" s="3">
        <f>$H167*factors!ID$3</f>
        <v>0.36625356355440009</v>
      </c>
      <c r="IK167" s="3">
        <f>$H167*factors!IE$3</f>
        <v>0.37949164416480008</v>
      </c>
      <c r="IL167" s="3">
        <f>$H167*factors!IF$3</f>
        <v>0.36331176786320007</v>
      </c>
      <c r="IM167" s="3">
        <f>$H167*factors!IG$3</f>
        <v>0.36000224771060008</v>
      </c>
      <c r="IN167" s="3">
        <f>$H167*factors!IH$3</f>
        <v>0.36220859447900006</v>
      </c>
      <c r="IO167" s="3">
        <f>$H167*factors!II$3</f>
        <v>0.36588583909300004</v>
      </c>
      <c r="IP167" s="3">
        <f>$H167*factors!IJ$3</f>
        <v>0.35375093186680007</v>
      </c>
      <c r="IQ167" s="3">
        <f>$H167*factors!IK$3</f>
        <v>0.35264775848260005</v>
      </c>
      <c r="IR167" s="3">
        <f>$H167*factors!IL$3</f>
        <v>0.36294404340180003</v>
      </c>
      <c r="IS167" s="3">
        <f>$H167*factors!IM$3</f>
        <v>0.36588583909300004</v>
      </c>
      <c r="IT167" s="3">
        <f>$H167*factors!IN$3</f>
        <v>0.36845991032280007</v>
      </c>
      <c r="IU167" s="3">
        <f>$H167*factors!IO$3</f>
        <v>0.37654984847360007</v>
      </c>
      <c r="IV167" s="3">
        <f>$H167*factors!IP$3</f>
        <v>0.38133026647180002</v>
      </c>
      <c r="IW167" s="3">
        <f>$H167*factors!IQ$3</f>
        <v>0.36036997217200001</v>
      </c>
      <c r="IX167" s="3">
        <f>$H167*factors!IR$3</f>
        <v>0.37654984847360007</v>
      </c>
      <c r="IY167" s="3">
        <f>$H167*factors!IS$3</f>
        <v>0.37103398155259998</v>
      </c>
      <c r="IZ167" s="3">
        <f>$H167*factors!IT$3</f>
        <v>0.37728529739640004</v>
      </c>
      <c r="JA167" s="3">
        <f>$H167*factors!IU$3</f>
        <v>0.35632500309660003</v>
      </c>
      <c r="JB167" s="3">
        <f>$H167*factors!IV$3</f>
        <v>0.36294404340180003</v>
      </c>
      <c r="JC167" s="3">
        <f>$H167*factors!IW$3</f>
        <v>0.35448638078960004</v>
      </c>
      <c r="JD167" s="3">
        <f>$H167*factors!IX$3</f>
        <v>0.38611068447000008</v>
      </c>
      <c r="JE167" s="3">
        <f>$H167*factors!IY$3</f>
        <v>0.3555895541738</v>
      </c>
      <c r="JF167" s="3">
        <f>$H167*factors!IZ$3</f>
        <v>0.37324032832100001</v>
      </c>
      <c r="JG167" s="3">
        <f>$H167*factors!JA$3</f>
        <v>0.36662128801580002</v>
      </c>
      <c r="JH167" s="3">
        <f>$H167*factors!JB$3</f>
        <v>0.37360805278240011</v>
      </c>
      <c r="JI167" s="3">
        <f>$H167*factors!JC$3</f>
        <v>0.34970596279140004</v>
      </c>
      <c r="JJ167" s="3">
        <f>$H167*factors!JD$3</f>
        <v>0.37654984847360007</v>
      </c>
      <c r="JK167" s="3">
        <f>$H167*factors!JE$3</f>
        <v>0.36441494124740004</v>
      </c>
      <c r="JL167" s="3">
        <f>$H167*factors!JF$3</f>
        <v>0.37912391970340004</v>
      </c>
      <c r="JM167" s="3">
        <f>$H167*factors!JG$3</f>
        <v>0.35375093186680007</v>
      </c>
      <c r="JN167" s="3">
        <f>$H167*factors!JH$3</f>
        <v>0.35375093186680007</v>
      </c>
      <c r="JO167" s="3">
        <f>$H167*factors!JI$3</f>
        <v>0.34933823832999999</v>
      </c>
      <c r="JP167" s="3">
        <f>$H167*factors!JJ$3</f>
        <v>0.37765302185780003</v>
      </c>
      <c r="JQ167" s="3">
        <f>$H167*factors!JK$3</f>
        <v>0.36809218586140002</v>
      </c>
      <c r="JR167" s="3">
        <f>$H167*factors!JL$3</f>
        <v>0.38243343985600003</v>
      </c>
      <c r="JS167" s="3">
        <f>$H167*factors!JM$3</f>
        <v>0.34933823832999999</v>
      </c>
      <c r="JT167" s="3">
        <f>$H167*factors!JN$3</f>
        <v>0.36698901247720006</v>
      </c>
      <c r="JU167" s="3">
        <f>$H167*factors!JO$3</f>
        <v>0.35485410525100003</v>
      </c>
      <c r="JV167" s="3">
        <f>$H167*factors!JP$3</f>
        <v>0.36073769663340005</v>
      </c>
      <c r="JW167" s="3">
        <f>$H167*factors!JQ$3</f>
        <v>0.3853752355472001</v>
      </c>
      <c r="JX167" s="3">
        <f>$H167*factors!JR$3</f>
        <v>0.38169799093320006</v>
      </c>
      <c r="JY167" s="3">
        <f>$H167*factors!JS$3</f>
        <v>0.35926679878780005</v>
      </c>
      <c r="JZ167" s="3">
        <f>$H167*factors!JT$3</f>
        <v>0.36331176786320007</v>
      </c>
      <c r="KA167" s="3">
        <f>$H167*factors!JU$3</f>
        <v>0.36478266570880008</v>
      </c>
      <c r="KB167" s="3">
        <f>$H167*factors!JV$3</f>
        <v>0.35264775848260005</v>
      </c>
      <c r="KC167" s="3">
        <f>$H167*factors!JW$3</f>
        <v>0.35448638078960004</v>
      </c>
      <c r="KD167" s="3">
        <f>$H167*factors!JX$3</f>
        <v>0.35485410525100003</v>
      </c>
      <c r="KE167" s="3">
        <f>$H167*factors!JY$3</f>
        <v>0.37765302185780003</v>
      </c>
      <c r="KF167" s="3">
        <f>$H167*factors!JZ$3</f>
        <v>0.38206571539459999</v>
      </c>
      <c r="KG167" s="3">
        <f>$H167*factors!KA$3</f>
        <v>0.36845991032280007</v>
      </c>
      <c r="KH167" s="3">
        <f>$H167*factors!KB$3</f>
        <v>0.36036997217200001</v>
      </c>
      <c r="KI167" s="3">
        <f>$H167*factors!KC$3</f>
        <v>0.35706045201940001</v>
      </c>
    </row>
  </sheetData>
  <autoFilter ref="A1:KI1" xr:uid="{6F027225-FF00-46AF-9A5A-D05CF10EA1EE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B850-608E-42A4-AA71-0B34CAE18B29}">
  <dimension ref="A1:G11"/>
  <sheetViews>
    <sheetView workbookViewId="0">
      <selection sqref="A1:G1048576"/>
    </sheetView>
  </sheetViews>
  <sheetFormatPr defaultRowHeight="14.4" x14ac:dyDescent="0.55000000000000004"/>
  <cols>
    <col min="1" max="1" width="10.05078125" bestFit="1" customWidth="1"/>
    <col min="2" max="6" width="11" bestFit="1" customWidth="1"/>
    <col min="7" max="7" width="11" customWidth="1"/>
  </cols>
  <sheetData>
    <row r="1" spans="1:7" x14ac:dyDescent="0.55000000000000004">
      <c r="A1" t="s">
        <v>0</v>
      </c>
      <c r="B1" t="s">
        <v>703</v>
      </c>
      <c r="C1" t="s">
        <v>704</v>
      </c>
      <c r="D1" t="s">
        <v>705</v>
      </c>
      <c r="E1" t="s">
        <v>706</v>
      </c>
      <c r="F1" t="s">
        <v>707</v>
      </c>
      <c r="G1" t="s">
        <v>708</v>
      </c>
    </row>
    <row r="2" spans="1:7" x14ac:dyDescent="0.55000000000000004">
      <c r="A2" t="s">
        <v>371</v>
      </c>
      <c r="B2">
        <v>12411</v>
      </c>
      <c r="C2">
        <v>12759</v>
      </c>
      <c r="D2">
        <v>13470</v>
      </c>
      <c r="E2">
        <v>14839</v>
      </c>
      <c r="F2">
        <v>16760</v>
      </c>
      <c r="G2">
        <v>18636</v>
      </c>
    </row>
    <row r="3" spans="1:7" x14ac:dyDescent="0.55000000000000004">
      <c r="A3" t="s">
        <v>377</v>
      </c>
      <c r="B3">
        <v>11098</v>
      </c>
      <c r="C3">
        <v>11290</v>
      </c>
      <c r="D3">
        <v>11780</v>
      </c>
      <c r="E3">
        <v>12360</v>
      </c>
      <c r="F3">
        <v>12932</v>
      </c>
      <c r="G3">
        <v>13531</v>
      </c>
    </row>
    <row r="4" spans="1:7" x14ac:dyDescent="0.55000000000000004">
      <c r="A4" t="s">
        <v>545</v>
      </c>
      <c r="B4">
        <v>5051</v>
      </c>
      <c r="C4">
        <v>5316</v>
      </c>
      <c r="D4">
        <v>5651</v>
      </c>
      <c r="E4">
        <v>6116</v>
      </c>
      <c r="F4">
        <v>6914</v>
      </c>
      <c r="G4">
        <v>7746</v>
      </c>
    </row>
    <row r="5" spans="1:7" x14ac:dyDescent="0.55000000000000004">
      <c r="A5" t="s">
        <v>546</v>
      </c>
      <c r="B5">
        <v>3240</v>
      </c>
      <c r="C5">
        <v>3270</v>
      </c>
      <c r="D5">
        <v>3333</v>
      </c>
      <c r="E5">
        <v>3401</v>
      </c>
      <c r="F5">
        <v>3469</v>
      </c>
      <c r="G5">
        <v>3539</v>
      </c>
    </row>
    <row r="6" spans="1:7" x14ac:dyDescent="0.55000000000000004">
      <c r="A6" t="s">
        <v>547</v>
      </c>
      <c r="B6">
        <v>2058</v>
      </c>
      <c r="C6">
        <v>2359</v>
      </c>
      <c r="D6">
        <v>2612</v>
      </c>
      <c r="E6">
        <v>2937</v>
      </c>
      <c r="F6">
        <v>3303</v>
      </c>
      <c r="G6">
        <v>3715</v>
      </c>
    </row>
    <row r="7" spans="1:7" x14ac:dyDescent="0.55000000000000004">
      <c r="A7" t="s">
        <v>548</v>
      </c>
      <c r="B7">
        <v>2408</v>
      </c>
      <c r="C7">
        <v>2547</v>
      </c>
      <c r="D7">
        <v>2766</v>
      </c>
      <c r="E7">
        <v>2970</v>
      </c>
      <c r="F7">
        <v>3190</v>
      </c>
      <c r="G7">
        <v>3425</v>
      </c>
    </row>
    <row r="8" spans="1:7" x14ac:dyDescent="0.55000000000000004">
      <c r="A8" t="s">
        <v>549</v>
      </c>
      <c r="B8">
        <v>24640</v>
      </c>
      <c r="C8">
        <v>26940</v>
      </c>
      <c r="D8">
        <v>29650</v>
      </c>
      <c r="E8">
        <v>31900</v>
      </c>
      <c r="F8">
        <v>33540</v>
      </c>
      <c r="G8">
        <v>35480</v>
      </c>
    </row>
    <row r="9" spans="1:7" x14ac:dyDescent="0.55000000000000004">
      <c r="A9" t="s">
        <v>550</v>
      </c>
      <c r="B9">
        <v>337</v>
      </c>
      <c r="C9">
        <v>374</v>
      </c>
      <c r="D9">
        <v>422</v>
      </c>
      <c r="E9">
        <v>476</v>
      </c>
      <c r="F9">
        <v>537</v>
      </c>
      <c r="G9">
        <v>605</v>
      </c>
    </row>
    <row r="10" spans="1:7" x14ac:dyDescent="0.55000000000000004">
      <c r="A10" t="s">
        <v>551</v>
      </c>
      <c r="B10">
        <v>40535</v>
      </c>
      <c r="C10">
        <v>42627</v>
      </c>
      <c r="D10">
        <v>44983</v>
      </c>
      <c r="E10">
        <v>47214</v>
      </c>
      <c r="F10">
        <v>49555</v>
      </c>
      <c r="G10">
        <v>52012</v>
      </c>
    </row>
    <row r="11" spans="1:7" x14ac:dyDescent="0.55000000000000004">
      <c r="A11" t="s">
        <v>552</v>
      </c>
      <c r="B11">
        <v>4225</v>
      </c>
      <c r="C11">
        <v>4457</v>
      </c>
      <c r="D11">
        <v>4730</v>
      </c>
      <c r="E11">
        <v>4998</v>
      </c>
      <c r="F11">
        <v>5285</v>
      </c>
      <c r="G11">
        <v>5589</v>
      </c>
    </row>
  </sheetData>
  <autoFilter ref="A1:G1" xr:uid="{478BB850-608E-42A4-AA71-0B34CAE18B2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982D-F5F1-47C8-B59B-1DE2FE16375A}">
  <dimension ref="A1:RN35"/>
  <sheetViews>
    <sheetView workbookViewId="0">
      <selection activeCell="H9" sqref="H9"/>
    </sheetView>
  </sheetViews>
  <sheetFormatPr defaultRowHeight="14.4" x14ac:dyDescent="0.55000000000000004"/>
  <sheetData>
    <row r="1" spans="1:482" x14ac:dyDescent="0.55000000000000004">
      <c r="C1" t="s">
        <v>24</v>
      </c>
    </row>
    <row r="2" spans="1:482" x14ac:dyDescent="0.55000000000000004">
      <c r="A2" t="s">
        <v>76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</row>
    <row r="3" spans="1:482" x14ac:dyDescent="0.55000000000000004">
      <c r="A3">
        <v>1</v>
      </c>
      <c r="B3" s="4">
        <v>1</v>
      </c>
      <c r="C3">
        <v>1.107</v>
      </c>
      <c r="D3">
        <v>1.06704</v>
      </c>
      <c r="E3">
        <v>1.0486800000000001</v>
      </c>
      <c r="F3">
        <v>1.0454400000000001</v>
      </c>
      <c r="G3">
        <v>1.04436</v>
      </c>
      <c r="H3">
        <v>1.0746</v>
      </c>
      <c r="I3">
        <v>1.09836</v>
      </c>
      <c r="J3">
        <v>1.1113200000000001</v>
      </c>
      <c r="K3">
        <v>1.04328</v>
      </c>
      <c r="L3">
        <v>1.026</v>
      </c>
      <c r="M3">
        <v>1.06812</v>
      </c>
      <c r="N3">
        <v>1.10484</v>
      </c>
      <c r="O3">
        <v>1.0465200000000001</v>
      </c>
      <c r="P3">
        <v>1.0886400000000001</v>
      </c>
      <c r="Q3">
        <v>1.09836</v>
      </c>
      <c r="R3">
        <v>1.05084</v>
      </c>
      <c r="S3">
        <v>1.04112</v>
      </c>
      <c r="T3">
        <v>1.1232000000000002</v>
      </c>
      <c r="U3">
        <v>1.0605599999999999</v>
      </c>
      <c r="V3">
        <v>1.0616400000000001</v>
      </c>
      <c r="W3">
        <v>1.0627200000000001</v>
      </c>
      <c r="X3">
        <v>1.0400400000000001</v>
      </c>
      <c r="Y3">
        <v>1.0486800000000001</v>
      </c>
      <c r="Z3">
        <v>1.0702800000000001</v>
      </c>
      <c r="AA3">
        <v>1.04328</v>
      </c>
      <c r="AB3">
        <v>1.0389600000000001</v>
      </c>
      <c r="AC3">
        <v>1.0724400000000001</v>
      </c>
      <c r="AD3">
        <v>1.11348</v>
      </c>
      <c r="AE3">
        <v>1.0713600000000001</v>
      </c>
      <c r="AF3">
        <v>1.0292399999999999</v>
      </c>
      <c r="AG3">
        <v>1.0584</v>
      </c>
      <c r="AH3">
        <v>1.04112</v>
      </c>
      <c r="AI3">
        <v>1.0908</v>
      </c>
      <c r="AJ3">
        <v>1.0454400000000001</v>
      </c>
      <c r="AK3">
        <v>1.0789200000000001</v>
      </c>
      <c r="AL3">
        <v>1.0551600000000001</v>
      </c>
      <c r="AM3">
        <v>1.0292399999999999</v>
      </c>
      <c r="AN3">
        <v>1.0616400000000001</v>
      </c>
      <c r="AO3">
        <v>1.1242799999999999</v>
      </c>
      <c r="AP3">
        <v>1.0627200000000001</v>
      </c>
      <c r="AQ3">
        <v>1.05192</v>
      </c>
      <c r="AR3">
        <v>1.1124000000000001</v>
      </c>
      <c r="AS3">
        <v>1.026</v>
      </c>
      <c r="AT3">
        <v>1.0994400000000002</v>
      </c>
      <c r="AU3">
        <v>1.07568</v>
      </c>
      <c r="AV3">
        <v>1.0616400000000001</v>
      </c>
      <c r="AW3">
        <v>1.1232000000000002</v>
      </c>
      <c r="AX3">
        <v>1.0367999999999999</v>
      </c>
      <c r="AY3">
        <v>1.2189399999999999</v>
      </c>
      <c r="AZ3">
        <v>1.1351599999999999</v>
      </c>
      <c r="BA3">
        <v>1.1516799999999998</v>
      </c>
      <c r="BB3">
        <v>1.1670199999999999</v>
      </c>
      <c r="BC3">
        <v>1.2094999999999998</v>
      </c>
      <c r="BD3">
        <v>1.1552199999999999</v>
      </c>
      <c r="BE3">
        <v>1.1575799999999998</v>
      </c>
      <c r="BF3">
        <v>1.1445999999999998</v>
      </c>
      <c r="BG3">
        <v>1.22248</v>
      </c>
      <c r="BH3">
        <v>1.2071399999999999</v>
      </c>
      <c r="BI3">
        <v>1.1351599999999999</v>
      </c>
      <c r="BJ3">
        <v>1.1316199999999998</v>
      </c>
      <c r="BK3">
        <v>1.1504999999999999</v>
      </c>
      <c r="BL3">
        <v>1.1918</v>
      </c>
      <c r="BM3">
        <v>1.21068</v>
      </c>
      <c r="BN3">
        <v>1.2142199999999999</v>
      </c>
      <c r="BO3">
        <v>1.23428</v>
      </c>
      <c r="BP3">
        <v>1.1481399999999999</v>
      </c>
      <c r="BQ3">
        <v>1.1740999999999999</v>
      </c>
      <c r="BR3">
        <v>1.1516799999999998</v>
      </c>
      <c r="BS3">
        <v>1.2047799999999997</v>
      </c>
      <c r="BT3">
        <v>1.1823599999999999</v>
      </c>
      <c r="BU3">
        <v>1.1670199999999999</v>
      </c>
      <c r="BV3">
        <v>1.1292599999999999</v>
      </c>
      <c r="BW3">
        <v>1.1622999999999999</v>
      </c>
      <c r="BX3">
        <v>1.16584</v>
      </c>
      <c r="BY3">
        <v>1.1823599999999999</v>
      </c>
      <c r="BZ3">
        <v>1.16466</v>
      </c>
      <c r="CA3">
        <v>1.1257199999999998</v>
      </c>
      <c r="CB3">
        <v>1.1268999999999998</v>
      </c>
      <c r="CC3">
        <v>1.121</v>
      </c>
      <c r="CD3">
        <v>1.1670199999999999</v>
      </c>
      <c r="CE3">
        <v>1.2189399999999999</v>
      </c>
      <c r="CF3">
        <v>1.1422399999999999</v>
      </c>
      <c r="CG3">
        <v>1.1693799999999999</v>
      </c>
      <c r="CH3">
        <v>1.1304399999999999</v>
      </c>
      <c r="CI3">
        <v>1.1386999999999998</v>
      </c>
      <c r="CJ3">
        <v>1.1929799999999997</v>
      </c>
      <c r="CK3">
        <v>1.1575799999999998</v>
      </c>
      <c r="CL3">
        <v>1.1941599999999999</v>
      </c>
      <c r="CM3">
        <v>1.2319199999999999</v>
      </c>
      <c r="CN3">
        <v>1.21776</v>
      </c>
      <c r="CO3">
        <v>1.1906199999999998</v>
      </c>
      <c r="CP3">
        <v>1.2389999999999999</v>
      </c>
      <c r="CQ3">
        <v>1.17174</v>
      </c>
      <c r="CR3">
        <v>1.15404</v>
      </c>
      <c r="CS3">
        <v>1.1434199999999999</v>
      </c>
      <c r="CT3">
        <v>1.1268999999999998</v>
      </c>
      <c r="CU3">
        <v>1.17</v>
      </c>
      <c r="CV3">
        <v>1.2456</v>
      </c>
      <c r="CW3">
        <v>1.1927999999999999</v>
      </c>
      <c r="CX3">
        <v>1.1843999999999999</v>
      </c>
      <c r="CY3">
        <v>1.2192000000000001</v>
      </c>
      <c r="CZ3">
        <v>1.2167999999999999</v>
      </c>
      <c r="DA3">
        <v>1.212</v>
      </c>
      <c r="DB3">
        <v>1.212</v>
      </c>
      <c r="DC3">
        <v>1.1663999999999999</v>
      </c>
      <c r="DD3">
        <v>1.236</v>
      </c>
      <c r="DE3">
        <v>1.236</v>
      </c>
      <c r="DF3">
        <v>1.2216</v>
      </c>
      <c r="DG3">
        <v>1.1507999999999998</v>
      </c>
      <c r="DH3">
        <v>1.2072000000000001</v>
      </c>
      <c r="DI3">
        <v>1.2467999999999999</v>
      </c>
      <c r="DJ3">
        <v>1.236</v>
      </c>
      <c r="DK3">
        <v>1.1783999999999999</v>
      </c>
      <c r="DL3">
        <v>1.1652</v>
      </c>
      <c r="DM3">
        <v>1.2587999999999999</v>
      </c>
      <c r="DN3">
        <v>1.1832</v>
      </c>
      <c r="DO3">
        <v>1.2383999999999999</v>
      </c>
      <c r="DP3">
        <v>1.2096</v>
      </c>
      <c r="DQ3">
        <v>1.1543999999999999</v>
      </c>
      <c r="DR3">
        <v>1.2227999999999999</v>
      </c>
      <c r="DS3">
        <v>1.1603999999999999</v>
      </c>
      <c r="DT3">
        <v>1.2407999999999999</v>
      </c>
      <c r="DU3">
        <v>1.1687999999999998</v>
      </c>
      <c r="DV3">
        <v>1.1399999999999999</v>
      </c>
      <c r="DW3">
        <v>1.2263999999999999</v>
      </c>
      <c r="DX3">
        <v>1.1507999999999998</v>
      </c>
      <c r="DY3">
        <v>1.1603999999999999</v>
      </c>
      <c r="DZ3">
        <v>1.2587999999999999</v>
      </c>
      <c r="EA3">
        <v>1.1759999999999999</v>
      </c>
      <c r="EB3">
        <v>1.1796</v>
      </c>
      <c r="EC3">
        <v>1.1772</v>
      </c>
      <c r="ED3">
        <v>1.1472</v>
      </c>
      <c r="EE3">
        <v>1.2263999999999999</v>
      </c>
      <c r="EF3">
        <v>1.1663999999999999</v>
      </c>
      <c r="EG3">
        <v>1.2131999999999998</v>
      </c>
      <c r="EH3">
        <v>1.1399999999999999</v>
      </c>
      <c r="EI3">
        <v>1.1567999999999998</v>
      </c>
      <c r="EJ3">
        <v>1.2203999999999999</v>
      </c>
      <c r="EK3">
        <v>1.1867999999999999</v>
      </c>
      <c r="EL3">
        <v>1.236</v>
      </c>
      <c r="EM3">
        <v>1.2203999999999999</v>
      </c>
      <c r="EN3">
        <v>1.248</v>
      </c>
      <c r="EO3">
        <v>1.26</v>
      </c>
      <c r="EP3">
        <v>1.1807999999999998</v>
      </c>
      <c r="EQ3">
        <v>1.2987499999999998</v>
      </c>
      <c r="ER3">
        <v>1.2850000000000001</v>
      </c>
      <c r="ES3">
        <v>1.3112499999999998</v>
      </c>
      <c r="ET3">
        <v>1.2987499999999998</v>
      </c>
      <c r="EU3">
        <v>1.1937499999999999</v>
      </c>
      <c r="EV3">
        <v>1.2475000000000001</v>
      </c>
      <c r="EW3">
        <v>1.2825</v>
      </c>
      <c r="EX3">
        <v>1.2375</v>
      </c>
      <c r="EY3">
        <v>1.30375</v>
      </c>
      <c r="EZ3">
        <v>1.3050000000000002</v>
      </c>
      <c r="FA3">
        <v>1.1937499999999999</v>
      </c>
      <c r="FB3">
        <v>1.2562499999999999</v>
      </c>
      <c r="FC3">
        <v>1.3087499999999999</v>
      </c>
      <c r="FD3">
        <v>1.2562499999999999</v>
      </c>
      <c r="FE3">
        <v>1.2775000000000001</v>
      </c>
      <c r="FF3">
        <v>1.28125</v>
      </c>
      <c r="FG3">
        <v>1.2949999999999999</v>
      </c>
      <c r="FH3">
        <v>1.2112499999999999</v>
      </c>
      <c r="FI3">
        <v>1.2862499999999999</v>
      </c>
      <c r="FJ3">
        <v>1.25</v>
      </c>
      <c r="FK3">
        <v>1.2375</v>
      </c>
      <c r="FL3">
        <v>1.2625</v>
      </c>
      <c r="FM3">
        <v>1.2549999999999999</v>
      </c>
      <c r="FN3">
        <v>1.2825</v>
      </c>
      <c r="FO3">
        <v>1.2324999999999999</v>
      </c>
      <c r="FP3">
        <v>1.2224999999999999</v>
      </c>
      <c r="FQ3">
        <v>1.3087499999999999</v>
      </c>
      <c r="FR3">
        <v>1.2850000000000001</v>
      </c>
      <c r="FS3">
        <v>1.2587499999999998</v>
      </c>
      <c r="FT3">
        <v>1.19625</v>
      </c>
      <c r="FU3">
        <v>1.2587499999999998</v>
      </c>
      <c r="FV3">
        <v>1.3050000000000002</v>
      </c>
      <c r="FW3">
        <v>1.2224999999999999</v>
      </c>
      <c r="FX3">
        <v>1.2437499999999999</v>
      </c>
      <c r="FY3">
        <v>1.2437499999999999</v>
      </c>
      <c r="FZ3">
        <v>1.24</v>
      </c>
      <c r="GA3">
        <v>1.1912499999999999</v>
      </c>
      <c r="GB3">
        <v>1.2675000000000001</v>
      </c>
      <c r="GC3">
        <v>1.18875</v>
      </c>
      <c r="GD3">
        <v>1.1912499999999999</v>
      </c>
      <c r="GE3">
        <v>1.2212499999999999</v>
      </c>
      <c r="GF3">
        <v>1.29375</v>
      </c>
      <c r="GG3">
        <v>1.2262500000000001</v>
      </c>
      <c r="GH3">
        <v>1.2650000000000001</v>
      </c>
      <c r="GI3">
        <v>1.1949999999999998</v>
      </c>
      <c r="GJ3">
        <v>1.28125</v>
      </c>
      <c r="GK3">
        <v>1.3075000000000001</v>
      </c>
      <c r="GL3">
        <v>1.2825</v>
      </c>
      <c r="GM3">
        <v>1.21285</v>
      </c>
      <c r="GN3">
        <v>1.2407900000000001</v>
      </c>
      <c r="GO3">
        <v>1.27</v>
      </c>
      <c r="GP3">
        <v>1.2192000000000001</v>
      </c>
      <c r="GQ3">
        <v>1.2623800000000001</v>
      </c>
      <c r="GR3">
        <v>1.2420599999999999</v>
      </c>
      <c r="GS3">
        <v>1.2357100000000001</v>
      </c>
      <c r="GT3">
        <v>1.2814299999999998</v>
      </c>
      <c r="GU3">
        <v>1.23952</v>
      </c>
      <c r="GV3">
        <v>1.2814299999999998</v>
      </c>
      <c r="GW3">
        <v>1.2496799999999999</v>
      </c>
      <c r="GX3">
        <v>1.2865099999999998</v>
      </c>
      <c r="GY3">
        <v>1.27</v>
      </c>
      <c r="GZ3">
        <v>1.3093699999999999</v>
      </c>
      <c r="HA3">
        <v>1.25857</v>
      </c>
      <c r="HB3">
        <v>1.2420599999999999</v>
      </c>
      <c r="HC3">
        <v>1.22682</v>
      </c>
      <c r="HD3">
        <v>1.21285</v>
      </c>
      <c r="HE3">
        <v>1.2827</v>
      </c>
      <c r="HF3">
        <v>1.2090399999999999</v>
      </c>
      <c r="HG3">
        <v>1.22174</v>
      </c>
      <c r="HH3">
        <v>1.3030200000000001</v>
      </c>
      <c r="HI3">
        <v>1.2496799999999999</v>
      </c>
      <c r="HJ3">
        <v>1.3335000000000001</v>
      </c>
      <c r="HK3">
        <v>1.2192000000000001</v>
      </c>
      <c r="HL3">
        <v>1.2928600000000001</v>
      </c>
      <c r="HM3">
        <v>1.31572</v>
      </c>
      <c r="HN3">
        <v>1.22682</v>
      </c>
      <c r="HO3">
        <v>1.23952</v>
      </c>
      <c r="HP3">
        <v>1.2547600000000001</v>
      </c>
      <c r="HQ3">
        <v>1.27254</v>
      </c>
      <c r="HR3">
        <v>1.3246099999999998</v>
      </c>
      <c r="HS3">
        <v>1.25857</v>
      </c>
      <c r="HT3">
        <v>1.3068299999999999</v>
      </c>
      <c r="HU3">
        <v>1.24333</v>
      </c>
      <c r="HV3">
        <v>1.2865099999999998</v>
      </c>
      <c r="HW3">
        <v>1.29921</v>
      </c>
      <c r="HX3">
        <v>1.2064999999999999</v>
      </c>
      <c r="HY3">
        <v>1.2814299999999998</v>
      </c>
      <c r="HZ3">
        <v>1.2738099999999999</v>
      </c>
      <c r="IA3">
        <v>1.2623800000000001</v>
      </c>
      <c r="IB3">
        <v>1.3093699999999999</v>
      </c>
      <c r="IC3">
        <v>1.25349</v>
      </c>
      <c r="ID3">
        <v>1.26492</v>
      </c>
      <c r="IE3">
        <v>1.31064</v>
      </c>
      <c r="IF3">
        <v>1.2547600000000001</v>
      </c>
      <c r="IG3">
        <v>1.24333</v>
      </c>
      <c r="IH3">
        <v>1.25095</v>
      </c>
      <c r="II3">
        <v>1.2636499999999999</v>
      </c>
      <c r="IJ3">
        <v>1.22174</v>
      </c>
      <c r="IK3">
        <v>1.21793</v>
      </c>
      <c r="IL3">
        <v>1.25349</v>
      </c>
      <c r="IM3">
        <v>1.2636499999999999</v>
      </c>
      <c r="IN3">
        <v>1.27254</v>
      </c>
      <c r="IO3">
        <v>1.3004800000000001</v>
      </c>
      <c r="IP3">
        <v>1.3169899999999999</v>
      </c>
      <c r="IQ3">
        <v>1.2445999999999999</v>
      </c>
      <c r="IR3">
        <v>1.3004800000000001</v>
      </c>
      <c r="IS3">
        <v>1.2814299999999998</v>
      </c>
      <c r="IT3">
        <v>1.3030200000000001</v>
      </c>
      <c r="IU3">
        <v>1.2306299999999999</v>
      </c>
      <c r="IV3">
        <v>1.25349</v>
      </c>
      <c r="IW3">
        <v>1.22428</v>
      </c>
      <c r="IX3">
        <v>1.3335000000000001</v>
      </c>
      <c r="IY3">
        <v>1.2280899999999999</v>
      </c>
      <c r="IZ3">
        <v>1.2890499999999998</v>
      </c>
      <c r="JA3">
        <v>1.2661899999999999</v>
      </c>
      <c r="JB3">
        <v>1.2903200000000001</v>
      </c>
      <c r="JC3">
        <v>1.20777</v>
      </c>
      <c r="JD3">
        <v>1.3004800000000001</v>
      </c>
      <c r="JE3">
        <v>1.25857</v>
      </c>
      <c r="JF3">
        <v>1.3093699999999999</v>
      </c>
      <c r="JG3">
        <v>1.22174</v>
      </c>
      <c r="JH3">
        <v>1.22174</v>
      </c>
      <c r="JI3">
        <v>1.2064999999999999</v>
      </c>
      <c r="JJ3">
        <v>1.3042899999999999</v>
      </c>
      <c r="JK3">
        <v>1.2712699999999999</v>
      </c>
      <c r="JL3">
        <v>1.3208</v>
      </c>
      <c r="JM3">
        <v>1.2064999999999999</v>
      </c>
      <c r="JN3">
        <v>1.26746</v>
      </c>
      <c r="JO3">
        <v>1.2255499999999999</v>
      </c>
      <c r="JP3">
        <v>1.24587</v>
      </c>
      <c r="JQ3">
        <v>1.3309600000000001</v>
      </c>
      <c r="JR3">
        <v>1.31826</v>
      </c>
      <c r="JS3">
        <v>1.2407900000000001</v>
      </c>
      <c r="JT3">
        <v>1.2547600000000001</v>
      </c>
      <c r="JU3">
        <v>1.2598400000000001</v>
      </c>
      <c r="JV3">
        <v>1.21793</v>
      </c>
      <c r="JW3">
        <v>1.22428</v>
      </c>
      <c r="JX3">
        <v>1.2255499999999999</v>
      </c>
      <c r="JY3">
        <v>1.3042899999999999</v>
      </c>
      <c r="JZ3">
        <v>1.3195299999999999</v>
      </c>
      <c r="KA3">
        <v>1.27254</v>
      </c>
      <c r="KB3">
        <v>1.2445999999999999</v>
      </c>
      <c r="KC3">
        <v>1.2331699999999999</v>
      </c>
      <c r="KD3">
        <v>1.2064999999999999</v>
      </c>
      <c r="KE3">
        <v>1.28904</v>
      </c>
      <c r="KF3">
        <v>1.3728800000000001</v>
      </c>
      <c r="KG3">
        <v>1.3165499999999999</v>
      </c>
      <c r="KH3">
        <v>1.3165499999999999</v>
      </c>
      <c r="KI3">
        <v>1.2785599999999999</v>
      </c>
      <c r="KJ3">
        <v>1.32965</v>
      </c>
      <c r="KK3">
        <v>1.31131</v>
      </c>
      <c r="KL3">
        <v>1.2641500000000001</v>
      </c>
      <c r="KM3">
        <v>1.32179</v>
      </c>
      <c r="KN3">
        <v>1.3231000000000002</v>
      </c>
      <c r="KO3">
        <v>1.2497400000000001</v>
      </c>
      <c r="KP3">
        <v>1.2982100000000001</v>
      </c>
      <c r="KQ3">
        <v>1.3545400000000001</v>
      </c>
      <c r="KR3">
        <v>1.33751</v>
      </c>
      <c r="KS3">
        <v>1.31786</v>
      </c>
      <c r="KT3">
        <v>1.2824900000000001</v>
      </c>
      <c r="KU3">
        <v>1.2562899999999999</v>
      </c>
      <c r="KV3">
        <v>1.3270299999999999</v>
      </c>
      <c r="KW3">
        <v>1.31</v>
      </c>
      <c r="KX3">
        <v>1.3021400000000001</v>
      </c>
      <c r="KY3">
        <v>1.2641500000000001</v>
      </c>
      <c r="KZ3">
        <v>1.2497400000000001</v>
      </c>
      <c r="LA3">
        <v>1.3755000000000002</v>
      </c>
      <c r="LB3">
        <v>1.37419</v>
      </c>
      <c r="LC3">
        <v>1.33358</v>
      </c>
      <c r="LD3">
        <v>1.2982100000000001</v>
      </c>
      <c r="LE3">
        <v>1.3139299999999998</v>
      </c>
      <c r="LF3">
        <v>1.37157</v>
      </c>
      <c r="LG3">
        <v>1.37157</v>
      </c>
      <c r="LH3">
        <v>1.2785599999999999</v>
      </c>
      <c r="LI3">
        <v>1.28904</v>
      </c>
      <c r="LJ3">
        <v>1.3283400000000001</v>
      </c>
      <c r="LK3">
        <v>1.34013</v>
      </c>
      <c r="LL3">
        <v>1.25498</v>
      </c>
      <c r="LM3">
        <v>1.2602200000000001</v>
      </c>
      <c r="LN3">
        <v>1.3676400000000002</v>
      </c>
      <c r="LO3">
        <v>1.25105</v>
      </c>
      <c r="LP3">
        <v>1.2497400000000001</v>
      </c>
      <c r="LQ3">
        <v>1.2458100000000001</v>
      </c>
      <c r="LR3">
        <v>1.31</v>
      </c>
      <c r="LS3">
        <v>1.3047600000000001</v>
      </c>
      <c r="LT3">
        <v>1.3086900000000001</v>
      </c>
      <c r="LU3">
        <v>1.3650200000000001</v>
      </c>
      <c r="LV3">
        <v>1.28118</v>
      </c>
      <c r="LW3">
        <v>1.25891</v>
      </c>
      <c r="LX3">
        <v>1.2968999999999999</v>
      </c>
      <c r="LY3">
        <v>1.31786</v>
      </c>
      <c r="LZ3">
        <v>1.34406</v>
      </c>
      <c r="MA3">
        <v>1.3002</v>
      </c>
      <c r="MB3">
        <v>1.25532</v>
      </c>
      <c r="MC3">
        <v>1.3266</v>
      </c>
      <c r="MD3">
        <v>1.3675200000000001</v>
      </c>
      <c r="ME3">
        <v>1.2672000000000001</v>
      </c>
      <c r="MF3">
        <v>1.3543200000000002</v>
      </c>
      <c r="MG3">
        <v>1.33188</v>
      </c>
      <c r="MH3">
        <v>1.2698400000000001</v>
      </c>
      <c r="MI3">
        <v>1.33056</v>
      </c>
      <c r="MJ3">
        <v>1.25532</v>
      </c>
      <c r="MK3">
        <v>1.37148</v>
      </c>
      <c r="ML3">
        <v>1.32924</v>
      </c>
      <c r="MM3">
        <v>1.3371599999999999</v>
      </c>
      <c r="MN3">
        <v>1.353</v>
      </c>
      <c r="MO3">
        <v>1.3569600000000002</v>
      </c>
      <c r="MP3">
        <v>1.25532</v>
      </c>
      <c r="MQ3">
        <v>1.32792</v>
      </c>
      <c r="MR3">
        <v>1.3728</v>
      </c>
      <c r="MS3">
        <v>1.2632399999999999</v>
      </c>
      <c r="MT3">
        <v>1.3833600000000001</v>
      </c>
      <c r="MU3">
        <v>1.3450799999999998</v>
      </c>
      <c r="MV3">
        <v>1.35168</v>
      </c>
      <c r="MW3">
        <v>1.3648800000000001</v>
      </c>
      <c r="MX3">
        <v>1.30152</v>
      </c>
      <c r="MY3">
        <v>1.2804</v>
      </c>
      <c r="MZ3">
        <v>1.3688400000000001</v>
      </c>
      <c r="NA3">
        <v>1.3450799999999998</v>
      </c>
      <c r="NB3">
        <v>1.3754400000000002</v>
      </c>
      <c r="NC3">
        <v>1.2856799999999999</v>
      </c>
      <c r="ND3">
        <v>1.35036</v>
      </c>
      <c r="NE3">
        <v>1.3464</v>
      </c>
      <c r="NF3">
        <v>1.2909600000000001</v>
      </c>
      <c r="NG3">
        <v>1.3807200000000002</v>
      </c>
      <c r="NH3">
        <v>1.27644</v>
      </c>
      <c r="NI3">
        <v>1.3397999999999999</v>
      </c>
      <c r="NJ3">
        <v>1.3437600000000001</v>
      </c>
      <c r="NK3">
        <v>1.2896400000000001</v>
      </c>
      <c r="NL3">
        <v>1.28172</v>
      </c>
      <c r="NM3">
        <v>1.3728</v>
      </c>
      <c r="NN3">
        <v>1.3411200000000001</v>
      </c>
      <c r="NO3">
        <v>1.25796</v>
      </c>
      <c r="NP3">
        <v>1.3846799999999999</v>
      </c>
      <c r="NQ3">
        <v>1.30548</v>
      </c>
      <c r="NR3">
        <v>1.3754400000000002</v>
      </c>
      <c r="NS3">
        <v>1.3661999999999999</v>
      </c>
      <c r="NT3">
        <v>1.3345199999999999</v>
      </c>
      <c r="NU3">
        <v>1.3780800000000002</v>
      </c>
      <c r="NV3">
        <v>1.3794</v>
      </c>
      <c r="NW3">
        <v>1.3731</v>
      </c>
      <c r="NX3">
        <v>1.4393399999999998</v>
      </c>
      <c r="NY3">
        <v>1.3606799999999999</v>
      </c>
      <c r="NZ3">
        <v>1.3896599999999997</v>
      </c>
      <c r="OA3">
        <v>1.4186399999999999</v>
      </c>
      <c r="OB3">
        <v>1.3234199999999998</v>
      </c>
      <c r="OC3">
        <v>1.34964</v>
      </c>
      <c r="OD3">
        <v>1.3593</v>
      </c>
      <c r="OE3">
        <v>1.3772399999999998</v>
      </c>
      <c r="OF3">
        <v>1.4131199999999999</v>
      </c>
      <c r="OG3">
        <v>1.3744799999999999</v>
      </c>
      <c r="OH3">
        <v>1.4076</v>
      </c>
      <c r="OI3">
        <v>1.4489999999999998</v>
      </c>
      <c r="OJ3">
        <v>1.40208</v>
      </c>
      <c r="OK3">
        <v>1.3385999999999998</v>
      </c>
      <c r="OL3">
        <v>1.3468799999999999</v>
      </c>
      <c r="OM3">
        <v>1.4144999999999999</v>
      </c>
      <c r="ON3">
        <v>1.3937999999999999</v>
      </c>
      <c r="OO3">
        <v>1.3896599999999997</v>
      </c>
      <c r="OP3">
        <v>1.4420999999999997</v>
      </c>
      <c r="OQ3">
        <v>1.4365799999999997</v>
      </c>
      <c r="OR3">
        <v>1.3123799999999999</v>
      </c>
      <c r="OS3">
        <v>1.4227799999999997</v>
      </c>
      <c r="OT3">
        <v>1.3510199999999999</v>
      </c>
      <c r="OU3">
        <v>1.4310599999999998</v>
      </c>
      <c r="OV3">
        <v>1.3303199999999999</v>
      </c>
      <c r="OW3">
        <v>1.3385999999999998</v>
      </c>
      <c r="OX3">
        <v>1.3275599999999999</v>
      </c>
      <c r="OY3">
        <v>1.3593</v>
      </c>
      <c r="OZ3">
        <v>1.3385999999999998</v>
      </c>
      <c r="PA3">
        <v>1.4476199999999997</v>
      </c>
      <c r="PB3">
        <v>1.4172599999999997</v>
      </c>
      <c r="PC3">
        <v>1.3234199999999998</v>
      </c>
      <c r="PD3">
        <v>1.3813799999999998</v>
      </c>
      <c r="PE3">
        <v>1.3275599999999999</v>
      </c>
      <c r="PF3">
        <v>1.4006999999999998</v>
      </c>
      <c r="PG3">
        <v>1.3924199999999998</v>
      </c>
      <c r="PH3">
        <v>1.3979399999999997</v>
      </c>
      <c r="PI3">
        <v>1.3648199999999999</v>
      </c>
      <c r="PJ3">
        <v>1.4296799999999998</v>
      </c>
      <c r="PK3">
        <v>1.3606799999999999</v>
      </c>
      <c r="PL3">
        <v>1.3593</v>
      </c>
      <c r="PM3">
        <v>1.4434799999999999</v>
      </c>
      <c r="PN3">
        <v>1.3593</v>
      </c>
      <c r="PO3">
        <v>1.3593</v>
      </c>
      <c r="PP3">
        <v>1.3330799999999998</v>
      </c>
      <c r="PQ3">
        <v>1.3206599999999999</v>
      </c>
      <c r="PR3">
        <v>1.42692</v>
      </c>
      <c r="PS3">
        <v>1.4039999999999999</v>
      </c>
      <c r="PT3">
        <v>1.42848</v>
      </c>
      <c r="PU3">
        <v>1.4414399999999998</v>
      </c>
      <c r="PV3">
        <v>1.41408</v>
      </c>
      <c r="PW3">
        <v>1.4529599999999998</v>
      </c>
      <c r="PX3">
        <v>1.4025599999999998</v>
      </c>
      <c r="PY3">
        <v>1.3708799999999999</v>
      </c>
      <c r="PZ3">
        <v>1.4774400000000001</v>
      </c>
      <c r="QA3">
        <v>1.5019199999999999</v>
      </c>
      <c r="QB3">
        <v>1.4443199999999998</v>
      </c>
      <c r="QC3">
        <v>1.41408</v>
      </c>
      <c r="QD3">
        <v>1.4731199999999998</v>
      </c>
      <c r="QE3">
        <v>1.4759999999999998</v>
      </c>
      <c r="QF3">
        <v>1.42272</v>
      </c>
      <c r="QG3">
        <v>1.38672</v>
      </c>
      <c r="QH3">
        <v>1.4443199999999998</v>
      </c>
      <c r="QI3">
        <v>1.4774400000000001</v>
      </c>
      <c r="QJ3">
        <v>1.43424</v>
      </c>
      <c r="QK3">
        <v>1.4327999999999999</v>
      </c>
      <c r="QL3">
        <v>1.4846399999999997</v>
      </c>
      <c r="QM3">
        <v>1.4903999999999997</v>
      </c>
      <c r="QN3">
        <v>1.4068799999999999</v>
      </c>
      <c r="QO3">
        <v>1.4832000000000001</v>
      </c>
      <c r="QP3">
        <v>1.4932799999999999</v>
      </c>
      <c r="QQ3">
        <v>1.4356799999999998</v>
      </c>
      <c r="QR3">
        <v>1.3895999999999999</v>
      </c>
      <c r="QS3">
        <v>1.50336</v>
      </c>
      <c r="QT3">
        <v>1.50624</v>
      </c>
      <c r="QU3">
        <v>1.4803200000000001</v>
      </c>
      <c r="QV3">
        <v>1.4932799999999999</v>
      </c>
      <c r="QW3">
        <v>1.4356799999999998</v>
      </c>
      <c r="QX3">
        <v>1.3823999999999999</v>
      </c>
      <c r="QY3">
        <v>1.4515199999999999</v>
      </c>
      <c r="QZ3">
        <v>1.4601599999999999</v>
      </c>
      <c r="RA3">
        <v>1.4025599999999998</v>
      </c>
      <c r="RB3">
        <v>1.36944</v>
      </c>
      <c r="RC3">
        <v>1.4385599999999998</v>
      </c>
      <c r="RD3">
        <v>1.37808</v>
      </c>
      <c r="RE3">
        <v>1.4673599999999998</v>
      </c>
      <c r="RF3">
        <v>1.4385599999999998</v>
      </c>
      <c r="RG3">
        <v>1.4572799999999999</v>
      </c>
      <c r="RH3">
        <v>1.40544</v>
      </c>
      <c r="RI3">
        <v>1.3910399999999998</v>
      </c>
      <c r="RJ3">
        <v>1.40544</v>
      </c>
      <c r="RK3">
        <v>1.41696</v>
      </c>
      <c r="RL3">
        <v>1.3967999999999998</v>
      </c>
      <c r="RM3">
        <v>1.3895999999999999</v>
      </c>
      <c r="RN3">
        <v>1.4270399999999999</v>
      </c>
    </row>
    <row r="4" spans="1:482" x14ac:dyDescent="0.55000000000000004">
      <c r="A4">
        <v>2</v>
      </c>
      <c r="B4" s="4">
        <v>1.0524648584438725</v>
      </c>
    </row>
    <row r="5" spans="1:482" x14ac:dyDescent="0.55000000000000004">
      <c r="A5">
        <v>3</v>
      </c>
      <c r="B5" s="4">
        <v>1.1187883587408434</v>
      </c>
    </row>
    <row r="6" spans="1:482" x14ac:dyDescent="0.55000000000000004">
      <c r="A6">
        <v>4</v>
      </c>
      <c r="B6" s="4">
        <v>1.2108493367649971</v>
      </c>
    </row>
    <row r="7" spans="1:482" x14ac:dyDescent="0.55000000000000004">
      <c r="A7">
        <v>5</v>
      </c>
      <c r="B7" s="4">
        <v>1.3688378538903188</v>
      </c>
    </row>
    <row r="8" spans="1:482" x14ac:dyDescent="0.55000000000000004">
      <c r="A8">
        <v>6</v>
      </c>
      <c r="B8" s="4">
        <v>1.5335577113442882</v>
      </c>
    </row>
    <row r="13" spans="1:482" x14ac:dyDescent="0.55000000000000004">
      <c r="A13" t="s">
        <v>76</v>
      </c>
    </row>
    <row r="14" spans="1:482" x14ac:dyDescent="0.55000000000000004">
      <c r="A14">
        <v>1</v>
      </c>
      <c r="C14">
        <v>15</v>
      </c>
      <c r="D14">
        <v>22</v>
      </c>
      <c r="E14">
        <v>28</v>
      </c>
      <c r="F14">
        <v>40</v>
      </c>
      <c r="G14">
        <v>1</v>
      </c>
      <c r="H14">
        <v>82</v>
      </c>
      <c r="I14">
        <v>83</v>
      </c>
      <c r="J14">
        <v>84</v>
      </c>
      <c r="K14">
        <v>94</v>
      </c>
      <c r="L14">
        <v>25</v>
      </c>
      <c r="M14">
        <v>85</v>
      </c>
      <c r="N14">
        <v>20</v>
      </c>
      <c r="O14">
        <v>13</v>
      </c>
      <c r="P14">
        <v>22</v>
      </c>
      <c r="Q14">
        <v>71</v>
      </c>
      <c r="R14">
        <v>40</v>
      </c>
      <c r="S14">
        <v>32</v>
      </c>
      <c r="T14">
        <v>84</v>
      </c>
      <c r="U14">
        <v>88</v>
      </c>
      <c r="V14">
        <v>3</v>
      </c>
      <c r="W14">
        <v>17</v>
      </c>
      <c r="X14">
        <v>13</v>
      </c>
      <c r="Y14">
        <v>32</v>
      </c>
      <c r="Z14">
        <v>99</v>
      </c>
      <c r="AA14">
        <v>45</v>
      </c>
      <c r="AB14">
        <v>79</v>
      </c>
      <c r="AC14">
        <v>10</v>
      </c>
      <c r="AD14">
        <v>17</v>
      </c>
      <c r="AE14">
        <v>86</v>
      </c>
      <c r="AF14">
        <v>26</v>
      </c>
      <c r="AG14">
        <v>96</v>
      </c>
      <c r="AH14">
        <v>20</v>
      </c>
      <c r="AI14">
        <v>73</v>
      </c>
      <c r="AJ14">
        <v>1</v>
      </c>
      <c r="AK14">
        <v>46</v>
      </c>
      <c r="AL14">
        <v>57</v>
      </c>
      <c r="AM14">
        <v>47</v>
      </c>
      <c r="AN14">
        <v>12</v>
      </c>
      <c r="AO14">
        <v>42</v>
      </c>
      <c r="AP14">
        <v>47</v>
      </c>
      <c r="AQ14">
        <v>80</v>
      </c>
      <c r="AR14">
        <v>83</v>
      </c>
      <c r="AS14">
        <v>1</v>
      </c>
      <c r="AT14">
        <v>51</v>
      </c>
      <c r="AU14">
        <v>6</v>
      </c>
      <c r="AV14">
        <v>87</v>
      </c>
      <c r="AW14">
        <v>56</v>
      </c>
      <c r="AX14">
        <v>56</v>
      </c>
    </row>
    <row r="15" spans="1:482" x14ac:dyDescent="0.55000000000000004">
      <c r="A15">
        <v>2</v>
      </c>
      <c r="C15">
        <v>72</v>
      </c>
      <c r="D15">
        <v>94</v>
      </c>
      <c r="E15">
        <v>23</v>
      </c>
      <c r="F15">
        <v>29</v>
      </c>
      <c r="G15">
        <v>24</v>
      </c>
      <c r="H15">
        <v>26</v>
      </c>
      <c r="I15">
        <v>44</v>
      </c>
      <c r="J15">
        <v>39</v>
      </c>
      <c r="K15">
        <v>72</v>
      </c>
      <c r="L15">
        <v>3</v>
      </c>
      <c r="M15">
        <v>25</v>
      </c>
      <c r="N15">
        <v>73</v>
      </c>
      <c r="O15">
        <v>70</v>
      </c>
      <c r="P15">
        <v>78</v>
      </c>
      <c r="Q15">
        <v>74</v>
      </c>
      <c r="R15">
        <v>65</v>
      </c>
      <c r="S15">
        <v>46</v>
      </c>
      <c r="T15">
        <v>74</v>
      </c>
      <c r="U15">
        <v>65</v>
      </c>
      <c r="V15">
        <v>96</v>
      </c>
      <c r="W15">
        <v>79</v>
      </c>
      <c r="X15">
        <v>76</v>
      </c>
      <c r="Y15">
        <v>36</v>
      </c>
      <c r="Z15">
        <v>47</v>
      </c>
      <c r="AA15">
        <v>57</v>
      </c>
      <c r="AB15">
        <v>75</v>
      </c>
      <c r="AC15">
        <v>41</v>
      </c>
      <c r="AD15">
        <v>47</v>
      </c>
      <c r="AE15">
        <v>49</v>
      </c>
      <c r="AF15">
        <v>2</v>
      </c>
      <c r="AG15">
        <v>81</v>
      </c>
      <c r="AH15">
        <v>22</v>
      </c>
      <c r="AI15">
        <v>92</v>
      </c>
      <c r="AJ15">
        <v>47</v>
      </c>
      <c r="AK15">
        <v>43</v>
      </c>
      <c r="AL15">
        <v>43</v>
      </c>
      <c r="AM15">
        <v>2</v>
      </c>
      <c r="AN15">
        <v>56</v>
      </c>
      <c r="AO15">
        <v>2</v>
      </c>
      <c r="AP15">
        <v>81</v>
      </c>
      <c r="AQ15">
        <v>63</v>
      </c>
      <c r="AR15">
        <v>23</v>
      </c>
      <c r="AS15">
        <v>21</v>
      </c>
      <c r="AT15">
        <v>40</v>
      </c>
      <c r="AU15">
        <v>87</v>
      </c>
      <c r="AV15">
        <v>71</v>
      </c>
      <c r="AW15">
        <v>38</v>
      </c>
      <c r="AX15">
        <v>98</v>
      </c>
    </row>
    <row r="16" spans="1:482" x14ac:dyDescent="0.55000000000000004">
      <c r="A16">
        <v>3</v>
      </c>
      <c r="C16">
        <v>91</v>
      </c>
      <c r="D16">
        <v>72</v>
      </c>
      <c r="E16">
        <v>90</v>
      </c>
      <c r="F16">
        <v>34</v>
      </c>
      <c r="G16">
        <v>31</v>
      </c>
      <c r="H16">
        <v>12</v>
      </c>
      <c r="I16">
        <v>64</v>
      </c>
      <c r="J16">
        <v>19</v>
      </c>
      <c r="K16">
        <v>6</v>
      </c>
      <c r="L16">
        <v>55</v>
      </c>
      <c r="M16">
        <v>23</v>
      </c>
      <c r="N16">
        <v>45</v>
      </c>
      <c r="O16">
        <v>54</v>
      </c>
      <c r="P16">
        <v>51</v>
      </c>
      <c r="Q16">
        <v>57</v>
      </c>
      <c r="R16">
        <v>13</v>
      </c>
      <c r="S16">
        <v>37</v>
      </c>
      <c r="T16">
        <v>93</v>
      </c>
      <c r="U16">
        <v>2</v>
      </c>
      <c r="V16">
        <v>60</v>
      </c>
      <c r="W16">
        <v>91</v>
      </c>
      <c r="X16">
        <v>50</v>
      </c>
      <c r="Y16">
        <v>86</v>
      </c>
      <c r="Z16">
        <v>7</v>
      </c>
      <c r="AA16">
        <v>15</v>
      </c>
      <c r="AB16">
        <v>46</v>
      </c>
      <c r="AC16">
        <v>79</v>
      </c>
      <c r="AD16">
        <v>64</v>
      </c>
      <c r="AE16">
        <v>85</v>
      </c>
      <c r="AF16">
        <v>3</v>
      </c>
      <c r="AG16">
        <v>10</v>
      </c>
      <c r="AH16">
        <v>91</v>
      </c>
      <c r="AI16">
        <v>37</v>
      </c>
      <c r="AJ16">
        <v>16</v>
      </c>
      <c r="AK16">
        <v>39</v>
      </c>
      <c r="AL16">
        <v>12</v>
      </c>
      <c r="AM16">
        <v>8</v>
      </c>
      <c r="AN16">
        <v>31</v>
      </c>
      <c r="AO16">
        <v>52</v>
      </c>
      <c r="AP16">
        <v>97</v>
      </c>
      <c r="AQ16">
        <v>79</v>
      </c>
      <c r="AR16">
        <v>67</v>
      </c>
      <c r="AS16">
        <v>25</v>
      </c>
      <c r="AT16">
        <v>33</v>
      </c>
      <c r="AU16">
        <v>46</v>
      </c>
      <c r="AV16">
        <v>42</v>
      </c>
      <c r="AW16">
        <v>56</v>
      </c>
      <c r="AX16">
        <v>1</v>
      </c>
    </row>
    <row r="17" spans="1:51" x14ac:dyDescent="0.55000000000000004">
      <c r="A17">
        <v>4</v>
      </c>
      <c r="C17">
        <v>25</v>
      </c>
      <c r="D17">
        <v>69</v>
      </c>
      <c r="E17">
        <v>33</v>
      </c>
      <c r="F17">
        <v>66</v>
      </c>
      <c r="G17">
        <v>50</v>
      </c>
      <c r="H17">
        <v>69</v>
      </c>
      <c r="I17">
        <v>98</v>
      </c>
      <c r="J17">
        <v>81</v>
      </c>
      <c r="K17">
        <v>22</v>
      </c>
      <c r="L17">
        <v>10</v>
      </c>
      <c r="M17">
        <v>95</v>
      </c>
      <c r="N17">
        <v>22</v>
      </c>
      <c r="O17">
        <v>19</v>
      </c>
      <c r="P17">
        <v>96</v>
      </c>
      <c r="Q17">
        <v>59</v>
      </c>
      <c r="R17">
        <v>25</v>
      </c>
      <c r="S17">
        <v>60</v>
      </c>
      <c r="T17">
        <v>64</v>
      </c>
      <c r="U17">
        <v>83</v>
      </c>
      <c r="V17">
        <v>66</v>
      </c>
      <c r="W17">
        <v>39</v>
      </c>
      <c r="X17">
        <v>84</v>
      </c>
      <c r="Y17">
        <v>45</v>
      </c>
      <c r="Z17">
        <v>93</v>
      </c>
      <c r="AA17">
        <v>98</v>
      </c>
      <c r="AB17">
        <v>92</v>
      </c>
      <c r="AC17">
        <v>13</v>
      </c>
      <c r="AD17">
        <v>99</v>
      </c>
      <c r="AE17">
        <v>82</v>
      </c>
      <c r="AF17">
        <v>99</v>
      </c>
      <c r="AG17">
        <v>38</v>
      </c>
      <c r="AH17">
        <v>4</v>
      </c>
      <c r="AI17">
        <v>43</v>
      </c>
      <c r="AJ17">
        <v>41</v>
      </c>
      <c r="AK17">
        <v>81</v>
      </c>
      <c r="AL17">
        <v>2</v>
      </c>
      <c r="AM17">
        <v>31</v>
      </c>
      <c r="AN17">
        <v>61</v>
      </c>
      <c r="AO17">
        <v>82</v>
      </c>
      <c r="AP17">
        <v>40</v>
      </c>
      <c r="AQ17">
        <v>23</v>
      </c>
      <c r="AR17">
        <v>27</v>
      </c>
      <c r="AS17">
        <v>49</v>
      </c>
      <c r="AT17">
        <v>73</v>
      </c>
      <c r="AU17">
        <v>49</v>
      </c>
      <c r="AV17">
        <v>88</v>
      </c>
      <c r="AW17">
        <v>5</v>
      </c>
      <c r="AX17">
        <v>88</v>
      </c>
    </row>
    <row r="18" spans="1:51" x14ac:dyDescent="0.55000000000000004">
      <c r="A18">
        <v>5</v>
      </c>
      <c r="C18">
        <v>5</v>
      </c>
      <c r="D18">
        <v>79</v>
      </c>
      <c r="E18">
        <v>40</v>
      </c>
      <c r="F18">
        <v>18</v>
      </c>
      <c r="G18">
        <v>94</v>
      </c>
      <c r="H18">
        <v>60</v>
      </c>
      <c r="I18">
        <v>13</v>
      </c>
      <c r="J18">
        <v>39</v>
      </c>
      <c r="K18">
        <v>56</v>
      </c>
      <c r="L18">
        <v>45</v>
      </c>
      <c r="M18">
        <v>55</v>
      </c>
      <c r="N18">
        <v>93</v>
      </c>
      <c r="O18">
        <v>13</v>
      </c>
      <c r="P18">
        <v>63</v>
      </c>
      <c r="Q18">
        <v>84</v>
      </c>
      <c r="R18">
        <v>52</v>
      </c>
      <c r="S18">
        <v>20</v>
      </c>
      <c r="T18">
        <v>19</v>
      </c>
      <c r="U18">
        <v>5</v>
      </c>
      <c r="V18">
        <v>35</v>
      </c>
      <c r="W18">
        <v>52</v>
      </c>
      <c r="X18">
        <v>42</v>
      </c>
      <c r="Y18">
        <v>43</v>
      </c>
      <c r="Z18">
        <v>89</v>
      </c>
      <c r="AA18">
        <v>42</v>
      </c>
      <c r="AB18">
        <v>4</v>
      </c>
      <c r="AC18">
        <v>81</v>
      </c>
      <c r="AD18">
        <v>28</v>
      </c>
      <c r="AE18">
        <v>35</v>
      </c>
      <c r="AF18">
        <v>37</v>
      </c>
      <c r="AG18">
        <v>90</v>
      </c>
      <c r="AH18">
        <v>97</v>
      </c>
      <c r="AI18">
        <v>12</v>
      </c>
      <c r="AJ18">
        <v>46</v>
      </c>
      <c r="AK18">
        <v>1</v>
      </c>
      <c r="AL18">
        <v>58</v>
      </c>
      <c r="AM18">
        <v>63</v>
      </c>
      <c r="AN18">
        <v>39</v>
      </c>
      <c r="AO18">
        <v>65</v>
      </c>
      <c r="AP18">
        <v>78</v>
      </c>
      <c r="AQ18">
        <v>48</v>
      </c>
      <c r="AR18">
        <v>77</v>
      </c>
      <c r="AS18">
        <v>70</v>
      </c>
      <c r="AT18">
        <v>56</v>
      </c>
      <c r="AU18">
        <v>91</v>
      </c>
      <c r="AV18">
        <v>50</v>
      </c>
      <c r="AW18">
        <v>60</v>
      </c>
      <c r="AX18">
        <v>41</v>
      </c>
    </row>
    <row r="19" spans="1:51" x14ac:dyDescent="0.55000000000000004">
      <c r="A19">
        <v>6</v>
      </c>
      <c r="C19">
        <v>79</v>
      </c>
      <c r="D19">
        <v>8</v>
      </c>
      <c r="E19">
        <v>91</v>
      </c>
      <c r="F19">
        <v>12</v>
      </c>
      <c r="G19">
        <v>9</v>
      </c>
      <c r="H19">
        <v>28</v>
      </c>
      <c r="I19">
        <v>47</v>
      </c>
      <c r="J19">
        <v>17</v>
      </c>
      <c r="K19">
        <v>51</v>
      </c>
      <c r="L19">
        <v>79</v>
      </c>
      <c r="M19">
        <v>9</v>
      </c>
      <c r="N19">
        <v>98</v>
      </c>
      <c r="O19">
        <v>45</v>
      </c>
      <c r="P19">
        <v>99</v>
      </c>
      <c r="Q19">
        <v>67</v>
      </c>
      <c r="R19">
        <v>63</v>
      </c>
      <c r="S19">
        <v>50</v>
      </c>
      <c r="T19">
        <v>74</v>
      </c>
      <c r="U19">
        <v>32</v>
      </c>
      <c r="V19">
        <v>30</v>
      </c>
      <c r="W19">
        <v>92</v>
      </c>
      <c r="X19">
        <v>93</v>
      </c>
      <c r="Y19">
        <v>41</v>
      </c>
      <c r="Z19">
        <v>76</v>
      </c>
      <c r="AA19">
        <v>14</v>
      </c>
      <c r="AB19">
        <v>51</v>
      </c>
      <c r="AC19">
        <v>87</v>
      </c>
      <c r="AD19">
        <v>45</v>
      </c>
      <c r="AE19">
        <v>98</v>
      </c>
      <c r="AF19">
        <v>10</v>
      </c>
      <c r="AG19">
        <v>76</v>
      </c>
      <c r="AH19">
        <v>57</v>
      </c>
      <c r="AI19">
        <v>37</v>
      </c>
      <c r="AJ19">
        <v>97</v>
      </c>
      <c r="AK19">
        <v>18</v>
      </c>
      <c r="AL19">
        <v>96</v>
      </c>
      <c r="AM19">
        <v>80</v>
      </c>
      <c r="AN19">
        <v>60</v>
      </c>
      <c r="AO19">
        <v>46</v>
      </c>
      <c r="AP19">
        <v>91</v>
      </c>
      <c r="AQ19">
        <v>53</v>
      </c>
      <c r="AR19">
        <v>27</v>
      </c>
      <c r="AS19">
        <v>96</v>
      </c>
      <c r="AT19">
        <v>3</v>
      </c>
      <c r="AU19">
        <v>97</v>
      </c>
      <c r="AV19">
        <v>74</v>
      </c>
      <c r="AW19">
        <v>91</v>
      </c>
      <c r="AX19">
        <v>85</v>
      </c>
    </row>
    <row r="20" spans="1:51" x14ac:dyDescent="0.55000000000000004">
      <c r="A20">
        <v>7</v>
      </c>
      <c r="C20">
        <v>49</v>
      </c>
      <c r="D20">
        <v>57</v>
      </c>
      <c r="E20">
        <v>78</v>
      </c>
      <c r="F20">
        <v>68</v>
      </c>
      <c r="G20">
        <v>100</v>
      </c>
      <c r="H20">
        <v>12</v>
      </c>
      <c r="I20">
        <v>64</v>
      </c>
      <c r="J20">
        <v>26</v>
      </c>
      <c r="K20">
        <v>63</v>
      </c>
      <c r="L20">
        <v>24</v>
      </c>
      <c r="M20">
        <v>6</v>
      </c>
      <c r="N20">
        <v>96</v>
      </c>
      <c r="O20">
        <v>85</v>
      </c>
      <c r="P20">
        <v>9</v>
      </c>
      <c r="Q20">
        <v>1</v>
      </c>
      <c r="R20">
        <v>19</v>
      </c>
      <c r="S20">
        <v>71</v>
      </c>
      <c r="T20">
        <v>68</v>
      </c>
      <c r="U20">
        <v>86</v>
      </c>
      <c r="V20">
        <v>83</v>
      </c>
      <c r="W20">
        <v>58</v>
      </c>
      <c r="X20">
        <v>49</v>
      </c>
      <c r="Y20">
        <v>39</v>
      </c>
      <c r="Z20">
        <v>29</v>
      </c>
      <c r="AA20">
        <v>54</v>
      </c>
      <c r="AB20">
        <v>23</v>
      </c>
      <c r="AC20">
        <v>9</v>
      </c>
      <c r="AD20">
        <v>32</v>
      </c>
      <c r="AE20">
        <v>77</v>
      </c>
      <c r="AF20">
        <v>4</v>
      </c>
      <c r="AG20">
        <v>85</v>
      </c>
      <c r="AH20">
        <v>97</v>
      </c>
      <c r="AI20">
        <v>19</v>
      </c>
      <c r="AJ20">
        <v>44</v>
      </c>
      <c r="AK20">
        <v>33</v>
      </c>
      <c r="AL20">
        <v>98</v>
      </c>
      <c r="AM20">
        <v>93</v>
      </c>
      <c r="AN20">
        <v>61</v>
      </c>
      <c r="AO20">
        <v>62</v>
      </c>
      <c r="AP20">
        <v>52</v>
      </c>
      <c r="AQ20">
        <v>31</v>
      </c>
      <c r="AR20">
        <v>13</v>
      </c>
      <c r="AS20">
        <v>7</v>
      </c>
      <c r="AT20">
        <v>24</v>
      </c>
      <c r="AU20">
        <v>45</v>
      </c>
      <c r="AV20">
        <v>74</v>
      </c>
      <c r="AW20">
        <v>7</v>
      </c>
      <c r="AX20">
        <v>51</v>
      </c>
    </row>
    <row r="21" spans="1:51" x14ac:dyDescent="0.55000000000000004">
      <c r="A21">
        <v>8</v>
      </c>
      <c r="C21">
        <v>47</v>
      </c>
      <c r="D21">
        <v>83</v>
      </c>
      <c r="E21">
        <v>72</v>
      </c>
      <c r="F21">
        <v>60</v>
      </c>
      <c r="G21">
        <v>23</v>
      </c>
      <c r="H21">
        <v>85</v>
      </c>
      <c r="I21">
        <v>23</v>
      </c>
      <c r="J21">
        <v>2</v>
      </c>
      <c r="K21">
        <v>42</v>
      </c>
      <c r="L21">
        <v>51</v>
      </c>
      <c r="M21">
        <v>45</v>
      </c>
      <c r="N21">
        <v>15</v>
      </c>
      <c r="O21">
        <v>41</v>
      </c>
      <c r="P21">
        <v>33</v>
      </c>
      <c r="Q21">
        <v>3</v>
      </c>
      <c r="R21">
        <v>92</v>
      </c>
      <c r="S21">
        <v>31</v>
      </c>
      <c r="T21">
        <v>57</v>
      </c>
      <c r="U21">
        <v>61</v>
      </c>
      <c r="V21">
        <v>66</v>
      </c>
      <c r="W21">
        <v>25</v>
      </c>
      <c r="X21">
        <v>79</v>
      </c>
      <c r="Y21">
        <v>54</v>
      </c>
      <c r="Z21">
        <v>61</v>
      </c>
      <c r="AA21">
        <v>41</v>
      </c>
      <c r="AB21">
        <v>94</v>
      </c>
      <c r="AC21">
        <v>54</v>
      </c>
      <c r="AD21">
        <v>76</v>
      </c>
      <c r="AE21">
        <v>56</v>
      </c>
      <c r="AF21">
        <v>44</v>
      </c>
      <c r="AG21">
        <v>49</v>
      </c>
      <c r="AH21">
        <v>83</v>
      </c>
      <c r="AI21">
        <v>1</v>
      </c>
      <c r="AJ21">
        <v>84</v>
      </c>
      <c r="AK21">
        <v>57</v>
      </c>
      <c r="AL21">
        <v>82</v>
      </c>
      <c r="AM21">
        <v>21</v>
      </c>
      <c r="AN21">
        <v>73</v>
      </c>
      <c r="AO21">
        <v>100</v>
      </c>
      <c r="AP21">
        <v>57</v>
      </c>
      <c r="AQ21">
        <v>8</v>
      </c>
      <c r="AR21">
        <v>10</v>
      </c>
      <c r="AS21">
        <v>23</v>
      </c>
      <c r="AT21">
        <v>69</v>
      </c>
      <c r="AU21">
        <v>74</v>
      </c>
      <c r="AV21">
        <v>26</v>
      </c>
      <c r="AW21">
        <v>15</v>
      </c>
      <c r="AX21">
        <v>15</v>
      </c>
    </row>
    <row r="22" spans="1:51" x14ac:dyDescent="0.55000000000000004">
      <c r="A22">
        <v>9</v>
      </c>
      <c r="C22">
        <v>11</v>
      </c>
      <c r="D22">
        <v>65</v>
      </c>
      <c r="E22">
        <v>32</v>
      </c>
      <c r="F22">
        <v>95</v>
      </c>
      <c r="G22">
        <v>5</v>
      </c>
      <c r="H22">
        <v>76</v>
      </c>
      <c r="I22">
        <v>26</v>
      </c>
      <c r="J22">
        <v>72</v>
      </c>
      <c r="K22">
        <v>42</v>
      </c>
      <c r="L22">
        <v>91</v>
      </c>
      <c r="M22">
        <v>75</v>
      </c>
      <c r="N22">
        <v>21</v>
      </c>
      <c r="O22">
        <v>93</v>
      </c>
      <c r="P22">
        <v>65</v>
      </c>
      <c r="Q22">
        <v>90</v>
      </c>
      <c r="R22">
        <v>28</v>
      </c>
      <c r="S22">
        <v>98</v>
      </c>
      <c r="T22">
        <v>74</v>
      </c>
      <c r="U22">
        <v>30</v>
      </c>
      <c r="V22">
        <v>91</v>
      </c>
      <c r="W22">
        <v>89</v>
      </c>
      <c r="X22">
        <v>66</v>
      </c>
      <c r="Y22">
        <v>84</v>
      </c>
      <c r="Z22">
        <v>23</v>
      </c>
      <c r="AA22">
        <v>7</v>
      </c>
      <c r="AB22">
        <v>42</v>
      </c>
      <c r="AC22">
        <v>39</v>
      </c>
      <c r="AD22">
        <v>78</v>
      </c>
      <c r="AE22">
        <v>81</v>
      </c>
      <c r="AF22">
        <v>90</v>
      </c>
      <c r="AG22">
        <v>7</v>
      </c>
      <c r="AH22">
        <v>43</v>
      </c>
      <c r="AI22">
        <v>15</v>
      </c>
      <c r="AJ22">
        <v>82</v>
      </c>
      <c r="AK22">
        <v>81</v>
      </c>
      <c r="AL22">
        <v>4</v>
      </c>
      <c r="AM22">
        <v>56</v>
      </c>
      <c r="AN22">
        <v>74</v>
      </c>
      <c r="AO22">
        <v>20</v>
      </c>
      <c r="AP22">
        <v>54</v>
      </c>
      <c r="AQ22">
        <v>17</v>
      </c>
      <c r="AR22">
        <v>17</v>
      </c>
      <c r="AS22">
        <v>74</v>
      </c>
      <c r="AT22">
        <v>35</v>
      </c>
      <c r="AU22">
        <v>17</v>
      </c>
      <c r="AV22">
        <v>14</v>
      </c>
      <c r="AW22">
        <v>36</v>
      </c>
      <c r="AX22">
        <v>92</v>
      </c>
    </row>
    <row r="23" spans="1:51" x14ac:dyDescent="0.55000000000000004">
      <c r="A23">
        <v>10</v>
      </c>
      <c r="C23">
        <v>90</v>
      </c>
      <c r="D23">
        <v>45</v>
      </c>
      <c r="E23">
        <v>12</v>
      </c>
      <c r="F23">
        <v>53</v>
      </c>
      <c r="G23">
        <v>75</v>
      </c>
      <c r="H23">
        <v>83</v>
      </c>
      <c r="I23">
        <v>75</v>
      </c>
      <c r="J23">
        <v>61</v>
      </c>
      <c r="K23">
        <v>2</v>
      </c>
      <c r="L23">
        <v>10</v>
      </c>
      <c r="M23">
        <v>65</v>
      </c>
      <c r="N23">
        <v>26</v>
      </c>
      <c r="O23">
        <v>22</v>
      </c>
      <c r="P23">
        <v>89</v>
      </c>
      <c r="Q23">
        <v>83</v>
      </c>
      <c r="R23">
        <v>36</v>
      </c>
      <c r="S23">
        <v>12</v>
      </c>
      <c r="T23">
        <v>65</v>
      </c>
      <c r="U23">
        <v>43</v>
      </c>
      <c r="V23">
        <v>71</v>
      </c>
      <c r="W23">
        <v>68</v>
      </c>
      <c r="X23">
        <v>96</v>
      </c>
      <c r="Y23">
        <v>74</v>
      </c>
      <c r="Z23">
        <v>3</v>
      </c>
      <c r="AA23">
        <v>87</v>
      </c>
      <c r="AB23">
        <v>97</v>
      </c>
      <c r="AC23">
        <v>67</v>
      </c>
      <c r="AD23">
        <v>74</v>
      </c>
      <c r="AE23">
        <v>50</v>
      </c>
      <c r="AF23">
        <v>18</v>
      </c>
      <c r="AG23">
        <v>63</v>
      </c>
      <c r="AH23">
        <v>53</v>
      </c>
      <c r="AI23">
        <v>46</v>
      </c>
      <c r="AJ23">
        <v>53</v>
      </c>
      <c r="AK23">
        <v>38</v>
      </c>
      <c r="AL23">
        <v>89</v>
      </c>
      <c r="AM23">
        <v>79</v>
      </c>
      <c r="AN23">
        <v>48</v>
      </c>
      <c r="AO23">
        <v>64</v>
      </c>
      <c r="AP23">
        <v>39</v>
      </c>
      <c r="AQ23">
        <v>67</v>
      </c>
      <c r="AR23">
        <v>68</v>
      </c>
      <c r="AS23">
        <v>86</v>
      </c>
      <c r="AT23">
        <v>34</v>
      </c>
      <c r="AU23">
        <v>4</v>
      </c>
      <c r="AV23">
        <v>14</v>
      </c>
      <c r="AW23">
        <v>67</v>
      </c>
      <c r="AX23">
        <v>64</v>
      </c>
    </row>
    <row r="25" spans="1:51" x14ac:dyDescent="0.55000000000000004">
      <c r="A25" t="s">
        <v>76</v>
      </c>
    </row>
    <row r="26" spans="1:51" x14ac:dyDescent="0.55000000000000004">
      <c r="A26">
        <v>1</v>
      </c>
      <c r="C26">
        <f>ROUND(8760*C14/(SUM($C14:$AX14)),0)</f>
        <v>59</v>
      </c>
      <c r="D26">
        <f t="shared" ref="D26:AX26" si="0">ROUND(8760*D14/(SUM($C14:$AX14)),0)</f>
        <v>87</v>
      </c>
      <c r="E26">
        <f t="shared" si="0"/>
        <v>111</v>
      </c>
      <c r="F26">
        <f t="shared" si="0"/>
        <v>158</v>
      </c>
      <c r="G26">
        <f t="shared" si="0"/>
        <v>4</v>
      </c>
      <c r="H26">
        <f t="shared" si="0"/>
        <v>324</v>
      </c>
      <c r="I26">
        <f t="shared" si="0"/>
        <v>328</v>
      </c>
      <c r="J26">
        <f t="shared" si="0"/>
        <v>332</v>
      </c>
      <c r="K26">
        <f t="shared" si="0"/>
        <v>371</v>
      </c>
      <c r="L26">
        <f t="shared" si="0"/>
        <v>99</v>
      </c>
      <c r="M26">
        <f t="shared" si="0"/>
        <v>336</v>
      </c>
      <c r="N26">
        <f t="shared" si="0"/>
        <v>79</v>
      </c>
      <c r="O26">
        <f t="shared" si="0"/>
        <v>51</v>
      </c>
      <c r="P26">
        <f t="shared" si="0"/>
        <v>87</v>
      </c>
      <c r="Q26">
        <f t="shared" si="0"/>
        <v>281</v>
      </c>
      <c r="R26">
        <f t="shared" si="0"/>
        <v>158</v>
      </c>
      <c r="S26">
        <f t="shared" si="0"/>
        <v>126</v>
      </c>
      <c r="T26">
        <f t="shared" si="0"/>
        <v>332</v>
      </c>
      <c r="U26">
        <f t="shared" si="0"/>
        <v>348</v>
      </c>
      <c r="V26">
        <f t="shared" si="0"/>
        <v>12</v>
      </c>
      <c r="W26">
        <f t="shared" si="0"/>
        <v>67</v>
      </c>
      <c r="X26">
        <f t="shared" si="0"/>
        <v>51</v>
      </c>
      <c r="Y26">
        <f t="shared" si="0"/>
        <v>126</v>
      </c>
      <c r="Z26">
        <f t="shared" si="0"/>
        <v>391</v>
      </c>
      <c r="AA26">
        <f t="shared" si="0"/>
        <v>178</v>
      </c>
      <c r="AB26">
        <f t="shared" si="0"/>
        <v>312</v>
      </c>
      <c r="AC26">
        <f t="shared" si="0"/>
        <v>40</v>
      </c>
      <c r="AD26">
        <f t="shared" si="0"/>
        <v>67</v>
      </c>
      <c r="AE26">
        <f t="shared" si="0"/>
        <v>340</v>
      </c>
      <c r="AF26">
        <f t="shared" si="0"/>
        <v>103</v>
      </c>
      <c r="AG26">
        <f t="shared" si="0"/>
        <v>379</v>
      </c>
      <c r="AH26">
        <f t="shared" si="0"/>
        <v>79</v>
      </c>
      <c r="AI26">
        <f t="shared" si="0"/>
        <v>288</v>
      </c>
      <c r="AJ26">
        <f t="shared" si="0"/>
        <v>4</v>
      </c>
      <c r="AK26">
        <f t="shared" si="0"/>
        <v>182</v>
      </c>
      <c r="AL26">
        <f t="shared" si="0"/>
        <v>225</v>
      </c>
      <c r="AM26">
        <f t="shared" si="0"/>
        <v>186</v>
      </c>
      <c r="AN26">
        <f t="shared" si="0"/>
        <v>47</v>
      </c>
      <c r="AO26">
        <f t="shared" si="0"/>
        <v>166</v>
      </c>
      <c r="AP26">
        <f t="shared" si="0"/>
        <v>186</v>
      </c>
      <c r="AQ26">
        <f t="shared" si="0"/>
        <v>316</v>
      </c>
      <c r="AR26">
        <f t="shared" si="0"/>
        <v>328</v>
      </c>
      <c r="AS26">
        <f t="shared" si="0"/>
        <v>4</v>
      </c>
      <c r="AT26">
        <f t="shared" si="0"/>
        <v>202</v>
      </c>
      <c r="AU26">
        <f t="shared" si="0"/>
        <v>24</v>
      </c>
      <c r="AV26">
        <f t="shared" si="0"/>
        <v>344</v>
      </c>
      <c r="AW26">
        <f t="shared" si="0"/>
        <v>221</v>
      </c>
      <c r="AX26">
        <f t="shared" si="0"/>
        <v>221</v>
      </c>
      <c r="AY26">
        <f>SUM(C26:AX26)</f>
        <v>8760</v>
      </c>
    </row>
    <row r="27" spans="1:51" x14ac:dyDescent="0.55000000000000004">
      <c r="A27">
        <v>2</v>
      </c>
      <c r="C27">
        <f t="shared" ref="C27:AW32" si="1">ROUND(8760*C15/(SUM($C15:$AX15)),0)</f>
        <v>251</v>
      </c>
      <c r="D27">
        <f t="shared" si="1"/>
        <v>328</v>
      </c>
      <c r="E27">
        <f t="shared" si="1"/>
        <v>80</v>
      </c>
      <c r="F27">
        <f t="shared" si="1"/>
        <v>101</v>
      </c>
      <c r="G27">
        <f t="shared" si="1"/>
        <v>84</v>
      </c>
      <c r="H27">
        <f t="shared" si="1"/>
        <v>91</v>
      </c>
      <c r="I27">
        <f t="shared" si="1"/>
        <v>154</v>
      </c>
      <c r="J27">
        <f t="shared" si="1"/>
        <v>136</v>
      </c>
      <c r="K27">
        <f t="shared" si="1"/>
        <v>251</v>
      </c>
      <c r="L27">
        <f t="shared" si="1"/>
        <v>10</v>
      </c>
      <c r="M27">
        <f t="shared" si="1"/>
        <v>87</v>
      </c>
      <c r="N27">
        <f t="shared" si="1"/>
        <v>255</v>
      </c>
      <c r="O27">
        <f t="shared" si="1"/>
        <v>244</v>
      </c>
      <c r="P27">
        <f t="shared" si="1"/>
        <v>272</v>
      </c>
      <c r="Q27">
        <f t="shared" si="1"/>
        <v>258</v>
      </c>
      <c r="R27">
        <f t="shared" si="1"/>
        <v>227</v>
      </c>
      <c r="S27">
        <f t="shared" si="1"/>
        <v>160</v>
      </c>
      <c r="T27">
        <f t="shared" si="1"/>
        <v>258</v>
      </c>
      <c r="U27">
        <f t="shared" si="1"/>
        <v>227</v>
      </c>
      <c r="V27">
        <f t="shared" si="1"/>
        <v>335</v>
      </c>
      <c r="W27">
        <f t="shared" si="1"/>
        <v>276</v>
      </c>
      <c r="X27">
        <f t="shared" si="1"/>
        <v>265</v>
      </c>
      <c r="Y27">
        <f t="shared" si="1"/>
        <v>126</v>
      </c>
      <c r="Z27">
        <f t="shared" si="1"/>
        <v>164</v>
      </c>
      <c r="AA27">
        <f t="shared" si="1"/>
        <v>199</v>
      </c>
      <c r="AB27">
        <f t="shared" si="1"/>
        <v>262</v>
      </c>
      <c r="AC27">
        <f t="shared" si="1"/>
        <v>143</v>
      </c>
      <c r="AD27">
        <f t="shared" si="1"/>
        <v>164</v>
      </c>
      <c r="AE27">
        <f t="shared" si="1"/>
        <v>171</v>
      </c>
      <c r="AF27">
        <f t="shared" si="1"/>
        <v>7</v>
      </c>
      <c r="AG27">
        <f t="shared" si="1"/>
        <v>283</v>
      </c>
      <c r="AH27">
        <f t="shared" si="1"/>
        <v>77</v>
      </c>
      <c r="AI27">
        <f t="shared" si="1"/>
        <v>321</v>
      </c>
      <c r="AJ27">
        <f t="shared" si="1"/>
        <v>164</v>
      </c>
      <c r="AK27">
        <f t="shared" si="1"/>
        <v>150</v>
      </c>
      <c r="AL27">
        <f t="shared" si="1"/>
        <v>150</v>
      </c>
      <c r="AM27">
        <f t="shared" si="1"/>
        <v>7</v>
      </c>
      <c r="AN27">
        <f t="shared" si="1"/>
        <v>195</v>
      </c>
      <c r="AO27">
        <f t="shared" si="1"/>
        <v>7</v>
      </c>
      <c r="AP27">
        <f t="shared" si="1"/>
        <v>283</v>
      </c>
      <c r="AQ27">
        <f t="shared" si="1"/>
        <v>220</v>
      </c>
      <c r="AR27">
        <f t="shared" si="1"/>
        <v>80</v>
      </c>
      <c r="AS27">
        <f t="shared" si="1"/>
        <v>73</v>
      </c>
      <c r="AT27">
        <f t="shared" si="1"/>
        <v>140</v>
      </c>
      <c r="AU27">
        <f t="shared" si="1"/>
        <v>304</v>
      </c>
      <c r="AV27">
        <f t="shared" si="1"/>
        <v>248</v>
      </c>
      <c r="AW27">
        <f t="shared" si="1"/>
        <v>133</v>
      </c>
      <c r="AX27">
        <v>339</v>
      </c>
      <c r="AY27">
        <f t="shared" ref="AY27:AY35" si="2">SUM(C27:AX27)</f>
        <v>8760</v>
      </c>
    </row>
    <row r="28" spans="1:51" x14ac:dyDescent="0.55000000000000004">
      <c r="A28">
        <v>3</v>
      </c>
      <c r="C28">
        <f t="shared" si="1"/>
        <v>366</v>
      </c>
      <c r="D28">
        <f t="shared" si="1"/>
        <v>290</v>
      </c>
      <c r="E28">
        <f t="shared" si="1"/>
        <v>362</v>
      </c>
      <c r="F28">
        <f t="shared" si="1"/>
        <v>137</v>
      </c>
      <c r="G28">
        <f t="shared" si="1"/>
        <v>125</v>
      </c>
      <c r="H28">
        <f t="shared" si="1"/>
        <v>48</v>
      </c>
      <c r="I28">
        <f t="shared" si="1"/>
        <v>258</v>
      </c>
      <c r="J28">
        <f t="shared" si="1"/>
        <v>76</v>
      </c>
      <c r="K28">
        <f t="shared" si="1"/>
        <v>24</v>
      </c>
      <c r="L28">
        <f t="shared" si="1"/>
        <v>221</v>
      </c>
      <c r="M28">
        <f t="shared" si="1"/>
        <v>93</v>
      </c>
      <c r="N28">
        <f t="shared" si="1"/>
        <v>181</v>
      </c>
      <c r="O28">
        <f t="shared" si="1"/>
        <v>217</v>
      </c>
      <c r="P28">
        <f t="shared" si="1"/>
        <v>205</v>
      </c>
      <c r="Q28">
        <f t="shared" si="1"/>
        <v>229</v>
      </c>
      <c r="R28">
        <f t="shared" si="1"/>
        <v>52</v>
      </c>
      <c r="S28">
        <f t="shared" si="1"/>
        <v>149</v>
      </c>
      <c r="T28">
        <f t="shared" si="1"/>
        <v>374</v>
      </c>
      <c r="U28">
        <f t="shared" si="1"/>
        <v>8</v>
      </c>
      <c r="V28">
        <f t="shared" si="1"/>
        <v>241</v>
      </c>
      <c r="W28">
        <f t="shared" si="1"/>
        <v>366</v>
      </c>
      <c r="X28">
        <f t="shared" si="1"/>
        <v>201</v>
      </c>
      <c r="Y28">
        <f t="shared" si="1"/>
        <v>346</v>
      </c>
      <c r="Z28">
        <f t="shared" si="1"/>
        <v>28</v>
      </c>
      <c r="AA28">
        <f t="shared" si="1"/>
        <v>60</v>
      </c>
      <c r="AB28">
        <f t="shared" si="1"/>
        <v>185</v>
      </c>
      <c r="AC28">
        <f t="shared" si="1"/>
        <v>318</v>
      </c>
      <c r="AD28">
        <f t="shared" si="1"/>
        <v>258</v>
      </c>
      <c r="AE28">
        <f t="shared" si="1"/>
        <v>342</v>
      </c>
      <c r="AF28">
        <f t="shared" si="1"/>
        <v>12</v>
      </c>
      <c r="AG28">
        <f t="shared" si="1"/>
        <v>40</v>
      </c>
      <c r="AH28">
        <f t="shared" si="1"/>
        <v>366</v>
      </c>
      <c r="AI28">
        <f t="shared" si="1"/>
        <v>149</v>
      </c>
      <c r="AJ28">
        <f t="shared" si="1"/>
        <v>64</v>
      </c>
      <c r="AK28">
        <f t="shared" si="1"/>
        <v>157</v>
      </c>
      <c r="AL28">
        <f t="shared" si="1"/>
        <v>48</v>
      </c>
      <c r="AM28">
        <f t="shared" si="1"/>
        <v>32</v>
      </c>
      <c r="AN28">
        <f t="shared" si="1"/>
        <v>125</v>
      </c>
      <c r="AO28">
        <f t="shared" si="1"/>
        <v>209</v>
      </c>
      <c r="AP28">
        <f t="shared" si="1"/>
        <v>390</v>
      </c>
      <c r="AQ28">
        <f t="shared" si="1"/>
        <v>318</v>
      </c>
      <c r="AR28">
        <f t="shared" si="1"/>
        <v>270</v>
      </c>
      <c r="AS28">
        <f t="shared" si="1"/>
        <v>101</v>
      </c>
      <c r="AT28">
        <f t="shared" si="1"/>
        <v>133</v>
      </c>
      <c r="AU28">
        <f t="shared" si="1"/>
        <v>185</v>
      </c>
      <c r="AV28">
        <f t="shared" si="1"/>
        <v>169</v>
      </c>
      <c r="AW28">
        <f t="shared" si="1"/>
        <v>225</v>
      </c>
      <c r="AX28">
        <v>7</v>
      </c>
      <c r="AY28">
        <f t="shared" si="2"/>
        <v>8760</v>
      </c>
    </row>
    <row r="29" spans="1:51" x14ac:dyDescent="0.55000000000000004">
      <c r="A29">
        <v>4</v>
      </c>
      <c r="C29">
        <f t="shared" si="1"/>
        <v>82</v>
      </c>
      <c r="D29">
        <f t="shared" si="1"/>
        <v>225</v>
      </c>
      <c r="E29">
        <f t="shared" si="1"/>
        <v>108</v>
      </c>
      <c r="F29">
        <f t="shared" si="1"/>
        <v>216</v>
      </c>
      <c r="G29">
        <f t="shared" si="1"/>
        <v>163</v>
      </c>
      <c r="H29">
        <f t="shared" si="1"/>
        <v>225</v>
      </c>
      <c r="I29">
        <f t="shared" si="1"/>
        <v>320</v>
      </c>
      <c r="J29">
        <f t="shared" si="1"/>
        <v>265</v>
      </c>
      <c r="K29">
        <f t="shared" si="1"/>
        <v>72</v>
      </c>
      <c r="L29">
        <f t="shared" si="1"/>
        <v>33</v>
      </c>
      <c r="M29">
        <f t="shared" si="1"/>
        <v>310</v>
      </c>
      <c r="N29">
        <f t="shared" si="1"/>
        <v>72</v>
      </c>
      <c r="O29">
        <f t="shared" si="1"/>
        <v>62</v>
      </c>
      <c r="P29">
        <f t="shared" si="1"/>
        <v>314</v>
      </c>
      <c r="Q29">
        <f t="shared" si="1"/>
        <v>193</v>
      </c>
      <c r="R29">
        <f t="shared" si="1"/>
        <v>82</v>
      </c>
      <c r="S29">
        <f t="shared" si="1"/>
        <v>196</v>
      </c>
      <c r="T29">
        <f t="shared" si="1"/>
        <v>209</v>
      </c>
      <c r="U29">
        <f t="shared" si="1"/>
        <v>271</v>
      </c>
      <c r="V29">
        <f t="shared" si="1"/>
        <v>216</v>
      </c>
      <c r="W29">
        <f t="shared" si="1"/>
        <v>127</v>
      </c>
      <c r="X29">
        <f t="shared" si="1"/>
        <v>274</v>
      </c>
      <c r="Y29">
        <f t="shared" si="1"/>
        <v>147</v>
      </c>
      <c r="Z29">
        <f t="shared" si="1"/>
        <v>304</v>
      </c>
      <c r="AA29">
        <f t="shared" si="1"/>
        <v>320</v>
      </c>
      <c r="AB29">
        <f t="shared" si="1"/>
        <v>301</v>
      </c>
      <c r="AC29">
        <f t="shared" si="1"/>
        <v>42</v>
      </c>
      <c r="AD29">
        <f t="shared" si="1"/>
        <v>323</v>
      </c>
      <c r="AE29">
        <f t="shared" si="1"/>
        <v>268</v>
      </c>
      <c r="AF29">
        <f t="shared" si="1"/>
        <v>323</v>
      </c>
      <c r="AG29">
        <f t="shared" si="1"/>
        <v>124</v>
      </c>
      <c r="AH29">
        <f t="shared" si="1"/>
        <v>13</v>
      </c>
      <c r="AI29">
        <f t="shared" si="1"/>
        <v>140</v>
      </c>
      <c r="AJ29">
        <f t="shared" si="1"/>
        <v>134</v>
      </c>
      <c r="AK29">
        <f t="shared" si="1"/>
        <v>265</v>
      </c>
      <c r="AL29">
        <f t="shared" si="1"/>
        <v>7</v>
      </c>
      <c r="AM29">
        <f t="shared" si="1"/>
        <v>101</v>
      </c>
      <c r="AN29">
        <f t="shared" si="1"/>
        <v>199</v>
      </c>
      <c r="AO29">
        <f t="shared" si="1"/>
        <v>268</v>
      </c>
      <c r="AP29">
        <f t="shared" si="1"/>
        <v>131</v>
      </c>
      <c r="AQ29">
        <f t="shared" si="1"/>
        <v>75</v>
      </c>
      <c r="AR29">
        <f t="shared" si="1"/>
        <v>88</v>
      </c>
      <c r="AS29">
        <f t="shared" si="1"/>
        <v>160</v>
      </c>
      <c r="AT29">
        <f t="shared" si="1"/>
        <v>239</v>
      </c>
      <c r="AU29">
        <f t="shared" si="1"/>
        <v>160</v>
      </c>
      <c r="AV29">
        <f t="shared" si="1"/>
        <v>288</v>
      </c>
      <c r="AW29">
        <f t="shared" si="1"/>
        <v>16</v>
      </c>
      <c r="AX29">
        <v>289</v>
      </c>
      <c r="AY29">
        <f t="shared" si="2"/>
        <v>8760</v>
      </c>
    </row>
    <row r="30" spans="1:51" x14ac:dyDescent="0.55000000000000004">
      <c r="A30">
        <v>5</v>
      </c>
      <c r="C30">
        <f t="shared" si="1"/>
        <v>18</v>
      </c>
      <c r="D30">
        <f t="shared" si="1"/>
        <v>290</v>
      </c>
      <c r="E30">
        <f t="shared" si="1"/>
        <v>147</v>
      </c>
      <c r="F30">
        <f t="shared" si="1"/>
        <v>66</v>
      </c>
      <c r="G30">
        <f t="shared" si="1"/>
        <v>346</v>
      </c>
      <c r="H30">
        <f t="shared" si="1"/>
        <v>221</v>
      </c>
      <c r="I30">
        <f t="shared" si="1"/>
        <v>48</v>
      </c>
      <c r="J30">
        <f t="shared" si="1"/>
        <v>143</v>
      </c>
      <c r="K30">
        <f t="shared" si="1"/>
        <v>206</v>
      </c>
      <c r="L30">
        <f t="shared" si="1"/>
        <v>165</v>
      </c>
      <c r="M30">
        <f t="shared" si="1"/>
        <v>202</v>
      </c>
      <c r="N30">
        <f t="shared" si="1"/>
        <v>342</v>
      </c>
      <c r="O30">
        <f t="shared" si="1"/>
        <v>48</v>
      </c>
      <c r="P30">
        <f t="shared" si="1"/>
        <v>232</v>
      </c>
      <c r="Q30">
        <f t="shared" si="1"/>
        <v>309</v>
      </c>
      <c r="R30">
        <f t="shared" si="1"/>
        <v>191</v>
      </c>
      <c r="S30">
        <f t="shared" si="1"/>
        <v>74</v>
      </c>
      <c r="T30">
        <f t="shared" si="1"/>
        <v>70</v>
      </c>
      <c r="U30">
        <f t="shared" si="1"/>
        <v>18</v>
      </c>
      <c r="V30">
        <f t="shared" si="1"/>
        <v>129</v>
      </c>
      <c r="W30">
        <f t="shared" si="1"/>
        <v>191</v>
      </c>
      <c r="X30">
        <f t="shared" si="1"/>
        <v>154</v>
      </c>
      <c r="Y30">
        <f t="shared" si="1"/>
        <v>158</v>
      </c>
      <c r="Z30">
        <f t="shared" si="1"/>
        <v>327</v>
      </c>
      <c r="AA30">
        <f t="shared" si="1"/>
        <v>154</v>
      </c>
      <c r="AB30">
        <f t="shared" si="1"/>
        <v>15</v>
      </c>
      <c r="AC30">
        <f t="shared" si="1"/>
        <v>298</v>
      </c>
      <c r="AD30">
        <f t="shared" si="1"/>
        <v>103</v>
      </c>
      <c r="AE30">
        <f t="shared" si="1"/>
        <v>129</v>
      </c>
      <c r="AF30">
        <f t="shared" si="1"/>
        <v>136</v>
      </c>
      <c r="AG30">
        <f t="shared" si="1"/>
        <v>331</v>
      </c>
      <c r="AH30">
        <f t="shared" si="1"/>
        <v>357</v>
      </c>
      <c r="AI30">
        <f t="shared" si="1"/>
        <v>44</v>
      </c>
      <c r="AJ30">
        <f t="shared" si="1"/>
        <v>169</v>
      </c>
      <c r="AK30">
        <f t="shared" si="1"/>
        <v>4</v>
      </c>
      <c r="AL30">
        <f t="shared" si="1"/>
        <v>213</v>
      </c>
      <c r="AM30">
        <f t="shared" si="1"/>
        <v>232</v>
      </c>
      <c r="AN30">
        <f t="shared" si="1"/>
        <v>143</v>
      </c>
      <c r="AO30">
        <f t="shared" si="1"/>
        <v>239</v>
      </c>
      <c r="AP30">
        <f t="shared" si="1"/>
        <v>287</v>
      </c>
      <c r="AQ30">
        <f t="shared" si="1"/>
        <v>176</v>
      </c>
      <c r="AR30">
        <f t="shared" si="1"/>
        <v>283</v>
      </c>
      <c r="AS30">
        <f t="shared" si="1"/>
        <v>257</v>
      </c>
      <c r="AT30">
        <f t="shared" si="1"/>
        <v>206</v>
      </c>
      <c r="AU30">
        <f t="shared" si="1"/>
        <v>335</v>
      </c>
      <c r="AV30">
        <f t="shared" si="1"/>
        <v>184</v>
      </c>
      <c r="AW30">
        <f t="shared" si="1"/>
        <v>221</v>
      </c>
      <c r="AX30">
        <v>149</v>
      </c>
      <c r="AY30">
        <f t="shared" si="2"/>
        <v>8760</v>
      </c>
    </row>
    <row r="31" spans="1:51" x14ac:dyDescent="0.55000000000000004">
      <c r="A31">
        <v>6</v>
      </c>
      <c r="C31">
        <f t="shared" si="1"/>
        <v>249</v>
      </c>
      <c r="D31">
        <f t="shared" si="1"/>
        <v>25</v>
      </c>
      <c r="E31">
        <f t="shared" si="1"/>
        <v>287</v>
      </c>
      <c r="F31">
        <f t="shared" si="1"/>
        <v>38</v>
      </c>
      <c r="G31">
        <f t="shared" si="1"/>
        <v>28</v>
      </c>
      <c r="H31">
        <f t="shared" si="1"/>
        <v>88</v>
      </c>
      <c r="I31">
        <f t="shared" si="1"/>
        <v>148</v>
      </c>
      <c r="J31">
        <f t="shared" si="1"/>
        <v>54</v>
      </c>
      <c r="K31">
        <f t="shared" si="1"/>
        <v>161</v>
      </c>
      <c r="L31">
        <f t="shared" si="1"/>
        <v>249</v>
      </c>
      <c r="M31">
        <f t="shared" si="1"/>
        <v>28</v>
      </c>
      <c r="N31">
        <f t="shared" si="1"/>
        <v>309</v>
      </c>
      <c r="O31">
        <f t="shared" si="1"/>
        <v>142</v>
      </c>
      <c r="P31">
        <f t="shared" si="1"/>
        <v>312</v>
      </c>
      <c r="Q31">
        <f t="shared" si="1"/>
        <v>211</v>
      </c>
      <c r="R31">
        <f t="shared" si="1"/>
        <v>199</v>
      </c>
      <c r="S31">
        <f t="shared" si="1"/>
        <v>158</v>
      </c>
      <c r="T31">
        <f t="shared" si="1"/>
        <v>233</v>
      </c>
      <c r="U31">
        <f t="shared" si="1"/>
        <v>101</v>
      </c>
      <c r="V31">
        <f t="shared" si="1"/>
        <v>95</v>
      </c>
      <c r="W31">
        <f t="shared" si="1"/>
        <v>290</v>
      </c>
      <c r="X31">
        <f t="shared" si="1"/>
        <v>293</v>
      </c>
      <c r="Y31">
        <f t="shared" si="1"/>
        <v>129</v>
      </c>
      <c r="Z31">
        <f t="shared" si="1"/>
        <v>240</v>
      </c>
      <c r="AA31">
        <f t="shared" si="1"/>
        <v>44</v>
      </c>
      <c r="AB31">
        <f t="shared" si="1"/>
        <v>161</v>
      </c>
      <c r="AC31">
        <f t="shared" si="1"/>
        <v>274</v>
      </c>
      <c r="AD31">
        <f t="shared" si="1"/>
        <v>142</v>
      </c>
      <c r="AE31">
        <f t="shared" si="1"/>
        <v>309</v>
      </c>
      <c r="AF31">
        <f t="shared" si="1"/>
        <v>32</v>
      </c>
      <c r="AG31">
        <f t="shared" si="1"/>
        <v>240</v>
      </c>
      <c r="AH31">
        <f t="shared" si="1"/>
        <v>180</v>
      </c>
      <c r="AI31">
        <f t="shared" si="1"/>
        <v>117</v>
      </c>
      <c r="AJ31">
        <f t="shared" si="1"/>
        <v>306</v>
      </c>
      <c r="AK31">
        <f t="shared" si="1"/>
        <v>57</v>
      </c>
      <c r="AL31">
        <f t="shared" si="1"/>
        <v>303</v>
      </c>
      <c r="AM31">
        <f t="shared" si="1"/>
        <v>252</v>
      </c>
      <c r="AN31">
        <f t="shared" si="1"/>
        <v>189</v>
      </c>
      <c r="AO31">
        <f t="shared" si="1"/>
        <v>145</v>
      </c>
      <c r="AP31">
        <f t="shared" si="1"/>
        <v>287</v>
      </c>
      <c r="AQ31">
        <f t="shared" si="1"/>
        <v>167</v>
      </c>
      <c r="AR31">
        <f t="shared" si="1"/>
        <v>85</v>
      </c>
      <c r="AS31">
        <f t="shared" si="1"/>
        <v>303</v>
      </c>
      <c r="AT31">
        <f t="shared" si="1"/>
        <v>9</v>
      </c>
      <c r="AU31">
        <f t="shared" si="1"/>
        <v>306</v>
      </c>
      <c r="AV31">
        <f t="shared" si="1"/>
        <v>233</v>
      </c>
      <c r="AW31">
        <f t="shared" si="1"/>
        <v>287</v>
      </c>
      <c r="AX31">
        <v>265</v>
      </c>
      <c r="AY31">
        <f t="shared" si="2"/>
        <v>8760</v>
      </c>
    </row>
    <row r="32" spans="1:51" x14ac:dyDescent="0.55000000000000004">
      <c r="A32">
        <v>7</v>
      </c>
      <c r="C32">
        <f t="shared" si="1"/>
        <v>184</v>
      </c>
      <c r="D32">
        <f t="shared" si="1"/>
        <v>214</v>
      </c>
      <c r="E32">
        <f t="shared" si="1"/>
        <v>293</v>
      </c>
      <c r="F32">
        <f t="shared" si="1"/>
        <v>255</v>
      </c>
      <c r="G32">
        <f t="shared" si="1"/>
        <v>375</v>
      </c>
      <c r="H32">
        <f t="shared" si="1"/>
        <v>45</v>
      </c>
      <c r="I32">
        <f t="shared" si="1"/>
        <v>240</v>
      </c>
      <c r="J32">
        <f t="shared" si="1"/>
        <v>98</v>
      </c>
      <c r="K32">
        <f t="shared" si="1"/>
        <v>236</v>
      </c>
      <c r="L32">
        <f t="shared" si="1"/>
        <v>90</v>
      </c>
      <c r="M32">
        <f t="shared" si="1"/>
        <v>23</v>
      </c>
      <c r="N32">
        <f t="shared" si="1"/>
        <v>360</v>
      </c>
      <c r="O32">
        <f t="shared" si="1"/>
        <v>319</v>
      </c>
      <c r="P32">
        <f t="shared" si="1"/>
        <v>34</v>
      </c>
      <c r="Q32">
        <f t="shared" si="1"/>
        <v>4</v>
      </c>
      <c r="R32">
        <f t="shared" si="1"/>
        <v>71</v>
      </c>
      <c r="S32">
        <f t="shared" si="1"/>
        <v>266</v>
      </c>
      <c r="T32">
        <f t="shared" si="1"/>
        <v>255</v>
      </c>
      <c r="U32">
        <f t="shared" si="1"/>
        <v>323</v>
      </c>
      <c r="V32">
        <f t="shared" si="1"/>
        <v>311</v>
      </c>
      <c r="W32">
        <f t="shared" ref="W32:AW32" si="3">ROUND(8760*W20/(SUM($C20:$AX20)),0)</f>
        <v>218</v>
      </c>
      <c r="X32">
        <f t="shared" si="3"/>
        <v>184</v>
      </c>
      <c r="Y32">
        <f t="shared" si="3"/>
        <v>146</v>
      </c>
      <c r="Z32">
        <f t="shared" si="3"/>
        <v>109</v>
      </c>
      <c r="AA32">
        <f t="shared" si="3"/>
        <v>203</v>
      </c>
      <c r="AB32">
        <f t="shared" si="3"/>
        <v>86</v>
      </c>
      <c r="AC32">
        <f t="shared" si="3"/>
        <v>34</v>
      </c>
      <c r="AD32">
        <f t="shared" si="3"/>
        <v>120</v>
      </c>
      <c r="AE32">
        <f t="shared" si="3"/>
        <v>289</v>
      </c>
      <c r="AF32">
        <f t="shared" si="3"/>
        <v>15</v>
      </c>
      <c r="AG32">
        <f t="shared" si="3"/>
        <v>319</v>
      </c>
      <c r="AH32">
        <f t="shared" si="3"/>
        <v>364</v>
      </c>
      <c r="AI32">
        <f t="shared" si="3"/>
        <v>71</v>
      </c>
      <c r="AJ32">
        <f t="shared" si="3"/>
        <v>165</v>
      </c>
      <c r="AK32">
        <f t="shared" si="3"/>
        <v>124</v>
      </c>
      <c r="AL32">
        <f t="shared" si="3"/>
        <v>368</v>
      </c>
      <c r="AM32">
        <f t="shared" si="3"/>
        <v>349</v>
      </c>
      <c r="AN32">
        <f t="shared" si="3"/>
        <v>229</v>
      </c>
      <c r="AO32">
        <f t="shared" si="3"/>
        <v>233</v>
      </c>
      <c r="AP32">
        <f t="shared" si="3"/>
        <v>195</v>
      </c>
      <c r="AQ32">
        <f t="shared" si="3"/>
        <v>116</v>
      </c>
      <c r="AR32">
        <f t="shared" si="3"/>
        <v>49</v>
      </c>
      <c r="AS32">
        <f t="shared" si="3"/>
        <v>26</v>
      </c>
      <c r="AT32">
        <f t="shared" si="3"/>
        <v>90</v>
      </c>
      <c r="AU32">
        <f t="shared" si="3"/>
        <v>169</v>
      </c>
      <c r="AV32">
        <f t="shared" si="3"/>
        <v>278</v>
      </c>
      <c r="AW32">
        <f t="shared" si="3"/>
        <v>26</v>
      </c>
      <c r="AX32">
        <v>189</v>
      </c>
      <c r="AY32">
        <f t="shared" si="2"/>
        <v>8760</v>
      </c>
    </row>
    <row r="33" spans="1:51" x14ac:dyDescent="0.55000000000000004">
      <c r="A33">
        <v>8</v>
      </c>
      <c r="C33">
        <f t="shared" ref="C33:AX35" si="4">ROUND(8760*C21/(SUM($C21:$AX21)),0)</f>
        <v>174</v>
      </c>
      <c r="D33">
        <f t="shared" si="4"/>
        <v>308</v>
      </c>
      <c r="E33">
        <f t="shared" si="4"/>
        <v>267</v>
      </c>
      <c r="F33">
        <f t="shared" si="4"/>
        <v>222</v>
      </c>
      <c r="G33">
        <f t="shared" si="4"/>
        <v>85</v>
      </c>
      <c r="H33">
        <f t="shared" si="4"/>
        <v>315</v>
      </c>
      <c r="I33">
        <f t="shared" si="4"/>
        <v>85</v>
      </c>
      <c r="J33">
        <f t="shared" si="4"/>
        <v>7</v>
      </c>
      <c r="K33">
        <f t="shared" si="4"/>
        <v>156</v>
      </c>
      <c r="L33">
        <f t="shared" si="4"/>
        <v>189</v>
      </c>
      <c r="M33">
        <f t="shared" si="4"/>
        <v>167</v>
      </c>
      <c r="N33">
        <f t="shared" si="4"/>
        <v>56</v>
      </c>
      <c r="O33">
        <f t="shared" si="4"/>
        <v>152</v>
      </c>
      <c r="P33">
        <f t="shared" si="4"/>
        <v>122</v>
      </c>
      <c r="Q33">
        <f t="shared" si="4"/>
        <v>11</v>
      </c>
      <c r="R33">
        <f t="shared" si="4"/>
        <v>341</v>
      </c>
      <c r="S33">
        <f t="shared" si="4"/>
        <v>115</v>
      </c>
      <c r="T33">
        <f t="shared" si="4"/>
        <v>211</v>
      </c>
      <c r="U33">
        <f t="shared" si="4"/>
        <v>226</v>
      </c>
      <c r="V33">
        <f t="shared" si="4"/>
        <v>245</v>
      </c>
      <c r="W33">
        <f t="shared" si="4"/>
        <v>93</v>
      </c>
      <c r="X33">
        <f t="shared" si="4"/>
        <v>293</v>
      </c>
      <c r="Y33">
        <f t="shared" si="4"/>
        <v>200</v>
      </c>
      <c r="Z33">
        <f t="shared" si="4"/>
        <v>226</v>
      </c>
      <c r="AA33">
        <f t="shared" si="4"/>
        <v>152</v>
      </c>
      <c r="AB33">
        <f t="shared" si="4"/>
        <v>348</v>
      </c>
      <c r="AC33">
        <f t="shared" si="4"/>
        <v>200</v>
      </c>
      <c r="AD33">
        <f t="shared" si="4"/>
        <v>282</v>
      </c>
      <c r="AE33">
        <f t="shared" si="4"/>
        <v>208</v>
      </c>
      <c r="AF33">
        <f t="shared" si="4"/>
        <v>163</v>
      </c>
      <c r="AG33">
        <f t="shared" si="4"/>
        <v>182</v>
      </c>
      <c r="AH33">
        <f t="shared" si="4"/>
        <v>308</v>
      </c>
      <c r="AI33">
        <f t="shared" si="4"/>
        <v>4</v>
      </c>
      <c r="AJ33">
        <f t="shared" si="4"/>
        <v>311</v>
      </c>
      <c r="AK33">
        <f t="shared" si="4"/>
        <v>211</v>
      </c>
      <c r="AL33">
        <f t="shared" si="4"/>
        <v>304</v>
      </c>
      <c r="AM33">
        <f t="shared" si="4"/>
        <v>78</v>
      </c>
      <c r="AN33">
        <f t="shared" si="4"/>
        <v>271</v>
      </c>
      <c r="AO33">
        <f t="shared" si="4"/>
        <v>371</v>
      </c>
      <c r="AP33">
        <f t="shared" si="4"/>
        <v>211</v>
      </c>
      <c r="AQ33">
        <f t="shared" si="4"/>
        <v>30</v>
      </c>
      <c r="AR33">
        <f t="shared" si="4"/>
        <v>37</v>
      </c>
      <c r="AS33">
        <f t="shared" si="4"/>
        <v>85</v>
      </c>
      <c r="AT33">
        <f t="shared" si="4"/>
        <v>256</v>
      </c>
      <c r="AU33">
        <f t="shared" si="4"/>
        <v>274</v>
      </c>
      <c r="AV33">
        <f t="shared" si="4"/>
        <v>96</v>
      </c>
      <c r="AW33">
        <f t="shared" si="4"/>
        <v>56</v>
      </c>
      <c r="AX33">
        <f t="shared" si="4"/>
        <v>56</v>
      </c>
      <c r="AY33">
        <f t="shared" si="2"/>
        <v>8760</v>
      </c>
    </row>
    <row r="34" spans="1:51" x14ac:dyDescent="0.55000000000000004">
      <c r="A34">
        <v>9</v>
      </c>
      <c r="C34">
        <f t="shared" si="4"/>
        <v>38</v>
      </c>
      <c r="D34">
        <f t="shared" si="4"/>
        <v>226</v>
      </c>
      <c r="E34">
        <f t="shared" si="4"/>
        <v>111</v>
      </c>
      <c r="F34">
        <f t="shared" si="4"/>
        <v>331</v>
      </c>
      <c r="G34">
        <f t="shared" si="4"/>
        <v>17</v>
      </c>
      <c r="H34">
        <f t="shared" si="4"/>
        <v>265</v>
      </c>
      <c r="I34">
        <f t="shared" si="4"/>
        <v>90</v>
      </c>
      <c r="J34">
        <f t="shared" si="4"/>
        <v>251</v>
      </c>
      <c r="K34">
        <f t="shared" si="4"/>
        <v>146</v>
      </c>
      <c r="L34">
        <f t="shared" si="4"/>
        <v>317</v>
      </c>
      <c r="M34">
        <f t="shared" si="4"/>
        <v>261</v>
      </c>
      <c r="N34">
        <f t="shared" si="4"/>
        <v>73</v>
      </c>
      <c r="O34">
        <f t="shared" si="4"/>
        <v>324</v>
      </c>
      <c r="P34">
        <f t="shared" si="4"/>
        <v>226</v>
      </c>
      <c r="Q34">
        <f t="shared" si="4"/>
        <v>313</v>
      </c>
      <c r="R34">
        <f t="shared" si="4"/>
        <v>97</v>
      </c>
      <c r="S34">
        <f t="shared" si="4"/>
        <v>341</v>
      </c>
      <c r="T34">
        <f t="shared" si="4"/>
        <v>258</v>
      </c>
      <c r="U34">
        <f t="shared" si="4"/>
        <v>104</v>
      </c>
      <c r="V34">
        <f t="shared" si="4"/>
        <v>317</v>
      </c>
      <c r="W34">
        <f t="shared" si="4"/>
        <v>310</v>
      </c>
      <c r="X34">
        <f t="shared" si="4"/>
        <v>230</v>
      </c>
      <c r="Y34">
        <f t="shared" si="4"/>
        <v>292</v>
      </c>
      <c r="Z34">
        <f t="shared" si="4"/>
        <v>80</v>
      </c>
      <c r="AA34">
        <f t="shared" si="4"/>
        <v>24</v>
      </c>
      <c r="AB34">
        <f t="shared" si="4"/>
        <v>146</v>
      </c>
      <c r="AC34">
        <f t="shared" si="4"/>
        <v>136</v>
      </c>
      <c r="AD34">
        <f t="shared" si="4"/>
        <v>271</v>
      </c>
      <c r="AE34">
        <f t="shared" si="4"/>
        <v>282</v>
      </c>
      <c r="AF34">
        <f t="shared" si="4"/>
        <v>313</v>
      </c>
      <c r="AG34">
        <f t="shared" si="4"/>
        <v>24</v>
      </c>
      <c r="AH34">
        <f t="shared" si="4"/>
        <v>150</v>
      </c>
      <c r="AI34">
        <f t="shared" si="4"/>
        <v>52</v>
      </c>
      <c r="AJ34">
        <f t="shared" si="4"/>
        <v>285</v>
      </c>
      <c r="AK34">
        <f t="shared" si="4"/>
        <v>282</v>
      </c>
      <c r="AL34">
        <f t="shared" si="4"/>
        <v>14</v>
      </c>
      <c r="AM34">
        <f t="shared" si="4"/>
        <v>195</v>
      </c>
      <c r="AN34">
        <f t="shared" si="4"/>
        <v>258</v>
      </c>
      <c r="AO34">
        <f t="shared" si="4"/>
        <v>70</v>
      </c>
      <c r="AP34">
        <f t="shared" si="4"/>
        <v>188</v>
      </c>
      <c r="AQ34">
        <f t="shared" si="4"/>
        <v>59</v>
      </c>
      <c r="AR34">
        <f t="shared" si="4"/>
        <v>59</v>
      </c>
      <c r="AS34">
        <f t="shared" si="4"/>
        <v>258</v>
      </c>
      <c r="AT34">
        <f t="shared" si="4"/>
        <v>122</v>
      </c>
      <c r="AU34">
        <f t="shared" si="4"/>
        <v>59</v>
      </c>
      <c r="AV34">
        <f t="shared" si="4"/>
        <v>49</v>
      </c>
      <c r="AW34">
        <f t="shared" si="4"/>
        <v>125</v>
      </c>
      <c r="AX34">
        <v>321</v>
      </c>
      <c r="AY34">
        <f t="shared" si="2"/>
        <v>8760</v>
      </c>
    </row>
    <row r="35" spans="1:51" x14ac:dyDescent="0.55000000000000004">
      <c r="A35">
        <v>10</v>
      </c>
      <c r="C35">
        <f t="shared" si="4"/>
        <v>300</v>
      </c>
      <c r="D35">
        <f t="shared" si="4"/>
        <v>150</v>
      </c>
      <c r="E35">
        <f t="shared" si="4"/>
        <v>40</v>
      </c>
      <c r="F35">
        <f t="shared" si="4"/>
        <v>177</v>
      </c>
      <c r="G35">
        <f t="shared" si="4"/>
        <v>250</v>
      </c>
      <c r="H35">
        <f t="shared" si="4"/>
        <v>277</v>
      </c>
      <c r="I35">
        <f t="shared" si="4"/>
        <v>250</v>
      </c>
      <c r="J35">
        <f t="shared" si="4"/>
        <v>203</v>
      </c>
      <c r="K35">
        <f t="shared" si="4"/>
        <v>7</v>
      </c>
      <c r="L35">
        <f t="shared" si="4"/>
        <v>33</v>
      </c>
      <c r="M35">
        <f t="shared" si="4"/>
        <v>217</v>
      </c>
      <c r="N35">
        <f t="shared" si="4"/>
        <v>87</v>
      </c>
      <c r="O35">
        <f t="shared" si="4"/>
        <v>73</v>
      </c>
      <c r="P35">
        <f t="shared" si="4"/>
        <v>297</v>
      </c>
      <c r="Q35">
        <f t="shared" si="4"/>
        <v>277</v>
      </c>
      <c r="R35">
        <f t="shared" si="4"/>
        <v>120</v>
      </c>
      <c r="S35">
        <f t="shared" si="4"/>
        <v>40</v>
      </c>
      <c r="T35">
        <f t="shared" si="4"/>
        <v>217</v>
      </c>
      <c r="U35">
        <f t="shared" si="4"/>
        <v>143</v>
      </c>
      <c r="V35">
        <f t="shared" si="4"/>
        <v>237</v>
      </c>
      <c r="W35">
        <f t="shared" si="4"/>
        <v>227</v>
      </c>
      <c r="X35">
        <f t="shared" si="4"/>
        <v>320</v>
      </c>
      <c r="Y35">
        <f t="shared" si="4"/>
        <v>247</v>
      </c>
      <c r="Z35">
        <f t="shared" si="4"/>
        <v>10</v>
      </c>
      <c r="AA35">
        <f t="shared" si="4"/>
        <v>290</v>
      </c>
      <c r="AB35">
        <f t="shared" si="4"/>
        <v>323</v>
      </c>
      <c r="AC35">
        <f t="shared" si="4"/>
        <v>223</v>
      </c>
      <c r="AD35">
        <f t="shared" si="4"/>
        <v>247</v>
      </c>
      <c r="AE35">
        <f t="shared" si="4"/>
        <v>167</v>
      </c>
      <c r="AF35">
        <f t="shared" si="4"/>
        <v>60</v>
      </c>
      <c r="AG35">
        <f t="shared" si="4"/>
        <v>210</v>
      </c>
      <c r="AH35">
        <f t="shared" si="4"/>
        <v>177</v>
      </c>
      <c r="AI35">
        <f t="shared" si="4"/>
        <v>153</v>
      </c>
      <c r="AJ35">
        <f t="shared" si="4"/>
        <v>177</v>
      </c>
      <c r="AK35">
        <f t="shared" si="4"/>
        <v>127</v>
      </c>
      <c r="AL35">
        <f t="shared" si="4"/>
        <v>297</v>
      </c>
      <c r="AM35">
        <f t="shared" si="4"/>
        <v>263</v>
      </c>
      <c r="AN35">
        <f t="shared" si="4"/>
        <v>160</v>
      </c>
      <c r="AO35">
        <f t="shared" si="4"/>
        <v>213</v>
      </c>
      <c r="AP35">
        <f t="shared" si="4"/>
        <v>130</v>
      </c>
      <c r="AQ35">
        <f t="shared" si="4"/>
        <v>223</v>
      </c>
      <c r="AR35">
        <f t="shared" si="4"/>
        <v>227</v>
      </c>
      <c r="AS35">
        <f t="shared" si="4"/>
        <v>287</v>
      </c>
      <c r="AT35">
        <f t="shared" si="4"/>
        <v>113</v>
      </c>
      <c r="AU35">
        <f t="shared" si="4"/>
        <v>13</v>
      </c>
      <c r="AV35">
        <f t="shared" si="4"/>
        <v>47</v>
      </c>
      <c r="AW35">
        <f t="shared" si="4"/>
        <v>223</v>
      </c>
      <c r="AX35">
        <v>211</v>
      </c>
      <c r="AY35">
        <f t="shared" si="2"/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exist</vt:lpstr>
      <vt:lpstr>cand</vt:lpstr>
      <vt:lpstr>lines</vt:lpstr>
      <vt:lpstr>gen_cost</vt:lpstr>
      <vt:lpstr>economic</vt:lpstr>
      <vt:lpstr>demand</vt:lpstr>
      <vt:lpstr>demand_forecasted</vt:lpstr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Lopez Diaz</dc:creator>
  <cp:lastModifiedBy>Luis Lopez Diaz</cp:lastModifiedBy>
  <dcterms:created xsi:type="dcterms:W3CDTF">2025-01-07T20:21:48Z</dcterms:created>
  <dcterms:modified xsi:type="dcterms:W3CDTF">2025-11-13T19:16:41Z</dcterms:modified>
</cp:coreProperties>
</file>